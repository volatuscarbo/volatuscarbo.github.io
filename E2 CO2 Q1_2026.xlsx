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frank\Documents\volatuscarbo\air haifa\data\"/>
    </mc:Choice>
  </mc:AlternateContent>
  <xr:revisionPtr revIDLastSave="0" documentId="13_ncr:1_{8A6676B0-797C-4C0D-82FD-D5DE792CF1EF}" xr6:coauthVersionLast="47" xr6:coauthVersionMax="47" xr10:uidLastSave="{00000000-0000-0000-0000-000000000000}"/>
  <bookViews>
    <workbookView xWindow="-108" yWindow="-108" windowWidth="30936" windowHeight="18696" activeTab="1" xr2:uid="{78324E3D-1474-4A65-B1F4-9E572F0FC87A}"/>
  </bookViews>
  <sheets>
    <sheet name="Worksheet" sheetId="1" r:id="rId1"/>
    <sheet name="Sheet1" sheetId="2" r:id="rId2"/>
  </sheets>
  <definedNames>
    <definedName name="_xlnm._FilterDatabase" localSheetId="1" hidden="1">Sheet1!$A$1:$AY$1003</definedName>
    <definedName name="_xlnm._FilterDatabase" localSheetId="0" hidden="1">Worksheet!$A$1:$AM$978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2" i="1" l="1"/>
  <c r="A121" i="2"/>
  <c r="B95" i="1"/>
  <c r="B373" i="1"/>
  <c r="B395" i="1"/>
  <c r="B610" i="1"/>
  <c r="B817" i="1"/>
  <c r="B851" i="1"/>
  <c r="A803" i="2"/>
  <c r="A566" i="2"/>
  <c r="A766" i="2"/>
  <c r="A404" i="2"/>
  <c r="A746" i="2"/>
  <c r="A368" i="2"/>
  <c r="A339" i="2"/>
  <c r="A519" i="2"/>
  <c r="A716" i="2"/>
  <c r="A316" i="2"/>
  <c r="A914" i="2"/>
  <c r="A673" i="2"/>
  <c r="A478" i="2"/>
  <c r="A282" i="2"/>
  <c r="A886" i="2"/>
  <c r="A234" i="2"/>
  <c r="A442" i="2"/>
  <c r="A142" i="2"/>
  <c r="A141" i="2"/>
  <c r="A140" i="2"/>
  <c r="A138" i="2"/>
  <c r="A139" i="2"/>
  <c r="A137" i="2"/>
  <c r="A854" i="2"/>
  <c r="A807" i="2"/>
  <c r="A570" i="2"/>
  <c r="A340" i="2"/>
  <c r="A767" i="2"/>
  <c r="A719" i="2"/>
  <c r="A747" i="2"/>
  <c r="A317" i="2"/>
  <c r="A676" i="2"/>
  <c r="A523" i="2"/>
  <c r="A916" i="2"/>
  <c r="A286" i="2"/>
  <c r="A888" i="2"/>
  <c r="A638" i="2"/>
  <c r="A238" i="2"/>
  <c r="A606" i="2"/>
  <c r="A332" i="2"/>
  <c r="A837" i="2"/>
  <c r="A309" i="2"/>
  <c r="A790" i="2"/>
  <c r="A555" i="2"/>
  <c r="A934" i="2"/>
  <c r="A926" i="2"/>
  <c r="A508" i="2"/>
  <c r="A12" i="2"/>
  <c r="A9" i="2"/>
  <c r="A995" i="2"/>
  <c r="A726" i="2"/>
  <c r="A982" i="2"/>
  <c r="A683" i="2"/>
  <c r="A484" i="2"/>
  <c r="A293" i="2"/>
  <c r="A642" i="2"/>
  <c r="A245" i="2"/>
  <c r="A610" i="2"/>
  <c r="A448" i="2"/>
  <c r="A958" i="2"/>
  <c r="A125" i="2"/>
  <c r="A119" i="2"/>
  <c r="A124" i="2"/>
  <c r="A115" i="2"/>
  <c r="A114" i="2"/>
  <c r="A113" i="2"/>
  <c r="A112" i="2"/>
  <c r="A111" i="2"/>
  <c r="A845" i="2"/>
  <c r="A962" i="2"/>
  <c r="A712" i="2"/>
  <c r="A798" i="2"/>
  <c r="A401" i="2"/>
  <c r="A561" i="2"/>
  <c r="A365" i="2"/>
  <c r="A974" i="2"/>
  <c r="A669" i="2"/>
  <c r="A514" i="2"/>
  <c r="A277" i="2"/>
  <c r="A229" i="2"/>
  <c r="A950" i="2"/>
  <c r="A203" i="2"/>
  <c r="A202" i="2"/>
  <c r="A201" i="2"/>
  <c r="A990" i="2"/>
  <c r="A840" i="2"/>
  <c r="A793" i="2"/>
  <c r="A558" i="2"/>
  <c r="A398" i="2"/>
  <c r="A362" i="2"/>
  <c r="A511" i="2"/>
  <c r="A708" i="2"/>
  <c r="A665" i="2"/>
  <c r="A272" i="2"/>
  <c r="A224" i="2"/>
  <c r="A862" i="2"/>
  <c r="A815" i="2"/>
  <c r="A578" i="2"/>
  <c r="A772" i="2"/>
  <c r="A413" i="2"/>
  <c r="B410" i="1" s="1"/>
  <c r="A752" i="2"/>
  <c r="A377" i="2"/>
  <c r="A531" i="2"/>
  <c r="A727" i="2"/>
  <c r="A920" i="2"/>
  <c r="A684" i="2"/>
  <c r="A485" i="2"/>
  <c r="A294" i="2"/>
  <c r="A892" i="2"/>
  <c r="A246" i="2"/>
  <c r="A449" i="2"/>
  <c r="A326" i="2"/>
  <c r="A827" i="2"/>
  <c r="A303" i="2"/>
  <c r="A780" i="2"/>
  <c r="A544" i="2"/>
  <c r="A932" i="2"/>
  <c r="A757" i="2"/>
  <c r="A924" i="2"/>
  <c r="A737" i="2"/>
  <c r="A497" i="2"/>
  <c r="A710" i="2"/>
  <c r="A973" i="2"/>
  <c r="A667" i="2"/>
  <c r="A475" i="2"/>
  <c r="A275" i="2"/>
  <c r="A634" i="2"/>
  <c r="A227" i="2"/>
  <c r="A602" i="2"/>
  <c r="A439" i="2"/>
  <c r="A949" i="2"/>
  <c r="A851" i="2"/>
  <c r="A804" i="2"/>
  <c r="A567" i="2"/>
  <c r="A405" i="2"/>
  <c r="B405" i="1" s="1"/>
  <c r="A369" i="2"/>
  <c r="A977" i="2"/>
  <c r="A520" i="2"/>
  <c r="A283" i="2"/>
  <c r="A235" i="2"/>
  <c r="A637" i="2"/>
  <c r="A953" i="2"/>
  <c r="A605" i="2"/>
  <c r="A841" i="2"/>
  <c r="A794" i="2"/>
  <c r="A399" i="2"/>
  <c r="A363" i="2"/>
  <c r="A909" i="2"/>
  <c r="A972" i="2"/>
  <c r="A473" i="2"/>
  <c r="A881" i="2"/>
  <c r="A273" i="2"/>
  <c r="A437" i="2"/>
  <c r="A632" i="2"/>
  <c r="A948" i="2"/>
  <c r="A600" i="2"/>
  <c r="A225" i="2"/>
  <c r="A825" i="2"/>
  <c r="A778" i="2"/>
  <c r="A542" i="2"/>
  <c r="B540" i="1" s="1"/>
  <c r="A386" i="2"/>
  <c r="A350" i="2"/>
  <c r="A899" i="2"/>
  <c r="A963" i="2"/>
  <c r="A495" i="2"/>
  <c r="A458" i="2"/>
  <c r="A695" i="2"/>
  <c r="A871" i="2"/>
  <c r="A652" i="2"/>
  <c r="A257" i="2"/>
  <c r="A418" i="2"/>
  <c r="A620" i="2"/>
  <c r="A939" i="2"/>
  <c r="A209" i="2"/>
  <c r="A588" i="2"/>
  <c r="A423" i="2"/>
  <c r="A1000" i="2"/>
  <c r="A835" i="2"/>
  <c r="A788" i="2"/>
  <c r="A553" i="2"/>
  <c r="A395" i="2"/>
  <c r="A359" i="2"/>
  <c r="A969" i="2"/>
  <c r="A906" i="2"/>
  <c r="A506" i="2"/>
  <c r="A704" i="2"/>
  <c r="A878" i="2"/>
  <c r="A661" i="2"/>
  <c r="A268" i="2"/>
  <c r="A469" i="2"/>
  <c r="A945" i="2"/>
  <c r="A220" i="2"/>
  <c r="A433" i="2"/>
  <c r="A184" i="2"/>
  <c r="A183" i="2"/>
  <c r="A136" i="2"/>
  <c r="A135" i="2"/>
  <c r="A134" i="2"/>
  <c r="A132" i="2"/>
  <c r="A131" i="2"/>
  <c r="A129" i="2"/>
  <c r="A128" i="2"/>
  <c r="A823" i="2"/>
  <c r="A776" i="2"/>
  <c r="A540" i="2"/>
  <c r="A384" i="2"/>
  <c r="A348" i="2"/>
  <c r="A898" i="2"/>
  <c r="A493" i="2"/>
  <c r="A457" i="2"/>
  <c r="A693" i="2"/>
  <c r="A870" i="2"/>
  <c r="A650" i="2"/>
  <c r="A255" i="2"/>
  <c r="A618" i="2"/>
  <c r="A422" i="2"/>
  <c r="A207" i="2"/>
  <c r="A586" i="2"/>
  <c r="A110" i="2"/>
  <c r="A107" i="2"/>
  <c r="A109" i="2"/>
  <c r="A108" i="2"/>
  <c r="A105" i="2"/>
  <c r="A106" i="2"/>
  <c r="A104" i="2"/>
  <c r="A103" i="2"/>
  <c r="A101" i="2"/>
  <c r="A102" i="2"/>
  <c r="A99" i="2"/>
  <c r="A100" i="2"/>
  <c r="A98" i="2"/>
  <c r="A44" i="2"/>
  <c r="A6" i="2"/>
  <c r="A3" i="2"/>
  <c r="A7" i="2"/>
  <c r="A4" i="2"/>
  <c r="A859" i="2"/>
  <c r="A812" i="2"/>
  <c r="A575" i="2"/>
  <c r="A411" i="2"/>
  <c r="A918" i="2"/>
  <c r="A981" i="2"/>
  <c r="A890" i="2"/>
  <c r="A375" i="2"/>
  <c r="A528" i="2"/>
  <c r="A724" i="2"/>
  <c r="A482" i="2"/>
  <c r="A291" i="2"/>
  <c r="A681" i="2"/>
  <c r="A243" i="2"/>
  <c r="A957" i="2"/>
  <c r="A446" i="2"/>
  <c r="A844" i="2"/>
  <c r="A797" i="2"/>
  <c r="A560" i="2"/>
  <c r="A336" i="2"/>
  <c r="A313" i="2"/>
  <c r="A711" i="2"/>
  <c r="A513" i="2"/>
  <c r="A911" i="2"/>
  <c r="A276" i="2"/>
  <c r="A668" i="2"/>
  <c r="A883" i="2"/>
  <c r="A228" i="2"/>
  <c r="A836" i="2"/>
  <c r="A789" i="2"/>
  <c r="A554" i="2"/>
  <c r="A396" i="2"/>
  <c r="A705" i="2"/>
  <c r="A763" i="2"/>
  <c r="A360" i="2"/>
  <c r="A743" i="2"/>
  <c r="A331" i="2"/>
  <c r="A507" i="2"/>
  <c r="A662" i="2"/>
  <c r="A907" i="2"/>
  <c r="A308" i="2"/>
  <c r="A470" i="2"/>
  <c r="A118" i="2"/>
  <c r="A879" i="2"/>
  <c r="A434" i="2"/>
  <c r="A2" i="2"/>
  <c r="A828" i="2"/>
  <c r="A781" i="2"/>
  <c r="A545" i="2"/>
  <c r="A758" i="2"/>
  <c r="A388" i="2"/>
  <c r="A738" i="2"/>
  <c r="A352" i="2"/>
  <c r="A327" i="2"/>
  <c r="A498" i="2"/>
  <c r="A304" i="2"/>
  <c r="A901" i="2"/>
  <c r="A461" i="2"/>
  <c r="A623" i="2"/>
  <c r="A260" i="2"/>
  <c r="A873" i="2"/>
  <c r="A591" i="2"/>
  <c r="A212" i="2"/>
  <c r="A426" i="2"/>
  <c r="A186" i="2"/>
  <c r="A185" i="2"/>
  <c r="A697" i="2"/>
  <c r="A964" i="2"/>
  <c r="A460" i="2"/>
  <c r="A654" i="2"/>
  <c r="A259" i="2"/>
  <c r="A622" i="2"/>
  <c r="A211" i="2"/>
  <c r="A425" i="2"/>
  <c r="A590" i="2"/>
  <c r="A940" i="2"/>
  <c r="A133" i="2"/>
  <c r="A463" i="2"/>
  <c r="A117" i="2"/>
  <c r="A335" i="2"/>
  <c r="A312" i="2"/>
  <c r="A843" i="2"/>
  <c r="A559" i="2"/>
  <c r="A935" i="2"/>
  <c r="A796" i="2"/>
  <c r="A927" i="2"/>
  <c r="A512" i="2"/>
  <c r="A126" i="2"/>
  <c r="A846" i="2"/>
  <c r="A799" i="2"/>
  <c r="A562" i="2"/>
  <c r="A402" i="2"/>
  <c r="A366" i="2"/>
  <c r="A515" i="2"/>
  <c r="A713" i="2"/>
  <c r="A670" i="2"/>
  <c r="A278" i="2"/>
  <c r="A230" i="2"/>
  <c r="A198" i="2"/>
  <c r="A200" i="2"/>
  <c r="A192" i="2"/>
  <c r="A197" i="2"/>
  <c r="A199" i="2"/>
  <c r="A998" i="2"/>
  <c r="A191" i="2"/>
  <c r="A69" i="2"/>
  <c r="A1001" i="2"/>
  <c r="A170" i="2"/>
  <c r="A169" i="2"/>
  <c r="A166" i="2"/>
  <c r="A165" i="2"/>
  <c r="A66" i="2"/>
  <c r="A174" i="2"/>
  <c r="A168" i="2"/>
  <c r="A173" i="2"/>
  <c r="A164" i="2"/>
  <c r="A167" i="2"/>
  <c r="A172" i="2"/>
  <c r="A163" i="2"/>
  <c r="A171" i="2"/>
  <c r="A162" i="2"/>
  <c r="A997" i="2"/>
  <c r="A160" i="2"/>
  <c r="A161" i="2"/>
  <c r="A158" i="2"/>
  <c r="A159" i="2"/>
  <c r="A156" i="2"/>
  <c r="A157" i="2"/>
  <c r="A155" i="2"/>
  <c r="A853" i="2"/>
  <c r="A806" i="2"/>
  <c r="A569" i="2"/>
  <c r="A407" i="2"/>
  <c r="A915" i="2"/>
  <c r="A371" i="2"/>
  <c r="A978" i="2"/>
  <c r="A522" i="2"/>
  <c r="A887" i="2"/>
  <c r="A718" i="2"/>
  <c r="A479" i="2"/>
  <c r="A675" i="2"/>
  <c r="A285" i="2"/>
  <c r="A954" i="2"/>
  <c r="A237" i="2"/>
  <c r="A443" i="2"/>
  <c r="A176" i="2"/>
  <c r="A175" i="2"/>
  <c r="A49" i="2"/>
  <c r="A52" i="2"/>
  <c r="A48" i="2"/>
  <c r="A50" i="2"/>
  <c r="A47" i="2"/>
  <c r="A51" i="2"/>
  <c r="A45" i="2"/>
  <c r="A41" i="2"/>
  <c r="A826" i="2"/>
  <c r="A779" i="2"/>
  <c r="A543" i="2"/>
  <c r="A756" i="2"/>
  <c r="A387" i="2"/>
  <c r="A736" i="2"/>
  <c r="A351" i="2"/>
  <c r="A325" i="2"/>
  <c r="A496" i="2"/>
  <c r="A696" i="2"/>
  <c r="A302" i="2"/>
  <c r="A900" i="2"/>
  <c r="A653" i="2"/>
  <c r="A459" i="2"/>
  <c r="A258" i="2"/>
  <c r="A872" i="2"/>
  <c r="A621" i="2"/>
  <c r="A210" i="2"/>
  <c r="A589" i="2"/>
  <c r="A424" i="2"/>
  <c r="A11" i="2"/>
  <c r="A8" i="2"/>
  <c r="A994" i="2"/>
  <c r="A839" i="2"/>
  <c r="A792" i="2"/>
  <c r="A557" i="2"/>
  <c r="A971" i="2"/>
  <c r="A271" i="2"/>
  <c r="A510" i="2"/>
  <c r="A223" i="2"/>
  <c r="A631" i="2"/>
  <c r="A947" i="2"/>
  <c r="A599" i="2"/>
  <c r="A85" i="2"/>
  <c r="A88" i="2"/>
  <c r="A86" i="2"/>
  <c r="A87" i="2"/>
  <c r="A84" i="2"/>
  <c r="A83" i="2"/>
  <c r="A81" i="2"/>
  <c r="A82" i="2"/>
  <c r="A80" i="2"/>
  <c r="A77" i="2"/>
  <c r="A79" i="2"/>
  <c r="A75" i="2"/>
  <c r="B72" i="1" s="1"/>
  <c r="A76" i="2"/>
  <c r="A78" i="2"/>
  <c r="A74" i="2"/>
  <c r="A73" i="2"/>
  <c r="A72" i="2"/>
  <c r="A71" i="2"/>
  <c r="A70" i="2"/>
  <c r="A68" i="2"/>
  <c r="A67" i="2"/>
  <c r="A999" i="2"/>
  <c r="A65" i="2"/>
  <c r="A63" i="2"/>
  <c r="A64" i="2"/>
  <c r="A62" i="2"/>
  <c r="A56" i="2"/>
  <c r="B49" i="1" s="1"/>
  <c r="A60" i="2"/>
  <c r="A55" i="2"/>
  <c r="A61" i="2"/>
  <c r="A54" i="2"/>
  <c r="A53" i="2"/>
  <c r="A58" i="2"/>
  <c r="A59" i="2"/>
  <c r="A57" i="2"/>
  <c r="A39" i="2"/>
  <c r="A35" i="2"/>
  <c r="A40" i="2"/>
  <c r="A36" i="2"/>
  <c r="B35" i="1" s="1"/>
  <c r="A37" i="2"/>
  <c r="A26" i="2"/>
  <c r="A38" i="2"/>
  <c r="A33" i="2"/>
  <c r="A30" i="2"/>
  <c r="A28" i="2"/>
  <c r="A24" i="2"/>
  <c r="A27" i="2"/>
  <c r="A29" i="2"/>
  <c r="A32" i="2"/>
  <c r="A34" i="2"/>
  <c r="A25" i="2"/>
  <c r="A31" i="2"/>
  <c r="A21" i="2"/>
  <c r="A10" i="2"/>
  <c r="A18" i="2"/>
  <c r="A23" i="2"/>
  <c r="A14" i="2"/>
  <c r="A13" i="2"/>
  <c r="A20" i="2"/>
  <c r="A17" i="2"/>
  <c r="A22" i="2"/>
  <c r="A996" i="2"/>
  <c r="A19" i="2"/>
  <c r="A16" i="2"/>
  <c r="A989" i="2"/>
  <c r="A992" i="2"/>
  <c r="A732" i="2"/>
  <c r="A985" i="2"/>
  <c r="A689" i="2"/>
  <c r="A489" i="2"/>
  <c r="A299" i="2"/>
  <c r="A646" i="2"/>
  <c r="A251" i="2"/>
  <c r="A614" i="2"/>
  <c r="A453" i="2"/>
  <c r="A961" i="2"/>
  <c r="A866" i="2"/>
  <c r="A819" i="2"/>
  <c r="A582" i="2"/>
  <c r="A417" i="2"/>
  <c r="A381" i="2"/>
  <c r="A345" i="2"/>
  <c r="A535" i="2"/>
  <c r="A731" i="2"/>
  <c r="A322" i="2"/>
  <c r="A922" i="2"/>
  <c r="A688" i="2"/>
  <c r="A488" i="2"/>
  <c r="A298" i="2"/>
  <c r="A894" i="2"/>
  <c r="A645" i="2"/>
  <c r="A250" i="2"/>
  <c r="A613" i="2"/>
  <c r="A452" i="2"/>
  <c r="A865" i="2"/>
  <c r="A818" i="2"/>
  <c r="A581" i="2"/>
  <c r="A921" i="2"/>
  <c r="A416" i="2"/>
  <c r="B416" i="1" s="1"/>
  <c r="A893" i="2"/>
  <c r="A380" i="2"/>
  <c r="A534" i="2"/>
  <c r="A984" i="2"/>
  <c r="A297" i="2"/>
  <c r="A730" i="2"/>
  <c r="A249" i="2"/>
  <c r="A687" i="2"/>
  <c r="A487" i="2"/>
  <c r="A644" i="2"/>
  <c r="A960" i="2"/>
  <c r="A612" i="2"/>
  <c r="A451" i="2"/>
  <c r="A864" i="2"/>
  <c r="A817" i="2"/>
  <c r="A580" i="2"/>
  <c r="A415" i="2"/>
  <c r="A379" i="2"/>
  <c r="A533" i="2"/>
  <c r="A729" i="2"/>
  <c r="A686" i="2"/>
  <c r="A296" i="2"/>
  <c r="A248" i="2"/>
  <c r="A863" i="2"/>
  <c r="A816" i="2"/>
  <c r="A579" i="2"/>
  <c r="A414" i="2"/>
  <c r="A378" i="2"/>
  <c r="A983" i="2"/>
  <c r="A532" i="2"/>
  <c r="A728" i="2"/>
  <c r="A295" i="2"/>
  <c r="A685" i="2"/>
  <c r="A486" i="2"/>
  <c r="A247" i="2"/>
  <c r="A643" i="2"/>
  <c r="A959" i="2"/>
  <c r="A611" i="2"/>
  <c r="A450" i="2"/>
  <c r="A344" i="2"/>
  <c r="A861" i="2"/>
  <c r="A321" i="2"/>
  <c r="A814" i="2"/>
  <c r="A577" i="2"/>
  <c r="A938" i="2"/>
  <c r="A771" i="2"/>
  <c r="A930" i="2"/>
  <c r="A751" i="2"/>
  <c r="A530" i="2"/>
  <c r="A860" i="2"/>
  <c r="A813" i="2"/>
  <c r="A576" i="2"/>
  <c r="A412" i="2"/>
  <c r="A770" i="2"/>
  <c r="A750" i="2"/>
  <c r="A376" i="2"/>
  <c r="A343" i="2"/>
  <c r="B342" i="1" s="1"/>
  <c r="A529" i="2"/>
  <c r="A725" i="2"/>
  <c r="A320" i="2"/>
  <c r="A919" i="2"/>
  <c r="A682" i="2"/>
  <c r="A483" i="2"/>
  <c r="A292" i="2"/>
  <c r="A891" i="2"/>
  <c r="A641" i="2"/>
  <c r="A244" i="2"/>
  <c r="A609" i="2"/>
  <c r="A447" i="2"/>
  <c r="A858" i="2"/>
  <c r="A811" i="2"/>
  <c r="A574" i="2"/>
  <c r="A410" i="2"/>
  <c r="A374" i="2"/>
  <c r="A527" i="2"/>
  <c r="A723" i="2"/>
  <c r="A680" i="2"/>
  <c r="A290" i="2"/>
  <c r="A242" i="2"/>
  <c r="A857" i="2"/>
  <c r="A810" i="2"/>
  <c r="A573" i="2"/>
  <c r="A409" i="2"/>
  <c r="A373" i="2"/>
  <c r="A980" i="2"/>
  <c r="A526" i="2"/>
  <c r="A722" i="2"/>
  <c r="A289" i="2"/>
  <c r="A679" i="2"/>
  <c r="A241" i="2"/>
  <c r="A640" i="2"/>
  <c r="A956" i="2"/>
  <c r="A608" i="2"/>
  <c r="A120" i="2"/>
  <c r="A856" i="2"/>
  <c r="A809" i="2"/>
  <c r="A572" i="2"/>
  <c r="A408" i="2"/>
  <c r="A769" i="2"/>
  <c r="A342" i="2"/>
  <c r="A749" i="2"/>
  <c r="A372" i="2"/>
  <c r="A525" i="2"/>
  <c r="A721" i="2"/>
  <c r="A319" i="2"/>
  <c r="A917" i="2"/>
  <c r="A678" i="2"/>
  <c r="A481" i="2"/>
  <c r="A288" i="2"/>
  <c r="A889" i="2"/>
  <c r="A240" i="2"/>
  <c r="A445" i="2"/>
  <c r="A341" i="2"/>
  <c r="A855" i="2"/>
  <c r="A571" i="2"/>
  <c r="A318" i="2"/>
  <c r="A808" i="2"/>
  <c r="A937" i="2"/>
  <c r="A768" i="2"/>
  <c r="A524" i="2"/>
  <c r="A929" i="2"/>
  <c r="A748" i="2"/>
  <c r="A720" i="2"/>
  <c r="A979" i="2"/>
  <c r="A677" i="2"/>
  <c r="A480" i="2"/>
  <c r="A287" i="2"/>
  <c r="A639" i="2"/>
  <c r="B635" i="1" s="1"/>
  <c r="A239" i="2"/>
  <c r="A607" i="2"/>
  <c r="A444" i="2"/>
  <c r="A955" i="2"/>
  <c r="A852" i="2"/>
  <c r="A805" i="2"/>
  <c r="A568" i="2"/>
  <c r="A406" i="2"/>
  <c r="A370" i="2"/>
  <c r="A717" i="2"/>
  <c r="A521" i="2"/>
  <c r="A674" i="2"/>
  <c r="A284" i="2"/>
  <c r="A236" i="2"/>
  <c r="A820" i="2"/>
  <c r="A773" i="2"/>
  <c r="B770" i="1" s="1"/>
  <c r="A537" i="2"/>
  <c r="A753" i="2"/>
  <c r="A382" i="2"/>
  <c r="A733" i="2"/>
  <c r="A346" i="2"/>
  <c r="A323" i="2"/>
  <c r="A490" i="2"/>
  <c r="A690" i="2"/>
  <c r="A300" i="2"/>
  <c r="B288" i="1" s="1"/>
  <c r="A895" i="2"/>
  <c r="A647" i="2"/>
  <c r="A454" i="2"/>
  <c r="A252" i="2"/>
  <c r="A867" i="2"/>
  <c r="A615" i="2"/>
  <c r="A204" i="2"/>
  <c r="A583" i="2"/>
  <c r="A419" i="2"/>
  <c r="A15" i="2"/>
  <c r="A993" i="2"/>
  <c r="A5" i="2"/>
  <c r="B2" i="1" s="1"/>
  <c r="A46" i="2"/>
  <c r="A1003" i="2"/>
  <c r="A43" i="2"/>
  <c r="A42" i="2"/>
  <c r="A848" i="2"/>
  <c r="A801" i="2"/>
  <c r="A564" i="2"/>
  <c r="A337" i="2"/>
  <c r="A517" i="2"/>
  <c r="A714" i="2"/>
  <c r="A314" i="2"/>
  <c r="A913" i="2"/>
  <c r="A671" i="2"/>
  <c r="A476" i="2"/>
  <c r="A280" i="2"/>
  <c r="B273" i="1" s="1"/>
  <c r="A885" i="2"/>
  <c r="A636" i="2"/>
  <c r="A232" i="2"/>
  <c r="A440" i="2"/>
  <c r="A604" i="2"/>
  <c r="A762" i="2"/>
  <c r="A552" i="2"/>
  <c r="A742" i="2"/>
  <c r="A394" i="2"/>
  <c r="A505" i="2"/>
  <c r="A358" i="2"/>
  <c r="A267" i="2"/>
  <c r="A219" i="2"/>
  <c r="A190" i="2"/>
  <c r="A193" i="2"/>
  <c r="A194" i="2"/>
  <c r="A196" i="2"/>
  <c r="A189" i="2"/>
  <c r="A195" i="2"/>
  <c r="A824" i="2"/>
  <c r="A777" i="2"/>
  <c r="B776" i="1" s="1"/>
  <c r="A541" i="2"/>
  <c r="A385" i="2"/>
  <c r="A349" i="2"/>
  <c r="A494" i="2"/>
  <c r="A694" i="2"/>
  <c r="A651" i="2"/>
  <c r="A256" i="2"/>
  <c r="A619" i="2"/>
  <c r="A208" i="2"/>
  <c r="A987" i="2"/>
  <c r="A587" i="2"/>
  <c r="A338" i="2"/>
  <c r="B337" i="1" s="1"/>
  <c r="A849" i="2"/>
  <c r="A315" i="2"/>
  <c r="A802" i="2"/>
  <c r="A565" i="2"/>
  <c r="A936" i="2"/>
  <c r="A765" i="2"/>
  <c r="A928" i="2"/>
  <c r="A745" i="2"/>
  <c r="A518" i="2"/>
  <c r="A324" i="2"/>
  <c r="A821" i="2"/>
  <c r="A301" i="2"/>
  <c r="B294" i="1" s="1"/>
  <c r="A538" i="2"/>
  <c r="A774" i="2"/>
  <c r="A931" i="2"/>
  <c r="A754" i="2"/>
  <c r="A923" i="2"/>
  <c r="A734" i="2"/>
  <c r="A491" i="2"/>
  <c r="A904" i="2"/>
  <c r="A701" i="2"/>
  <c r="A876" i="2"/>
  <c r="A967" i="2"/>
  <c r="A658" i="2"/>
  <c r="A466" i="2"/>
  <c r="A264" i="2"/>
  <c r="A627" i="2"/>
  <c r="A216" i="2"/>
  <c r="A595" i="2"/>
  <c r="A430" i="2"/>
  <c r="A943" i="2"/>
  <c r="A122" i="2"/>
  <c r="A706" i="2"/>
  <c r="A970" i="2"/>
  <c r="A663" i="2"/>
  <c r="A471" i="2"/>
  <c r="A269" i="2"/>
  <c r="A630" i="2"/>
  <c r="A221" i="2"/>
  <c r="B216" i="1" s="1"/>
  <c r="A598" i="2"/>
  <c r="A435" i="2"/>
  <c r="A946" i="2"/>
  <c r="A838" i="2"/>
  <c r="A791" i="2"/>
  <c r="A556" i="2"/>
  <c r="A397" i="2"/>
  <c r="A764" i="2"/>
  <c r="A744" i="2"/>
  <c r="B726" i="1" s="1"/>
  <c r="A361" i="2"/>
  <c r="A333" i="2"/>
  <c r="A509" i="2"/>
  <c r="A310" i="2"/>
  <c r="A707" i="2"/>
  <c r="A908" i="2"/>
  <c r="A116" i="2"/>
  <c r="A472" i="2"/>
  <c r="A270" i="2"/>
  <c r="A664" i="2"/>
  <c r="A880" i="2"/>
  <c r="A222" i="2"/>
  <c r="A436" i="2"/>
  <c r="A182" i="2"/>
  <c r="A181" i="2"/>
  <c r="A180" i="2"/>
  <c r="A1002" i="2"/>
  <c r="A179" i="2"/>
  <c r="A178" i="2"/>
  <c r="A177" i="2"/>
  <c r="A536" i="2"/>
  <c r="A822" i="2"/>
  <c r="A539" i="2"/>
  <c r="A775" i="2"/>
  <c r="A755" i="2"/>
  <c r="A383" i="2"/>
  <c r="A735" i="2"/>
  <c r="A347" i="2"/>
  <c r="A456" i="2"/>
  <c r="A492" i="2"/>
  <c r="A692" i="2"/>
  <c r="A897" i="2"/>
  <c r="A649" i="2"/>
  <c r="A254" i="2"/>
  <c r="A986" i="2"/>
  <c r="A869" i="2"/>
  <c r="A617" i="2"/>
  <c r="A206" i="2"/>
  <c r="A585" i="2"/>
  <c r="A421" i="2"/>
  <c r="A188" i="2"/>
  <c r="A187" i="2"/>
  <c r="A715" i="2"/>
  <c r="A976" i="2"/>
  <c r="A477" i="2"/>
  <c r="A672" i="2"/>
  <c r="A281" i="2"/>
  <c r="A233" i="2"/>
  <c r="B229" i="1" s="1"/>
  <c r="A441" i="2"/>
  <c r="A952" i="2"/>
  <c r="A833" i="2"/>
  <c r="A786" i="2"/>
  <c r="A550" i="2"/>
  <c r="A761" i="2"/>
  <c r="A392" i="2"/>
  <c r="A741" i="2"/>
  <c r="A356" i="2"/>
  <c r="A330" i="2"/>
  <c r="A503" i="2"/>
  <c r="A702" i="2"/>
  <c r="B702" i="1" s="1"/>
  <c r="A307" i="2"/>
  <c r="A905" i="2"/>
  <c r="A467" i="2"/>
  <c r="A659" i="2"/>
  <c r="A877" i="2"/>
  <c r="A265" i="2"/>
  <c r="A628" i="2"/>
  <c r="A217" i="2"/>
  <c r="A596" i="2"/>
  <c r="A431" i="2"/>
  <c r="A94" i="2"/>
  <c r="A97" i="2"/>
  <c r="A93" i="2"/>
  <c r="A95" i="2"/>
  <c r="A92" i="2"/>
  <c r="A91" i="2"/>
  <c r="A96" i="2"/>
  <c r="A90" i="2"/>
  <c r="A89" i="2"/>
  <c r="A830" i="2"/>
  <c r="A547" i="2"/>
  <c r="A123" i="2"/>
  <c r="A783" i="2"/>
  <c r="A390" i="2"/>
  <c r="A500" i="2"/>
  <c r="A354" i="2"/>
  <c r="A902" i="2"/>
  <c r="A966" i="2"/>
  <c r="A988" i="2"/>
  <c r="A699" i="2"/>
  <c r="A464" i="2"/>
  <c r="A874" i="2"/>
  <c r="A656" i="2"/>
  <c r="A262" i="2"/>
  <c r="A991" i="2"/>
  <c r="A625" i="2"/>
  <c r="A942" i="2"/>
  <c r="A214" i="2"/>
  <c r="A428" i="2"/>
  <c r="A593" i="2"/>
  <c r="A127" i="2"/>
  <c r="A130" i="2"/>
  <c r="A847" i="2"/>
  <c r="A800" i="2"/>
  <c r="A403" i="2"/>
  <c r="A563" i="2"/>
  <c r="A367" i="2"/>
  <c r="A912" i="2"/>
  <c r="A975" i="2"/>
  <c r="A884" i="2"/>
  <c r="A516" i="2"/>
  <c r="A279" i="2"/>
  <c r="A635" i="2"/>
  <c r="A951" i="2"/>
  <c r="A231" i="2"/>
  <c r="A603" i="2"/>
  <c r="A834" i="2"/>
  <c r="A551" i="2"/>
  <c r="A787" i="2"/>
  <c r="A266" i="2"/>
  <c r="B240" i="1" s="1"/>
  <c r="A393" i="2"/>
  <c r="A504" i="2"/>
  <c r="A357" i="2"/>
  <c r="A968" i="2"/>
  <c r="A703" i="2"/>
  <c r="A660" i="2"/>
  <c r="A468" i="2"/>
  <c r="A218" i="2"/>
  <c r="A629" i="2"/>
  <c r="A944" i="2"/>
  <c r="A597" i="2"/>
  <c r="A432" i="2"/>
  <c r="A546" i="2"/>
  <c r="A829" i="2"/>
  <c r="A782" i="2"/>
  <c r="A389" i="2"/>
  <c r="A353" i="2"/>
  <c r="A499" i="2"/>
  <c r="A965" i="2"/>
  <c r="A698" i="2"/>
  <c r="A261" i="2"/>
  <c r="A655" i="2"/>
  <c r="A462" i="2"/>
  <c r="B457" i="1" s="1"/>
  <c r="A213" i="2"/>
  <c r="B157" i="1" s="1"/>
  <c r="A624" i="2"/>
  <c r="A941" i="2"/>
  <c r="A592" i="2"/>
  <c r="A427" i="2"/>
  <c r="A831" i="2"/>
  <c r="A784" i="2"/>
  <c r="A548" i="2"/>
  <c r="A759" i="2"/>
  <c r="A391" i="2"/>
  <c r="A739" i="2"/>
  <c r="A355" i="2"/>
  <c r="A328" i="2"/>
  <c r="B313" i="1" s="1"/>
  <c r="A501" i="2"/>
  <c r="A700" i="2"/>
  <c r="A305" i="2"/>
  <c r="A903" i="2"/>
  <c r="A657" i="2"/>
  <c r="A465" i="2"/>
  <c r="A263" i="2"/>
  <c r="A875" i="2"/>
  <c r="A626" i="2"/>
  <c r="A215" i="2"/>
  <c r="A594" i="2"/>
  <c r="A429" i="2"/>
  <c r="A896" i="2"/>
  <c r="A691" i="2"/>
  <c r="A868" i="2"/>
  <c r="A648" i="2"/>
  <c r="A455" i="2"/>
  <c r="A253" i="2"/>
  <c r="A616" i="2"/>
  <c r="A205" i="2"/>
  <c r="A584" i="2"/>
  <c r="A420" i="2"/>
  <c r="A842" i="2"/>
  <c r="A795" i="2"/>
  <c r="B793" i="1" s="1"/>
  <c r="A400" i="2"/>
  <c r="A334" i="2"/>
  <c r="A364" i="2"/>
  <c r="B360" i="1" s="1"/>
  <c r="A474" i="2"/>
  <c r="A709" i="2"/>
  <c r="A311" i="2"/>
  <c r="A910" i="2"/>
  <c r="A666" i="2"/>
  <c r="A274" i="2"/>
  <c r="A438" i="2"/>
  <c r="A882" i="2"/>
  <c r="A633" i="2"/>
  <c r="A226" i="2"/>
  <c r="A601" i="2"/>
  <c r="A146" i="2"/>
  <c r="A145" i="2"/>
  <c r="A148" i="2"/>
  <c r="A147" i="2"/>
  <c r="A144" i="2"/>
  <c r="A143" i="2"/>
  <c r="A329" i="2"/>
  <c r="A832" i="2"/>
  <c r="A306" i="2"/>
  <c r="A785" i="2"/>
  <c r="A549" i="2"/>
  <c r="A933" i="2"/>
  <c r="A760" i="2"/>
  <c r="A925" i="2"/>
  <c r="A740" i="2"/>
  <c r="A502" i="2"/>
  <c r="A154" i="2"/>
  <c r="A152" i="2"/>
  <c r="A153" i="2"/>
  <c r="A151" i="2"/>
  <c r="A150" i="2"/>
  <c r="B150" i="1" s="1"/>
  <c r="A149" i="2"/>
  <c r="A850"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2" i="1"/>
  <c r="B671" i="1" l="1"/>
  <c r="B744" i="1"/>
  <c r="B778" i="1"/>
  <c r="B849" i="1"/>
  <c r="B576" i="1"/>
  <c r="B611" i="1"/>
  <c r="B899" i="1"/>
  <c r="B369" i="1"/>
  <c r="B654" i="1"/>
  <c r="B913" i="1"/>
  <c r="B897" i="1"/>
  <c r="B909" i="1"/>
  <c r="B323" i="1"/>
  <c r="B537" i="1"/>
  <c r="B625" i="1"/>
  <c r="B864" i="1"/>
  <c r="B503" i="1"/>
  <c r="B888" i="1"/>
  <c r="B57" i="1"/>
  <c r="B553" i="1"/>
  <c r="B841" i="1"/>
  <c r="B842" i="1"/>
  <c r="B816" i="1"/>
  <c r="B805" i="1"/>
  <c r="B596" i="1"/>
  <c r="B597" i="1"/>
  <c r="B367" i="1"/>
  <c r="B366" i="1"/>
  <c r="B281" i="1"/>
  <c r="B169" i="1"/>
  <c r="B241" i="1"/>
  <c r="B249" i="1"/>
  <c r="B609" i="1"/>
  <c r="B889" i="1"/>
  <c r="B698" i="1"/>
  <c r="B563" i="1"/>
  <c r="B417" i="1"/>
  <c r="B122" i="1"/>
  <c r="B194" i="1"/>
  <c r="B922" i="1"/>
  <c r="B942" i="1"/>
  <c r="B250" i="1"/>
  <c r="B882" i="1"/>
  <c r="B866" i="1"/>
  <c r="B870" i="1"/>
  <c r="B872" i="1"/>
  <c r="B355" i="1"/>
  <c r="B354" i="1"/>
  <c r="B322" i="1"/>
  <c r="B787" i="1"/>
  <c r="B786" i="1"/>
  <c r="B783" i="1"/>
  <c r="B733" i="1"/>
  <c r="B661" i="1"/>
  <c r="B743" i="1"/>
  <c r="B657" i="1"/>
  <c r="B779" i="1"/>
  <c r="B729" i="1"/>
  <c r="B601" i="1"/>
  <c r="B94" i="1"/>
  <c r="B81" i="1"/>
  <c r="B85" i="1"/>
  <c r="B78" i="1"/>
  <c r="B80" i="1"/>
  <c r="B538" i="1"/>
  <c r="B539" i="1"/>
  <c r="B505" i="1"/>
  <c r="B528" i="1"/>
  <c r="B517" i="1"/>
  <c r="B529" i="1"/>
  <c r="B721" i="1"/>
  <c r="B297" i="1"/>
  <c r="B562" i="1"/>
  <c r="B129" i="1"/>
  <c r="B490" i="1"/>
  <c r="B414" i="1"/>
  <c r="B177" i="1"/>
  <c r="B306" i="1"/>
  <c r="B296" i="1"/>
  <c r="B594" i="1"/>
  <c r="B582" i="1"/>
  <c r="B578" i="1"/>
  <c r="B584" i="1"/>
  <c r="B462" i="1"/>
  <c r="B441" i="1"/>
  <c r="B383" i="1"/>
  <c r="B445" i="1"/>
  <c r="B455" i="1"/>
  <c r="B456" i="1"/>
  <c r="B938" i="1"/>
  <c r="B935" i="1"/>
  <c r="B936" i="1"/>
  <c r="B937" i="1"/>
  <c r="B673" i="1"/>
  <c r="B198" i="1"/>
  <c r="B560" i="1"/>
  <c r="B465" i="1"/>
  <c r="B648" i="1"/>
  <c r="B969" i="1"/>
  <c r="B504" i="1"/>
  <c r="B728" i="1"/>
  <c r="B384" i="1"/>
  <c r="B616" i="1"/>
  <c r="B392" i="1"/>
  <c r="B732" i="1"/>
  <c r="B695" i="1"/>
  <c r="B792" i="1"/>
  <c r="B368" i="1"/>
  <c r="B253" i="1"/>
  <c r="B659" i="1"/>
  <c r="B660" i="1"/>
  <c r="B761" i="1"/>
  <c r="B908" i="1"/>
  <c r="B946" i="1"/>
  <c r="B945" i="1"/>
  <c r="B232" i="1"/>
  <c r="B720" i="1"/>
  <c r="B526" i="1"/>
  <c r="B527" i="1"/>
  <c r="B450" i="1"/>
  <c r="B10" i="1"/>
  <c r="B60" i="1"/>
  <c r="B61" i="1"/>
  <c r="B258" i="1"/>
  <c r="B927" i="1"/>
  <c r="B591" i="1"/>
  <c r="B590" i="1"/>
  <c r="B668" i="1"/>
  <c r="B812" i="1"/>
  <c r="B469" i="1"/>
  <c r="B468" i="1"/>
  <c r="B632" i="1"/>
  <c r="B916" i="1"/>
  <c r="B577" i="1"/>
  <c r="B290" i="1"/>
  <c r="B217" i="1"/>
  <c r="B740" i="1"/>
  <c r="B708" i="1"/>
  <c r="B188" i="1"/>
  <c r="B692" i="1"/>
  <c r="B636" i="1"/>
  <c r="B374" i="1"/>
  <c r="B378" i="1"/>
  <c r="B162" i="1"/>
  <c r="B276" i="1"/>
  <c r="B933" i="1"/>
  <c r="B971" i="1"/>
  <c r="B705" i="1"/>
  <c r="B491" i="1"/>
  <c r="B418" i="1"/>
  <c r="B362" i="1"/>
  <c r="B289" i="1"/>
  <c r="B130" i="1"/>
  <c r="B54" i="1"/>
  <c r="B970" i="1"/>
  <c r="B777" i="1"/>
  <c r="B704" i="1"/>
  <c r="B630" i="1"/>
  <c r="B203" i="1"/>
  <c r="B50" i="1"/>
  <c r="B419" i="1"/>
  <c r="B23" i="1"/>
  <c r="B589" i="1"/>
  <c r="B707" i="1"/>
  <c r="B656" i="1"/>
  <c r="B154" i="1"/>
  <c r="B152" i="1"/>
  <c r="B153" i="1"/>
  <c r="B141" i="1"/>
  <c r="B142" i="1"/>
  <c r="B143" i="1"/>
  <c r="B144" i="1"/>
  <c r="B464" i="1"/>
  <c r="B838" i="1"/>
  <c r="B444" i="1"/>
  <c r="B502" i="1"/>
  <c r="B308" i="1"/>
  <c r="B310" i="1"/>
  <c r="B309" i="1"/>
  <c r="B311" i="1"/>
  <c r="B784" i="1"/>
  <c r="B951" i="1"/>
  <c r="B950" i="1"/>
  <c r="B949" i="1"/>
  <c r="B90" i="1"/>
  <c r="B492" i="1"/>
  <c r="B734" i="1"/>
  <c r="B193" i="1"/>
  <c r="B568" i="1"/>
  <c r="B768" i="1"/>
  <c r="B769" i="1"/>
  <c r="B813" i="1"/>
  <c r="B815" i="1"/>
  <c r="B819" i="1"/>
  <c r="B83" i="1"/>
  <c r="B176" i="1"/>
  <c r="B230" i="1"/>
  <c r="B507" i="1"/>
  <c r="B103" i="1"/>
  <c r="B458" i="1"/>
  <c r="B439" i="1"/>
  <c r="B757" i="1"/>
  <c r="B756" i="1"/>
  <c r="B139" i="1"/>
  <c r="B706" i="1"/>
  <c r="B438" i="1"/>
  <c r="B760" i="1"/>
  <c r="B868" i="1"/>
  <c r="B592" i="1"/>
  <c r="B782" i="1"/>
  <c r="B780" i="1"/>
  <c r="B781" i="1"/>
  <c r="B428" i="1"/>
  <c r="B92" i="1"/>
  <c r="B833" i="1"/>
  <c r="B735" i="1"/>
  <c r="B181" i="1"/>
  <c r="B180" i="1"/>
  <c r="B627" i="1"/>
  <c r="B931" i="1"/>
  <c r="B930" i="1"/>
  <c r="B267" i="1"/>
  <c r="B454" i="1"/>
  <c r="B955" i="1"/>
  <c r="B481" i="1"/>
  <c r="B574" i="1"/>
  <c r="B751" i="1"/>
  <c r="B861" i="1"/>
  <c r="B863" i="1"/>
  <c r="B862" i="1"/>
  <c r="B453" i="1"/>
  <c r="B25" i="1"/>
  <c r="B86" i="1"/>
  <c r="B41" i="1"/>
  <c r="B954" i="1"/>
  <c r="B163" i="1"/>
  <c r="B559" i="1"/>
  <c r="B7" i="1"/>
  <c r="B881" i="1"/>
  <c r="B531" i="1"/>
  <c r="B511" i="1"/>
  <c r="B900" i="1"/>
  <c r="B828" i="1"/>
  <c r="B626" i="1"/>
  <c r="B561" i="1"/>
  <c r="B489" i="1"/>
  <c r="B275" i="1"/>
  <c r="B202" i="1"/>
  <c r="B128" i="1"/>
  <c r="B968" i="1"/>
  <c r="B827" i="1"/>
  <c r="B488" i="1"/>
  <c r="B338" i="1"/>
  <c r="B201" i="1"/>
  <c r="B126" i="1"/>
  <c r="B36" i="1"/>
  <c r="B672" i="1"/>
  <c r="B887" i="1"/>
  <c r="B168" i="1"/>
  <c r="B167" i="1"/>
  <c r="B910" i="1"/>
  <c r="B263" i="1"/>
  <c r="B406" i="1"/>
  <c r="B371" i="1"/>
  <c r="B212" i="1"/>
  <c r="B865" i="1"/>
  <c r="B147" i="1"/>
  <c r="B499" i="1"/>
  <c r="B699" i="1"/>
  <c r="B264" i="1"/>
  <c r="B265" i="1"/>
  <c r="B187" i="1"/>
  <c r="B186" i="1"/>
  <c r="B178" i="1"/>
  <c r="B179" i="1"/>
  <c r="B430" i="1"/>
  <c r="B765" i="1"/>
  <c r="B651" i="1"/>
  <c r="B647" i="1"/>
  <c r="B649" i="1"/>
  <c r="B800" i="1"/>
  <c r="B801" i="1"/>
  <c r="B798" i="1"/>
  <c r="B615" i="1"/>
  <c r="B613" i="1"/>
  <c r="B614" i="1"/>
  <c r="B382" i="1"/>
  <c r="B381" i="1"/>
  <c r="B722" i="1"/>
  <c r="B483" i="1"/>
  <c r="B534" i="1"/>
  <c r="B894" i="1"/>
  <c r="B37" i="1"/>
  <c r="B38" i="1"/>
  <c r="B69" i="1"/>
  <c r="B70" i="1"/>
  <c r="B71" i="1"/>
  <c r="B543" i="1"/>
  <c r="B915" i="1"/>
  <c r="B914" i="1"/>
  <c r="B166" i="1"/>
  <c r="B165" i="1"/>
  <c r="B425" i="1"/>
  <c r="B758" i="1"/>
  <c r="B243" i="1"/>
  <c r="B255" i="1"/>
  <c r="B835" i="1"/>
  <c r="B834" i="1"/>
  <c r="B953" i="1"/>
  <c r="B682" i="1"/>
  <c r="B684" i="1"/>
  <c r="B270" i="1"/>
  <c r="B272" i="1"/>
  <c r="B962" i="1"/>
  <c r="B957" i="1"/>
  <c r="B958" i="1"/>
  <c r="B959" i="1"/>
  <c r="B961" i="1"/>
  <c r="B926" i="1"/>
  <c r="B924" i="1"/>
  <c r="B925" i="1"/>
  <c r="B920" i="1"/>
  <c r="B921" i="1"/>
  <c r="B923" i="1"/>
  <c r="B918" i="1"/>
  <c r="B316" i="1"/>
  <c r="B650" i="1"/>
  <c r="B145" i="1"/>
  <c r="B146" i="1"/>
  <c r="B364" i="1"/>
  <c r="B305" i="1"/>
  <c r="B357" i="1"/>
  <c r="B514" i="1"/>
  <c r="B515" i="1"/>
  <c r="B516" i="1"/>
  <c r="B512" i="1"/>
  <c r="B513" i="1"/>
  <c r="B510" i="1"/>
  <c r="B902" i="1"/>
  <c r="B467" i="1"/>
  <c r="B585" i="1"/>
  <c r="B509" i="1"/>
  <c r="B221" i="1"/>
  <c r="B218" i="1"/>
  <c r="B802" i="1"/>
  <c r="B349" i="1"/>
  <c r="B280" i="1"/>
  <c r="B274" i="1"/>
  <c r="B43" i="1"/>
  <c r="B42" i="1"/>
  <c r="B773" i="1"/>
  <c r="B522" i="1"/>
  <c r="B524" i="1"/>
  <c r="B809" i="1"/>
  <c r="B320" i="1"/>
  <c r="B643" i="1"/>
  <c r="B642" i="1"/>
  <c r="B688" i="1"/>
  <c r="B19" i="1"/>
  <c r="B56" i="1"/>
  <c r="B73" i="1"/>
  <c r="B74" i="1"/>
  <c r="B839" i="1"/>
  <c r="B806" i="1"/>
  <c r="B713" i="1"/>
  <c r="B259" i="1"/>
  <c r="B283" i="1"/>
  <c r="B850" i="1"/>
  <c r="B393" i="1"/>
  <c r="B440" i="1"/>
  <c r="B754" i="1"/>
  <c r="B361" i="1"/>
  <c r="B466" i="1"/>
  <c r="B846" i="1"/>
  <c r="B486" i="1"/>
  <c r="B321" i="1"/>
  <c r="B33" i="1"/>
  <c r="B312" i="1"/>
  <c r="B433" i="1"/>
  <c r="B131" i="1"/>
  <c r="B506" i="1"/>
  <c r="B681" i="1"/>
  <c r="B960" i="1"/>
  <c r="B898" i="1"/>
  <c r="B826" i="1"/>
  <c r="B753" i="1"/>
  <c r="B697" i="1"/>
  <c r="B612" i="1"/>
  <c r="B482" i="1"/>
  <c r="B252" i="1"/>
  <c r="B200" i="1"/>
  <c r="B121" i="1"/>
  <c r="B344" i="1"/>
  <c r="B58" i="1"/>
  <c r="B149" i="1"/>
  <c r="B785" i="1"/>
  <c r="B633" i="1"/>
  <c r="B795" i="1"/>
  <c r="B794" i="1"/>
  <c r="B429" i="1"/>
  <c r="B328" i="1"/>
  <c r="B213" i="1"/>
  <c r="B432" i="1"/>
  <c r="B266" i="1"/>
  <c r="B911" i="1"/>
  <c r="B912" i="1"/>
  <c r="B390" i="1"/>
  <c r="B385" i="1"/>
  <c r="B96" i="1"/>
  <c r="B97" i="1"/>
  <c r="B233" i="1"/>
  <c r="B869" i="1"/>
  <c r="B775" i="1"/>
  <c r="B774" i="1"/>
  <c r="B222" i="1"/>
  <c r="B471" i="1"/>
  <c r="B658" i="1"/>
  <c r="B301" i="1"/>
  <c r="B394" i="1"/>
  <c r="B5" i="1"/>
  <c r="B300" i="1"/>
  <c r="B284" i="1"/>
  <c r="B239" i="1"/>
  <c r="B808" i="1"/>
  <c r="B319" i="1"/>
  <c r="B608" i="1"/>
  <c r="B810" i="1"/>
  <c r="B447" i="1"/>
  <c r="B446" i="1"/>
  <c r="B343" i="1"/>
  <c r="B685" i="1"/>
  <c r="B686" i="1"/>
  <c r="B487" i="1"/>
  <c r="B818" i="1"/>
  <c r="B731" i="1"/>
  <c r="B645" i="1"/>
  <c r="B646" i="1"/>
  <c r="B17" i="1"/>
  <c r="B29" i="1"/>
  <c r="B39" i="1"/>
  <c r="B63" i="1"/>
  <c r="B62" i="1"/>
  <c r="B75" i="1"/>
  <c r="B598" i="1"/>
  <c r="B599" i="1"/>
  <c r="B11" i="1"/>
  <c r="B496" i="1"/>
  <c r="B47" i="1"/>
  <c r="B479" i="1"/>
  <c r="B477" i="1"/>
  <c r="B476" i="1"/>
  <c r="B164" i="1"/>
  <c r="B402" i="1"/>
  <c r="B334" i="1"/>
  <c r="B335" i="1"/>
  <c r="B333" i="1"/>
  <c r="B964" i="1"/>
  <c r="B304" i="1"/>
  <c r="B302" i="1"/>
  <c r="B879" i="1"/>
  <c r="B878" i="1"/>
  <c r="B877" i="1"/>
  <c r="B396" i="1"/>
  <c r="B336" i="1"/>
  <c r="B375" i="1"/>
  <c r="B44" i="1"/>
  <c r="B105" i="1"/>
  <c r="B106" i="1"/>
  <c r="B136" i="1"/>
  <c r="B906" i="1"/>
  <c r="B618" i="1"/>
  <c r="B620" i="1"/>
  <c r="B542" i="1"/>
  <c r="B667" i="1"/>
  <c r="B666" i="1"/>
  <c r="B326" i="1"/>
  <c r="B413" i="1"/>
  <c r="B558" i="1"/>
  <c r="B974" i="1"/>
  <c r="B115" i="1"/>
  <c r="B332" i="1"/>
  <c r="B767" i="1"/>
  <c r="B234" i="1"/>
  <c r="B404" i="1"/>
  <c r="B944" i="1"/>
  <c r="B825" i="1"/>
  <c r="B745" i="1"/>
  <c r="B683" i="1"/>
  <c r="B409" i="1"/>
  <c r="B324" i="1"/>
  <c r="B251" i="1"/>
  <c r="B107" i="1"/>
  <c r="B24" i="1"/>
  <c r="B663" i="1"/>
  <c r="B662" i="1"/>
  <c r="B824" i="1"/>
  <c r="B318" i="1"/>
  <c r="B376" i="1"/>
  <c r="B832" i="1"/>
  <c r="B215" i="1"/>
  <c r="B214" i="1"/>
  <c r="B739" i="1"/>
  <c r="B738" i="1"/>
  <c r="B551" i="1"/>
  <c r="B262" i="1"/>
  <c r="B261" i="1"/>
  <c r="B260" i="1"/>
  <c r="B431" i="1"/>
  <c r="B254" i="1"/>
  <c r="B664" i="1"/>
  <c r="B876" i="1"/>
  <c r="B552" i="1"/>
  <c r="B15" i="1"/>
  <c r="B14" i="1"/>
  <c r="B525" i="1"/>
  <c r="B356" i="1"/>
  <c r="B536" i="1"/>
  <c r="B480" i="1"/>
  <c r="B372" i="1"/>
  <c r="B730" i="1"/>
  <c r="B210" i="1"/>
  <c r="B174" i="1"/>
  <c r="B192" i="1"/>
  <c r="B804" i="1"/>
  <c r="B9" i="1"/>
  <c r="B638" i="1"/>
  <c r="B478" i="1"/>
  <c r="B803" i="1"/>
  <c r="B755" i="1"/>
  <c r="B554" i="1"/>
  <c r="B345" i="1"/>
  <c r="B140" i="1"/>
  <c r="B875" i="1"/>
  <c r="B874" i="1"/>
  <c r="B370" i="1"/>
  <c r="B680" i="1"/>
  <c r="B68" i="1"/>
  <c r="B82" i="1"/>
  <c r="B66" i="1"/>
  <c r="B426" i="1"/>
  <c r="B227" i="1"/>
  <c r="B102" i="1"/>
  <c r="B422" i="1"/>
  <c r="B854" i="1"/>
  <c r="B873" i="1"/>
  <c r="B34" i="1"/>
  <c r="B548" i="1"/>
  <c r="B549" i="1"/>
  <c r="B226" i="1"/>
  <c r="B400" i="1"/>
  <c r="B896" i="1"/>
  <c r="B501" i="1"/>
  <c r="B622" i="1"/>
  <c r="B623" i="1"/>
  <c r="B624" i="1"/>
  <c r="B621" i="1"/>
  <c r="B546" i="1"/>
  <c r="B975" i="1"/>
  <c r="B500" i="1"/>
  <c r="B93" i="1"/>
  <c r="B307" i="1"/>
  <c r="B617" i="1"/>
  <c r="B436" i="1"/>
  <c r="B269" i="1"/>
  <c r="B541" i="1"/>
  <c r="B670" i="1"/>
  <c r="B46" i="1"/>
  <c r="B45" i="1"/>
  <c r="B895" i="1"/>
  <c r="B236" i="1"/>
  <c r="B607" i="1"/>
  <c r="B917" i="1"/>
  <c r="B120" i="1"/>
  <c r="B572" i="1"/>
  <c r="B573" i="1"/>
  <c r="B858" i="1"/>
  <c r="B771" i="1"/>
  <c r="B644" i="1"/>
  <c r="B581" i="1"/>
  <c r="B21" i="1"/>
  <c r="B32" i="1"/>
  <c r="B64" i="1"/>
  <c r="B76" i="1"/>
  <c r="B8" i="1"/>
  <c r="B696" i="1"/>
  <c r="B693" i="1"/>
  <c r="B51" i="1"/>
  <c r="B675" i="1"/>
  <c r="B155" i="1"/>
  <c r="B191" i="1"/>
  <c r="B189" i="1"/>
  <c r="B460" i="1"/>
  <c r="B901" i="1"/>
  <c r="B6" i="1"/>
  <c r="B109" i="1"/>
  <c r="B493" i="1"/>
  <c r="B135" i="1"/>
  <c r="B134" i="1"/>
  <c r="B132" i="1"/>
  <c r="B133" i="1"/>
  <c r="B939" i="1"/>
  <c r="B386" i="1"/>
  <c r="B972" i="1"/>
  <c r="B977" i="1"/>
  <c r="B475" i="1"/>
  <c r="B474" i="1"/>
  <c r="B752" i="1"/>
  <c r="B398" i="1"/>
  <c r="B669" i="1"/>
  <c r="B114" i="1"/>
  <c r="B836" i="1"/>
  <c r="B837" i="1"/>
  <c r="B719" i="1"/>
  <c r="B442" i="1"/>
  <c r="B746" i="1"/>
  <c r="B108" i="1"/>
  <c r="B821" i="1"/>
  <c r="B314" i="1"/>
  <c r="B674" i="1"/>
  <c r="B956" i="1"/>
  <c r="B856" i="1"/>
  <c r="B857" i="1"/>
  <c r="B852" i="1"/>
  <c r="B853" i="1"/>
  <c r="B295" i="1"/>
  <c r="B687" i="1"/>
  <c r="B535" i="1"/>
  <c r="B299" i="1"/>
  <c r="B20" i="1"/>
  <c r="B27" i="1"/>
  <c r="B65" i="1"/>
  <c r="B79" i="1"/>
  <c r="B947" i="1"/>
  <c r="B424" i="1"/>
  <c r="B421" i="1"/>
  <c r="B325" i="1"/>
  <c r="B717" i="1"/>
  <c r="B718" i="1"/>
  <c r="B156" i="1"/>
  <c r="B173" i="1"/>
  <c r="B170" i="1"/>
  <c r="B199" i="1"/>
  <c r="B117" i="1"/>
  <c r="B116" i="1"/>
  <c r="B498" i="1"/>
  <c r="B118" i="1"/>
  <c r="B890" i="1"/>
  <c r="B98" i="1"/>
  <c r="B110" i="1"/>
  <c r="B348" i="1"/>
  <c r="B183" i="1"/>
  <c r="B182" i="1"/>
  <c r="B363" i="1"/>
  <c r="B973" i="1"/>
  <c r="B449" i="1"/>
  <c r="B772" i="1"/>
  <c r="B790" i="1"/>
  <c r="B791" i="1"/>
  <c r="B365" i="1"/>
  <c r="B124" i="1"/>
  <c r="B606" i="1"/>
  <c r="B340" i="1"/>
  <c r="B884" i="1"/>
  <c r="B885" i="1"/>
  <c r="B766" i="1"/>
  <c r="B848" i="1"/>
  <c r="B600" i="1"/>
  <c r="B434" i="1"/>
  <c r="B347" i="1"/>
  <c r="B225" i="1"/>
  <c r="B59" i="1"/>
  <c r="B880" i="1"/>
  <c r="B762" i="1"/>
  <c r="B764" i="1"/>
  <c r="B966" i="1"/>
  <c r="B967" i="1"/>
  <c r="B587" i="1"/>
  <c r="B741" i="1"/>
  <c r="B742" i="1"/>
  <c r="B690" i="1"/>
  <c r="B639" i="1"/>
  <c r="B637" i="1"/>
  <c r="B575" i="1"/>
  <c r="B151" i="1"/>
  <c r="B420" i="1"/>
  <c r="B655" i="1"/>
  <c r="B123" i="1"/>
  <c r="B330" i="1"/>
  <c r="B822" i="1"/>
  <c r="B397" i="1"/>
  <c r="B195" i="1"/>
  <c r="B714" i="1"/>
  <c r="B521" i="1"/>
  <c r="B518" i="1"/>
  <c r="B285" i="1"/>
  <c r="B286" i="1"/>
  <c r="B287" i="1"/>
  <c r="B571" i="1"/>
  <c r="B640" i="1"/>
  <c r="B242" i="1"/>
  <c r="B244" i="1"/>
  <c r="B750" i="1"/>
  <c r="B814" i="1"/>
  <c r="B533" i="1"/>
  <c r="B248" i="1"/>
  <c r="B452" i="1"/>
  <c r="B12" i="1"/>
  <c r="B13" i="1"/>
  <c r="B77" i="1"/>
  <c r="B631" i="1"/>
  <c r="B588" i="1"/>
  <c r="B351" i="1"/>
  <c r="B350" i="1"/>
  <c r="B48" i="1"/>
  <c r="B159" i="1"/>
  <c r="B158" i="1"/>
  <c r="B197" i="1"/>
  <c r="B799" i="1"/>
  <c r="B463" i="1"/>
  <c r="B185" i="1"/>
  <c r="B327" i="1"/>
  <c r="B470" i="1"/>
  <c r="B788" i="1"/>
  <c r="B789" i="1"/>
  <c r="B797" i="1"/>
  <c r="B978" i="1"/>
  <c r="B100" i="1"/>
  <c r="B586" i="1"/>
  <c r="B184" i="1"/>
  <c r="B359" i="1"/>
  <c r="B358" i="1"/>
  <c r="B257" i="1"/>
  <c r="B399" i="1"/>
  <c r="B567" i="1"/>
  <c r="B710" i="1"/>
  <c r="B246" i="1"/>
  <c r="B840" i="1"/>
  <c r="B119" i="1"/>
  <c r="B237" i="1"/>
  <c r="B238" i="1"/>
  <c r="B570" i="1"/>
  <c r="B282" i="1"/>
  <c r="B566" i="1"/>
  <c r="B564" i="1"/>
  <c r="B565" i="1"/>
  <c r="B886" i="1"/>
  <c r="B634" i="1"/>
  <c r="B346" i="1"/>
  <c r="B224" i="1"/>
  <c r="B22" i="1"/>
  <c r="B148" i="1"/>
  <c r="B831" i="1"/>
  <c r="B703" i="1"/>
  <c r="B550" i="1"/>
  <c r="B435" i="1"/>
  <c r="B190" i="1"/>
  <c r="B408" i="1"/>
  <c r="B579" i="1"/>
  <c r="B55" i="1"/>
  <c r="B459" i="1"/>
  <c r="B443" i="1"/>
  <c r="B278" i="1"/>
  <c r="B211" i="1"/>
  <c r="B545" i="1"/>
  <c r="B859" i="1"/>
  <c r="B268" i="1"/>
  <c r="B495" i="1"/>
  <c r="B494" i="1"/>
  <c r="B437" i="1"/>
  <c r="B602" i="1"/>
  <c r="B932" i="1"/>
  <c r="B919" i="1"/>
  <c r="B665" i="1"/>
  <c r="B948" i="1"/>
  <c r="B845" i="1"/>
  <c r="B245" i="1"/>
  <c r="B523" i="1"/>
  <c r="B138" i="1"/>
  <c r="B716" i="1"/>
  <c r="B934" i="1"/>
  <c r="B353" i="1"/>
  <c r="B127" i="1"/>
  <c r="B595" i="1"/>
  <c r="B694" i="1"/>
  <c r="B867" i="1"/>
  <c r="B748" i="1"/>
  <c r="B860" i="1"/>
  <c r="B298" i="1"/>
  <c r="B26" i="1"/>
  <c r="B84" i="1"/>
  <c r="B557" i="1"/>
  <c r="B407" i="1"/>
  <c r="B796" i="1"/>
  <c r="B331" i="1"/>
  <c r="B104" i="1"/>
  <c r="B903" i="1"/>
  <c r="B427" i="1"/>
  <c r="B389" i="1"/>
  <c r="B279" i="1"/>
  <c r="B593" i="1"/>
  <c r="B91" i="1"/>
  <c r="B219" i="1"/>
  <c r="B929" i="1"/>
  <c r="B451" i="1"/>
  <c r="B893" i="1"/>
  <c r="B16" i="1"/>
  <c r="B31" i="1"/>
  <c r="B87" i="1"/>
  <c r="B653" i="1"/>
  <c r="B569" i="1"/>
  <c r="B171" i="1"/>
  <c r="B291" i="1"/>
  <c r="B4" i="1"/>
  <c r="B423" i="1"/>
  <c r="B963" i="1"/>
  <c r="B235" i="1"/>
  <c r="B544" i="1"/>
  <c r="B727" i="1"/>
  <c r="B111" i="1"/>
  <c r="B555" i="1"/>
  <c r="B676" i="1"/>
  <c r="B519" i="1"/>
  <c r="B380" i="1"/>
  <c r="B830" i="1"/>
  <c r="B709" i="1"/>
  <c r="B277" i="1"/>
  <c r="B205" i="1"/>
  <c r="B112" i="1"/>
  <c r="B293" i="1"/>
  <c r="B317" i="1"/>
  <c r="B339" i="1"/>
  <c r="B691" i="1"/>
  <c r="B700" i="1"/>
  <c r="B941" i="1"/>
  <c r="B905" i="1"/>
  <c r="B952" i="1"/>
  <c r="B315" i="1"/>
  <c r="B820" i="1"/>
  <c r="B811" i="1"/>
  <c r="B724" i="1"/>
  <c r="B247" i="1"/>
  <c r="B40" i="1"/>
  <c r="B88" i="1"/>
  <c r="B172" i="1"/>
  <c r="B843" i="1"/>
  <c r="B461" i="1"/>
  <c r="B763" i="1"/>
  <c r="B711" i="1"/>
  <c r="B3" i="1"/>
  <c r="B209" i="1"/>
  <c r="B473" i="1"/>
  <c r="B520" i="1"/>
  <c r="B303" i="1"/>
  <c r="B377" i="1"/>
  <c r="B113" i="1"/>
  <c r="B484" i="1"/>
  <c r="B747" i="1"/>
  <c r="B829" i="1"/>
  <c r="B204" i="1"/>
  <c r="B629" i="1"/>
  <c r="B547" i="1"/>
  <c r="B556" i="1"/>
  <c r="B701" i="1"/>
  <c r="B855" i="1"/>
  <c r="B641" i="1"/>
  <c r="B532" i="1"/>
  <c r="B379" i="1"/>
  <c r="B689" i="1"/>
  <c r="B28" i="1"/>
  <c r="B67" i="1"/>
  <c r="B223" i="1"/>
  <c r="B736" i="1"/>
  <c r="B52" i="1"/>
  <c r="B352" i="1"/>
  <c r="B844" i="1"/>
  <c r="B99" i="1"/>
  <c r="B207" i="1"/>
  <c r="B652" i="1"/>
  <c r="B497" i="1"/>
  <c r="B892" i="1"/>
  <c r="B401" i="1"/>
  <c r="B125" i="1"/>
  <c r="B807" i="1"/>
  <c r="B228" i="1"/>
  <c r="B329" i="1"/>
  <c r="B391" i="1"/>
  <c r="B403" i="1"/>
  <c r="B208" i="1"/>
  <c r="B759" i="1"/>
  <c r="B603" i="1"/>
  <c r="B976" i="1"/>
  <c r="B472" i="1"/>
  <c r="B904" i="1"/>
  <c r="B619" i="1"/>
  <c r="B196" i="1"/>
  <c r="B604" i="1"/>
  <c r="B583" i="1"/>
  <c r="B677" i="1"/>
  <c r="B341" i="1"/>
  <c r="B749" i="1"/>
  <c r="B679" i="1"/>
  <c r="B891" i="1"/>
  <c r="B412" i="1"/>
  <c r="B415" i="1"/>
  <c r="B30" i="1"/>
  <c r="B53" i="1"/>
  <c r="B387" i="1"/>
  <c r="B161" i="1"/>
  <c r="B940" i="1"/>
  <c r="B907" i="1"/>
  <c r="B411" i="1"/>
  <c r="B220" i="1"/>
  <c r="B871" i="1"/>
  <c r="B737" i="1"/>
  <c r="B678" i="1"/>
  <c r="B965" i="1"/>
  <c r="B231" i="1"/>
  <c r="B847" i="1"/>
  <c r="B89" i="1"/>
  <c r="B628" i="1"/>
  <c r="B715" i="1"/>
  <c r="B943" i="1"/>
  <c r="B928" i="1"/>
  <c r="B256" i="1"/>
  <c r="B723" i="1"/>
  <c r="B292" i="1"/>
  <c r="B580" i="1"/>
  <c r="B18" i="1"/>
  <c r="B271" i="1"/>
  <c r="B175" i="1"/>
  <c r="B160" i="1"/>
  <c r="B388" i="1"/>
  <c r="B883" i="1"/>
  <c r="B101" i="1"/>
  <c r="B823" i="1"/>
  <c r="B605" i="1"/>
  <c r="B485" i="1"/>
  <c r="B712" i="1"/>
  <c r="B448" i="1"/>
  <c r="B508" i="1"/>
  <c r="B137" i="1"/>
  <c r="B530" i="1"/>
  <c r="B206" i="1"/>
  <c r="B725" i="1"/>
</calcChain>
</file>

<file path=xl/sharedStrings.xml><?xml version="1.0" encoding="utf-8"?>
<sst xmlns="http://schemas.openxmlformats.org/spreadsheetml/2006/main" count="32222" uniqueCount="6498">
  <si>
    <t>Date</t>
  </si>
  <si>
    <t>Flight No.</t>
  </si>
  <si>
    <t>Type of
Flight</t>
  </si>
  <si>
    <t>EU ETS
Annex I
exceptions</t>
  </si>
  <si>
    <t>Aircraft Type</t>
  </si>
  <si>
    <t>Reg No.</t>
  </si>
  <si>
    <t>Country of
dep.</t>
  </si>
  <si>
    <t>Departure</t>
  </si>
  <si>
    <t>Airport of
dep.
(ICAO code)</t>
  </si>
  <si>
    <t>Airport of
dep.
(IATA code)</t>
  </si>
  <si>
    <t>Airport of dep
geog. boundaries</t>
  </si>
  <si>
    <t>Country of
arrival</t>
  </si>
  <si>
    <t>Arrival</t>
  </si>
  <si>
    <t>Airport of
arrival
(ICAO code)</t>
  </si>
  <si>
    <t>Airport of
arrival
(IATA code)</t>
  </si>
  <si>
    <t>Airport of arrival
geog. boundaries</t>
  </si>
  <si>
    <t>Great circle
distance [km]</t>
  </si>
  <si>
    <t>Payload
distance [km]</t>
  </si>
  <si>
    <t>Block</t>
  </si>
  <si>
    <t>Remaining fuel
from previous
block on  [kg]</t>
  </si>
  <si>
    <t>Fuel
uplift [kg]</t>
  </si>
  <si>
    <t>Block Fuel [kg]</t>
  </si>
  <si>
    <t>Density [kg/L]</t>
  </si>
  <si>
    <t>Fuel at
block-on [kg]</t>
  </si>
  <si>
    <t>Fuel consumption [kg]</t>
  </si>
  <si>
    <t>PAX</t>
  </si>
  <si>
    <t>PAX
infant</t>
  </si>
  <si>
    <t>PAX
child</t>
  </si>
  <si>
    <t>PAX
male</t>
  </si>
  <si>
    <t>PAX
female</t>
  </si>
  <si>
    <t>Gross weight
of baggage [kg]</t>
  </si>
  <si>
    <t>Gross weight
of freight [kg]</t>
  </si>
  <si>
    <t>Payload [kg]</t>
  </si>
  <si>
    <t>kmT</t>
  </si>
  <si>
    <t>emission CO2 [t CO2]</t>
  </si>
  <si>
    <t>emission ETS [t C02]</t>
  </si>
  <si>
    <t>emission Corsia [t C02]</t>
  </si>
  <si>
    <t>HFA703</t>
  </si>
  <si>
    <t>SCD</t>
  </si>
  <si>
    <t>AT76</t>
  </si>
  <si>
    <t>4X-IHA</t>
  </si>
  <si>
    <t>ISR</t>
  </si>
  <si>
    <t>Haifa/U Michaeli</t>
  </si>
  <si>
    <t>LLHA</t>
  </si>
  <si>
    <t>HFA</t>
  </si>
  <si>
    <t>NEU</t>
  </si>
  <si>
    <t>GRC</t>
  </si>
  <si>
    <t>Athens Intl Eleftherios Venizelos</t>
  </si>
  <si>
    <t>LGAV</t>
  </si>
  <si>
    <t>ATH</t>
  </si>
  <si>
    <t>EU</t>
  </si>
  <si>
    <t>No</t>
  </si>
  <si>
    <t>HFA704</t>
  </si>
  <si>
    <t>HFA701</t>
  </si>
  <si>
    <t>Both airfields outside EU</t>
  </si>
  <si>
    <t>HFA701A</t>
  </si>
  <si>
    <t>HFA702</t>
  </si>
  <si>
    <t>HFA601</t>
  </si>
  <si>
    <t>Eilat/Ilan and Assaf Ramon Intl (Timna)</t>
  </si>
  <si>
    <t>LLER</t>
  </si>
  <si>
    <t>ETM</t>
  </si>
  <si>
    <t>HFA602</t>
  </si>
  <si>
    <t>HFA605</t>
  </si>
  <si>
    <t>HFA606</t>
  </si>
  <si>
    <t>HFA202</t>
  </si>
  <si>
    <t>NSCD</t>
  </si>
  <si>
    <t>HFA851</t>
  </si>
  <si>
    <t>CYP</t>
  </si>
  <si>
    <t>Paphos International (Pafos)</t>
  </si>
  <si>
    <t>LCPH</t>
  </si>
  <si>
    <t>PFO</t>
  </si>
  <si>
    <t>HFA852</t>
  </si>
  <si>
    <t>HFA603</t>
  </si>
  <si>
    <t>HFA604</t>
  </si>
  <si>
    <t>HFA951</t>
  </si>
  <si>
    <t>BGR</t>
  </si>
  <si>
    <t>Sofia International</t>
  </si>
  <si>
    <t>LBSF</t>
  </si>
  <si>
    <t>SOF</t>
  </si>
  <si>
    <t>HFA952</t>
  </si>
  <si>
    <t>HFA201</t>
  </si>
  <si>
    <t>HFA122</t>
  </si>
  <si>
    <t>Tel Aviv/Ben Gurion International</t>
  </si>
  <si>
    <t>LLBG</t>
  </si>
  <si>
    <t>TLV</t>
  </si>
  <si>
    <t>HFA121</t>
  </si>
  <si>
    <t>Larnaka International</t>
  </si>
  <si>
    <t>LCLK</t>
  </si>
  <si>
    <t>LCA</t>
  </si>
  <si>
    <t>HFA132</t>
  </si>
  <si>
    <t>HFA133</t>
  </si>
  <si>
    <t>HFA134</t>
  </si>
  <si>
    <t>HFA135</t>
  </si>
  <si>
    <t>HFA186</t>
  </si>
  <si>
    <t>HFA187</t>
  </si>
  <si>
    <t>HFA194</t>
  </si>
  <si>
    <t>HFA195</t>
  </si>
  <si>
    <t>HFA196</t>
  </si>
  <si>
    <t>HFA197</t>
  </si>
  <si>
    <t>HFA200</t>
  </si>
  <si>
    <t>HFA226</t>
  </si>
  <si>
    <t>HFA227</t>
  </si>
  <si>
    <t>HFA248</t>
  </si>
  <si>
    <t>HFA249</t>
  </si>
  <si>
    <t>HFA250</t>
  </si>
  <si>
    <t>HFA157</t>
  </si>
  <si>
    <t>HFA256</t>
  </si>
  <si>
    <t>HFA257</t>
  </si>
  <si>
    <t>HFA258</t>
  </si>
  <si>
    <t>HFA259</t>
  </si>
  <si>
    <t>HFA288</t>
  </si>
  <si>
    <t>HFA289</t>
  </si>
  <si>
    <t>4X-IHB</t>
  </si>
  <si>
    <t>HFA204</t>
  </si>
  <si>
    <t>HFA805</t>
  </si>
  <si>
    <t>HFA806</t>
  </si>
  <si>
    <t>HFA803</t>
  </si>
  <si>
    <t>HFA804</t>
  </si>
  <si>
    <t>HFA807</t>
  </si>
  <si>
    <t>HFA808</t>
  </si>
  <si>
    <t>HFA110A</t>
  </si>
  <si>
    <t>HFA110</t>
  </si>
  <si>
    <t>HFA109</t>
  </si>
  <si>
    <t>HFA118</t>
  </si>
  <si>
    <t>HFA117</t>
  </si>
  <si>
    <t>HFA180</t>
  </si>
  <si>
    <t>HFA183</t>
  </si>
  <si>
    <t>HFA188</t>
  </si>
  <si>
    <t>HFA189</t>
  </si>
  <si>
    <t>HFA131</t>
  </si>
  <si>
    <t>FRA</t>
  </si>
  <si>
    <t>Toulouse/Francazal</t>
  </si>
  <si>
    <t>LFBF</t>
  </si>
  <si>
    <t>HFA801</t>
  </si>
  <si>
    <t>4X-IHC</t>
  </si>
  <si>
    <t>HFA802</t>
  </si>
  <si>
    <t>HFA208</t>
  </si>
  <si>
    <t>HFA301</t>
  </si>
  <si>
    <t>HFA102</t>
  </si>
  <si>
    <t>HFA101</t>
  </si>
  <si>
    <t>HFA106</t>
  </si>
  <si>
    <t>HFA105</t>
  </si>
  <si>
    <t>HFA116</t>
  </si>
  <si>
    <t>HFA115</t>
  </si>
  <si>
    <t>HFA128</t>
  </si>
  <si>
    <t>HFA127</t>
  </si>
  <si>
    <t>HFA150A</t>
  </si>
  <si>
    <t>HFA150</t>
  </si>
  <si>
    <t>HFA150B</t>
  </si>
  <si>
    <t>HFA151</t>
  </si>
  <si>
    <t>HFA158</t>
  </si>
  <si>
    <t>HFA159</t>
  </si>
  <si>
    <t>HFA166</t>
  </si>
  <si>
    <t>HFA167</t>
  </si>
  <si>
    <t>HFA168</t>
  </si>
  <si>
    <t>HFA169</t>
  </si>
  <si>
    <t>HFA174</t>
  </si>
  <si>
    <t>HFA175</t>
  </si>
  <si>
    <t>HFA176</t>
  </si>
  <si>
    <t>HFA177</t>
  </si>
  <si>
    <t>HFA178</t>
  </si>
  <si>
    <t>HFA181</t>
  </si>
  <si>
    <t>HFA181A</t>
  </si>
  <si>
    <t>HFA206</t>
  </si>
  <si>
    <t>HFA207</t>
  </si>
  <si>
    <t>HFA210</t>
  </si>
  <si>
    <t>HFA211</t>
  </si>
  <si>
    <t>HFA240</t>
  </si>
  <si>
    <t>HFA241</t>
  </si>
  <si>
    <t>HFA156</t>
  </si>
  <si>
    <t>HFA247</t>
  </si>
  <si>
    <t>HFA286</t>
  </si>
  <si>
    <t>HFA287</t>
  </si>
  <si>
    <t>HFA284</t>
  </si>
  <si>
    <t>HFA279</t>
  </si>
  <si>
    <t>HFA104</t>
  </si>
  <si>
    <t>4X-IHD</t>
  </si>
  <si>
    <t>HFA952A</t>
  </si>
  <si>
    <t>HFA401</t>
  </si>
  <si>
    <t>HFA112A</t>
  </si>
  <si>
    <t>HFA112</t>
  </si>
  <si>
    <t>HFA111</t>
  </si>
  <si>
    <t>HFA120A</t>
  </si>
  <si>
    <t>HFA120</t>
  </si>
  <si>
    <t>HFA119</t>
  </si>
  <si>
    <t>HFA130</t>
  </si>
  <si>
    <t>HFA137</t>
  </si>
  <si>
    <t>HFA136</t>
  </si>
  <si>
    <t>HFA139</t>
  </si>
  <si>
    <t>HFA144</t>
  </si>
  <si>
    <t>HFA145</t>
  </si>
  <si>
    <t>HFA154</t>
  </si>
  <si>
    <t>HFA155</t>
  </si>
  <si>
    <t>HFA164</t>
  </si>
  <si>
    <t>HFA165</t>
  </si>
  <si>
    <t>HFA184</t>
  </si>
  <si>
    <t>HFA185</t>
  </si>
  <si>
    <t>HFA192</t>
  </si>
  <si>
    <t>HFA193</t>
  </si>
  <si>
    <t>HFA193A</t>
  </si>
  <si>
    <t>HFA212</t>
  </si>
  <si>
    <t>HFA213</t>
  </si>
  <si>
    <t>HFA216</t>
  </si>
  <si>
    <t>HFA217</t>
  </si>
  <si>
    <t>HFA220</t>
  </si>
  <si>
    <t>HFA221</t>
  </si>
  <si>
    <t>HFA224</t>
  </si>
  <si>
    <t>HFA225</t>
  </si>
  <si>
    <t>HFA228</t>
  </si>
  <si>
    <t>HFA229</t>
  </si>
  <si>
    <t>HFA234</t>
  </si>
  <si>
    <t>HFA235</t>
  </si>
  <si>
    <t>HFA244</t>
  </si>
  <si>
    <t>HFA245</t>
  </si>
  <si>
    <t>HFA246</t>
  </si>
  <si>
    <t>HFA251</t>
  </si>
  <si>
    <t>HFA260</t>
  </si>
  <si>
    <t>HFA261</t>
  </si>
  <si>
    <t>HFA262</t>
  </si>
  <si>
    <t>HFA263</t>
  </si>
  <si>
    <t>HFA280</t>
  </si>
  <si>
    <t>HFA283</t>
  </si>
  <si>
    <t>4X-IHE</t>
  </si>
  <si>
    <t>HFA853</t>
  </si>
  <si>
    <t>HFA854</t>
  </si>
  <si>
    <t>HFA501</t>
  </si>
  <si>
    <t>HFA103</t>
  </si>
  <si>
    <t>HFA108A</t>
  </si>
  <si>
    <t>HFA108</t>
  </si>
  <si>
    <t>HFA107</t>
  </si>
  <si>
    <t>HFA114</t>
  </si>
  <si>
    <t>HFA113</t>
  </si>
  <si>
    <t>HFA126</t>
  </si>
  <si>
    <t>HFA125</t>
  </si>
  <si>
    <t>HFA124</t>
  </si>
  <si>
    <t>HFA123</t>
  </si>
  <si>
    <t>HFA148</t>
  </si>
  <si>
    <t>HFA149</t>
  </si>
  <si>
    <t>HFA146</t>
  </si>
  <si>
    <t>HFA147</t>
  </si>
  <si>
    <t>HFA152</t>
  </si>
  <si>
    <t>HFA153</t>
  </si>
  <si>
    <t>HFA160</t>
  </si>
  <si>
    <t>HFA161</t>
  </si>
  <si>
    <t>HFA162</t>
  </si>
  <si>
    <t>HFA163</t>
  </si>
  <si>
    <t>HFA170</t>
  </si>
  <si>
    <t>HFA171</t>
  </si>
  <si>
    <t>HFA172</t>
  </si>
  <si>
    <t>HFA173</t>
  </si>
  <si>
    <t>HFA173A</t>
  </si>
  <si>
    <t>HFA182</t>
  </si>
  <si>
    <t>HFA179</t>
  </si>
  <si>
    <t>HFA190</t>
  </si>
  <si>
    <t>HFA191</t>
  </si>
  <si>
    <t>HFA198</t>
  </si>
  <si>
    <t>HFA199</t>
  </si>
  <si>
    <t>HFA203</t>
  </si>
  <si>
    <t>HFA205</t>
  </si>
  <si>
    <t>HFA209</t>
  </si>
  <si>
    <t>HFA214</t>
  </si>
  <si>
    <t>HFA215</t>
  </si>
  <si>
    <t>HFA232</t>
  </si>
  <si>
    <t>HFA233</t>
  </si>
  <si>
    <t>HFA236</t>
  </si>
  <si>
    <t>HFA237</t>
  </si>
  <si>
    <t>HFA242</t>
  </si>
  <si>
    <t>HFA243</t>
  </si>
  <si>
    <t>HFA252</t>
  </si>
  <si>
    <t>HFA253</t>
  </si>
  <si>
    <t>HFA254</t>
  </si>
  <si>
    <t>HFA255</t>
  </si>
  <si>
    <t>HFA264</t>
  </si>
  <si>
    <t>HFA267</t>
  </si>
  <si>
    <t>HFA268</t>
  </si>
  <si>
    <t>HFA271</t>
  </si>
  <si>
    <t>HFA272</t>
  </si>
  <si>
    <t>HFA275</t>
  </si>
  <si>
    <t>HFA276</t>
  </si>
  <si>
    <t>HFA285</t>
  </si>
  <si>
    <t>HFA290</t>
  </si>
  <si>
    <t>HFA291</t>
  </si>
  <si>
    <t>4X-IHF</t>
  </si>
  <si>
    <t>HFA238</t>
  </si>
  <si>
    <t>HFA239</t>
  </si>
  <si>
    <t>flightid</t>
  </si>
  <si>
    <t>releasestatus</t>
  </si>
  <si>
    <t>filing_status</t>
  </si>
  <si>
    <t>departure</t>
  </si>
  <si>
    <t>destination</t>
  </si>
  <si>
    <t>scheduled_time_of_departure</t>
  </si>
  <si>
    <t>aircraft_registration</t>
  </si>
  <si>
    <t>callsign</t>
  </si>
  <si>
    <t>alternate</t>
  </si>
  <si>
    <t>flight_rule</t>
  </si>
  <si>
    <t>atc_type_of_flight</t>
  </si>
  <si>
    <t>dispatcher_notes</t>
  </si>
  <si>
    <t>item18_remarks</t>
  </si>
  <si>
    <t>route_to_destination</t>
  </si>
  <si>
    <t>route_altitude_fl</t>
  </si>
  <si>
    <t>load_people</t>
  </si>
  <si>
    <t>load_cargo_kg</t>
  </si>
  <si>
    <t>log_time_off</t>
  </si>
  <si>
    <t>log_time_on</t>
  </si>
  <si>
    <t>log_flight_duration</t>
  </si>
  <si>
    <t>log_block_duration</t>
  </si>
  <si>
    <t>perf_flight_fuel</t>
  </si>
  <si>
    <t>perf_taxi_fuel</t>
  </si>
  <si>
    <t>perf_fuel_to_destination</t>
  </si>
  <si>
    <t>perf_landing_fuel</t>
  </si>
  <si>
    <t>perf_alternate_fuel</t>
  </si>
  <si>
    <t>perf_reserve_fuel</t>
  </si>
  <si>
    <t>perf_extra_fuel</t>
  </si>
  <si>
    <t>perf_contingency_fuel</t>
  </si>
  <si>
    <t>perf_total_fuel</t>
  </si>
  <si>
    <t>perf_max_total_fuel</t>
  </si>
  <si>
    <t>perf_co2_emission</t>
  </si>
  <si>
    <t>perf_taxi_time_min</t>
  </si>
  <si>
    <t>perf_time_to_dest_min</t>
  </si>
  <si>
    <t>perf_total_time_min</t>
  </si>
  <si>
    <t>perf_departure_time_utc</t>
  </si>
  <si>
    <t>perf_estimated_arrival_utc</t>
  </si>
  <si>
    <t>dist_destination_nm</t>
  </si>
  <si>
    <t>dist_gcd_destination_nm</t>
  </si>
  <si>
    <t>dist_alternate_nm</t>
  </si>
  <si>
    <t>weight_ramp</t>
  </si>
  <si>
    <t>weight_takeoff</t>
  </si>
  <si>
    <t>weight_max_takeoff</t>
  </si>
  <si>
    <t>weight_zero_fuel</t>
  </si>
  <si>
    <t>weight_landing</t>
  </si>
  <si>
    <t>weather_avg_wind_comp</t>
  </si>
  <si>
    <t>weather_avg_wind_dir</t>
  </si>
  <si>
    <t>weather_avg_wind_vel</t>
  </si>
  <si>
    <t>weather_avg_isa_dev</t>
  </si>
  <si>
    <t>is_etops_enabled</t>
  </si>
  <si>
    <t>ef69624e9f9a4cb39bc1765294068808</t>
  </si>
  <si>
    <t>Success</t>
  </si>
  <si>
    <t>Filed</t>
  </si>
  <si>
    <t>2026-02-08T17:55:00Z</t>
  </si>
  <si>
    <t>4XIHE</t>
  </si>
  <si>
    <t>YFR</t>
  </si>
  <si>
    <t>S</t>
  </si>
  <si>
    <t>FUEL   :   EXTRA FUEL TO COVER NEXT LEG-ETM.
DISP    :   UDI A,TRAINEE,SUPERVISED BY EREZ Y.</t>
  </si>
  <si>
    <t>EMEDA2B EMEDA B17 MERVA P68 GALIM</t>
  </si>
  <si>
    <t>2026-02-08T18:15:11Z</t>
  </si>
  <si>
    <t>2026-02-08T18:55:53Z</t>
  </si>
  <si>
    <t>2026-02-08T18:33:40.2922949Z</t>
  </si>
  <si>
    <t>0d0505d5e1be4fc4bf3d4f13590ec8c5</t>
  </si>
  <si>
    <t>2026-02-08T16:30:00Z</t>
  </si>
  <si>
    <t>ZFR</t>
  </si>
  <si>
    <t>FUEL     :   EXTRA FUEL AS PER COMPANY POLICY.
RTOW   :   22223kg.  SPS DATA  -  RWY15 DRY,NO WIND,22C,Q1009,PACKS OFF.
DISP     :   UDI A,TRAINEE,SUPERVISED BY EREZ Y.</t>
  </si>
  <si>
    <t>GALIM P68 MERVA N131 EMEDA EMEDA1A</t>
  </si>
  <si>
    <t>2026-02-08T16:35:43Z</t>
  </si>
  <si>
    <t>2026-02-08T17:22:19Z</t>
  </si>
  <si>
    <t>2026-02-08T17:19:29.7000661Z</t>
  </si>
  <si>
    <t>c35cca904afa49bdbef9069035d1f591</t>
  </si>
  <si>
    <t>2026-02-08T15:25:00Z</t>
  </si>
  <si>
    <t>4XIHD</t>
  </si>
  <si>
    <t>1.F/L 150 BETWEEN NILAS-ALKIS DUE EUROCONTROL LIMITATION,MIGHT BE APPROVED BY ATC UPON REQ.
2.EXTRA FUEL IS FOR THE NEXT FLT.
DISP-EREZ Y.</t>
  </si>
  <si>
    <t>DISPATCH +972502126365</t>
  </si>
  <si>
    <t>KEA1N KEA L995 RDS L609 NILAS/F150 L609 ALKIS/F190 L609 APLON P68 GALIM/F050 VFR</t>
  </si>
  <si>
    <t>2026-02-08T16:34:35Z</t>
  </si>
  <si>
    <t>2026-02-08T18:47:54Z</t>
  </si>
  <si>
    <t>2026-02-08T17:34:31.3740119Z</t>
  </si>
  <si>
    <t>d79c6c45cf7e40b0a22548e791c0a2e7</t>
  </si>
  <si>
    <t>2026-02-08T14:40:00Z</t>
  </si>
  <si>
    <t xml:space="preserve">FUEL   :   EXTRA FUEL TO COVER NEXT LEG-LCA.
DISP    :   UDI A,TRAINEE.SUPERVISED BY EREZ Y.
</t>
  </si>
  <si>
    <t>2026-02-08T14:36:20Z</t>
  </si>
  <si>
    <t>2026-02-08T15:15:21Z</t>
  </si>
  <si>
    <t>2026-02-08T15:18:11.4223444Z</t>
  </si>
  <si>
    <t>10b52b8850344734aee357967382e54e</t>
  </si>
  <si>
    <t>4XIHC</t>
  </si>
  <si>
    <t>FUEL   :   EXTRA FUEL TO COVER NEXT LEG-LCA.
DISP    :   UDI A,TRAINEE,SUPERVISED BY EREZ Y.</t>
  </si>
  <si>
    <t>N0273F120 NURIT2J NURIT J10 TOMAL/N0272F080 J10 NAT/N0224F040 J15 ATLIT/N0225F040 VFR 3245N03456E DCT 3248N03457E DCT GALIM</t>
  </si>
  <si>
    <t>2026-02-08T14:54:25Z</t>
  </si>
  <si>
    <t>2026-02-08T15:50:47Z</t>
  </si>
  <si>
    <t>2026-02-08T15:34:16.9824024Z</t>
  </si>
  <si>
    <t>5a8ee2741a2e41e08027375b19101a4a</t>
  </si>
  <si>
    <t>2026-02-08T13:00:00Z</t>
  </si>
  <si>
    <t>AC IS FUELED  WITH 1570KG FROM PREV. LEG
T/O DATA: RWY 15. 0K  DRY. 25C 1010Q   AC-OFF.     RTOW-22091KG
DIS. BY AYELET W.</t>
  </si>
  <si>
    <t>N0229A050 GALIM/N0229A050 IFR P68 MERVA/N0259A140 N131 EMEDA EMEDA1A</t>
  </si>
  <si>
    <t>2026-02-08T12:56:54Z</t>
  </si>
  <si>
    <t>2026-02-08T13:45:20Z</t>
  </si>
  <si>
    <t>2026-02-08T13:48:11.1050274Z</t>
  </si>
  <si>
    <t>f0f917dd3dde469c82c25aac499071c6</t>
  </si>
  <si>
    <t>2026-02-08T12:50:00Z</t>
  </si>
  <si>
    <t xml:space="preserve">EXTRA FUEL IS PER COMPANY POLICY
T/O DATA: RWY 15. 0K DRY. 25C. AC- OFF. 1010Q    RTOW-22091KG
DIS. BY AYELET W.
</t>
  </si>
  <si>
    <t>N0236A050 GALIM/N0235A050 IFR Q28 ATLIT J15 NAT/N0274A090 J10 SIVAK/N0276A130 J10 NURIT NURIT1D</t>
  </si>
  <si>
    <t>2026-02-08T13:05:20Z</t>
  </si>
  <si>
    <t>2026-02-08T13:59:42Z</t>
  </si>
  <si>
    <t>2026-02-08T13:47:02.3241824Z</t>
  </si>
  <si>
    <t>a58b1588beb14d868b81c6b5fb49648b</t>
  </si>
  <si>
    <t>2026-02-08T12:35:00Z</t>
  </si>
  <si>
    <t>4XIHB</t>
  </si>
  <si>
    <t>EXTRA IS FOR THE NEXT LEG
DIS. BY AYELET W.</t>
  </si>
  <si>
    <t>NURIT2H NURIT J10 TOMAL/N0276F080 J10 NAT/N0277F040 J15 ATLIT VFR HOTRM DAROM GALIM</t>
  </si>
  <si>
    <t>2026-02-08T12:38:59Z</t>
  </si>
  <si>
    <t>2026-02-08T13:34:12Z</t>
  </si>
  <si>
    <t>2026-02-08T13:25:27.5698746Z</t>
  </si>
  <si>
    <t>eee21a4562114262a9bfbd6f1bada5cc</t>
  </si>
  <si>
    <t>2026-02-08T11:45:00Z</t>
  </si>
  <si>
    <t>LGIR</t>
  </si>
  <si>
    <t>EXTRA FUEL IS PER COMPANY POLICY
FLIGHT DIS AT FL120 DUE TO SHORT FLIGHT TIME.
T/O DATA: RWY 15. DRY. 25C  AC-OFF  1011Q     RTOW- 22105KG.
DIS. BY AYELET W.</t>
  </si>
  <si>
    <t>GALIM/F050 IFR P68 MERVA/F120 P68 APLON L609 RDS L995 VARIX VARIX1W</t>
  </si>
  <si>
    <t>2026-02-08T12:14:25Z</t>
  </si>
  <si>
    <t>2026-02-08T15:10:05Z</t>
  </si>
  <si>
    <t>2026-02-08T14:38:03.782825Z</t>
  </si>
  <si>
    <t>220d5574ea63489b98d3322ef8bfd46b</t>
  </si>
  <si>
    <t>2026-02-08T11:10:00Z</t>
  </si>
  <si>
    <t>EXTRA FUEL TO COVER THE NEXT LEG. (LLER)
DIS. BY AYELET W.</t>
  </si>
  <si>
    <t>EMEDA2B EMEDA B17 MERVA P68 GALIM VFR</t>
  </si>
  <si>
    <t>2026-02-08T11:30:00Z</t>
  </si>
  <si>
    <t>2026-02-08T12:11:19Z</t>
  </si>
  <si>
    <t>2026-02-08T11:49:33.8383967Z</t>
  </si>
  <si>
    <t>009fc53a3c0d42c9bd6f019288a9dd53</t>
  </si>
  <si>
    <t>2026-02-08T10:45:00Z</t>
  </si>
  <si>
    <t>EXTRA FUEL IS PER COMPANY
T/O DATA : RWY 15. DRY. 23C  AC-OFF. 1012Q     RTOW:22218KG
DIS. BY AYELET W.</t>
  </si>
  <si>
    <t>2026-02-08T10:33:57Z</t>
  </si>
  <si>
    <t>2026-02-08T11:29:24Z</t>
  </si>
  <si>
    <t>2026-02-08T11:42:24.2956275Z</t>
  </si>
  <si>
    <t>4486eb9d5fc440ef842dd30dc2452cbf</t>
  </si>
  <si>
    <t>2026-02-08T09:55:00Z</t>
  </si>
  <si>
    <t>EXTRA FUEL TO COVER THE NEXT LEG
DIS. BY AYELET W.</t>
  </si>
  <si>
    <t>ESERI1D ESERI M42 VELOX B17 MERVA P68 GALIM VFR</t>
  </si>
  <si>
    <t>2026-02-08T09:50:06Z</t>
  </si>
  <si>
    <t>2026-02-08T10:38:40Z</t>
  </si>
  <si>
    <t>2026-02-08T10:40:52.596373Z</t>
  </si>
  <si>
    <t>d64ac5067e0e4fbcb448b3cadc51abaa</t>
  </si>
  <si>
    <t>2026-02-08T09:30:00Z</t>
  </si>
  <si>
    <t>AC IS FUELED WITH 1580KG FROM PREV. LEG
T/O DATA: RWY 15. DRY . 0K  22C AC-OFF.    RTOW-22267KG
DIS BY AYELET W.</t>
  </si>
  <si>
    <t>GALIM IFR P68 MERVA N131 EMEDA EMEDA1A</t>
  </si>
  <si>
    <t>2026-02-08T09:29:56Z</t>
  </si>
  <si>
    <t>2026-02-08T10:17:01Z</t>
  </si>
  <si>
    <t>2026-02-08T10:18:19.271293Z</t>
  </si>
  <si>
    <t>1071bb245a654626a6228d224eca025b</t>
  </si>
  <si>
    <t>2026-02-08T09:25:00Z</t>
  </si>
  <si>
    <t>4XIHA</t>
  </si>
  <si>
    <t>EXTRA FUEL TO COVER THE NEXT LEG.
DIS. BY AYELET W.</t>
  </si>
  <si>
    <t>KEA1N KEA L995 RDS L609 APLON P68 GALIM VFR</t>
  </si>
  <si>
    <t>2026-02-08T10:05:50Z</t>
  </si>
  <si>
    <t>2026-02-08T12:16:09Z</t>
  </si>
  <si>
    <t>2026-02-08T11:31:36.714663Z</t>
  </si>
  <si>
    <t>8323bd33ef8945c8be7e059345d79be4</t>
  </si>
  <si>
    <t>2026-02-08T08:50:00Z</t>
  </si>
  <si>
    <t xml:space="preserve">EXTRA FUEL TO COVER THE NEXT FLIGHT 
DIS. BY AYELET W .
</t>
  </si>
  <si>
    <t>2026-02-08T08:43:50Z</t>
  </si>
  <si>
    <t>2026-02-08T09:36:56Z</t>
  </si>
  <si>
    <t>2026-02-08T09:40:04.3643413Z</t>
  </si>
  <si>
    <t>5a10d23244504869b8e779baedad5f4d</t>
  </si>
  <si>
    <t>2026-02-08T08:05:00Z</t>
  </si>
  <si>
    <t>AC IS FUELED WITH 1640KG FROM PREV. FLIGHT
T/O DATA: RWY 15. 0K   DRY. 19C   AC-OFF. 1012Q      RTOW-22415KG
DIS. BY AYELET W.</t>
  </si>
  <si>
    <t>GALIM IFR P68 MERVA N131 VELOX M42 ESERI</t>
  </si>
  <si>
    <t>2026-02-08T08:08:59Z</t>
  </si>
  <si>
    <t>2026-02-08T09:02:46Z</t>
  </si>
  <si>
    <t>2026-02-08T09:00:36.3538423Z</t>
  </si>
  <si>
    <t>43082f237239447d88122401856680a6</t>
  </si>
  <si>
    <t>2026-02-08T07:00:00Z</t>
  </si>
  <si>
    <t xml:space="preserve">EXTRA FUEL IS PER COMPANY POLICY.
T/O DATA: RWY15. DRY. 0K AC-OFF 1012Q    RTOW----22415KG
DIS. BY AYELET W.
</t>
  </si>
  <si>
    <t>GALIM/N0235A050 IFR Q28 ATLIT J15 NAT/N0271A090 J10 SIVAK/N0271A130 J10 NURIT NURIT1D</t>
  </si>
  <si>
    <t>2026-02-08T07:04:33Z</t>
  </si>
  <si>
    <t>2026-02-08T07:59:40Z</t>
  </si>
  <si>
    <t>2026-02-08T07:56:45.4229724Z</t>
  </si>
  <si>
    <t>881230e7a4254ddca58e5e5ba58dd64f</t>
  </si>
  <si>
    <t>2026-02-08T05:45:00Z</t>
  </si>
  <si>
    <t>EXTRA FUEL AS PER COMPANY POLICY + TEMP. X WIND AT LGAV.
FLIGHT DIS AT FL120 DUE TO SHORT FLIGHT TIME.
T/O DATA -RWY 15. DRY. 0KT. 19C. 1012Q  AC-OFF.     RTOW- 22415KG.
DIS. BY AYELET W.</t>
  </si>
  <si>
    <t>GALIM/F050 IFR P68 MERVA/F120 P68 APLON L609 RDS L995 VARIX VARIX1Q</t>
  </si>
  <si>
    <t>2026-02-08T05:59:12Z</t>
  </si>
  <si>
    <t>2026-02-08T08:55:26Z</t>
  </si>
  <si>
    <t>2026-02-08T08:36:46.0227925Z</t>
  </si>
  <si>
    <t>608fbaefd95e48b0b0e52fd81efca5f2</t>
  </si>
  <si>
    <t>2026-03-17T20:45:00Z</t>
  </si>
  <si>
    <t>IFR</t>
  </si>
  <si>
    <t>1. THIS FLIGHT WAS PREPARED BY NIMROD R.
2. EXTRA FUEL PLANNED IN CASE OF SIRENS ALERT.
3. NEW OFP REV. 01 ISSUED WITH FINAL ZFW.</t>
  </si>
  <si>
    <t>DISPATCH 972502126365 RTECOORATC LCCC</t>
  </si>
  <si>
    <t>SUVAS1E SUVAS DCT STEPA DCT APLON A28 BETID BETID1A</t>
  </si>
  <si>
    <t>2026-03-17T21:04:29Z</t>
  </si>
  <si>
    <t>2026-03-17T22:23:07Z</t>
  </si>
  <si>
    <t>2026-03-17T21:57:41.1507574Z</t>
  </si>
  <si>
    <t>39d0991364104f83835801efd54a193e</t>
  </si>
  <si>
    <t>2026-03-17T17:18:00Z</t>
  </si>
  <si>
    <t>1. THIS FLIGHT WAS PREPARED BY NIMROD R.
2. EXTRA FUEL PLANNED FOR NEXT LEG WITH ADDITIONAL 300 KG.</t>
  </si>
  <si>
    <t>N0279F190 KEA1E KEA L52 VAXOS N134 BIRES Z89 PIKOG L609 ZUKKO</t>
  </si>
  <si>
    <t>2026-03-17T17:24:16Z</t>
  </si>
  <si>
    <t>2026-03-17T20:01:45Z</t>
  </si>
  <si>
    <t>2026-03-17T19:52:13.9308823Z</t>
  </si>
  <si>
    <t>39a9339be9f047e68241ca5224442f67</t>
  </si>
  <si>
    <t>2026-03-17T11:15:00Z</t>
  </si>
  <si>
    <t>EXTRA FUEL CONSISTS OF 100 KG PER POLICY AND 100 KG FOR POSS TAXI HOLD DUE SECURITY.
DISP-EREZ Y.</t>
  </si>
  <si>
    <t>N0271A160 SUVAS1E SUVAS DCT STEPA DCT APLON A28 BETID BETID1A</t>
  </si>
  <si>
    <t>2026-03-17T11:44:57Z</t>
  </si>
  <si>
    <t>2026-03-17T12:44:43Z</t>
  </si>
  <si>
    <t>2026-03-17T12:29:04.988628Z</t>
  </si>
  <si>
    <t>ead77bfd39bc480ab7acc69733493d42</t>
  </si>
  <si>
    <t>2026-03-17T09:15:00Z</t>
  </si>
  <si>
    <t xml:space="preserve">1.FLT BESED ON NO ALT,WITH EXTRA FUEL FOR 2 REASONS- PREDICTED HIGH PAYLOAD,AND ALT LGMK(CLSD),LGIR(CB'S ,TSRA),CAN NOT BE USED.
2.EXTRA FUEL CONSISTS OF 100KG PER POLICY AND 200 FOR POSS GROUND HOLD AND ENRT WX.
3.REQUESTED FUEL-2700KG.
DISP-EREZ Y.
</t>
  </si>
  <si>
    <t>SUVAS1E SUVAS L53 TIPAS N137 RIPLI L995 VARIX VARIX1Q</t>
  </si>
  <si>
    <t>2026-03-17T09:32:04Z</t>
  </si>
  <si>
    <t>2026-03-17T12:17:57Z</t>
  </si>
  <si>
    <t>2026-03-17T11:59:10.6259289Z</t>
  </si>
  <si>
    <t>785880f3f00f4a39ac6c8105ef2e29fa</t>
  </si>
  <si>
    <t>2026-03-17T09:00:00Z</t>
  </si>
  <si>
    <t>EXTRA FUEL IS FOR POSS HOLDING DUE SECURITY REASON(NEXT FLT LCA).
DISP-EREZ Y.</t>
  </si>
  <si>
    <t>N0278F150 EMEDA2B EMEDA M67 ANANE DCT IDAKU DCT PIKOG L609 ZUKKO AMMOS1A</t>
  </si>
  <si>
    <t>2026-03-17T09:06:09Z</t>
  </si>
  <si>
    <t>2026-03-17T10:02:18Z</t>
  </si>
  <si>
    <t>2026-03-17T10:07:17.5589473Z</t>
  </si>
  <si>
    <t>3f899d91bf3c4ab487e6a8ad5b26ac20</t>
  </si>
  <si>
    <t>2026-03-17T07:00:00Z</t>
  </si>
  <si>
    <t>EXTRA FUEL IS FOR POSS HOLD DUE SECURITY REASON(NEXT FLT ATH).
DISP-EREZ Y.</t>
  </si>
  <si>
    <t>EMEDA2B EMEDA M67 ANANE DCT IDAKU DCT PIKOG L609 ZUKKO AMMOS1A</t>
  </si>
  <si>
    <t>2026-03-17T07:29:07Z</t>
  </si>
  <si>
    <t>2026-03-17T08:23:55Z</t>
  </si>
  <si>
    <t>2026-03-17T08:06:31.0634388Z</t>
  </si>
  <si>
    <t>19576dd4da104e7bb6b363dec2475daf</t>
  </si>
  <si>
    <t>2026-02-12T17:30:00Z</t>
  </si>
  <si>
    <t>EXTRA FUEL FOR THE NEXT FLT
ATTN TO ENRTE ICING
DIS BY AYELET W.</t>
  </si>
  <si>
    <t>N0276F130 EMEDA2B EMEDA B17 MERVA P68 GALIM/N0276F130 VFR</t>
  </si>
  <si>
    <t>2026-02-12T17:36:50Z</t>
  </si>
  <si>
    <t>2026-02-12T18:15:49Z</t>
  </si>
  <si>
    <t>2026-02-12T18:10:18.5253301Z</t>
  </si>
  <si>
    <t>44439afc3fc5434682246293f9b24ea0</t>
  </si>
  <si>
    <t>2026-02-12T16:00:00Z</t>
  </si>
  <si>
    <t>AC IS FUELED WITH 1620KG FROM PREV LEG.
ATTN TO ENRTE ICING.
T/O DATA: RWY 15. DRY. 130/03KT 20C 1012Q  AC-OFF     RTOW-22530KG
DIS . BY AYELET W</t>
  </si>
  <si>
    <t>2026-02-12T16:04:31Z</t>
  </si>
  <si>
    <t>2026-02-12T16:49:29Z</t>
  </si>
  <si>
    <t>2026-02-12T16:46:42.6955313Z</t>
  </si>
  <si>
    <t>a058157f647a402ab2c42547c7cd468f</t>
  </si>
  <si>
    <t>2026-02-12T13:55:00Z</t>
  </si>
  <si>
    <t>EXTRA FUEL IS FOR THE NEXT FLT
DIS. BY AYELET W.</t>
  </si>
  <si>
    <t>KEA1N KEA L995 RDS L609 ALKIS/F190 L609 APLON P68 MERVA P68 GALIM/F050 VFR</t>
  </si>
  <si>
    <t>2026-02-12T14:15:52Z</t>
  </si>
  <si>
    <t>2026-02-12T16:28:46Z</t>
  </si>
  <si>
    <t>2026-02-12T16:07:03.4134654Z</t>
  </si>
  <si>
    <t>7e664cf072d8420c8ec0cb0cd8e4dcb1</t>
  </si>
  <si>
    <t>2026-02-12T13:50:00Z</t>
  </si>
  <si>
    <t xml:space="preserve">EXTRA FUEL TO COVER THE NEXT FLT
DIS. BY AYELET W.
</t>
  </si>
  <si>
    <t>N0273F120 NURIT2H NURIT J10 TOMAL/N0272F080 J10 NAT/N0224F040 J15 ATLIT/N0225F040 VFR HOTRM DAROM GALIM</t>
  </si>
  <si>
    <t>2026-02-12T14:13:42Z</t>
  </si>
  <si>
    <t>2026-02-12T15:06:35Z</t>
  </si>
  <si>
    <t>2026-02-12T14:38:47.1730067Z</t>
  </si>
  <si>
    <t>2d2c15bc9fc7432a8fc53ddb67092140</t>
  </si>
  <si>
    <t>2026-02-12T13:15:00Z</t>
  </si>
  <si>
    <t>G</t>
  </si>
  <si>
    <t>1. THIS FLIGHT WAS PREPARED BY NIMROD R.
2. EXTRA FUEL TO COVER THE NEXT LEG.</t>
  </si>
  <si>
    <t>2026-02-12T13:28:46Z</t>
  </si>
  <si>
    <t>2026-02-12T14:07:02Z</t>
  </si>
  <si>
    <t>2026-02-12T13:55:31.1684794Z</t>
  </si>
  <si>
    <t>15abd87c52974326aadead7537b13cd1</t>
  </si>
  <si>
    <t>2026-02-12T12:00:00Z</t>
  </si>
  <si>
    <t>N0278F130 EMEDA2B EMEDA B17 MERVA P68 GALIM/N0277A050 VFR</t>
  </si>
  <si>
    <t>2026-02-12T12:12:18Z</t>
  </si>
  <si>
    <t>2026-02-12T12:57:59Z</t>
  </si>
  <si>
    <t>2026-02-12T12:41:35.6368301Z</t>
  </si>
  <si>
    <t>8bbed5e7797a40338a1455589f1928c0</t>
  </si>
  <si>
    <t>2026-02-12T11:45:00Z</t>
  </si>
  <si>
    <t>1. THIS FLIGHT WAS PREPARED BY NIMROD R.
2. LLHA-RWY 15 RTOW 22761KG. SPS DATA: 230/05KTS, DRY, 22C DEG, QNH 1014, Air Cond. OFF.
3. A/C IS FUELED WITH 1560 KG FROM PREVIOUS LEG.
4. NEW OFP REV. 01 ISSUED WITH LIOR Y.</t>
  </si>
  <si>
    <t>N0235A050 GALIM/N0234A050 IFR P68 MERVA/N0274A140 N131 EMEDA EMEDA1A</t>
  </si>
  <si>
    <t>2026-02-12T11:54:53Z</t>
  </si>
  <si>
    <t>2026-02-12T12:43:50Z</t>
  </si>
  <si>
    <t>2026-02-12T12:30:39.1196178Z</t>
  </si>
  <si>
    <t>a1443ed0061e4c5aaff9d8e2d0e12b23</t>
  </si>
  <si>
    <t>2026-02-12T11:30:00Z</t>
  </si>
  <si>
    <t>1. THIS FLIGHT WAS PREPARED BY NIMROD R.
2. LLHA-RWY 15 RTOW 22761KG. SPS DATA: 230/05KTS, DRY, 22C DEG, QNH 1014, Air Cond. OFF.
3. A/C IS FUELED WITH 2100 KG FROM PREVIOUS LEG.</t>
  </si>
  <si>
    <t>N0236A050 GALIM/N0235A050 IFR Q28 ATLIT J15 NAT/N0275A090 J10 SIVAK/N0275A130 J10 NURIT NURIT1D</t>
  </si>
  <si>
    <t>2026-02-12T12:05:09Z</t>
  </si>
  <si>
    <t>2026-02-12T13:03:15Z</t>
  </si>
  <si>
    <t>2026-02-12T12:30:01.855773Z</t>
  </si>
  <si>
    <t>32086cf2d76a4313a453f62b57051d08</t>
  </si>
  <si>
    <t>2026-02-12T10:41:00Z</t>
  </si>
  <si>
    <t>1. THIS FLIGHT WAS PREPARED BY NIMROD R.
2. LLHA-RWY 15 RTOW 22372KG. SPS DATA: 230/04KTS, DRY, 22C DEG, QNH 1015, Air Cond. OFF.
3. EXTRA FUEL PLANNED DUE TO WX AT DEST AND ENROUTE.
4. LCLK CLSD BETWEEN 0915-1115 UTC.</t>
  </si>
  <si>
    <t>2026-02-12T10:29:39Z</t>
  </si>
  <si>
    <t>2026-02-12T11:21:50Z</t>
  </si>
  <si>
    <t>2026-02-12T11:26:46.9163425Z</t>
  </si>
  <si>
    <t>2cf55e8d33a94cd098e24a6079852ea0</t>
  </si>
  <si>
    <t>2026-02-12T10:15:00Z</t>
  </si>
  <si>
    <t>1. THIS FLIGHT WAS PREPARED BY NIMROD R.
2. LLHA-RWY 15 RTOW 22403KG. SPS DATA: 230/06KTS, DRY, 22C DEG, QNH 1015, Air Cond. OFF.
3. EXTRA FUEL PLANNED AS PER COMPANY POLICY, DUE TO RTOW LIMITATION.
4. DISPATCHED AT FL160 DUE TO H-WINDS.
5. NEW OFP REV. 01 ISSUED WITH NO ALT REQUIRED.</t>
  </si>
  <si>
    <t>GALIM/F050 IFR P68 MERVA/F160 P68 APLON L609 RDS L995 VARIX VARIX1R</t>
  </si>
  <si>
    <t>2026-02-12T10:15:14Z</t>
  </si>
  <si>
    <t>2026-02-12T13:00:29Z</t>
  </si>
  <si>
    <t>2026-02-12T13:03:16.3907057Z</t>
  </si>
  <si>
    <t>10f59d8b85184e0c82e0a22c1c737835</t>
  </si>
  <si>
    <t>2026-02-12T09:55:00Z</t>
  </si>
  <si>
    <t>N0276F130 ESERI1D ESERI M42 VELOX B17 MERVA P68 GALIM/N0276A050 VFR</t>
  </si>
  <si>
    <t>2026-02-12T10:02:37Z</t>
  </si>
  <si>
    <t>2026-02-12T10:48:58Z</t>
  </si>
  <si>
    <t>2026-02-12T10:44:16.5134149Z</t>
  </si>
  <si>
    <t>84befea869e643ec98c1a94da56d7488</t>
  </si>
  <si>
    <t>2026-02-12T08:50:00Z</t>
  </si>
  <si>
    <t>1. THIS FLIGHT WAS PREPARED BY NIMROD R.
2. EXTRA FUEL TO COVER THE NEXT LEG WITH 200 KG EXTRA FUEL.</t>
  </si>
  <si>
    <t>NURIT2H NURIT J10 TOMAL/N0273F080 J10 NAT/N0224F040 J15 ATLIT/N0225F040 VFR HOTRM DAROM GALIM</t>
  </si>
  <si>
    <t>2026-02-12T09:02:13Z</t>
  </si>
  <si>
    <t>2026-02-12T09:56:07Z</t>
  </si>
  <si>
    <t>2026-02-12T09:39:24.2661739Z</t>
  </si>
  <si>
    <t>332a02ce1f8e43e6a3d915fb4a468586</t>
  </si>
  <si>
    <t>2026-02-12T08:05:00Z</t>
  </si>
  <si>
    <t>1. THIS FLIGHT WAS PREPARED BY NIMROD R.
2. LLHA-RWY 15 RTOW 22764KG. SPS DATA: 140/05KTS, DRY, 18C DEG, QNH 1015, Air Cond. OFF.
3. EXTRA FUEL PLANNED DUE TO POSSIBLE WX AT DEST AND VICINITY.
4. ALT LLBG DUE TO LCLK CLOSURE BETWEEN 0915-1115 UTC.</t>
  </si>
  <si>
    <t>N0230A050 GALIM/N0230A050 IFR P68 MERVA/N0263A140 N131 VELOX M42 ESERI</t>
  </si>
  <si>
    <t>2026-02-12T08:11:56Z</t>
  </si>
  <si>
    <t>2026-02-12T09:08:21Z</t>
  </si>
  <si>
    <t>2026-02-12T08:57:44.080762Z</t>
  </si>
  <si>
    <t>9e23fc4e20a14447981831a1cfe73b3c</t>
  </si>
  <si>
    <t>2026-02-12T07:47:00Z</t>
  </si>
  <si>
    <t>1. THIS FLIGHT WAS PREPARED BY NIMROD R.
2. EXTRA FUEL TO COVER THE NEXT LEG WITH 200 KG EXTRA FUEL.
3. LCLK CLSD BETWEEN 0915-1115 UTC.</t>
  </si>
  <si>
    <t>2026-02-12T07:54:02Z</t>
  </si>
  <si>
    <t>2026-02-12T08:34:28Z</t>
  </si>
  <si>
    <t>2026-02-12T08:26:55.443951Z</t>
  </si>
  <si>
    <t>18226cfaa10749c0a8ad90b172e7f9fa</t>
  </si>
  <si>
    <t>2026-02-12T07:00:00Z</t>
  </si>
  <si>
    <t>1. THIS FLIGHT WAS PREPARED BY NIMROD R.
2. LLHA-RWY 15 RTOW 22796KG. SPS DATA: 140/05KTS, DRY, 17C DEG, QNH 1014, Air Cond. OFF.
3. A/C IS FUELED WITH 2030 KG FROM PREVIOUS LEG.</t>
  </si>
  <si>
    <t>2026-02-12T07:07:27Z</t>
  </si>
  <si>
    <t>2026-02-12T08:02:13Z</t>
  </si>
  <si>
    <t>2026-02-12T07:58:49.7774747Z</t>
  </si>
  <si>
    <t>af25cc404df14028a671f93353e5d86a</t>
  </si>
  <si>
    <t>2026-02-12T06:00:00Z</t>
  </si>
  <si>
    <t>1. THIS FLIGHT WAS PREPARED BY NIMROD R.
2. LLHA-RWY 15 RTOW 22715KG. SPS DATA: 160/04KTS, DRY, 18C DEG, QNH 1014, Air Cond. OFF.
3. A/C IS FUELED WITH 1660 KG FROM PREVIOUS LEG.
4. LCLK CLSD BETWEEN 0915-1115 UTC.</t>
  </si>
  <si>
    <t>2026-02-12T06:10:44Z</t>
  </si>
  <si>
    <t>2026-02-12T06:56:03Z</t>
  </si>
  <si>
    <t>2026-02-12T06:47:47.7869689Z</t>
  </si>
  <si>
    <t>9ea663dfaf9342a293defd8322022a71</t>
  </si>
  <si>
    <t>2026-01-24T18:20:00Z</t>
  </si>
  <si>
    <t>EXTRA FUEL IS FOR NEXT FLT (LLER)
DIS. BY AYELET W UNDER THE SUPER. OF EREZ Y.</t>
  </si>
  <si>
    <t>2026-01-24T18:33:47Z</t>
  </si>
  <si>
    <t>2026-01-24T19:31:47Z</t>
  </si>
  <si>
    <t>2026-01-24T19:13:40.5334901Z</t>
  </si>
  <si>
    <t>34898873c57d4e218f552245aacb5235</t>
  </si>
  <si>
    <t>2026-01-24T17:00:00Z</t>
  </si>
  <si>
    <t>EXTRA FUEL FOR NEXT FLT
DIS. BY AYELET W UNDER THE SUPER. OF EREZ Y.</t>
  </si>
  <si>
    <t>EMEDA2B EMEDA B17 MERVA P68 GALIM/N0264A050 VFR</t>
  </si>
  <si>
    <t>2026-01-24T16:59:15Z</t>
  </si>
  <si>
    <t>2026-01-24T17:38:36Z</t>
  </si>
  <si>
    <t>2026-01-24T17:39:56.3407203Z</t>
  </si>
  <si>
    <t>36609efdd3004ab59fe4849f3cced3ae</t>
  </si>
  <si>
    <t>2026-01-24T16:30:00Z</t>
  </si>
  <si>
    <t>EXTRA FUEL IS PER COMPANY POLICY
SPS DATA - RWY 15. WET. 140/03KTS 15C. 1018Q  AC-OFF    RTOW - 22852KG.
DIS BY AYELET W UNDERT THE SUPER. OF EREZ Y.</t>
  </si>
  <si>
    <t>2026-01-24T16:36:31Z</t>
  </si>
  <si>
    <t>2026-01-24T17:26:17Z</t>
  </si>
  <si>
    <t>2026-01-24T17:24:13.5907238Z</t>
  </si>
  <si>
    <t>1cebe93795bf4ff5958d476088afc2d3</t>
  </si>
  <si>
    <t>2026-01-24T15:20:00Z</t>
  </si>
  <si>
    <t>AC IS FUELED WITH 1520KG FROM PREV. LEG
SPS DATA - RWY 15. WET. 140/03KTS  AC-OFF. 16C. 1018Q      RTOW- 22807KG
DIS. BY AYELET W UNDER THE SUPER. OF EREZ Y.</t>
  </si>
  <si>
    <t>2026-01-24T15:19:12Z</t>
  </si>
  <si>
    <t>2026-01-24T16:03:25Z</t>
  </si>
  <si>
    <t>2026-01-24T16:06:20.4373142Z</t>
  </si>
  <si>
    <t>b3f8887d88954ecdaf1d8dfb177e3307</t>
  </si>
  <si>
    <t>2026-01-24T15:00:00Z</t>
  </si>
  <si>
    <t>1.F/L 150 BTWN NILAS-ALKIS DUE EUROCONTROL LIMITATION ,CAN BE APPROVED BY ATC UPON REQ.
2.EXTRA FUEL IN ORDER TO ARRIVE AT LLHA WITH ABOUT 1500KG AT LANDING FOR SECURITY RESON.
DISP-EREZ Y.</t>
  </si>
  <si>
    <t>KEA1E KEA L995 RDS L609 NILAS/N0275F150 L609 ALKIS/N0273F190 L609 APLON P68 GALIM/N0275A050 VFR</t>
  </si>
  <si>
    <t>2026-01-24T14:55:30Z</t>
  </si>
  <si>
    <t>2026-01-24T17:15:14Z</t>
  </si>
  <si>
    <t>2026-01-24T17:18:46.3888485Z</t>
  </si>
  <si>
    <t>de0a1f02756142088cd606e97fb9f4b2</t>
  </si>
  <si>
    <t>2026-01-24T14:55:00Z</t>
  </si>
  <si>
    <t xml:space="preserve">EXTRA FUEL FOR NEXT FLY (LLER)
DIS. BY AYELET W UNDER THE SUPER. OF EREZ Y.
</t>
  </si>
  <si>
    <t>ESERI1W ESERI M42 VELOX B17 MERVA P68 GALIM VFR</t>
  </si>
  <si>
    <t>2026-01-24T15:06:19Z</t>
  </si>
  <si>
    <t>2026-01-24T15:56:02Z</t>
  </si>
  <si>
    <t>2026-01-24T15:42:57.5845297Z</t>
  </si>
  <si>
    <t>97f6f4c7e0e642cc8f0b7c1044d99d8a</t>
  </si>
  <si>
    <t>2026-01-24T13:05:00Z</t>
  </si>
  <si>
    <t xml:space="preserve">DIS. BY AYELET W UNDER THE SUPER. OF EREZ Y
AC IS FUELED WITH 1500KG FROM PREV LEG.
SPS DATA - RWY 15. WET. 140/07KTS  AC- OFF. 14C 1017Q    RTOW- 23000KG
</t>
  </si>
  <si>
    <t>GALIM/F140 IFR P68 MERVA N131 VELOX M42 ESERI</t>
  </si>
  <si>
    <t>2026-01-24T13:03:55Z</t>
  </si>
  <si>
    <t>2026-01-24T13:59:39Z</t>
  </si>
  <si>
    <t>2026-01-24T13:54:57.0812933Z</t>
  </si>
  <si>
    <t>3de5b93973cd486299515e88bcf22d72</t>
  </si>
  <si>
    <t>2026-01-24T11:20:00Z</t>
  </si>
  <si>
    <t>LGTS</t>
  </si>
  <si>
    <t>DIS BY AYELET W. UNDER THE SUPER. OF EREZ Y.
SPS DATA -  RWY 15. WET. 140/07 KTS . 13C. 1017Q  AC- OFF.        RTOW- 23000
FLT DIS AT FL140 DUE TO CAT   AT FL160 AND ABOVE.
EXTEA FUEL AS PER COMPANY POLICY.</t>
  </si>
  <si>
    <t>N0282A050 GALIM/N0282A140 IFR P68 APLON L609 RDS L995 VARIX VARIX1R</t>
  </si>
  <si>
    <t>2026-01-24T11:21:23Z</t>
  </si>
  <si>
    <t>2026-01-24T13:59:26Z</t>
  </si>
  <si>
    <t>2026-01-24T13:55:43.6808018Z</t>
  </si>
  <si>
    <t>8c9740d1aa1941a58f75bb8091859dcf</t>
  </si>
  <si>
    <t>2026-03-31T18:00:00Z</t>
  </si>
  <si>
    <t>EXTRA FUEL FOR POSS WAIT AT LLBG
DIS. BY AYELET W.</t>
  </si>
  <si>
    <t>RTECOORATC</t>
  </si>
  <si>
    <t>N0273A160 SUVAS1E SUVAS DCT STEPA DCT APLON A28 ANANE M28 BETID BETID1A</t>
  </si>
  <si>
    <t>2026-03-31T18:14:28Z</t>
  </si>
  <si>
    <t>2026-03-31T19:11:42Z</t>
  </si>
  <si>
    <t>2026-03-31T19:18:43.8743292Z</t>
  </si>
  <si>
    <t>18d8a77c3d4d4026808cce8385488b57</t>
  </si>
  <si>
    <t>2026-03-31T15:45:00Z</t>
  </si>
  <si>
    <t>EXTRA FUEL IS FOR THE NEXT FLIGHT
DIS. BY AYELET W.</t>
  </si>
  <si>
    <t>N0274F150 EMEDA2B EMEDA M67 ANANE DCT IDAKU DCT PIKOG L609 ZUKKO AMMOS1A</t>
  </si>
  <si>
    <t>2026-03-31T16:03:52Z</t>
  </si>
  <si>
    <t>2026-03-31T16:57:48Z</t>
  </si>
  <si>
    <t>2026-03-31T16:51:35.7420566Z</t>
  </si>
  <si>
    <t>c92b10665a2c465c9a64939d009ac65e</t>
  </si>
  <si>
    <t>None</t>
  </si>
  <si>
    <t>2026-03-31T05:55:00Z</t>
  </si>
  <si>
    <t>HFA999</t>
  </si>
  <si>
    <t>VFR</t>
  </si>
  <si>
    <t>TEST FLIGHT - NOT FOR OPERATIONAL USE</t>
  </si>
  <si>
    <t>DCT</t>
  </si>
  <si>
    <t>2026-03-31T06:33:30.5359291Z</t>
  </si>
  <si>
    <t>d0b24c092857487793254dda13ac8631</t>
  </si>
  <si>
    <t>2026-02-20T11:10:00Z</t>
  </si>
  <si>
    <t>EXTRA FUEL IS FOR SECURITY REASON(TO LAND AT LLHA WITH 1500KG AT THE END OF THE A/C DAY).
DISP-EREZ Y.</t>
  </si>
  <si>
    <t>N0274F130 EMEDA2B EMEDA B17 MERVA P68 GALIM/N0274A050 VFR</t>
  </si>
  <si>
    <t>2026-02-20T11:10:16Z</t>
  </si>
  <si>
    <t>2026-02-20T11:52:02Z</t>
  </si>
  <si>
    <t>2026-02-20T11:51:56.3302185Z</t>
  </si>
  <si>
    <t>a925762a33054aaba6d5f66cac19a324</t>
  </si>
  <si>
    <t>2026-02-20T10:25:00Z</t>
  </si>
  <si>
    <t>**NEW OFP DUE CAPT REQ REASON BEING (WEATHER)*
EXTRA FUEL IS FOR THE NEXT FLT.
DISP-EREZ Y.</t>
  </si>
  <si>
    <t>DISPATCH +972502126365, PASSENGERS FLIGHT</t>
  </si>
  <si>
    <t>N0277F170 OMENO3S OMENO Y505 NIKTI N127 LMO L618 MES N139 KPC/N0273F190 N139 NIPIS M978 TOSKA M67 MAROS L609 APLON P68 GALIM/N0273A050 VFR DCT</t>
  </si>
  <si>
    <t>2026-02-20T10:50:02Z</t>
  </si>
  <si>
    <t>2026-02-20T14:19:26Z</t>
  </si>
  <si>
    <t>2026-02-20T13:53:09.5808415Z</t>
  </si>
  <si>
    <t>4c170bbc7c4b45038197e3f9c976d475</t>
  </si>
  <si>
    <t>2026-02-20T09:30:00Z</t>
  </si>
  <si>
    <t>EXTRA FUEL IS PER POLICY.
T/O DATA-RWY 15,TEMP 18C,WIND 150/03,Q1023,PACKS OFF,....RTOW 22783 KG.
DISP-EREZ Y.</t>
  </si>
  <si>
    <t>2026-02-20T09:27:13Z</t>
  </si>
  <si>
    <t>2026-02-20T10:10:19Z</t>
  </si>
  <si>
    <t>2026-02-20T10:15:07.7178835Z</t>
  </si>
  <si>
    <t>44a4a1a0a62d4a66bbf38d463df60836</t>
  </si>
  <si>
    <t>2026-02-20T09:25:00Z</t>
  </si>
  <si>
    <t>1.F/L 150 TILL -ALKIS IS DUE EUROCONTROL LIMITATION,OPT LVL MIGHT BE APPROVED UPON REQ BY ATC.
2.PLNND 1500 KG AT LANDING FOR SECURITY REASON(NEXT FLT ON SAT IS PFO).
DISP-EREZ Y.</t>
  </si>
  <si>
    <t>KEA1N KEA L995 RDS L609 NILAS L609 ALKIS/F190 L609 APLON P68 GALIM/N0275A050 VFR</t>
  </si>
  <si>
    <t>2026-02-20T09:40:29Z</t>
  </si>
  <si>
    <t>2026-02-20T11:59:38Z</t>
  </si>
  <si>
    <t>2026-02-20T11:45:37.062187Z</t>
  </si>
  <si>
    <t>514ce2cad16e4964bee9a3532467ec6e</t>
  </si>
  <si>
    <t>2026-02-20T08:50:00Z</t>
  </si>
  <si>
    <t>EXTRA FUEL IS FOR SECURITY REASON(1500KG AT THE END OF THE DAY.
DISP-EREZ Y.</t>
  </si>
  <si>
    <t>2026-02-20T08:47:47Z</t>
  </si>
  <si>
    <t>2026-02-20T09:39:38Z</t>
  </si>
  <si>
    <t>2026-02-20T09:38:44.1827946Z</t>
  </si>
  <si>
    <t>37bfa5c16ef343039aee4293d03ea722</t>
  </si>
  <si>
    <t>2026-02-20T07:40:00Z</t>
  </si>
  <si>
    <t>EXTRA FUEL IS FOR THE NEXT FLT.
DISP-EREZ Y.</t>
  </si>
  <si>
    <t>EMEDA2B EMEDA B17 MERVA P68 GALIM/F050 VFR</t>
  </si>
  <si>
    <t>2026-02-20T07:48:01Z</t>
  </si>
  <si>
    <t>2026-02-20T08:31:06Z</t>
  </si>
  <si>
    <t>2026-02-20T08:21:55.6585337Z</t>
  </si>
  <si>
    <t>145bd8c3a8c34adf9702e42784eb31c0</t>
  </si>
  <si>
    <t>2026-02-20T07:00:00Z</t>
  </si>
  <si>
    <t>EXTRA FUEL IS PER POLICY.
T/O DATA -RWY 15,TEMP 14C,WIND 0,Q1023,PACKS OFF,....RTOW 22815 KG.
DISP-EREZ Y.</t>
  </si>
  <si>
    <t>N0277A050 GALIM IFR Q28 ATLIT J15 NAT/N0276A090 J10 SIVAK/N0277A130 J10 NURIT NURIT1D</t>
  </si>
  <si>
    <t>2026-02-20T06:53:11Z</t>
  </si>
  <si>
    <t>2026-02-20T07:51:18Z</t>
  </si>
  <si>
    <t>2026-02-20T07:59:06.5090431Z</t>
  </si>
  <si>
    <t>020dfa08558844ccb1b8959d84d51f7b</t>
  </si>
  <si>
    <t>2026-02-20T06:00:00Z</t>
  </si>
  <si>
    <t>EXTRA FUEL IS FROM PREVIOUS FLT.
T/O DATA -RWY 15,TEMP 12C,WIND 0,Q1023,PACKS OFF,....RTOW 22912 KG.
DISP-EREZ Y.</t>
  </si>
  <si>
    <t>2026-02-20T06:25:13Z</t>
  </si>
  <si>
    <t>2026-02-20T07:07:24Z</t>
  </si>
  <si>
    <t>2026-02-20T06:44:37.0651195Z</t>
  </si>
  <si>
    <t>4292a68d2e144b71aa16474366ccef02</t>
  </si>
  <si>
    <t>2026-02-20T05:45:00Z</t>
  </si>
  <si>
    <t>LGMK</t>
  </si>
  <si>
    <t>1.F/L 120 FROM USINI DUE EUROCONTROL LIMITATION.
2.EXTRA FUEL IS PER POLICY.
3.T/O DATA -RWY 15,TEMP 12C,WIND 0,Q1023,PACKS OFF,....RTOW 22912 KG.
DISP-EREZ Y.</t>
  </si>
  <si>
    <t>GALIM/F050 IFR P68 MERVA/F140 P68 APLON L609 RDS L995 USINI/F120 L995 VARIX VARIX1W</t>
  </si>
  <si>
    <t>2026-02-20T06:08:43Z</t>
  </si>
  <si>
    <t>2026-02-20T08:44:43Z</t>
  </si>
  <si>
    <t>2026-02-20T08:20:16.1515164Z</t>
  </si>
  <si>
    <t>558f42e5248e4ae082970a79a5128fdc</t>
  </si>
  <si>
    <t>2026-02-20T05:40:00Z</t>
  </si>
  <si>
    <t>LBPD</t>
  </si>
  <si>
    <t>EXTRA FUEL CONSIST OF 100KG OF POLICY +100 KG DUE TEMPO LOW CLOUDS AT DEST.
T/O DATA -RWY 15,TEMP 12C,WIND 0,Q1023,PACKS OFF,....RTOW 22912 KG.
DISP-EREZ Y.</t>
  </si>
  <si>
    <t>GALIM/N0234A050 IFR P68 MERVA/N0266A140 P68 APLON L609 MAROS M67 TOSKA M978 VAXOS N128 OKESA RIKSO N128 PEREN L863 EVIVI Y94 VANET VANET5H</t>
  </si>
  <si>
    <t>2026-02-20T05:42:17Z</t>
  </si>
  <si>
    <t>2026-02-20T09:20:27Z</t>
  </si>
  <si>
    <t>2026-02-20T09:08:04.0454573Z</t>
  </si>
  <si>
    <t>493e2adab27f479488942faf40ace913</t>
  </si>
  <si>
    <t>2026-03-15T19:45:00Z</t>
  </si>
  <si>
    <t>EXTRA FUEL IS PER COMPANY POLICY
DIS. BY AYELET W.</t>
  </si>
  <si>
    <t>RTECOORATC LCCC</t>
  </si>
  <si>
    <t>N0275A160 SUVAS1E SUVAS DCT STEPA DCT APLON M28 BETID BETID1A</t>
  </si>
  <si>
    <t>2026-03-15T19:37:08Z</t>
  </si>
  <si>
    <t>2026-03-15T20:33:09Z</t>
  </si>
  <si>
    <t>2026-03-15T21:00:59.3748919Z</t>
  </si>
  <si>
    <t>47033f5c2ab346c088120bfce5f76249</t>
  </si>
  <si>
    <t>2026-03-15T16:15:00Z</t>
  </si>
  <si>
    <t>EXTRA FUEL  FOR POSS WAIT AT LLBG+ENRTE WX
DIS. BY AYELET W.</t>
  </si>
  <si>
    <t>N0276A160 SUVAS1E SUVAS DCT STEPA DCT APLON A28 BETID BETID1A</t>
  </si>
  <si>
    <t>2026-03-15T16:21:39Z</t>
  </si>
  <si>
    <t>2026-03-15T17:27:45Z</t>
  </si>
  <si>
    <t>2026-03-15T17:30:21.9601497Z</t>
  </si>
  <si>
    <t>267d16d3a8814ed88d32be295116c82e</t>
  </si>
  <si>
    <t>2026-03-15T16:00:00Z</t>
  </si>
  <si>
    <t>OFP REV- 01 - DUE TO INCREASE OF BLOCK FUEL+ZFW.
AYELET W.
EXTRA FUEL OF 100KG IS PER POLICY,THE REST IS FOR POSS HOLD AT DEST DUE SECURITY RESON.
DISP-EREZ Y.</t>
  </si>
  <si>
    <t>KEA1E KEA L52 VAXOS N134 BIRES Z89 PIKOG L609 ZUKKO</t>
  </si>
  <si>
    <t>2026-03-15T16:04:08Z</t>
  </si>
  <si>
    <t>2026-03-15T18:24:38Z</t>
  </si>
  <si>
    <t>2026-03-15T18:23:09.4110798Z</t>
  </si>
  <si>
    <t>58006b51dd2949e8b02796e8d254449d</t>
  </si>
  <si>
    <t>2026-03-15T12:30:00Z</t>
  </si>
  <si>
    <t>EXTRA FUEL OF 100KG IS PER POLICY,THE REST IS FOR POSS HOLD AT DEST DUE SECURITY RESON.
DISP-EREZ Y.</t>
  </si>
  <si>
    <t>N0280F190 KEA1E KEA L52 VAXOS N134 BIRES Z89 PIKOG L609 ZUKKO</t>
  </si>
  <si>
    <t>2026-03-15T12:38:54Z</t>
  </si>
  <si>
    <t>2026-03-15T15:02:13Z</t>
  </si>
  <si>
    <t>2026-03-15T14:54:38.3503756Z</t>
  </si>
  <si>
    <t>cefeb8018e3649e0acd978ba74e0f8cd</t>
  </si>
  <si>
    <t>2026-03-15T10:15:00Z</t>
  </si>
  <si>
    <t>1.FLT WAS DISPATCHED WITH NO ALT AS PER COMPANY POLICY DUE PREDICTED HIGH PAYLOAD NEAR MAX TOW. 
2.EXTRA FUEL WAS VOIDED PER LIOR YAVOR APPROVAL,PLEASE STAY CONNECTED TO THE FUEL FOR POSS PAX NO SHOW AND IN ORDER TO ADD MORE FUEL(2500 KG FOR NOW REQ).
DISP-EREZ Y.</t>
  </si>
  <si>
    <t>N0269F200 SUVAS1E SUVAS L53 TIPAS N137 RIPLI L995 VARIX VARIX1Q</t>
  </si>
  <si>
    <t>2026-03-15T11:18:56Z</t>
  </si>
  <si>
    <t>2026-03-15T14:12:41Z</t>
  </si>
  <si>
    <t>2026-03-15T13:02:43.8292726Z</t>
  </si>
  <si>
    <t>f09803b6324c4f69818327e537f8c89c</t>
  </si>
  <si>
    <t>2026-03-15T08:00:00Z</t>
  </si>
  <si>
    <t>EXTRA FUEL IS FOR POSS HOLD DUE SECURITY REASON.
DISP-EREZ Y.</t>
  </si>
  <si>
    <t>EMEDA2B EMEDA M67 ANANE IDAKU PIKOG L609 ZUKKO AMMOS1A</t>
  </si>
  <si>
    <t>2026-03-15T08:47:08Z</t>
  </si>
  <si>
    <t>2026-03-15T10:19:35Z</t>
  </si>
  <si>
    <t>2026-03-15T09:07:03.9914533Z</t>
  </si>
  <si>
    <t>ff62e7960774499abbfc50abf2406b75</t>
  </si>
  <si>
    <t>2026-03-15T07:30:00Z</t>
  </si>
  <si>
    <t>1.FLT WAS DISPATCHED WITH NO ALT AS PER COMPANY POLICY DUE PREDICTED HIGH PAYLOAD NEAR MAX TOW. 
2.EXTRA FUEL GIVEN FOR POSS TAXI HOLD DUE SECURITY REASON,PLEASE STAY CONNECTED TO THE FUEL FOR POSS PAX NO SHOW AND IN ORDER TO ADD MORE FUEL(2600 KG FOR NOW REQ).
DISP-EREZ Y.</t>
  </si>
  <si>
    <t>N0266F200 SUVAS1E SUVAS L53 TIPAS N137 RIPLI L995 VARIX VARIX1Q</t>
  </si>
  <si>
    <t>2026-03-15T07:49:18Z</t>
  </si>
  <si>
    <t>2026-03-15T10:37:57Z</t>
  </si>
  <si>
    <t>2026-03-15T10:15:45.4424543Z</t>
  </si>
  <si>
    <t>cf76e3b3f2dd47899c6084e9467f5131</t>
  </si>
  <si>
    <t>2026-03-15T05:15:00Z</t>
  </si>
  <si>
    <t>EMEDA2B EMEDA M67 ANANE IDAKU PIKOG L609 ZUKKO</t>
  </si>
  <si>
    <t>2026-03-15T05:43:03Z</t>
  </si>
  <si>
    <t>2026-03-15T06:39:05Z</t>
  </si>
  <si>
    <t>2026-03-15T06:17:58.4506554Z</t>
  </si>
  <si>
    <t>d5d5d88789be446f9d710fe9fc1ea635</t>
  </si>
  <si>
    <t>2026-02-02T17:55:00Z</t>
  </si>
  <si>
    <t>N0280F130 EMEDA2B EMEDA B17 MERVA P68 GALIM/N0278A050 VFR</t>
  </si>
  <si>
    <t>2026-02-02T18:29:55Z</t>
  </si>
  <si>
    <t>2026-02-02T19:13:12Z</t>
  </si>
  <si>
    <t>2026-02-02T18:35:35.3696358Z</t>
  </si>
  <si>
    <t>783f3447dcd041029de4478ab04e3a6a</t>
  </si>
  <si>
    <t>2026-02-02T17:45:00Z</t>
  </si>
  <si>
    <t>ferry flight
FUEL   :   EXTRA FUEL FROM PRE LEG.
DISP    :   UDI A.</t>
  </si>
  <si>
    <t>DCT NAT J15 ATLIT/N0226A055 VFR</t>
  </si>
  <si>
    <t>2026-02-02T17:55:24Z</t>
  </si>
  <si>
    <t>2026-02-02T18:15:39Z</t>
  </si>
  <si>
    <t>2026-02-02T18:00:33.853626Z</t>
  </si>
  <si>
    <t>f84a7ba7a4b84076b1dac35dcc03cc8d</t>
  </si>
  <si>
    <t>2026-02-02T17:40:00Z</t>
  </si>
  <si>
    <t xml:space="preserve">FUEL   :   EXTRA FUEL FOR THE NEXT LEG-ETM.
DISP    :   UDI A.     
OFP    :    NEW FOR NEW DEPRTURE . </t>
  </si>
  <si>
    <t>N0269F130 EMEDA2B EMEDA B17 MERVA P68 GALIM/N0269A050 VFR</t>
  </si>
  <si>
    <t>2026-02-02T17:45:12Z</t>
  </si>
  <si>
    <t>2026-02-02T18:26:40Z</t>
  </si>
  <si>
    <t>2026-02-02T18:20:34.9620533Z</t>
  </si>
  <si>
    <t>NotReleased</t>
  </si>
  <si>
    <t>2a3c69f0fcd441df8b6a4f7eea41662d</t>
  </si>
  <si>
    <t>2026-02-02T16:30:00Z</t>
  </si>
  <si>
    <t>FUEL   :   EXTRA FUEL AS PER COMPANY POLICY.
RTOW  :   21893kg. SPS DATA - RWY15,NO WIND,DRY,24C,Q1013,PACKS OFF.
DISP    :   UDI A.</t>
  </si>
  <si>
    <t>N0235A050 GALIM/N0235A050 IFR P68 MERVA/N0277A140 N131 EMEDA EMEDA1A</t>
  </si>
  <si>
    <t>2026-02-02T16:46:00Z</t>
  </si>
  <si>
    <t>2026-02-02T17:34:03Z</t>
  </si>
  <si>
    <t>2026-02-02T17:15:14.7075241Z</t>
  </si>
  <si>
    <t>aa8ae2a08e064b8fa90bedf4edabf933</t>
  </si>
  <si>
    <t>2026-02-02T14:40:00Z</t>
  </si>
  <si>
    <t xml:space="preserve">FUEL   :   EXTRA FUEL FOR THE NEXT LEG-LCA.
DISP    :   UDI A.   </t>
  </si>
  <si>
    <t>N0272F120 NURIT2H NURIT J10 TOMAL/N0271F080 J10 NAT/N0224F040 J15 ATLIT/N0224F040 VFR 3245N03456E DCT 3248N03457E DCT GALIM</t>
  </si>
  <si>
    <t>2026-02-02T14:30:03Z</t>
  </si>
  <si>
    <t>2026-02-02T15:23:53Z</t>
  </si>
  <si>
    <t>2026-02-02T15:27:55.987006Z</t>
  </si>
  <si>
    <t>1017cdbc240f4fe1bd6dbee982427168</t>
  </si>
  <si>
    <t>2026-02-02T13:55:00Z</t>
  </si>
  <si>
    <t xml:space="preserve">FUEL   :   EXTRA FUEL FOR THE NEXT LEG-MAINTENACE.
DISP    :   UDI A.   </t>
  </si>
  <si>
    <t>N0270F170 KEA1E KEA L995 RDS L609 NILAS/F150 L609 ALKIS/F190 L609 APLON P68 GALIM/N0269A050 VFR</t>
  </si>
  <si>
    <t>2026-02-02T14:11:12Z</t>
  </si>
  <si>
    <t>2026-02-02T17:04:37Z</t>
  </si>
  <si>
    <t>2026-02-02T16:13:11.911195Z</t>
  </si>
  <si>
    <t>73bd0e44a5884215b930be092bcaf2e1</t>
  </si>
  <si>
    <t>2026-02-02T12:50:00Z</t>
  </si>
  <si>
    <t>EXTRA FUEL IS FROM PREVIOUS FLT(YESTERDAY).
T/O DATA-RWY 33,TEMP 22,WIND 0,Q1011,PACKS OFF,....RTOW 21951 KG.
DISP-EREZ Y.</t>
  </si>
  <si>
    <t>N0234A050 GALIM/N0233A050 IFR Q28 ATLIT J15 NAT/N0270A090 J10 SIVAK/N0272A130 J10 NURIT NURIT1D</t>
  </si>
  <si>
    <t>2026-02-02T12:47:51Z</t>
  </si>
  <si>
    <t>2026-02-02T13:42:07Z</t>
  </si>
  <si>
    <t>2026-02-02T13:49:34.7646643Z</t>
  </si>
  <si>
    <t>b4f150db853447009efdb20f982bea67</t>
  </si>
  <si>
    <t>2026-02-02T12:00:00Z</t>
  </si>
  <si>
    <t xml:space="preserve">1.EXPECTED DEICING DUE TEMP AT -CELCIUS AND BKN CLOUDS AT TIME OF ARR/DEP.
2.EXTRA FUEL IS FOR NEXT FLT.
3.F/L 150 BETWEEN RDS-ULIFT DUE EUROCONTROL LIMITATION.
DISP-EREZ Y. </t>
  </si>
  <si>
    <t>N0276F190 OMENO3S OMENO Y505 NIKTI N127 LMO L618 MES N139 LURUS L995 RDS/F150 L995 ULFIT/F170 M978 TOSKA M67 MAROS L609 APLON P68 GALIM/N0276A050 VFR DCT</t>
  </si>
  <si>
    <t>2026-02-02T12:07:45Z</t>
  </si>
  <si>
    <t>2026-02-02T16:08:38Z</t>
  </si>
  <si>
    <t>2026-02-02T15:09:35.8886071Z</t>
  </si>
  <si>
    <t>3b8ff4ce198c45d6b5a4e32b5b65bc6f</t>
  </si>
  <si>
    <t>2026-02-02T11:30:00Z</t>
  </si>
  <si>
    <t>EXTRA FUEL-100 KG PER POLICY+100 KG DUE POSS WX AT DEST AND ALT(VISIBILITY).
T/O DATA-RWY 33,TEMP 22,WIND 0,Q1011,PACKS OFF,....RTOW 21951 KG.
DISP-EREZ Y.</t>
  </si>
  <si>
    <t>2026-02-02T12:01:44Z</t>
  </si>
  <si>
    <t>2026-02-02T12:51:30Z</t>
  </si>
  <si>
    <t>2026-02-02T12:14:47.350483Z</t>
  </si>
  <si>
    <t>ca7d5af21a6a4245a5612cf39e802e2b</t>
  </si>
  <si>
    <t>2026-02-02T09:55:00Z</t>
  </si>
  <si>
    <t>1.F/L 160 BETWEEN ALKIS-NILAS DUE EUROCONTROL LIMITATION.
2.EXTRA FUEL PER POLICY.
3.T/O DATA-RWY 33,TEMP 22,WIND 0,Q1011,PACKS OFF,....RTOW 21951 KG.
DISP-EREZ Y.</t>
  </si>
  <si>
    <t>N0233A050 GALIM/N0233A050 IFR P68 MERVA/N0274A180 P68 APLON L609 ALKIS/F160 L609 NILAS/F200 L609 RDS L995 VARIX VARIX1Q</t>
  </si>
  <si>
    <t>2026-02-02T10:17:11Z</t>
  </si>
  <si>
    <t>2026-02-02T13:01:06Z</t>
  </si>
  <si>
    <t>2026-02-02T12:39:44.7382461Z</t>
  </si>
  <si>
    <t>d3bdc2b7d91341d6b9b0206ad43fbefd</t>
  </si>
  <si>
    <t>2026-02-02T09:50:00Z</t>
  </si>
  <si>
    <t>EXTRA FUEL IS FOR THE NEXT FLT(INCLUDING EXTRA FUEL DUE WX AT LCA) .
DISP-EREZ Y.</t>
  </si>
  <si>
    <t>2026-02-02T09:58:09Z</t>
  </si>
  <si>
    <t>2026-02-02T10:52:16Z</t>
  </si>
  <si>
    <t>2026-02-02T10:37:06.9649699Z</t>
  </si>
  <si>
    <t>a01f3d03901e4919a707f184309e0df7</t>
  </si>
  <si>
    <t>2026-02-02T08:00:00Z</t>
  </si>
  <si>
    <t>1.EXTRA FUEL IS PER POLICY.
2.T/O DATA-RWY 15,TEMP 20C,WIND 0,Q1011,PACKS OFF....RTOW 22351 KG.
DISP-EREZ Y.</t>
  </si>
  <si>
    <t>GALIM/N0233A050 IFR Q28 ATLIT J15 NAT/N0270A090 J10 SIVAK/N0272A130 J10 NURIT NURIT1D</t>
  </si>
  <si>
    <t>2026-02-02T08:00:06Z</t>
  </si>
  <si>
    <t>2026-02-02T09:00:33Z</t>
  </si>
  <si>
    <t>2026-02-02T09:00:42.1175912Z</t>
  </si>
  <si>
    <t>85a218ce74a04b33b5d9d689927a0807</t>
  </si>
  <si>
    <t>2026-02-02T07:15:00Z</t>
  </si>
  <si>
    <t>N0234A050 GALIM/N0233A050 IFR P68 MERVA/N0276A180 P68 APLON L609 RDS N129 PIROX DCT AKBUK G80 OKESA DCT RIKSO N128 PEREN L863 EVIVI Y94 VANET VANET6D</t>
  </si>
  <si>
    <t>2026-02-02T07:16:25Z</t>
  </si>
  <si>
    <t>2026-02-02T10:53:52Z</t>
  </si>
  <si>
    <t>2026-02-02T10:52:12.3454303Z</t>
  </si>
  <si>
    <t>53698507145342e8a63363317283d278</t>
  </si>
  <si>
    <t>2026-02-28T09:10:00Z</t>
  </si>
  <si>
    <t>EXTRA FUEL IS FROM PREVIOUS FLT.
T/O DATA - RWY 15,TEMP 14C,WIND 0,Q1018,PACKS OFF....RTOW 22747.
DISP-EREZ Y.</t>
  </si>
  <si>
    <t>N0235A050 GALIM/N0234A050 IFR P68 MERVA/N0283A140 N131 EMEDA EMEDA1A</t>
  </si>
  <si>
    <t>2026-02-28T09:09:19Z</t>
  </si>
  <si>
    <t>2026-02-28T09:55:59Z</t>
  </si>
  <si>
    <t>2026-02-28T09:54:53.7081758Z</t>
  </si>
  <si>
    <t>0130bb47ab6e49859bc9342d4da9602d</t>
  </si>
  <si>
    <t>2026-02-28T09:05:00Z</t>
  </si>
  <si>
    <t>2026-02-28T09:49:54.0069384Z</t>
  </si>
  <si>
    <t>35db99f2e4fe4f28bd6267bf20c3b9d3</t>
  </si>
  <si>
    <t>2026-02-28T08:50:00Z</t>
  </si>
  <si>
    <t>2026-02-28T09:13:28Z</t>
  </si>
  <si>
    <t>2026-02-28T09:57:06Z</t>
  </si>
  <si>
    <t>2026-02-28T09:34:54.6214432Z</t>
  </si>
  <si>
    <t>9bcd3ece01d74bb89cbe544f441d3712</t>
  </si>
  <si>
    <t>2026-02-28T08:45:00Z</t>
  </si>
  <si>
    <t>N0235A050 GALIM/N0234A050 IFR P68 MERVA/N0279A140 N131 EMEDA EMEDA1A</t>
  </si>
  <si>
    <t>2026-02-28T09:29:53.2069591Z</t>
  </si>
  <si>
    <t>15524843002d4095b949c6c7007f7ad3</t>
  </si>
  <si>
    <t>2026-01-27T20:00:00Z</t>
  </si>
  <si>
    <t>!!!!!***** NOT FOR OPERATIONAL USE ************!!!!!!!!!!!!</t>
  </si>
  <si>
    <t>2026-01-27T20:49:01.3881076Z</t>
  </si>
  <si>
    <t>a2009beca57745bc80b11c94fb0c0a39</t>
  </si>
  <si>
    <t>2026-01-27T17:55:00Z</t>
  </si>
  <si>
    <t xml:space="preserve">ATTN TO ENRTE ICING.
EXTRA FUEL TO COVER THE NEXT LEG.
THIS FLIGHT WAS PREPARED BY AYELET W UNDER THE SUPER. OF LIAT N.
</t>
  </si>
  <si>
    <t>2026-01-27T18:19:33Z</t>
  </si>
  <si>
    <t>2026-01-27T19:01:49Z</t>
  </si>
  <si>
    <t>2026-01-27T18:35:39.0212065Z</t>
  </si>
  <si>
    <t>d92a1d10a8bb4e7b8e020ce4aaf42286</t>
  </si>
  <si>
    <t>2026-01-27T16:30:00Z</t>
  </si>
  <si>
    <t>EXTRA FUEL IS PER COMPANY POLICY
ATTN TO ENRTE ICING.
SPS DATA: RWY 15. DRY. 150/03KTS  18C 1013Q    RTOW-22660KG
DIS BY AYELET W. UNDER THE SUPER. OF LIAT N</t>
  </si>
  <si>
    <t>2026-01-27T16:48:48Z</t>
  </si>
  <si>
    <t>2026-01-27T17:32:26Z</t>
  </si>
  <si>
    <t>2026-01-27T17:13:30.6648101Z</t>
  </si>
  <si>
    <t>ffa9fa88eb2a455ab8c1861a0183b05e</t>
  </si>
  <si>
    <t>2026-01-27T15:25:00Z</t>
  </si>
  <si>
    <t>EXTRA FUEL FOR THE NEXT LEG
ATTN TO ENRTE ICING
DIS BY AYELET W UNDER THE SUPER. OF LIAT N</t>
  </si>
  <si>
    <t>KEA1N KEA L995 RDS L609 NILAS L609 ALKIS L609 APLON P68 GALIM/F050 VFR</t>
  </si>
  <si>
    <t>2026-01-27T15:31:58Z</t>
  </si>
  <si>
    <t>2026-01-27T17:58:13Z</t>
  </si>
  <si>
    <t>2026-01-27T17:44:31.7707164Z</t>
  </si>
  <si>
    <t>f158e0a24d6c484a92d508a5282fb3db</t>
  </si>
  <si>
    <t>2026-01-27T14:40:00Z</t>
  </si>
  <si>
    <t>EXTRA FUEL IS FOR THE NEXT LEG 
DIS BY AYELET W UNDER THE SUPER. OF LIAT N.</t>
  </si>
  <si>
    <t>2026-01-27T15:19:20Z</t>
  </si>
  <si>
    <t>2026-01-27T16:08:43Z</t>
  </si>
  <si>
    <t>2026-01-27T15:27:02.1760137Z</t>
  </si>
  <si>
    <t>46b95ccf0aa3484ca1b4823edb47ada3</t>
  </si>
  <si>
    <t>2026-01-27T12:50:00Z</t>
  </si>
  <si>
    <t>1. THIS FLIGHT WAS PREPARED BY NIMROD R.
2. LLHA-RWY 15 RTOW 22407KG. SPS DATA: 240/05KTS, DRY, 20C DEG, QNH 1013, Air Cond. OFF.
3. A/C IS FUELED WITH 1860 KG FROM PREVIOUS LEG.</t>
  </si>
  <si>
    <t>2026-01-27T12:35:18Z</t>
  </si>
  <si>
    <t>2026-01-27T13:35:41Z</t>
  </si>
  <si>
    <t>2026-01-27T13:50:50.4549832Z</t>
  </si>
  <si>
    <t>324a2711f0ec48cdb88198a9a26d60da</t>
  </si>
  <si>
    <t>2026-01-27T11:45:00Z</t>
  </si>
  <si>
    <t>1. THIS FLIGHT WAS PREPARED BY NIMROD R.
2. LLHA-RWY 15 RTOW 22522KG. SPS DATA: 220/05KTS, DRY, 20C DEG, QNH 1014, Air Cond. OFF.
3. EXTRA FUEL PLANNED DUE TO WX AT DEST AND ENROUTE.
4. DISPATCHED AT FL160 DUE TO H-WINDS ENROUTE.</t>
  </si>
  <si>
    <t>GALIM/F050 IFR P68 MERVA/F160 P68 APLON L609 RDS L995 VARIX VARIX1Q</t>
  </si>
  <si>
    <t>2026-01-27T11:46:46Z</t>
  </si>
  <si>
    <t>2026-01-27T14:31:24Z</t>
  </si>
  <si>
    <t>2026-01-27T14:18:33.818561Z</t>
  </si>
  <si>
    <t>25554ba418d14d348a55515c0bf95b1e</t>
  </si>
  <si>
    <t>2026-01-27T11:10:00Z</t>
  </si>
  <si>
    <t>1. THIS FLIGHT WAS PREPARED BY NIMROD R.
2. EXTRA FUEL TO COVER THE NEXT LEG.
3. NEW OFP REV. 01 ISSUED DUE TO DECREASE OF ZFW.</t>
  </si>
  <si>
    <t>2026-01-27T11:09:37Z</t>
  </si>
  <si>
    <t>2026-01-27T11:49:18Z</t>
  </si>
  <si>
    <t>2026-01-27T11:51:50.008102Z</t>
  </si>
  <si>
    <t>6f8817e232eb4136b53fb9d86b2558b4</t>
  </si>
  <si>
    <t>2026-01-27T09:21:00Z</t>
  </si>
  <si>
    <t>1. THIS FLIGHT WAS PREPARED BY NIMROD R.
2. LLHA-RWY 15 RTOW 22670KG. SPS DATA: 220/05KTS, DRY, 17C DEG, QNH 1014, Air Cond. OFF.
3. EXTRA FUEL PLANNED AS PER COMPANY POLICY.</t>
  </si>
  <si>
    <t>2026-01-27T09:23:46Z</t>
  </si>
  <si>
    <t>2026-01-27T10:08:52Z</t>
  </si>
  <si>
    <t>2026-01-27T10:04:48.6418284Z</t>
  </si>
  <si>
    <t>9f7bd9684c444d6697814ad7b619702a</t>
  </si>
  <si>
    <t>2026-01-27T07:50:00Z</t>
  </si>
  <si>
    <t>2026-01-27T07:48:30Z</t>
  </si>
  <si>
    <t>2026-01-27T08:37:15Z</t>
  </si>
  <si>
    <t>2026-01-27T08:37:23.6571788Z</t>
  </si>
  <si>
    <t>7b8344b498334bfaadfe4da0026dfa9a</t>
  </si>
  <si>
    <t>2026-01-27T06:00:00Z</t>
  </si>
  <si>
    <t>1. THIS FLIGHT WAS PREPARED BY NIMROD R.
2. LLHA-RWY 15 RTOW 22784KG. SPS DATA: 120/03KTS, DRY, 15C DEG, QNH 1014, Air Cond. OFF.
3. A/C IS FUELED WITH 1850 KG FROM PREVIOUS LEG.</t>
  </si>
  <si>
    <t>2026-01-27T06:02:27Z</t>
  </si>
  <si>
    <t>2026-01-27T07:04:15Z</t>
  </si>
  <si>
    <t>2026-01-27T07:00:26.5517779Z</t>
  </si>
  <si>
    <t>571fc2ac465b48f78b903c97b21b4a00</t>
  </si>
  <si>
    <t>2026-02-22T17:55:00Z</t>
  </si>
  <si>
    <t>N0276F130 EMEDA2B EMEDA B17 MERVA P68 GALIM/N0274A050 VFR</t>
  </si>
  <si>
    <t>2026-02-22T18:13:12Z</t>
  </si>
  <si>
    <t>2026-02-22T18:53:44Z</t>
  </si>
  <si>
    <t>2026-02-22T18:35:52.9626121Z</t>
  </si>
  <si>
    <t>402f01332ded49caa48d35916e1b2805</t>
  </si>
  <si>
    <t>2026-02-22T16:30:00Z</t>
  </si>
  <si>
    <t>EXTRA FUEL IS PER COMPANY POLICY 
T/O DATA: RWY 15. DRY. 0K 19C 1014Q   AC-OFF           RTOW- 22444KG
DIS. AYELET W.</t>
  </si>
  <si>
    <t>N0236A050 GALIM/N0235A050 IFR P68 MERVA/N0276A140 N131 EMEDA EMEDA1A</t>
  </si>
  <si>
    <t>2026-02-22T16:42:57Z</t>
  </si>
  <si>
    <t>2026-02-22T17:26:25Z</t>
  </si>
  <si>
    <t>2026-02-22T17:15:20.7858213Z</t>
  </si>
  <si>
    <t>bf3beb39480048539155fa8c2de9b936</t>
  </si>
  <si>
    <t>2026-02-22T15:25:00Z</t>
  </si>
  <si>
    <t>OFP REV 01 - DUE TO ZFW CHANGE
EXTRA FUEL IS FOR THE NEXT LEG
DIS. BY AYELET W.</t>
  </si>
  <si>
    <t>KEA1E KEA L52 VAXOS/N0273F190 M978 TOSKA M67 MAROS L609 APLON P68 GALIM/F050 VFR DCT</t>
  </si>
  <si>
    <t>2026-02-22T15:33:50Z</t>
  </si>
  <si>
    <t>2026-02-22T17:55:08Z</t>
  </si>
  <si>
    <t>2026-02-22T17:49:40.607734Z</t>
  </si>
  <si>
    <t>e1b9414f066941958f4c333031570f31</t>
  </si>
  <si>
    <t>2026-02-22T14:40:00Z</t>
  </si>
  <si>
    <t>OFP REV 01- DUE TO CHANGE IN ZFW
EXTRA FUEL IS FOR THE NEXT FLT.
DISP-EREZ Y.</t>
  </si>
  <si>
    <t>2026-02-22T14:48:57Z</t>
  </si>
  <si>
    <t>2026-02-22T15:30:13Z</t>
  </si>
  <si>
    <t>2026-02-22T15:20:29.7043943Z</t>
  </si>
  <si>
    <t>ddb941fb05844e1e82928486e663bb31</t>
  </si>
  <si>
    <t>EXTRA FUEL IS FOR THE NEXT FLIGHT.
DIS. BY AYELET W .</t>
  </si>
  <si>
    <t>2026-02-22T15:17:37Z</t>
  </si>
  <si>
    <t>2026-02-22T16:09:27Z</t>
  </si>
  <si>
    <t>2026-02-22T15:28:14.0118639Z</t>
  </si>
  <si>
    <t>65c6480ae8ae48f79363bfb091d6c92b</t>
  </si>
  <si>
    <t>2026-02-22T13:00:00Z</t>
  </si>
  <si>
    <t>EXTRA FUEL IS PER POLICY.
T/O DATA-RWY 33,TEMP 19C,WIND 0,Q1015,PACKS OFF,....RTOW 22157 KG.
DISP-EREZ Y.</t>
  </si>
  <si>
    <t>2026-02-22T12:55:28Z</t>
  </si>
  <si>
    <t>2026-02-22T13:38:12Z</t>
  </si>
  <si>
    <t>2026-02-22T13:44:42.3799616Z</t>
  </si>
  <si>
    <t>78761727b1584551b55d914d01895411</t>
  </si>
  <si>
    <t>2026-02-22T12:50:00Z</t>
  </si>
  <si>
    <t>2026-02-22T12:47:39Z</t>
  </si>
  <si>
    <t>2026-02-22T15:45:52Z</t>
  </si>
  <si>
    <t>2026-02-22T13:50:11.5234197Z</t>
  </si>
  <si>
    <t>144aad66bb884b5ba4dd494a6f082a31</t>
  </si>
  <si>
    <t>2026-02-22T11:45:00Z</t>
  </si>
  <si>
    <t>EXTRA FUEL IS PER POLICY.
T/O DATA-RWY 33,TEMP 18C,WIND 0,Q1015,PACKS OFF,....RTOW 22207 KG.
DISP-EREZ Y.</t>
  </si>
  <si>
    <t>N0233A050 GALIM/N0232A050 IFR P68 MERVA/N0266A160 P68 APLON L609 RDS L995 VARIX VARIX1Q</t>
  </si>
  <si>
    <t>2026-02-22T11:47:07Z</t>
  </si>
  <si>
    <t>2026-02-22T14:26:37Z</t>
  </si>
  <si>
    <t>2026-02-22T14:22:39.4506867Z</t>
  </si>
  <si>
    <t>0779fc1b1f714a61a80c5769e121dd83</t>
  </si>
  <si>
    <t>2026-02-22T11:10:00Z</t>
  </si>
  <si>
    <t>2026-02-22T11:15:52Z</t>
  </si>
  <si>
    <t>2026-02-22T12:01:17Z</t>
  </si>
  <si>
    <t>2026-02-22T11:49:57.3968046Z</t>
  </si>
  <si>
    <t>8a16415d84a54bca96d8b4b8951b6618</t>
  </si>
  <si>
    <t>2026-02-22T09:55:00Z</t>
  </si>
  <si>
    <t>2026-02-22T09:59:44Z</t>
  </si>
  <si>
    <t>2026-02-22T10:48:50Z</t>
  </si>
  <si>
    <t>2026-02-22T10:43:30.1716097Z</t>
  </si>
  <si>
    <t>8ceffd5e292d4a6db8f2d2f2b56c3d58</t>
  </si>
  <si>
    <t>2026-02-22T09:30:00Z</t>
  </si>
  <si>
    <t>AC IS FUELED WITH 1500 KG FROM PREVIOUS FLIGHT.
T/O DATA-RWY 33,TEMP 18C,WIND 0,Q1015,PACKS OFF,....RTOW 22207 KG.
DISP-EREZ Y.</t>
  </si>
  <si>
    <t>2026-02-22T09:33:18Z</t>
  </si>
  <si>
    <t>2026-02-22T10:21:15Z</t>
  </si>
  <si>
    <t>2026-02-22T10:16:16.444564Z</t>
  </si>
  <si>
    <t>3d508798d6aa434691998a24cafb7f7d</t>
  </si>
  <si>
    <t>2026-02-22T09:25:00Z</t>
  </si>
  <si>
    <t>1.F/L 150 ALKIS-NILAS IS DUE EUROCONTROL LIMITATION,OPT LVL MIGHT BE APPROVED UPON REQ BY ATC.
2.EXTRA FUEL IS FOR THE NEXT FLT(LCA).
DISP-EREZ Y.</t>
  </si>
  <si>
    <t>KEA1N KEA L995 RDS L609 NILAS/F150 L609 ALKIS/F190 L609 APLON P68 MERVA P68 GALIM/F050 VFR</t>
  </si>
  <si>
    <t>2026-02-22T09:42:36Z</t>
  </si>
  <si>
    <t>2026-02-22T12:07:57Z</t>
  </si>
  <si>
    <t>2026-02-22T11:46:05.626359Z</t>
  </si>
  <si>
    <t>fe62cd0605a643d7a4720476493d1b5d</t>
  </si>
  <si>
    <t>2026-02-22T08:50:00Z</t>
  </si>
  <si>
    <t>2026-02-22T09:05:27Z</t>
  </si>
  <si>
    <t>2026-02-22T09:57:02Z</t>
  </si>
  <si>
    <t>2026-02-22T09:38:13.4842523Z</t>
  </si>
  <si>
    <t>34066dedb25a445baba0bef70d9d64c6</t>
  </si>
  <si>
    <t>2026-02-22T08:05:00Z</t>
  </si>
  <si>
    <t>AC IS FUELED WITH 1620 FROM PREVIOUS FLIGHT.
T/O DATA-RWY 15,TEMP 17C,WIND 0,Q1014,PACKS OFF,.....RTOW 22543 KG.
DISP-EREZ Y.</t>
  </si>
  <si>
    <t>2026-02-22T08:08:00Z</t>
  </si>
  <si>
    <t>2026-02-22T08:58:27Z</t>
  </si>
  <si>
    <t>2026-02-22T08:57:54.4895901Z</t>
  </si>
  <si>
    <t>778dc23abb6449f5839c1b9d8a0790ce</t>
  </si>
  <si>
    <t>2026-02-22T07:00:00Z</t>
  </si>
  <si>
    <t>AC IS FUELED WITH 1900KF FROM PREV. FLIGHT.
T/O DATA-RWY 15,TEMP 17C,WIND 0,Q1014,PACKS OFF,.....RTOW 22543 KG.
DISP-EREZ Y.</t>
  </si>
  <si>
    <t>2026-02-22T07:04:09Z</t>
  </si>
  <si>
    <t>2026-02-22T08:04:42Z</t>
  </si>
  <si>
    <t>2026-02-22T08:00:06.5509823Z</t>
  </si>
  <si>
    <t>04ef67301f474591a98df6960c9b7a9c</t>
  </si>
  <si>
    <t>2026-02-22T05:45:00Z</t>
  </si>
  <si>
    <t>1.EXTRA FUEL OF 200 CONSIST OF 100 PER POLICY+100 DUE POSS TSRA AT DEST FOR THE TIME OF ARR.
2.T/O DATA-RWY 15,TEMP 17C,WIND 0,Q1014,PACKS OFF,.....RTOW 22543 KG.
DISP-EREZ Y.</t>
  </si>
  <si>
    <t>2026-02-22T05:57:39Z</t>
  </si>
  <si>
    <t>2026-02-22T08:39:45Z</t>
  </si>
  <si>
    <t>2026-02-22T08:26:35.7565035Z</t>
  </si>
  <si>
    <t>acddffc5fab54be1aade5dd0e7885e26</t>
  </si>
  <si>
    <t>2026-01-10T18:20:00Z</t>
  </si>
  <si>
    <t>1. THIS FLIGT WAS PREPARED BY NIMROD R.
2. EXTRA FUEL TO COVER THE NEXT LEG.</t>
  </si>
  <si>
    <t>N0266F120 NURIT2H NURIT J10 TOMAL/N0265F080 J10 NAT/N0223F040 J15 ATLIT/N0224F040 VFR HOTRM DAROM GALIM</t>
  </si>
  <si>
    <t>2026-01-10T18:18:32Z</t>
  </si>
  <si>
    <t>2026-01-10T19:09:26Z</t>
  </si>
  <si>
    <t>2026-01-10T19:10:32.5146735Z</t>
  </si>
  <si>
    <t>d3fbec15585d4875a91a468bf95b04c2</t>
  </si>
  <si>
    <t>2026-01-10T17:00:00Z</t>
  </si>
  <si>
    <t>2026-01-10T17:10:18Z</t>
  </si>
  <si>
    <t>2026-01-10T17:50:30Z</t>
  </si>
  <si>
    <t>2026-01-10T17:40:37.0368426Z</t>
  </si>
  <si>
    <t>39ac4167ae834901984a7f1e303155fc</t>
  </si>
  <si>
    <t>2026-01-10T16:15:00Z</t>
  </si>
  <si>
    <t>1. THIS FLIGT WAS PREPARED BY NIMROD R.
2. LLHA-RWY 15 RTOW 22746KG. SPS DATA: 150/03KTS, WET, 18C DEG, QNH 1020, Air Cond. OFF.
3. EXTRA FUEL PLANNED AS PER COMPANY POLICY.</t>
  </si>
  <si>
    <t>N0233A050 GALIM/N0232A050 IFR Q28 ATLIT J15 NAT/N0267A090 J10 SIVAK/N0270A130 J10 NURIT NURIT1D</t>
  </si>
  <si>
    <t>2026-01-10T16:25:46Z</t>
  </si>
  <si>
    <t>2026-01-10T17:25:25Z</t>
  </si>
  <si>
    <t>2026-01-10T17:11:10.7436366Z</t>
  </si>
  <si>
    <t>d9327953b8c44676b573accc9d322535</t>
  </si>
  <si>
    <t>2026-01-10T15:20:00Z</t>
  </si>
  <si>
    <t>2026-01-10T15:13:48Z</t>
  </si>
  <si>
    <t>2026-01-10T15:56:12Z</t>
  </si>
  <si>
    <t>2026-01-10T16:05:44.3050303Z</t>
  </si>
  <si>
    <t>60e45107a78846be81cfa62757c6847e</t>
  </si>
  <si>
    <t>2026-01-10T15:00:00Z</t>
  </si>
  <si>
    <t>1. THIS FLIGT WAS PREPARED BY NIMROD R.
2. EXTRA FUEL TO COVER THE NEXT LEG.
3. DISPATCHED AT FL150 DUE TO ALT RESTRICTION ENROUTE.
4. NEW OFP REV. 01 ISSUED DUE TO ZFW AND BLOCK FUEL CHG.</t>
  </si>
  <si>
    <t>KEA1E KEA L995 RDS L609 ALKIS/F190 L609 APLON P68 GALIM VFR</t>
  </si>
  <si>
    <t>2026-01-10T15:03:15Z</t>
  </si>
  <si>
    <t>2026-01-10T17:19:05Z</t>
  </si>
  <si>
    <t>2026-01-10T17:18:46.2243846Z</t>
  </si>
  <si>
    <t>5e2e269751684dc1956f6a699e241222</t>
  </si>
  <si>
    <t>2026-01-10T14:55:00Z</t>
  </si>
  <si>
    <t>2026-01-10T14:57:17Z</t>
  </si>
  <si>
    <t>2026-01-10T15:46:44Z</t>
  </si>
  <si>
    <t>2026-01-10T15:42:41.9964797Z</t>
  </si>
  <si>
    <t>a6770fe190544d7da219442a2b604140</t>
  </si>
  <si>
    <t>2026-01-10T13:45:00Z</t>
  </si>
  <si>
    <t>2026-01-10T13:53:59Z</t>
  </si>
  <si>
    <t>2026-01-10T14:32:41Z</t>
  </si>
  <si>
    <t>2026-01-10T14:24:42.0483543Z</t>
  </si>
  <si>
    <t>f1c9ad42cd41423bad3e8acdfe7adf37</t>
  </si>
  <si>
    <t>2026-01-10T13:05:00Z</t>
  </si>
  <si>
    <t>1. THIS FLIGT WAS PREPARED BY NIMROD R.
2. LLHA-RWY 15 RTOW 22727KG. SPS DATA: 220/06KTS, WET, 18C DEG, QNH 1020, Air Cond. OFF.
3. A/C IS FUELED WITH 1820 KG FROM PREVIOUS LEG.</t>
  </si>
  <si>
    <t>2026-01-10T12:40:46Z</t>
  </si>
  <si>
    <t>2026-01-10T13:32:59Z</t>
  </si>
  <si>
    <t>2026-01-10T13:57:16.1280369Z</t>
  </si>
  <si>
    <t>215fa63a0ca74862a7cedb5afa237e24</t>
  </si>
  <si>
    <t>2026-01-10T12:05:00Z</t>
  </si>
  <si>
    <t>1. THIS FLIGT WAS PREPARED BY NIMROD R.
2. LLHA-RWY 15 RTOW 22727KG. SPS DATA: 220/06KTS, WET, 18C DEG, QNH 1020, Air Cond. OFF.
3. A/C IS FUELED WITH 1670 KG FROM PREVIOUS LEG.</t>
  </si>
  <si>
    <t>2026-01-10T12:02:58Z</t>
  </si>
  <si>
    <t>2026-01-10T12:46:08Z</t>
  </si>
  <si>
    <t>2026-01-10T12:52:37.092736Z</t>
  </si>
  <si>
    <t>626bd141761c49ce9ab06264bbe6e58a</t>
  </si>
  <si>
    <t>2026-01-10T11:20:00Z</t>
  </si>
  <si>
    <t>1. THIS FLIGT WAS PREPARED BY NIMROD R.
2. LLHA-RWY 15 RTOW 22727KG. SPS DATA: 220/06KTS, WET, 18C DEG, QNH 1020, Air Cond. OFF.
3. EXTRA FUEL PLANNED AS PER COMPANY POLICY.
4. DISPATCHED AT INITIAL FL160 DUE TO FAVORABLE WINDS AT LOWER ALT, AND ALT RESTRICTION ENROUTE.</t>
  </si>
  <si>
    <t>GALIM/F050 IFR P68 MERVA/F160 P68 APLON L609 NILAS/F180 L609 RDS L995 VARIX VARIX1Q</t>
  </si>
  <si>
    <t>2026-01-10T11:13:01Z</t>
  </si>
  <si>
    <t>2026-01-10T13:58:10Z</t>
  </si>
  <si>
    <t>2026-01-10T14:10:48.9473957Z</t>
  </si>
  <si>
    <t>8579590a64184905acf3ca294a50919c</t>
  </si>
  <si>
    <t>2026-01-30T11:10:00Z</t>
  </si>
  <si>
    <t>1. THIS FLIGT WAS PREPARED BY NIMROD R.
2. EXTRA FUEL TO COVER THE NEXT LEG.
3. DISPATCHED AT FL150 DUE TO WX ENROUTE.</t>
  </si>
  <si>
    <t>2026-01-30T11:18:08Z</t>
  </si>
  <si>
    <t>2026-01-30T12:00:06Z</t>
  </si>
  <si>
    <t>2026-01-30T11:50:36.4553283Z</t>
  </si>
  <si>
    <t>9ba741d9f7cb405ea683b8bed7821720</t>
  </si>
  <si>
    <t>2026-01-30T10:25:00Z</t>
  </si>
  <si>
    <t>1. THIS FLIGT WAS PREPARED BY NIMROD R.
2. EXTRA FUEL TO COVER THE NEXT LEG.
3. DISPATCHED RDS-ULIFT AT FL150 DUE TO EUROCONTROL LIMITATION. HIGHER FL MIGHT BE APPROVED BY ATC UPON REQ.</t>
  </si>
  <si>
    <t>OMENO3S OMENO Y505 NIKTI N127 LMO L618 MES N139 LURUS L995 RDS/F150 L995 ULFIT M978 TOSKA M67 MAROS L609 APLON P68 GALIM/N0274A050 VFR</t>
  </si>
  <si>
    <t>2026-01-30T10:47:07Z</t>
  </si>
  <si>
    <t>2026-01-30T13:46:08Z</t>
  </si>
  <si>
    <t>2026-01-30T13:25:32.1999441Z</t>
  </si>
  <si>
    <t>362b51e49c74441392e6df56e4be66ed</t>
  </si>
  <si>
    <t>2026-01-30T09:30:00Z</t>
  </si>
  <si>
    <t>1. THIS FLIGT WAS PREPARED BY NIMROD R.
2. LLHA-RWY 15 RTOW 22543KG. SPS DATA: 220/05KTS, DRY, 19C DEG, QNH 1012, Air Cond. OFF.
3. EXTRA FUEL PLANNED DUE TO POSSIBLE WX AT DEST.</t>
  </si>
  <si>
    <t>2026-01-30T09:29:38Z</t>
  </si>
  <si>
    <t>2026-01-30T10:17:13Z</t>
  </si>
  <si>
    <t>2026-01-30T10:17:29.7175649Z</t>
  </si>
  <si>
    <t>30681e7492e14f79843dc3a0856325b2</t>
  </si>
  <si>
    <t>2026-01-30T09:25:00Z</t>
  </si>
  <si>
    <t>KEA1E KEA L995 RDS L609 NILAS L609 ALKIS/F190 L609 APLON P68 GALIM/F050 VFR</t>
  </si>
  <si>
    <t>2026-01-30T09:39:49Z</t>
  </si>
  <si>
    <t>2026-01-30T11:47:39Z</t>
  </si>
  <si>
    <t>2026-01-30T11:33:55.028469Z</t>
  </si>
  <si>
    <t>dc3a8c9bcf6e45218a3f28b825ca65cd</t>
  </si>
  <si>
    <t>2026-01-30T08:50:00Z</t>
  </si>
  <si>
    <t>N0275F120 NURIT2H NURIT J10 TOMAL/N0273F080 J10 NAT/N0224F040 J15 ATLIT/N0225F040 VFR HOTRM DAROM GALIM</t>
  </si>
  <si>
    <t>2026-01-30T08:45:53Z</t>
  </si>
  <si>
    <t>2026-01-30T09:40:56Z</t>
  </si>
  <si>
    <t>2026-01-30T09:38:45.9302554Z</t>
  </si>
  <si>
    <t>1afe95e3e74845b29db96ab8a55477e7</t>
  </si>
  <si>
    <t>2026-01-30T07:40:00Z</t>
  </si>
  <si>
    <t>2026-01-30T07:35:42Z</t>
  </si>
  <si>
    <t>2026-01-30T08:14:27Z</t>
  </si>
  <si>
    <t>2026-01-30T08:19:22.0088853Z</t>
  </si>
  <si>
    <t>b76fe1bff4844ebeb81ee327843e9738</t>
  </si>
  <si>
    <t>2026-01-30T07:00:00Z</t>
  </si>
  <si>
    <t>1. THIS FLIGT WAS PREPARED BY NIMROD R.
2. LLHA-RWY 15 RTOW 22745KG. SPS DATA: 160/05KTS, DRY, 18C DEG, QNH 1013, Air Cond. OFF.
3. A/C IS FUELED WITH 1920 KG FROM PREVIOUS LEG.</t>
  </si>
  <si>
    <t>GALIM/N0235A050 IFR Q28 ATLIT J15 NAT/N0275A090 J10 SIVAK/N0273A130 J10 NURIT NURIT1D</t>
  </si>
  <si>
    <t>2026-01-30T06:58:51Z</t>
  </si>
  <si>
    <t>2026-01-30T07:55:13Z</t>
  </si>
  <si>
    <t>2026-01-30T07:58:38.3161143Z</t>
  </si>
  <si>
    <t>8bc648cfcb3847079e94529ece527e60</t>
  </si>
  <si>
    <t>2026-01-30T06:00:00Z</t>
  </si>
  <si>
    <t>1. THIS FLIGT WAS PREPARED BY NIMROD R.
2. LLHA-RWY 15 RTOW 22835KG. SPS DATA: 160/05KTS, DRY, 16C DEG, QNH 1013, Air Cond. OFF.
3. A/C IS FUELED WITH 1480 KG FROM PREVIOUS LEG.</t>
  </si>
  <si>
    <t>2026-01-30T05:57:17Z</t>
  </si>
  <si>
    <t>2026-01-30T06:44:26Z</t>
  </si>
  <si>
    <t>2026-01-30T06:46:42.6773198Z</t>
  </si>
  <si>
    <t>c05f5224f9344d6dbea5a4fcdda2e2a1</t>
  </si>
  <si>
    <t>2026-01-30T05:45:00Z</t>
  </si>
  <si>
    <t>1. THIS FLIGT WAS PREPARED BY NIMROD R.
2. LLHA-RWY 15 RTOW 22870KG. SPS DATA: 140/06KTS, DRY, 16C DEG, QNH 1013, Air Cond. OFF.
3. EXTRA FUEL PLANNED AS PER COMPANY POLICY.
4. DISPATCHED AT FL120 DUE TO STRONG H-WINDS ENROUTE.</t>
  </si>
  <si>
    <t>2026-01-30T05:49:53Z</t>
  </si>
  <si>
    <t>2026-01-30T08:45:09Z</t>
  </si>
  <si>
    <t>2026-01-30T08:31:29.6453643Z</t>
  </si>
  <si>
    <t>eb81f83d2272417fb52e0cfb77a563b6</t>
  </si>
  <si>
    <t>2026-01-30T05:40:00Z</t>
  </si>
  <si>
    <t>1. THIS FLIGT WAS PREPARED BY NIMROD R.
2. LLHA-RWY 15 RTOW 22870KG. SPS DATA: 140/06KTS, DRY, 16C DEG, QNH 1013, Air Cond. OFF.
3. EXTRA FUEL PLANNED DUE TO POSSIBLE WX AT DEST AND ENROUTE.
4. DISPATCHED AT FL140 DUE TO STRONG H-WINDS ENROUTE.</t>
  </si>
  <si>
    <t>GALIM/F050 IFR P68 MERVA/F140 P68 APLON L609 RDS N129 PIROX DCT AKBUK G80 OKESA DCT RIKSO N128 PEREN L863 EVIVI Y94 VANET VANET6D</t>
  </si>
  <si>
    <t>2026-01-30T05:42:24Z</t>
  </si>
  <si>
    <t>2026-01-30T09:24:03Z</t>
  </si>
  <si>
    <t>2026-01-30T09:21:45.4938384Z</t>
  </si>
  <si>
    <t>4f7ca93a32db4bf49e9a417420db524f</t>
  </si>
  <si>
    <t>2026-02-09T17:25:00Z</t>
  </si>
  <si>
    <t>EXTRA FUEL IS FOR THE NEXT FLT(LLER)
DIS. BY AYELET W.</t>
  </si>
  <si>
    <t>2026-02-09T17:47:19Z</t>
  </si>
  <si>
    <t>2026-02-09T18:28:08Z</t>
  </si>
  <si>
    <t>2026-02-09T18:06:04.5608818Z</t>
  </si>
  <si>
    <t>a17cd8156d3b43f18ba3d7017e4b84c8</t>
  </si>
  <si>
    <t>2026-02-09T16:00:00Z</t>
  </si>
  <si>
    <t>AC IS FUELED WITH 1520KG FROM PREV. LEG
T/O DATA: RWY 33. DRY. 0K. 21C 1010Q. AC-OFF.    RTOW-21986KG
DIS. BY AYELET W.</t>
  </si>
  <si>
    <t>N0234A050 GALIM/N0233A050 IFR P68 MERVA/N0269A140 N131 EMEDA EMEDA1A</t>
  </si>
  <si>
    <t>2026-02-09T16:00:50Z</t>
  </si>
  <si>
    <t>2026-02-09T16:45:32Z</t>
  </si>
  <si>
    <t>2026-02-09T16:47:10.2455682Z</t>
  </si>
  <si>
    <t>fa5a629c713b4b88a2ef4efba011d5ba</t>
  </si>
  <si>
    <t>2026-02-09T15:25:00Z</t>
  </si>
  <si>
    <t>EXTRA FUEL IS FOR THE NEXT LEG
DIS. BY AYELET W.</t>
  </si>
  <si>
    <t>KEA1E KEA L995 RDS L609 APLON P68 MERVA/F190 P68 GALIM/N0264A050 VFR</t>
  </si>
  <si>
    <t>2026-02-09T15:32:26Z</t>
  </si>
  <si>
    <t>2026-02-09T17:53:58Z</t>
  </si>
  <si>
    <t>2026-02-09T17:41:51.3743038Z</t>
  </si>
  <si>
    <t>3d64f694bd1d4ac48bdce496ad2bb59d</t>
  </si>
  <si>
    <t>2026-02-09T14:20:00Z</t>
  </si>
  <si>
    <t>EXTRA FUEL TO COVER THE NEXT LEG
DIS.  BY AYELET W.</t>
  </si>
  <si>
    <t>2026-02-09T14:28:10Z</t>
  </si>
  <si>
    <t>2026-02-09T15:23:45Z</t>
  </si>
  <si>
    <t>2026-02-09T15:09:34.0023117Z</t>
  </si>
  <si>
    <t>ac96e2cd20d7494ea04e4f0f6d3a1e83</t>
  </si>
  <si>
    <t>2026-02-09T12:30:00Z</t>
  </si>
  <si>
    <t>EXTRA FUEL IS FROM THE PREVIOUS FLT.
T/O DATA -RWY 33,TEMP 22C,WIND 320/02,Q1012,PACKS OFF,....RTOW 22083 KG.
DISP-EREZ Y.</t>
  </si>
  <si>
    <t>2026-02-09T12:36:14Z</t>
  </si>
  <si>
    <t>2026-02-09T13:30:25Z</t>
  </si>
  <si>
    <t>2026-02-09T13:28:12.4169395Z</t>
  </si>
  <si>
    <t>c40f1b2e7d5e4ad99eece65e468e9411</t>
  </si>
  <si>
    <t>2026-02-09T12:00:00Z</t>
  </si>
  <si>
    <t>POSS DEICING WILL BE NEEDED.
EXTRA FUEL IS FOR THE NEXT FLT.
DISP -EREZ Y.</t>
  </si>
  <si>
    <t>OMENO3S OMENO Y505 NIKTI N127 RIKSO LAVTA N135 NESIL T39 LAMSA TOMBI A16 DASNI M601 LCA B17 MERVA P68 GALIM/N0272A050 VFR</t>
  </si>
  <si>
    <t>2026-02-09T12:33:53Z</t>
  </si>
  <si>
    <t>2026-02-09T15:47:49Z</t>
  </si>
  <si>
    <t>2026-02-09T15:11:53.5509562Z</t>
  </si>
  <si>
    <t>06e23e860f76480db8d1c39519cfdbd1</t>
  </si>
  <si>
    <t>2026-02-09T11:45:00Z</t>
  </si>
  <si>
    <t>1.PAY ATTN-ATC WAS FILED FOR 1125Z DUE POSS CTOT.
2.EXTRA FUEL IS PER POLICY.
3.T/O DATA -RWY 15,TEMP 16C,WIND 0,Q1010,PACKS OFF,...RTOW 22536 KG.
DISP-EREZ Y.</t>
  </si>
  <si>
    <t>GALIM/N0233A050 IFR P68 MERVA/N0270A140 P68 APLON L609 RDS L995 VARIX VARIX1W</t>
  </si>
  <si>
    <t>2026-02-09T11:49:33Z</t>
  </si>
  <si>
    <t>2026-02-09T14:34:28Z</t>
  </si>
  <si>
    <t>2026-02-09T14:30:41.0359602Z</t>
  </si>
  <si>
    <t>9308ad9887534f358f0147645b4057b4</t>
  </si>
  <si>
    <t>2026-02-09T09:50:00Z</t>
  </si>
  <si>
    <t>2026-02-09T09:58:52Z</t>
  </si>
  <si>
    <t>2026-02-09T10:54:45Z</t>
  </si>
  <si>
    <t>2026-02-09T10:43:03.1954132Z</t>
  </si>
  <si>
    <t>898512eb5bd546eeaff2e205c4a6a787</t>
  </si>
  <si>
    <t>2026-02-09T08:00:00Z</t>
  </si>
  <si>
    <t>EXTRA FUEL IS FROM THE PREVIOUS FLT.
T/O DATA -RWY 15,TEMP 19C,WIND 0,Q1010,PACKS OFF,...RTOW 22387 KG.
DISP-EREZ Y.</t>
  </si>
  <si>
    <t>2026-02-09T08:11:30Z</t>
  </si>
  <si>
    <t>2026-02-09T09:06:32Z</t>
  </si>
  <si>
    <t>2026-02-09T08:57:54.9048472Z</t>
  </si>
  <si>
    <t>67be21bbd42f45968a5666793cf1bdac</t>
  </si>
  <si>
    <t>2026-02-09T07:40:00Z</t>
  </si>
  <si>
    <t>EXTRA FUEL IS FOR THE NEXT FLT.
DISP-EREZ Y.
NEW OFP REV. 01 ISSUED DUE TO ALT CORRECTION.</t>
  </si>
  <si>
    <t>2026-02-09T07:45:39Z</t>
  </si>
  <si>
    <t>2026-02-09T08:21:31Z</t>
  </si>
  <si>
    <t>2026-02-09T08:18:49.8852242Z</t>
  </si>
  <si>
    <t>e0630d03ecc7427f8f886fcd6bb6774f</t>
  </si>
  <si>
    <t>2026-02-09T07:15:00Z</t>
  </si>
  <si>
    <t>EXTRA FUEL-100 KG IS PER POLICY+100 KG DUE TEMPO LOW CLOUD BASE AT DEST(BKN008).
T/O DATA -RWY 15,TEMP 16C,WIND 0,Q1010,PACKS OFF,...RTOW 22536 KG.
DISP-EREZ Y.</t>
  </si>
  <si>
    <t>N0234A050 GALIM/N0233A050 IFR P68 MERVA/N0273A180 P68 APLON L609 RDS N129 PIROX DCT AKBUK G80 OKESA DCT RIKSO N128 PEREN L863 EVIVI Y94 VANET VANET6D</t>
  </si>
  <si>
    <t>2026-02-09T07:20:40Z</t>
  </si>
  <si>
    <t>2026-02-09T11:10:55Z</t>
  </si>
  <si>
    <t>2026-02-09T10:58:44.5148662Z</t>
  </si>
  <si>
    <t>dfdf802e7a34402a8e03c6f97b07610f</t>
  </si>
  <si>
    <t>2026-02-09T06:00:00Z</t>
  </si>
  <si>
    <t>1.F/L 120 DUE LONGER F/T AT F/L 140.
2.EXTRA FUEL IS FROM THE PREVIOUS FLT.
3.T/O DATA -RWY 15,TEMP 16C,WIND 0,Q1010,PACKS OFF,...RTOW 22536 KG.
DISP-EREZ Y.</t>
  </si>
  <si>
    <t>N0229A050 GALIM/N0229A050 IFR P68 MERVA/N0259A120 N131 EMEDA EMEDA1A</t>
  </si>
  <si>
    <t>2026-02-09T05:59:55Z</t>
  </si>
  <si>
    <t>2026-02-09T06:42:39Z</t>
  </si>
  <si>
    <t>2026-02-09T06:48:38.5014533Z</t>
  </si>
  <si>
    <t>25c1eca8f61f4c31a8c1f120a6efc010</t>
  </si>
  <si>
    <t>2026-01-28T17:55:00Z</t>
  </si>
  <si>
    <t>N0278F130 EMEDA2B EMEDA B17 MERVA P68 GALIM/N0279A050 VFR</t>
  </si>
  <si>
    <t>2026-01-28T18:30:28Z</t>
  </si>
  <si>
    <t>2026-01-28T19:10:59Z</t>
  </si>
  <si>
    <t>2026-01-28T18:33:04.4809229Z</t>
  </si>
  <si>
    <t>acbd866c23e540488126086baee8f3d3</t>
  </si>
  <si>
    <t>2026-01-28T16:30:00Z</t>
  </si>
  <si>
    <t>EXTRA FUEL IS PER POLICY(100 KG)+100KG DUE ORIGIN AND DEST/ALT WX.
T/O DATA-RWY 33,TEMP 14C,WIND 0,Q1014,PACKS OFF,....RTOW 22344 KG.
DISP-EREZ Y.</t>
  </si>
  <si>
    <t>N0235A050 GALIM/N0234A050 IFR P68 MERVA/N0278A140 N131 EMEDA EMEDA1A</t>
  </si>
  <si>
    <t>2026-01-28T16:51:36Z</t>
  </si>
  <si>
    <t>2026-01-28T17:39:01Z</t>
  </si>
  <si>
    <t>2026-01-28T17:18:31.1106932Z</t>
  </si>
  <si>
    <t>d73b48b89792498ebfeed374ad3a0e93</t>
  </si>
  <si>
    <t>2026-01-28T14:40:00Z</t>
  </si>
  <si>
    <t>N0275F120 NURIT2H NURIT J10 TOMAL/N0273F080 J10 NAT/N0224F040 J15 ATLIT/N0225F040 VFR 3245N03456E DCT 3248N03457E DCT GALIM</t>
  </si>
  <si>
    <t>2026-01-28T14:57:42Z</t>
  </si>
  <si>
    <t>2026-01-28T15:54:29Z</t>
  </si>
  <si>
    <t>2026-01-28T15:32:49.3821575Z</t>
  </si>
  <si>
    <t>d33b2f6b48c84bd39bb5ca360dc0e15b</t>
  </si>
  <si>
    <t>2026-01-28T12:50:00Z</t>
  </si>
  <si>
    <t>EXTRA FUEL IS PER POLICY(100 KG)+100KG DUE ORIGIN AND DEST WX.
T/O DATA-RWY 33,TEMP 14C,WIND 0,Q1014,PACKS OFF,....RTOW 22344 KG.
DISP-EREZ Y.</t>
  </si>
  <si>
    <t>2026-01-28T12:59:51Z</t>
  </si>
  <si>
    <t>2026-01-28T14:00:54Z</t>
  </si>
  <si>
    <t>2026-01-28T13:44:55.5978379Z</t>
  </si>
  <si>
    <t>4a05d87739204a008574694f5cb957e9</t>
  </si>
  <si>
    <t>2026-01-28T12:35:00Z</t>
  </si>
  <si>
    <t>N0276F130 ESERI1C ESERI M42 VELOX B17 MERVA P68 GALIM/N0276A050 VFR</t>
  </si>
  <si>
    <t>2026-01-28T12:31:49Z</t>
  </si>
  <si>
    <t>2026-01-28T13:15:19Z</t>
  </si>
  <si>
    <t>2026-01-28T13:21:37.1969681Z</t>
  </si>
  <si>
    <t>7e921074263f4da781dad160f1e26d58</t>
  </si>
  <si>
    <t>2026-01-28T12:25:00Z</t>
  </si>
  <si>
    <t>1.F/L 150 RDS-ULIFT DUE EUROCONTROL LIMITATION,MIGHT BE APPROVED BY ATC UPON REQ.
2.EXTRA FUEL IS FOR NEXT LEG.
3.EXPECTED DEICING.
DISP</t>
  </si>
  <si>
    <t>OMENO3S OMENO Y505 NIKTI N127 LMO L618 MES N139 LURUS L995 RDS/F150 L995 ULFIT/F190 M978 TOSKA M67 MAROS L609 APLON P68 GALIM/N0280A050 VFR DCT</t>
  </si>
  <si>
    <t>2026-01-28T12:27:48Z</t>
  </si>
  <si>
    <t>2026-01-28T15:34:08Z</t>
  </si>
  <si>
    <t>2026-01-28T15:30:44.1116292Z</t>
  </si>
  <si>
    <t>ae4890f60fa546da977560474bb46814</t>
  </si>
  <si>
    <t>1.F/L 150 BETWEEN RDS-ALKIS IS DUE EUROCONTROL LIMITATION,MIGHT BE APPROVED BY ATC UPON REQ.
2.EXTRA FUEL IS FOR THE NEXT FLT.
DISP-EREZ Y.</t>
  </si>
  <si>
    <t>KEA1N KEA L995 RDS/F150 L609 ALKIS/F190 L609 APLON P68 GALIM/N0280A050 VFR</t>
  </si>
  <si>
    <t>2026-01-28T13:09:59Z</t>
  </si>
  <si>
    <t>2026-01-28T15:23:46Z</t>
  </si>
  <si>
    <t>2026-01-28T14:37:31.2410785Z</t>
  </si>
  <si>
    <t>419ca9fa3dde40919b0d2d2a4d2772f4</t>
  </si>
  <si>
    <t>2026-01-28T10:45:00Z</t>
  </si>
  <si>
    <t>GALIM/N0235A050 IFR P68 MERVA/N0278A140 N131 VELOX M42 ESERI</t>
  </si>
  <si>
    <t>2026-01-28T10:49:34Z</t>
  </si>
  <si>
    <t>2026-01-28T10:45:19Z</t>
  </si>
  <si>
    <t>2026-01-28T11:37:29.7208648Z</t>
  </si>
  <si>
    <t>07849bacf15048f6a8921c0277f633e6</t>
  </si>
  <si>
    <t>2026-01-28T08:50:00Z</t>
  </si>
  <si>
    <t>EXTRA FUEL IS FOR THE NEXT FLT(PFO).
DISP-EREZ Y.</t>
  </si>
  <si>
    <t>2026-01-28T08:54:17Z</t>
  </si>
  <si>
    <t>2026-01-28T09:47:34Z</t>
  </si>
  <si>
    <t>2026-01-28T09:40:35.8732923Z</t>
  </si>
  <si>
    <t>b3b19379e04e48d1977908b417334f30</t>
  </si>
  <si>
    <t>2026-01-28T08:45:00Z</t>
  </si>
  <si>
    <t>EXTRA FUEL IS PER POLICY.
T/O DATA - RWY 15,TEMP 15C,WIND 0,Q1013,PACKS OFF,....RTOW 22629 KG.
DISP-EREZ Y.</t>
  </si>
  <si>
    <t>N0233A050 GALIM/N0232A050 IFR P68 MERVA/N0266A160 P68 APLON L609 RDS L995 VARIX VARIX1W</t>
  </si>
  <si>
    <t>2026-01-28T09:27:27Z</t>
  </si>
  <si>
    <t>2026-01-28T12:15:52Z</t>
  </si>
  <si>
    <t>2026-01-28T11:29:30.51954Z</t>
  </si>
  <si>
    <t>a868992edcf6438795764259a8f46c64</t>
  </si>
  <si>
    <t>2026-01-28T08:40:00Z</t>
  </si>
  <si>
    <t>EXTRA FUEL IS FOR THE NEXT FLT(ETM).
DISP-EREZ Y.</t>
  </si>
  <si>
    <t>2026-01-28T08:51:37Z</t>
  </si>
  <si>
    <t>2026-01-28T09:30:11Z</t>
  </si>
  <si>
    <t>2026-01-28T09:18:44.6670768Z</t>
  </si>
  <si>
    <t>caf4b8bfca8e4042bfe5df02c5c5627f</t>
  </si>
  <si>
    <t>2026-01-28T07:40:00Z</t>
  </si>
  <si>
    <t>N0235A050 GALIM/N0234A050 IFR P68 MERVA/N0278A160 P68 APLON L609 RDS/F180 N129 PIROX DCT AKBUK G80 OKESA DCT RIKSO N128 PEREN L863 EVIVI Y94 VANET VANET6D</t>
  </si>
  <si>
    <t>2026-01-28T07:39:07Z</t>
  </si>
  <si>
    <t>2026-01-28T11:25:17Z</t>
  </si>
  <si>
    <t>2026-01-28T11:18:59.3833136Z</t>
  </si>
  <si>
    <t>b84b3ce072f54e9a8b71015579273572</t>
  </si>
  <si>
    <t>2026-01-28T07:00:00Z</t>
  </si>
  <si>
    <t>EXTRA FUEL IS FROM PREVIOUS FLT.
T/O DATA - RWY 15,TEMP 15C,WIND 0,Q1013,PACKS OFF,....RTOW 22629 KG.
DISP-EREZ Y.</t>
  </si>
  <si>
    <t>GALIM/N0234A050 IFR P68 MERVA/N0278A140 N131 EMEDA EMEDA1A</t>
  </si>
  <si>
    <t>2026-01-28T09:09:11Z</t>
  </si>
  <si>
    <t>2026-01-28T07:54:48Z</t>
  </si>
  <si>
    <t>2026-01-28T07:46:46.9014299Z</t>
  </si>
  <si>
    <t>3fd551f980d8497291c2d7d8855cc439</t>
  </si>
  <si>
    <t>AC IS FUELED WITH 1990KG FROM PREV LEG.
T/O DATA - RWY 15,TEMP 15C,WIND 0,Q1013,PACKS OFF,....RTOW 22629 KG.
DISP-EREZ Y.</t>
  </si>
  <si>
    <t>2026-01-28T06:56:34Z</t>
  </si>
  <si>
    <t>2026-01-28T07:50:11Z</t>
  </si>
  <si>
    <t>2026-01-28T07:55:55.4478045Z</t>
  </si>
  <si>
    <t>fd2a1f9898bc45459ffdf853786c8e36</t>
  </si>
  <si>
    <t>2026-01-07T17:55:00Z</t>
  </si>
  <si>
    <t>FUEL   :   EXTRA FUEL TO COVER NEXT LEG-LCA.
DISP    :   UDI A,TRAINEE.SUPERVISED BY EREZ Y.</t>
  </si>
  <si>
    <t>EMEDA2B EMEDA B17 MERVA P68 GALIM/N0276F050 VFR</t>
  </si>
  <si>
    <t>2026-01-07T18:16:48Z</t>
  </si>
  <si>
    <t>2026-01-07T18:57:14Z</t>
  </si>
  <si>
    <t>2026-01-07T18:35:00.2464133Z</t>
  </si>
  <si>
    <t>075dfa340aa94594ba36907bf630bf9a</t>
  </si>
  <si>
    <t>2026-01-07T16:30:00Z</t>
  </si>
  <si>
    <t>FUEL    :    EXTRA FUEL AS PER COMPANY POLICY.
RTOW  :    22043kg.SPS DATA-  RWY33,NO WIND,DRY,23C,1021Q,NO PACKS.
DISP    :    UDI A,TRAINEE.SUPERVISED BY EREZ Y.</t>
  </si>
  <si>
    <t>GALIM/N0275F140 IFR P68 MERVA N131 EMEDA EMEDA1A</t>
  </si>
  <si>
    <t>2026-01-07T16:23:16Z</t>
  </si>
  <si>
    <t>2026-01-07T17:05:42Z</t>
  </si>
  <si>
    <t>2026-01-07T17:16:58.2840952Z</t>
  </si>
  <si>
    <t>124c3ac519834f9a901e0a4688630af2</t>
  </si>
  <si>
    <t>2026-01-07T15:25:00Z</t>
  </si>
  <si>
    <t>NEW OFP DUE-  CPT REPORT,ANTI-ICE FRAME SYSTEM,US
                           A/C RETURN BACK TO HFA AT FL090,APPROVAL PROVIDED BY CPT YAVOR.
FUEL   :              EXTRA FUEL TO COVER NEXT LEG-ETM.
M E L   :             ENGINE BLEED#2 FAULT.  36-11-02-01.A/C LIMITED UP TO FL170.
DISP    :             UDI A,TRAINEE.SUPERVISED BY EREZ Y.</t>
  </si>
  <si>
    <t>N0271F090 KEA1N KEA L52 VAXOS M978 TOSKA M67 MAROS/N0264F090 L609 APLON P68 GALIM/N0265A050 VFR</t>
  </si>
  <si>
    <t>2026-01-07T16:26:48Z</t>
  </si>
  <si>
    <t>2026-01-07T18:53:04Z</t>
  </si>
  <si>
    <t>2026-01-07T17:46:11.8198222Z</t>
  </si>
  <si>
    <t>9504e9d035fc4dff96004a674bcb7346</t>
  </si>
  <si>
    <t>2026-01-07T14:40:00Z</t>
  </si>
  <si>
    <t>N0277F120 NURIT2H NURIT J10 TOMAL/N0276F080 J10 NAT/N0277F040 J15 ATLIT VFR HOTRM DAROM GALIM</t>
  </si>
  <si>
    <t>2026-01-07T14:36:00Z</t>
  </si>
  <si>
    <t>2026-01-07T15:30:35Z</t>
  </si>
  <si>
    <t>2026-01-07T15:32:35.1412838Z</t>
  </si>
  <si>
    <t>a7dc8274fbba4ed3afa4eba35c82d7c8</t>
  </si>
  <si>
    <t>2026-01-07T12:50:00Z</t>
  </si>
  <si>
    <t>1. THIS FLIGHT WAS PREPARED BY NIMROD R.
2. LLHA-RWY 15 RTOW 22622KG. SPS DATA: 150/03KTS, DRY, 21C DEG, QNH 1021, Air Cond. OFF.
3. EXTRA FUEL PLANNED AS PER COMPANY POLICY.</t>
  </si>
  <si>
    <t>2026-01-07T12:49:39Z</t>
  </si>
  <si>
    <t>2026-01-07T13:49:48Z</t>
  </si>
  <si>
    <t>2026-01-07T13:46:07.4451958Z</t>
  </si>
  <si>
    <t>009a7b53c17a44e680f03c887bcb9f6b</t>
  </si>
  <si>
    <t>2026-01-07T12:35:00Z</t>
  </si>
  <si>
    <t>ESERI1D ESERI M42 VELOX B17 MERVA P68 GALIM/F050 VFR</t>
  </si>
  <si>
    <t>2026-01-07T12:26:27Z</t>
  </si>
  <si>
    <t>2026-01-07T13:10:25Z</t>
  </si>
  <si>
    <t>2026-01-07T13:21:51.6540776Z</t>
  </si>
  <si>
    <t>271ce7bc984a4f9299b54265c8d2662e</t>
  </si>
  <si>
    <t>2026-01-07T12:32:00Z</t>
  </si>
  <si>
    <t>1. THIS FLIGHT WAS PREPARED BY NIMROD R.
2. EXTRA FUEL TO COVER THE NEXT LEG.
3. NEW OFP REV. 01 ISSUED DUE TO FL CHG TO FL210, AND CRS PERCENTAGE CALCULATION CHG.</t>
  </si>
  <si>
    <t>DISPATCH 972502126365 PASSENGER FLIGHT</t>
  </si>
  <si>
    <t>OMENO3S OMENO Y505 NIKTI N127 LMO L618 MES N139 LURUS L995 ULFIT M978 TOSKA/F250 M67 MAROS L609 APLON/F180 P68 GALIM/N0279A050 VFR</t>
  </si>
  <si>
    <t>2026-01-07T12:40:52Z</t>
  </si>
  <si>
    <t>2026-01-07T15:52:28Z</t>
  </si>
  <si>
    <t>2026-01-07T15:45:59.6806251Z</t>
  </si>
  <si>
    <t>5b5b3c43e99d4166983919010092614d</t>
  </si>
  <si>
    <t>2026-01-07T11:45:00Z</t>
  </si>
  <si>
    <t>1. THIS FLIGHT WAS PREPARED BY NIMROD R.
2. LLHA-RWY 15 RTOW 22650KG. SPS DATA: 150/03KTS, DRY, 21C DEG, QNH 1023, Air Cond. OFF.
3. DISPATCHED WITH MEL 36-11-02-01. EXTRA FUEL PLANNED FOR FL100.
4. NEW OFP REV. 01 ISSUED DUE TO ALT CHG TO FL160.</t>
  </si>
  <si>
    <t>GALIM/N0233A050 IFR P68 MERVA/N0269A160 P68 APLON L609 RDS L995 VARIX VARIX1R</t>
  </si>
  <si>
    <t>2026-01-07T11:53:26Z</t>
  </si>
  <si>
    <t>2026-01-07T14:51:02Z</t>
  </si>
  <si>
    <t>2026-01-07T14:39:32.8377938Z</t>
  </si>
  <si>
    <t>a4719d04cb244b5dba7b9db11934b2e5</t>
  </si>
  <si>
    <t>2026-01-07T11:36:00Z</t>
  </si>
  <si>
    <t>KEA1E KEA L52 VAXOS M978 TOSKA M67 MAROS/N0264F190 L609 APLON P68 GALIM/N0265A050 VFR</t>
  </si>
  <si>
    <t>2026-01-07T11:56:52Z</t>
  </si>
  <si>
    <t>2026-01-07T14:15:19Z</t>
  </si>
  <si>
    <t>2026-01-07T13:50:53.1612611Z</t>
  </si>
  <si>
    <t>c96a48c7db534165b9c63775e456adb6</t>
  </si>
  <si>
    <t>2026-01-07T11:10:00Z</t>
  </si>
  <si>
    <t>EMEDA2B EMEDA B17 MERVA P68 GALIM/N0270F050 VFR</t>
  </si>
  <si>
    <t>2026-01-07T11:07:04Z</t>
  </si>
  <si>
    <t>2026-01-07T11:47:50Z</t>
  </si>
  <si>
    <t>2026-01-07T11:49:04.2886825Z</t>
  </si>
  <si>
    <t>f7c1d18a69cf4f778d05bfec3d0f6ce7</t>
  </si>
  <si>
    <t>2026-01-07T10:45:00Z</t>
  </si>
  <si>
    <t>1. THIS FLIGHT WAS PREPARED BY NIMROD R.
2. LLHA-RWY 15 RTOW 22682KG. SPS DATA: 150/03KTS, DRY, 20C DEG, QNH 1022, Air Cond. OFF.
3. EXTRA FUEL PLANNED AS PER COMPANY POLICY.</t>
  </si>
  <si>
    <t>GALIM/N0270F140 IFR P68 MERVA N131 VELOX M42 ESERI</t>
  </si>
  <si>
    <t>2026-01-07T10:40:46Z</t>
  </si>
  <si>
    <t>2026-01-07T11:32:29Z</t>
  </si>
  <si>
    <t>2026-01-07T11:37:56.133002Z</t>
  </si>
  <si>
    <t>c23eb6b0b0284efd9b8ba2e4a831e4ad</t>
  </si>
  <si>
    <t>2026-01-07T09:30:00Z</t>
  </si>
  <si>
    <t>1. THIS FLIGHT WAS PREPARED BY NIMROD R.
2. LLHA-RWY 15 RTOW 22771KG. SPS DATA: 150/03KTS, DRY, 18C DEG, QNH 1022, Air Cond. OFF.
3. EXTRA FUEL PLANNED AS PER COMPANY POLICY.</t>
  </si>
  <si>
    <t>GALIM/N0270F140 P68 MERVA N131 EMEDA EMEDA1A</t>
  </si>
  <si>
    <t>2026-01-07T09:20:31Z</t>
  </si>
  <si>
    <t>2026-01-07T10:07:12Z</t>
  </si>
  <si>
    <t>2026-01-07T10:16:55.8419123Z</t>
  </si>
  <si>
    <t>d49b05fb6e20472aaef23c3b42f5d518</t>
  </si>
  <si>
    <t>2026-01-07T08:50:00Z</t>
  </si>
  <si>
    <t>2026-01-07T09:01:18Z</t>
  </si>
  <si>
    <t>2026-01-07T09:57:57Z</t>
  </si>
  <si>
    <t>2026-01-07T09:40:59.8553598Z</t>
  </si>
  <si>
    <t>6597334c176641c6bf5ce4318ec0caef</t>
  </si>
  <si>
    <t>2026-01-07T07:50:00Z</t>
  </si>
  <si>
    <t>1. THIS FLIGHT WAS PREPARED BY NIMROD R.
2. LLHA-RWY 15 RTOW 22987KG. SPS DATA: 150/06KTS, DRY, 16C DEG, QNH 1022, Air Cond. OFF.
3. EXTRA FUEL PLANNED AS PER COMPANY POLICY.</t>
  </si>
  <si>
    <t>GALIM/N0232A050 IFR P68 MERVA/N0267A160 P68 APLON L609 RDS L995 VARIX VARIX1R</t>
  </si>
  <si>
    <t>2026-01-07T07:57:51Z</t>
  </si>
  <si>
    <t>2026-01-07T10:55:37Z</t>
  </si>
  <si>
    <t>2026-01-07T10:45:30.8112708Z</t>
  </si>
  <si>
    <t>GALIM P68 APLON L609 MAROS M67 TOSKA M978 PERIM L53 TIPAS N137 RIPLI L995 VARIX VARIX2B</t>
  </si>
  <si>
    <t>273ed45867384d7db11c1585d5e155d6</t>
  </si>
  <si>
    <t>2026-01-07T07:40:00Z</t>
  </si>
  <si>
    <t>EMEDA2B EMEDA B17 MERVA P68 GALIM/N0274F050 VFR</t>
  </si>
  <si>
    <t>2026-01-07T07:44:31Z</t>
  </si>
  <si>
    <t>2026-01-07T08:27:20Z</t>
  </si>
  <si>
    <t>2026-01-07T08:19:33.961764Z</t>
  </si>
  <si>
    <t>4312201191c442b784c2f7c9cf98db75</t>
  </si>
  <si>
    <t>2026-01-07T07:30:00Z</t>
  </si>
  <si>
    <t>1. THIS FLIGHT WAS PREPARED BY NIMROD R.
2. LLHA-RWY 15 RTOW 22856KG. SPS DATA: 140/03KTS, DRY, 16C DEG, QNH 1022, Air Cond. OFF.
3. EXTRA FUEL PLANNED AS PER COMPANY POLICY TO LBSF.</t>
  </si>
  <si>
    <t>GALIM/N0233A050 IFR P68 MERVA/N0272A160 P68 APLON L609 MAROS M67 TOSKA M978 VAXOS N128 OKESA DCT RIKSO/F180 N128 PEREN/F180 L863 EVIVI Y94 VANET VANET5H</t>
  </si>
  <si>
    <t>2026-01-07T07:41:03Z</t>
  </si>
  <si>
    <t>2026-01-07T11:27:38Z</t>
  </si>
  <si>
    <t>2026-01-07T11:13:56.4773295Z</t>
  </si>
  <si>
    <t>b725b2fb74374eb585c5e901f9240e57</t>
  </si>
  <si>
    <t>2026-01-07T07:12:00Z</t>
  </si>
  <si>
    <t>1. THIS FLIGHT WAS PREPARED BY NIMROD R.
2. LLHA-RWY 15 RTOW 22901KG. SPS DATA: 140/03KTS, DRY, 15C DEG, QNH 1022, Air Cond. OFF.
3. A/C IS FUELED WITH 1860 KG FROM PREVIOUS LEG.</t>
  </si>
  <si>
    <t>2026-01-07T07:16:51Z</t>
  </si>
  <si>
    <t>2026-01-07T08:09:16Z</t>
  </si>
  <si>
    <t>2026-01-07T08:09:00.9740548Z</t>
  </si>
  <si>
    <t>f592af0a50444bbaa742f9ad1d9a922b</t>
  </si>
  <si>
    <t>2026-01-07T06:13:00Z</t>
  </si>
  <si>
    <t>1. THIS FLIGHT WAS PREPARED BY NIMROD R.
2. LLHA-RWY 15 RTOW 22988KG. SPS DATA: 140/03KTS, DRY, 13C DEG, QNH 1022, Air Cond. OFF.
3. A/C IS FUELED WITH 1460 KG FROM PREVIOUS LEG.</t>
  </si>
  <si>
    <t>GALIM/F140 IFR P68 MERVA N131 EMEDA EMEDA1A</t>
  </si>
  <si>
    <t>2026-01-07T06:08:05Z</t>
  </si>
  <si>
    <t>2026-01-07T06:59:57Z</t>
  </si>
  <si>
    <t>2026-01-07T07:00:46.0488689Z</t>
  </si>
  <si>
    <t>943b0259cc224c739f98f79b0ce023e9</t>
  </si>
  <si>
    <t>2026-01-07T05:55:00Z</t>
  </si>
  <si>
    <t>1. THIS FLIGHT WAS PREPARED BY NIMROD R.
2. LLHA-RWY 15 RTOW 22988KG. SPS DATA: 140/03KTS, DRY, 13C DEG, QNH 1022, Air Cond. OFF.
3. EXTRA FUEL PLANNED AS PER COMPANY POLICY.</t>
  </si>
  <si>
    <t>2026-01-07T06:02:25Z</t>
  </si>
  <si>
    <t>2026-01-07T08:47:22.215087Z</t>
  </si>
  <si>
    <t>89649ca2169b499e834208b5d21ee5db</t>
  </si>
  <si>
    <t>2026-01-21T20:00:00Z</t>
  </si>
  <si>
    <t>2026-01-21T20:15:17.2890117Z</t>
  </si>
  <si>
    <t>fef49dbc67ee4160b8134b52d55a1a79</t>
  </si>
  <si>
    <t>2026-01-21T17:55:00Z</t>
  </si>
  <si>
    <t>FUEL   :   100kg,AS PER COMPANY POLICY. 200kg,DUE TO HFA-WIND.
MEL     :   28-42-01,FUEL QNT INDICATION.
DISP    :   UDI A,TRAINEE.SUPERVISED BY EREZ Y.</t>
  </si>
  <si>
    <t>2026-01-21T18:30:52Z</t>
  </si>
  <si>
    <t>2026-01-21T19:34:36Z</t>
  </si>
  <si>
    <t>2026-01-21T18:33:53.3250638Z</t>
  </si>
  <si>
    <t>8cc1975324ef44a6b8fa996a72af1dd0</t>
  </si>
  <si>
    <t>2026-01-21T16:30:00Z</t>
  </si>
  <si>
    <t>FUEL   :   REFUELED ALL ROUND TRIP,DUE TO THE BELOW MEL.
MEL     :   28-42-01,FUEL QTY INDICATION.
RTOW  :   23000kg. SPS DATA - RWY15,11020K,WET,15C,1020Q,PACKS OFF.
DISP    :   UDI A,TRAINEE.SUPERVISED BY EREZ Y.</t>
  </si>
  <si>
    <t>2026-01-21T16:54:56Z</t>
  </si>
  <si>
    <t>2026-01-21T17:39:09Z</t>
  </si>
  <si>
    <t>2026-01-21T17:17:29.5483744Z</t>
  </si>
  <si>
    <t>e99fa524d6964e9c815cf9d5f517bc46</t>
  </si>
  <si>
    <t>2026-01-21T16:00:00Z</t>
  </si>
  <si>
    <t xml:space="preserve">EXTRA FUEL IS FOR NEXT FLT
ATTN TO ENRTE ICING
DIS. BY AYELET W UNDER THE SUPER. OF EREZ Y
</t>
  </si>
  <si>
    <t>KEA1N KEA L995 RDS/N0278F190 L609 NILAS/N0277F190 L609 ALKIS/N0276F190 L609 APLON P68 GALIM/N0276A050 VFR</t>
  </si>
  <si>
    <t>2026-01-21T16:39:05Z</t>
  </si>
  <si>
    <t>2026-01-21T19:02:43Z</t>
  </si>
  <si>
    <t>2026-01-21T18:16:25.436478Z</t>
  </si>
  <si>
    <t>6d17ca8f08194b96857ca7c38dccf148</t>
  </si>
  <si>
    <t>2026-01-21T14:40:00Z</t>
  </si>
  <si>
    <t>FUEL   :   100kg,AS PER COMPANY POLICY.  200kg,DUE TO HFA-WIND.
MEL     :   28-42-01,FUEL QTY INDICATION.
DISP    :   UDI A,TRAINEE.SUPERVISED BY EREZ Y.</t>
  </si>
  <si>
    <t>2026-01-21T14:51:40Z</t>
  </si>
  <si>
    <t>2026-01-21T15:54:07Z</t>
  </si>
  <si>
    <t>2026-01-21T15:32:10.530246Z</t>
  </si>
  <si>
    <t>961bc572eea9427ab32aac1b69fd5abe</t>
  </si>
  <si>
    <t>2026-01-21T12:50:00Z</t>
  </si>
  <si>
    <t>1. THIS FLIGHT WAS PREPARED BY NIMROD R.
2. LLHA-RWY 15 RTOW 23000KG. SPS DATA: 100/10KTS, DRY, 13C DEG, QNH 1025, Air Cond. OFF.
3. EXTRA FUEL PLANNED FOR NEXT LEG WITH 300 KG EXTRA.</t>
  </si>
  <si>
    <t>N0229A050 GALIM/N0229A050 IFR Q28 ATLIT J15 NAT/N0256A090 J10 SIVAK/N0258A130 J10 NURIT NURIT1D</t>
  </si>
  <si>
    <t>2026-01-21T12:58:22Z</t>
  </si>
  <si>
    <t>2026-01-21T13:57:20Z</t>
  </si>
  <si>
    <t>2026-01-21T13:45:38.4801867Z</t>
  </si>
  <si>
    <t>221c9b28d0bc468781158c62be21aa82</t>
  </si>
  <si>
    <t>2026-01-21T12:35:00Z</t>
  </si>
  <si>
    <t>1. THIS FLIGHT WAS PREPARED BY NIMROD R.
2. EXTRA FUEL TO COVER THE NEXT LEG.
3. NEW OFP REV. 01 ISSUED DUE FL CHG TO FL210.</t>
  </si>
  <si>
    <t>OMENO3S OMENO Y505 NIKTI N127 LMO L618 MES N139 LURUS L995 ULFIT M978 TOSKA M67 MAROS L609 APLON P68 MERVA/F190 P68 GALIM/N0275A050 VFR</t>
  </si>
  <si>
    <t>2026-01-21T12:45:08Z</t>
  </si>
  <si>
    <t>2026-01-21T16:07:20Z</t>
  </si>
  <si>
    <t>2026-01-21T15:53:33.1049389Z</t>
  </si>
  <si>
    <t>271e22d2a5cb4ceaa9b03687873442cb</t>
  </si>
  <si>
    <t>ESERI1C ESERI M42 VELOX B17 MERVA P68 GALIM/N0276A050 VFR</t>
  </si>
  <si>
    <t>2026-01-21T13:02:03Z</t>
  </si>
  <si>
    <t>2026-01-21T13:50:06Z</t>
  </si>
  <si>
    <t>2026-01-21T13:22:40.2070681Z</t>
  </si>
  <si>
    <t>2cf9abf087cb451991bad085f4b321ff</t>
  </si>
  <si>
    <t>2026-01-21T12:20:00Z</t>
  </si>
  <si>
    <t>1. THIS FLIGHT WAS PREPARED BY NIMROD R.
2. LLHA-RWY 15 RTOW 23000KG. SPS DATA: 100/06KTS, DRY, 10C DEG, QNH 1024, Air Cond. OFF.
3. EXTRA FUEL PLANNED DUE TO WX AT DESTINATION AND VICINITY.
4. DISPATCHED AT FL100 DUE TO STRONG HEAD WINDS AT HIGHER ALTITUDES.
5. ALT LGTS DUE TO CLOSURE OF RWY 09/27 AT LGIR, AND RWY 12/30 IN LGIR NOT IN SPS.
6. NEW OFP REV. 01 ISSUED DUE TO BLOCK FUEL CHG TO 3700 KG AND FL CHG TO FL100.</t>
  </si>
  <si>
    <t>GALIM/F050 IFR P68 MERVA/F100 P68 APLON L609 RDS L995 VARIX VARIX1Q</t>
  </si>
  <si>
    <t>2026-01-21T12:37:08Z</t>
  </si>
  <si>
    <t>2026-01-21T15:24:38Z</t>
  </si>
  <si>
    <t>2026-01-21T14:55:56.1056055Z</t>
  </si>
  <si>
    <t>c5b69c60d63e46d09f1e373bc91fd68a</t>
  </si>
  <si>
    <t>2026-01-21T11:10:00Z</t>
  </si>
  <si>
    <t>1. THIS FLIGHT WAS PREPARED BY NIMROD R.
2. EXTRA FUEL PLANNED DUE TO POSSIBLE WX AT DESTINATION.</t>
  </si>
  <si>
    <t>2026-01-21T11:31:16Z</t>
  </si>
  <si>
    <t>2026-01-21T12:12:19Z</t>
  </si>
  <si>
    <t>2026-01-21T11:49:22.7305411Z</t>
  </si>
  <si>
    <t>0a83a7691da34659807926de7002ba9c</t>
  </si>
  <si>
    <t>2026-01-21T10:56:00Z</t>
  </si>
  <si>
    <t>1. THIS FLIGHT WAS PREPARED BY NIMROD R.
2. LLHA-RWY 15 RTOW 23000KG. SPS DATA: 100/06KTS, DRY, 12C DEG, QNH 1024, Air Cond. OFF.
3. EXTRA FUEL PLANNED AS PER COMPANY POLICY.</t>
  </si>
  <si>
    <t>GALIM/N0235A050 IFR P68 MERVA/N0274A140 N131 VELOX M42 ESERI</t>
  </si>
  <si>
    <t>2026-01-21T11:13:54Z</t>
  </si>
  <si>
    <t>2026-01-21T12:14:18Z</t>
  </si>
  <si>
    <t>2026-01-21T11:49:45.0117829Z</t>
  </si>
  <si>
    <t>b4ef1df546fd43c1aa9cdb70ca3b1c35</t>
  </si>
  <si>
    <t>2026-01-21T09:30:00Z</t>
  </si>
  <si>
    <t>1. THIS FLIGHT WAS PREPARED BY NIMROD R.
2. LLHA-RWY 15 RTOW 23000KG. SPS DATA: 100/06KTS, DRY, 12C DEG, QNH 1024, Air Cond. OFF.
3. EXTRA FUEL PLANNED FOR NEXT LEG.
4. DISPATCHED WITH MEL: 28-42-01 - FUEL QUANTITIY HAS TO BE CHECKED MANUALLY AFTER REFUELING.</t>
  </si>
  <si>
    <t>GALIM/N0229A050 IFR P68 MERVA/N0259A140 N131 EMEDA EMEDA1A</t>
  </si>
  <si>
    <t>2026-01-21T09:44:34Z</t>
  </si>
  <si>
    <t>2026-01-21T10:36:41Z</t>
  </si>
  <si>
    <t>2026-01-21T10:17:52.9074312Z</t>
  </si>
  <si>
    <t>d205b7c9c01f4558b145649ba07e9bb5</t>
  </si>
  <si>
    <t>2026-01-21T09:15:00Z</t>
  </si>
  <si>
    <t>2026-01-21T09:28:59Z</t>
  </si>
  <si>
    <t>2026-01-21T10:24:46Z</t>
  </si>
  <si>
    <t>2026-01-21T10:08:51.4659536Z</t>
  </si>
  <si>
    <t>0961eead24144294bb7c4004844695cd</t>
  </si>
  <si>
    <t>1. THIS FLIGHT WAS PREPARED BY NIMROD R.
2. EXTRA FUEL PLANNED FOR NEXT LEG.
3. NEW OFP REV. 01 ISSUED DUE TO BLOCK FUEL CHG TO 4500 KG.</t>
  </si>
  <si>
    <t>KEA1E KEA L52 VAXOS M978 TOSKA M67 MAROS L609 APLON P68 GALIM/N0279A050 VFR</t>
  </si>
  <si>
    <t>2026-01-21T09:34:40Z</t>
  </si>
  <si>
    <t>2026-01-21T11:51:55Z</t>
  </si>
  <si>
    <t>2026-01-21T11:33:56.4637991Z</t>
  </si>
  <si>
    <t>402b87da7c064719bfb86a7f6ebf52ee</t>
  </si>
  <si>
    <t>2026-01-21T07:40:00Z</t>
  </si>
  <si>
    <t>1. THIS FLIGHT WAS PREPARED BY NIMROD R.
2. LLHA-RWY 15 RTOW 23000KG. SPS DATA: 100/06KTS, DRY, 11C DEG, QNH 1024, Air Cond. OFF.
3. EXTRA FUEL PLANNED DUE TO POSSIBLE WX AT DEST AND ENROUTE.</t>
  </si>
  <si>
    <t>N0235A050 GALIM/N0234A050 IFR P68 MERVA/F160 B17 VELOX M42 ESERI M42 GENOS DCT PEDER A16 DASNI M601 EXELA N127 DAL N618 YOYYO/F160 G80 OKESA DCT RIKSO N128 PEREN L863 EVIVI Y94 VANET VANET6D</t>
  </si>
  <si>
    <t>2026-01-21T07:42:46Z</t>
  </si>
  <si>
    <t>2026-01-21T11:25:05Z</t>
  </si>
  <si>
    <t>2026-01-21T11:18:30.6500003Z</t>
  </si>
  <si>
    <t>f1ca9157f85d4d66bafc43b80cbf7e86</t>
  </si>
  <si>
    <t>2026-01-21T07:00:00Z</t>
  </si>
  <si>
    <t>1. THIS FLIGHT WAS PREPARED BY NIMROD R.
2. LLHA-RWY 15 RTOW 23000KG. SPS DATA: 100/06KTS, DRY, 10C DEG, QNH 1024, Air Cond. OFF.
3. EXTRA FUEL PLANNED AS PER COMPANY POLICY.</t>
  </si>
  <si>
    <t>2026-01-21T07:07:31Z</t>
  </si>
  <si>
    <t>2026-01-21T08:00:32Z</t>
  </si>
  <si>
    <t>2026-01-21T07:55:48.2265333Z</t>
  </si>
  <si>
    <t>93b1f65cc11d43b28d037cc6f158b135</t>
  </si>
  <si>
    <t>2026-01-21T05:45:00Z</t>
  </si>
  <si>
    <t>1. THIS FLIGHT WAS PREPARED BY NIMROD R.
2. LLHA-RWY 15 RTOW 23000KG. SPS DATA: 100/06KTS, DRY, 10C DEG, QNH 1024, Air Cond. OFF.
3. EXTRA FUEL PLANNED DUE TO WX AT DESTINATION AND VICINITY.
4. DISPATCHED AT FL120 DUE TO STRONG HEAD WINDS AT HIGHER ALTITUDES.
5. ALT LGTS DUE TO CLOSURE OF RWY 09/27 AT LGIR, AND RWY 12/30 IN LGIR NOT IN SPS.</t>
  </si>
  <si>
    <t>GALIM/N0231A050 IFR P68 MERVA/F120 P68 APLON L609 RDS L995 VARIX VARIX1Q</t>
  </si>
  <si>
    <t>2026-01-21T06:02:30Z</t>
  </si>
  <si>
    <t>2026-01-21T08:38:34Z</t>
  </si>
  <si>
    <t>2026-01-21T08:25:35.4548165Z</t>
  </si>
  <si>
    <t>32a6c14682f941aa936c379dbc9c7d65</t>
  </si>
  <si>
    <t>2026-03-24T16:30:00Z</t>
  </si>
  <si>
    <t>EXTRA FUEL DUE POSS TAXI HOLD AT LLBG,AND POSS CB'S AT LCLK.
DISP-EREZ Y.</t>
  </si>
  <si>
    <t>SUVAS1F SUVAS STEPA APLON A28 BETID BETID1A</t>
  </si>
  <si>
    <t>2026-03-24T16:47:42Z</t>
  </si>
  <si>
    <t>2026-03-24T18:02:08Z</t>
  </si>
  <si>
    <t>2026-03-24T17:43:39.2789589Z</t>
  </si>
  <si>
    <t>c2103b0cfc4e4dd5afd489de5017dfe5</t>
  </si>
  <si>
    <t>2026-03-24T14:30:00Z</t>
  </si>
  <si>
    <t>EXTRA FUEL IS FOR THE NEXT FLT(CAN BE USED FOR POSS HOLD IF NEEDED DUE SECURITY REASON).
DISP-EREZ Y.</t>
  </si>
  <si>
    <t>2026-03-24T14:33:28Z</t>
  </si>
  <si>
    <t>2026-03-24T15:28:39Z</t>
  </si>
  <si>
    <t>2026-03-24T15:33:18.6314482Z</t>
  </si>
  <si>
    <t>ef147c8b3ecb43af859bf91aa6acfa2f</t>
  </si>
  <si>
    <t>2026-03-16T19:30:00Z</t>
  </si>
  <si>
    <t>2026-03-16T20:14:57Z</t>
  </si>
  <si>
    <t>2026-03-16T21:28:41Z</t>
  </si>
  <si>
    <t>2026-03-16T20:45:09.9438196Z</t>
  </si>
  <si>
    <t>59f982e95c794bcabab77c0a03d8fbc0</t>
  </si>
  <si>
    <t>2026-03-16T15:45:00Z</t>
  </si>
  <si>
    <t>KEA1E KEA L52 VAXOS/N0283F190 N134 VANZA DCT PIKOG L609 ZUKKO AMMOS1A</t>
  </si>
  <si>
    <t>2026-03-16T15:44:52Z</t>
  </si>
  <si>
    <t>2026-03-16T18:08:54Z</t>
  </si>
  <si>
    <t>2026-03-16T18:11:49.6622792Z</t>
  </si>
  <si>
    <t>0543403aa5ee497ba2095d1f741fb0fa</t>
  </si>
  <si>
    <t>2026-03-16T15:30:00Z</t>
  </si>
  <si>
    <t>2026-03-16T15:48:53Z</t>
  </si>
  <si>
    <t>2026-03-16T16:49:44Z</t>
  </si>
  <si>
    <t>2026-03-16T16:46:47.0645118Z</t>
  </si>
  <si>
    <t>c9feec6f48094ad08f421f504b78346e</t>
  </si>
  <si>
    <t>2026-03-16T11:45:00Z</t>
  </si>
  <si>
    <t>1. THIS FLIGHT WAS PREPARED BY NIMROD R.
2. EXTRA FUEL FOR HOLDINGS.</t>
  </si>
  <si>
    <t>2026-03-16T11:54:31Z</t>
  </si>
  <si>
    <t>2026-03-16T14:19:43Z</t>
  </si>
  <si>
    <t>2026-03-16T14:11:57.8266063Z</t>
  </si>
  <si>
    <t>ddb5ad28d70b4b8bbf25565a888039e4</t>
  </si>
  <si>
    <t>2026-03-16T11:30:00Z</t>
  </si>
  <si>
    <t>1. THIS FLIGHT WAS PREPARED BY NIMROD R.
2. DISPATCH WITH NO-ATL DUE TO HIGH EZFW.</t>
  </si>
  <si>
    <t>2026-03-16T11:43:06Z</t>
  </si>
  <si>
    <t>2026-03-16T14:33:16Z</t>
  </si>
  <si>
    <t>2026-03-16T14:18:12.1352618Z</t>
  </si>
  <si>
    <t>72b913ab6bce4e618ac492708c535d4d</t>
  </si>
  <si>
    <t>2026-03-16T09:38:00Z</t>
  </si>
  <si>
    <t>1. THIS FLIGHT WAS PREPARED BY NIMROD R.</t>
  </si>
  <si>
    <t>2026-03-16T09:45:31Z</t>
  </si>
  <si>
    <t>2026-03-16T10:43:40Z</t>
  </si>
  <si>
    <t>2026-03-16T10:44:15.0549186Z</t>
  </si>
  <si>
    <t>d9d127ae5d1f45b9b8a2f281ed73026e</t>
  </si>
  <si>
    <t>2026-03-16T06:30:00Z</t>
  </si>
  <si>
    <t>1. THIS FLIGHT WAS PREPARED BY NIMROD R.
2. DISPATCH WITH NO-ALT DUE TO HIGH EZFW.</t>
  </si>
  <si>
    <t>2026-03-16T06:53:00Z</t>
  </si>
  <si>
    <t>2026-03-16T09:17:17.4053684Z</t>
  </si>
  <si>
    <t>1610aabb66bb45b48ccf731ea9efb9df</t>
  </si>
  <si>
    <t>2026-01-05T17:55:00Z</t>
  </si>
  <si>
    <t>2026-01-05T18:39:49Z</t>
  </si>
  <si>
    <t>2026-01-05T19:21:15Z</t>
  </si>
  <si>
    <t>2026-01-05T18:38:20.1661892Z</t>
  </si>
  <si>
    <t>526027387de34f75acd2d2a4160c82a9</t>
  </si>
  <si>
    <t>2026-01-05T16:30:00Z</t>
  </si>
  <si>
    <t>EXTRA FUEL IS PER POLICY.
T/O DATA-RWY 15,TEMP 20,WIND 130/07,Q1019,PACKS OFF....RTOW 22789 KG.
DISP-EREZ Y.</t>
  </si>
  <si>
    <t>GALIM/N0234A050 IFR P68 MERVA/N0273A140 N131 EMEDA EMEDA1A</t>
  </si>
  <si>
    <t>2026-01-05T16:38:08Z</t>
  </si>
  <si>
    <t>2026-01-05T17:17:08Z</t>
  </si>
  <si>
    <t>2026-01-05T17:14:18.7281843Z</t>
  </si>
  <si>
    <t>888319d5e53a47219df84c283b36877b</t>
  </si>
  <si>
    <t>2026-01-05T15:25:00Z</t>
  </si>
  <si>
    <t>KEA1N KEA L995 RDS L609 APLON P68 GALIM/N0267A050 VFR</t>
  </si>
  <si>
    <t>2026-01-05T15:51:10Z</t>
  </si>
  <si>
    <t>2026-01-05T18:19:30Z</t>
  </si>
  <si>
    <t>2026-01-05T17:49:10.0740551Z</t>
  </si>
  <si>
    <t>0fc5f639eb8d41878f8fadd11a814d07</t>
  </si>
  <si>
    <t>2026-01-05T14:40:00Z</t>
  </si>
  <si>
    <t xml:space="preserve">EXTRA FUEL IS FOR THE NEXT FLT(LCA).
DISP-EREZ Y. </t>
  </si>
  <si>
    <t>NURIT2H NURIT J10 TOMAL/N0271F080 J10 NAT/N0224F040 J15 ATLIT/N0225F040 VFR 3245N03456E 3248N03457E GALIM</t>
  </si>
  <si>
    <t>2026-01-05T14:37:33Z</t>
  </si>
  <si>
    <t>2026-01-05T15:28:28Z</t>
  </si>
  <si>
    <t>2026-01-05T15:30:24.8948723Z</t>
  </si>
  <si>
    <t>9368f424d8da4099a35f736b7be6d16c</t>
  </si>
  <si>
    <t>2026-01-05T12:50:00Z</t>
  </si>
  <si>
    <t>1. THIS FLIGHT WAS PREPARED BY LIAT NAHON
2. LLHA RWY 15, DRY, 130/05, 19C, 1020, AC OFF
    RTOW = 22768 KG
3. EXTRA FUEL AS PER COMPANY POLICY</t>
  </si>
  <si>
    <t>2026-01-05T12:48:16Z</t>
  </si>
  <si>
    <t>2026-01-05T13:45:23Z</t>
  </si>
  <si>
    <t>2026-01-05T13:46:51.4602908Z</t>
  </si>
  <si>
    <t>e967f8edb87f4f088c1360d95a760dfe</t>
  </si>
  <si>
    <t>2026-01-05T12:35:00Z</t>
  </si>
  <si>
    <t>1. THIS FLIGHT WAS PREPARED BY LIAT NAHON
2. EXTRA FUEL TO COVER THE NEXT LEG</t>
  </si>
  <si>
    <t>2026-01-05T12:46:26Z</t>
  </si>
  <si>
    <t>2026-01-05T13:38:50Z</t>
  </si>
  <si>
    <t>2026-01-05T13:27:10.0892469Z</t>
  </si>
  <si>
    <t>19fcc8d06070482f84b1d463c6ced074</t>
  </si>
  <si>
    <t>2026-01-05T11:45:00Z</t>
  </si>
  <si>
    <t>1. THIS FLIGHT WAS PREPARED BY LIAT NAHON
2. LLHA RWY 15, DRY, 130/05, 19C, 1022, AC OFF
    RTOW = 22792 KG
3. EXTRA FUEL DUE TO ACTUAL FOB</t>
  </si>
  <si>
    <t>GALIM/N0234A050 IFR P68 MERVA/N0275F180 P68 APLON L609 RDS L995 VARIX VARIX2B</t>
  </si>
  <si>
    <t>2026-01-05T14:22:47Z</t>
  </si>
  <si>
    <t>2026-01-05T14:20:57.8151574Z</t>
  </si>
  <si>
    <t>1368eaffb0314564a61a48e6ea972130</t>
  </si>
  <si>
    <t>2026-01-05T11:15:00Z</t>
  </si>
  <si>
    <t>1. THIS FLIGHT WAS PREPARED BY LIAT NAHON
2. FLIGHT DISPATCHED WITH MEL 24-30-01.
    REQ TRIP FUEL FOR FL100 = 2150 KG
3. EXTRA FUEL TO COVER FL100 AS PER MEL</t>
  </si>
  <si>
    <t>KEA2T KEA L995 RDS L609 APLON P68 GALIM/N0269A050 VFR</t>
  </si>
  <si>
    <t>2026-01-05T11:33:45Z</t>
  </si>
  <si>
    <t>2026-01-05T14:00:44Z</t>
  </si>
  <si>
    <t>2026-01-05T13:42:49.8577367Z</t>
  </si>
  <si>
    <t>28bcea80201648c18ccdc3bd9d8893bf</t>
  </si>
  <si>
    <t>2026-01-05T11:10:00Z</t>
  </si>
  <si>
    <t>1. THIS FLIGHT WAS PREPARED BY LIAT NAHON
2. EXTRA FUEL TO COVER THE NEXT LEG
3. LLBG - RWY 12/30 CLSD 0800-1130</t>
  </si>
  <si>
    <t>2026-01-05T11:21:21Z</t>
  </si>
  <si>
    <t>2026-01-05T12:07:54Z</t>
  </si>
  <si>
    <t>2026-01-05T11:53:09.4647371Z</t>
  </si>
  <si>
    <t>42566c0cf3714fa3ab5d8db01bacd7f6</t>
  </si>
  <si>
    <t>2026-01-05T10:45:00Z</t>
  </si>
  <si>
    <t>1. THIS FLIGHT WAS PREPARED BY LIAT NAHON
2. LLHA RWY 15, DRY, 130/05, 18C, 1022, AC OFF
    RTOW = 22837 KG
3. EXTRA FUEL AS PER COMPANY POLICY</t>
  </si>
  <si>
    <t>2026-01-05T10:48:30Z</t>
  </si>
  <si>
    <t>2026-01-05T11:37:41Z</t>
  </si>
  <si>
    <t>2026-01-05T11:35:04.501062Z</t>
  </si>
  <si>
    <t>9db31155fd5445e7a2c090886530e8cb</t>
  </si>
  <si>
    <t>2026-01-05T09:30:00Z</t>
  </si>
  <si>
    <t>1. THIS FLIGHT WAS PREPARED BY LIAT NAHON
2. LLHA RWY 15, DRY, 130/05, 16C, 1022, AC OFF
    RTOW = 22926 KG
3. EXTRA FUEL AS PER COMPANY POLICY</t>
  </si>
  <si>
    <t>2026-01-05T09:37:17Z</t>
  </si>
  <si>
    <t>2026-01-05T10:20:26Z</t>
  </si>
  <si>
    <t>2026-01-05T10:15:07.3258795Z</t>
  </si>
  <si>
    <t>e1b4ebdfb1e040b3b9dad54c3171f0b4</t>
  </si>
  <si>
    <t>2026-01-05T08:50:00Z</t>
  </si>
  <si>
    <t>N0262F120 NURIT2H NURIT J10 TOMAL/N0260F080 J10 NAT/N0222F040 J15 ATLIT/N0223F040 VFR HOTRM DAROM GALIM</t>
  </si>
  <si>
    <t>2026-01-05T09:04:12Z</t>
  </si>
  <si>
    <t>2026-01-05T09:58:46Z</t>
  </si>
  <si>
    <t>2026-01-05T09:39:52.3908475Z</t>
  </si>
  <si>
    <t>aaa70e19d7534a5697b2b27451686c32</t>
  </si>
  <si>
    <t>2026-01-05T07:40:00Z</t>
  </si>
  <si>
    <t>2026-01-05T07:58:14Z</t>
  </si>
  <si>
    <t>2026-01-05T08:43:33Z</t>
  </si>
  <si>
    <t>2026-01-05T08:23:08.4082769Z</t>
  </si>
  <si>
    <t>9a47b211eb2b46d2a93ff55c3d892a35</t>
  </si>
  <si>
    <t>2026-01-05T07:30:00Z</t>
  </si>
  <si>
    <t>1. THIS FLIGHT WAS PREPARED BY LIAT NAHON
2. LLHA RWY 15, DRY, 140/15, 14C, 1022, AC OFF
    RTOW = 23000 KG
3. OFP REV.02 - AC CHG 
    DISPATCHED WITH MEL 36-11-02-01.
    REQ TEIP FUEL FOR FL100 = 2140
4. EXTRA FUEL TO COVER FL100 AS REQ BY MEL</t>
  </si>
  <si>
    <t>GALIM/N0234A050 IFR P68 MERVA/N0272A160 P68 APLON L609 RDS L995 VARIX VARIX2B</t>
  </si>
  <si>
    <t>2026-01-05T10:04:03.9172966Z</t>
  </si>
  <si>
    <t>11e7556ec753483f886e9814092880af</t>
  </si>
  <si>
    <t>2026-01-05T07:00:00Z</t>
  </si>
  <si>
    <t>1. THIS FLIGHT WAS PREPARED BY LIAT NAHON
2. LLHA RWY 15, DRY, 110/05, 16C, 1021, AC OFF
    RTOW = 22871 KG
3. EXTRA FUEL DUE TO REMAINING FOB</t>
  </si>
  <si>
    <t>GALIM/N0234A050 IFR Q28 ATLIT J15 NAT/N0269A090 J10 SIVAK/N0269A130 J10 NURIT NURIT1D</t>
  </si>
  <si>
    <t>2026-01-05T04:09:48Z</t>
  </si>
  <si>
    <t>2026-01-05T08:08:08Z</t>
  </si>
  <si>
    <t>2026-01-05T07:57:34.078969Z</t>
  </si>
  <si>
    <t>576dd12847964a9a9f17e5d3f566741c</t>
  </si>
  <si>
    <t>2026-01-05T06:00:00Z</t>
  </si>
  <si>
    <t>1. THIS FLIGHT WAS PREPARED BY LIAT NAHON
2. LLHA RWY 15, DRY, 110/05, 14C, 1021, AC OFF
    RTOW = 22961 KG
3. EXTRA FUEL DUE TO REMAINING FOB</t>
  </si>
  <si>
    <t>GALIM/N0235A050 IFR P68 MERVA/N0275A140 N131 EMEDA EMEDA1A</t>
  </si>
  <si>
    <t>2026-01-05T05:59:08Z</t>
  </si>
  <si>
    <t>2026-01-05T06:41:19Z</t>
  </si>
  <si>
    <t>2026-01-05T06:44:20.5063914Z</t>
  </si>
  <si>
    <t>b299975ed6ae40a0b9cd81d6ad724398</t>
  </si>
  <si>
    <t>2026-03-14T21:45:00Z</t>
  </si>
  <si>
    <t>1. THIS FLIGHT WAS PREPARED BY NIMROD R.
2. LCLK AD CLSD BTW 2310-0325 UTC.</t>
  </si>
  <si>
    <t>2026-03-14T22:05:28Z</t>
  </si>
  <si>
    <t>2026-03-14T23:00:20Z</t>
  </si>
  <si>
    <t>2026-03-14T22:58:44.8227087Z</t>
  </si>
  <si>
    <t>a7b9bbe7493d49f9a8d4e42573e5f1c8</t>
  </si>
  <si>
    <t>2026-03-14T21:00:00Z</t>
  </si>
  <si>
    <t>FERRY FLIGHT DISPATCH 972502126365</t>
  </si>
  <si>
    <t>KEA2F KEA UL995 RDS UM601 EVENO M601 BONEK BONEK1A</t>
  </si>
  <si>
    <t>2026-03-14T20:49:09Z</t>
  </si>
  <si>
    <t>2026-03-14T22:55:12Z</t>
  </si>
  <si>
    <t>2026-03-14T23:02:50.5324626Z</t>
  </si>
  <si>
    <t>2aa9416c9f494c2a83bb95318ff6d025</t>
  </si>
  <si>
    <t>2026-03-14T17:50:00Z</t>
  </si>
  <si>
    <t>1. THIS FLIGHT WAS PREPARED BY NIMROD R.
2. EXTRA FUEL PLANNED FOR NEXT LEG WITH 270 KG EXTRA FUEL.
3. NEW OFP REV. 01 ISSUED WITH CORRECTED ZFW.</t>
  </si>
  <si>
    <t>KEA1E KEA L52 VAXOS N134 VANZA PIKOG L609 ZUKKO</t>
  </si>
  <si>
    <t>2026-03-14T17:58:42Z</t>
  </si>
  <si>
    <t>2026-03-14T20:30:36Z</t>
  </si>
  <si>
    <t>2026-03-14T20:20:54.4807942Z</t>
  </si>
  <si>
    <t>3a8e4dfd2be6487190f1fca437acb780</t>
  </si>
  <si>
    <t>2026-03-14T16:55:00Z</t>
  </si>
  <si>
    <t>1.FLT WAS DISPATCHED WITH NO ALT AS PER COMPANY POLICY DUE PREDICTED HIGH PAYLOAD NEAR MAX TOW. 
2.EXTRA FUEL GIVEN DUE ORIGIN WX AND POSS HOLD AT LLBG DUE SECURITY.
DISP-EREZ Y.</t>
  </si>
  <si>
    <t>N0280A200 SUVAS1E SUVAS L53 TIPAS N137 RIPLI L995 VARIX VARIX1Q</t>
  </si>
  <si>
    <t>2026-03-14T17:14:10Z</t>
  </si>
  <si>
    <t>2026-03-14T19:59:23Z</t>
  </si>
  <si>
    <t>2026-03-14T19:38:25.6108096Z</t>
  </si>
  <si>
    <t>a61ee5c22e824465b47ec70be336c4dd</t>
  </si>
  <si>
    <t>2026-03-14T16:00:00Z</t>
  </si>
  <si>
    <t>EXTRA FUEL CONSIST OF 100 KG PER POLICY AND 100 KG DUE POSS HOLD(WX AND SECURITY)
DISP-EREZ Y.</t>
  </si>
  <si>
    <t>N0281A160 SUVAS1F SUVAS L53 STEPA L78 ODELO L36 EMEDA EMEDA1A</t>
  </si>
  <si>
    <t>2026-03-14T16:18:18Z</t>
  </si>
  <si>
    <t>2026-03-14T17:11:12Z</t>
  </si>
  <si>
    <t>2026-03-14T17:13:27.2837386Z</t>
  </si>
  <si>
    <t>9f0f1d4f42cd448cb5947f5e620023b9</t>
  </si>
  <si>
    <t>2026-03-14T13:30:00Z</t>
  </si>
  <si>
    <t>1.F/L 150 TILL VAXOS IS DUE EUROCONTROL LIMITATION OPT LVL CAN BE APPROVED BY ATC UPON REQ. 
2.EXTRA FUEL IS PER POLICY,DUE WX AND FOR SECURITY REASON,COMBINE.
DISP-EREZ Y.</t>
  </si>
  <si>
    <t>KEA1E KEA L52 VAXOS/F190 N134 BIRES Z89 PIKOG L609 ZUKKO</t>
  </si>
  <si>
    <t>2026-03-14T13:38:22Z</t>
  </si>
  <si>
    <t>2026-03-14T16:14:43Z</t>
  </si>
  <si>
    <t>2026-03-14T15:59:31.9554036Z</t>
  </si>
  <si>
    <t>a0389ecc0b7842a496ff200759090cb3</t>
  </si>
  <si>
    <t>2026-03-14T13:15:00Z</t>
  </si>
  <si>
    <t>**new ofp due change of zfw by more then 800kg**
EXTRA FUEL IS FOR THE NEXT FLT,INCLUDING FUEL FOR HOLDING IF NEEDED.
DISP-EREZ Y.</t>
  </si>
  <si>
    <t>2026-03-14T14:04:39Z</t>
  </si>
  <si>
    <t>2026-03-14T15:24:22Z</t>
  </si>
  <si>
    <t>2026-03-14T14:22:05.7166718Z</t>
  </si>
  <si>
    <t>cd845243efd6467f899d2246d7cfbd7d</t>
  </si>
  <si>
    <t>2026-03-14T12:45:00Z</t>
  </si>
  <si>
    <t>EXTRA FUEL IS PER POLICY+100KG DUE ORIGIN WX AND FOR POSS HOLD DUE SECURITY REASON.
DISP-EREZ Y.</t>
  </si>
  <si>
    <t>2026-03-14T13:27:38Z</t>
  </si>
  <si>
    <t>2026-03-14T14:30:48Z</t>
  </si>
  <si>
    <t>2026-03-14T13:58:54.2676362Z</t>
  </si>
  <si>
    <t>784f3b3347b84ffab792635a050a55c5</t>
  </si>
  <si>
    <t>2026-03-14T10:45:00Z</t>
  </si>
  <si>
    <t>EXTRA FUEL IS PER POLICY.
DISP-EREZ Y.</t>
  </si>
  <si>
    <t>2026-03-14T11:07:50Z</t>
  </si>
  <si>
    <t>2026-03-14T13:51:33Z</t>
  </si>
  <si>
    <t>2026-03-14T13:33:04.5743416Z</t>
  </si>
  <si>
    <t>1b697b2e8ffe4848be9fcad1a91c6f73</t>
  </si>
  <si>
    <t>2026-03-14T10:30:00Z</t>
  </si>
  <si>
    <t>EXTRA FUEL IS FOR THE NEXT FLT+FUEL TO HOLD IF NEEDED(IN AND OUT OF LLBG).
DISP-EREZ Y.</t>
  </si>
  <si>
    <t>2026-03-14T10:52:06Z</t>
  </si>
  <si>
    <t>2026-03-14T11:59:56Z</t>
  </si>
  <si>
    <t>2026-03-14T11:35:25.3806956Z</t>
  </si>
  <si>
    <t>d0ca15a4288347d99476df465f279822</t>
  </si>
  <si>
    <t>2026-03-14T08:45:00Z</t>
  </si>
  <si>
    <t>EXTRA FUEL IS PER POLICY.
DISP-EREZ -Y.</t>
  </si>
  <si>
    <t>2026-03-14T08:56:15Z</t>
  </si>
  <si>
    <t>2026-03-14T11:46:10Z</t>
  </si>
  <si>
    <t>2026-03-14T11:32:01.6077328Z</t>
  </si>
  <si>
    <t>62b0d9d7da90429cbff4c07ff8c7f71e</t>
  </si>
  <si>
    <t>2026-03-14T08:15:00Z</t>
  </si>
  <si>
    <t>**NEW OFP DUE DROP OF MORE THEN 800 KG IN THE TOW**
EXTRA FUEL IS FOR POSS HOLD DUE SECURITY REASON AND DUE POLICY(100KG).
DISP-EREZ Y.</t>
  </si>
  <si>
    <t>2026-03-14T08:51:30Z</t>
  </si>
  <si>
    <t>2026-03-14T09:59:05Z</t>
  </si>
  <si>
    <t>2026-03-14T09:23:36.45227Z</t>
  </si>
  <si>
    <t>52a3f0bc18bf4de6af179760ee0083fc</t>
  </si>
  <si>
    <t>2026-03-14T06:15:00Z</t>
  </si>
  <si>
    <t>EXTRA FUEL IS FOR POSS HOLD DUE SECURITY REASON AND DUE POLICY(100KG).
DISP-EREZ Y.</t>
  </si>
  <si>
    <t>2026-03-14T06:24:59Z</t>
  </si>
  <si>
    <t>2026-03-14T07:27:06Z</t>
  </si>
  <si>
    <t>2026-03-14T07:22:58.8051154Z</t>
  </si>
  <si>
    <t>2b8b06ba6e1d42bf8070a677083ed04f</t>
  </si>
  <si>
    <t>2026-03-14T06:00:00Z</t>
  </si>
  <si>
    <t>4XIHF</t>
  </si>
  <si>
    <t>**PAY ATTN-THIS IS AN UPDATED ROUTE MAINLY IN THE INITIAL PART**
**NEW ETD DUE MAINT ON THE A/C**
1.EXTRA FUEL IS UP TO MAX TANK.
2.ROUTE IS THE MTT AND THE MFT.
DISP-EREZ Y.</t>
  </si>
  <si>
    <t>FERRY FLIGHT</t>
  </si>
  <si>
    <t>N0278F110 DCT FINOT G393 BRUSC/N0277F190 G393 FJR Y25 MTG G701 LACAZ Q302 ABLAK P856 DIVUL G374 SODRI A3 MIRSA L127 ELB M729 PNZ M603 SOR M736 CRN/N0276F230 M601 ADREN DCT TOMGI DCT RUTOM M601 KFN/N0273F250 UM601 EVENO M601 BONEK BONEK1A</t>
  </si>
  <si>
    <t>2026-03-14T06:03:05Z</t>
  </si>
  <si>
    <t>2026-03-14T11:57:56Z</t>
  </si>
  <si>
    <t>2026-03-14T11:49:31.4407238Z</t>
  </si>
  <si>
    <t>ca25baac07cc4a47ba3b5e8a77e815e4</t>
  </si>
  <si>
    <t>2026-03-05T15:25:00Z</t>
  </si>
  <si>
    <t>SUVAS DCT STEPA DCT APLON A28 BETID</t>
  </si>
  <si>
    <t>2026-03-05T16:12:48Z</t>
  </si>
  <si>
    <t>2026-03-05T17:15:21Z</t>
  </si>
  <si>
    <t>2026-03-05T16:37:01.4169716Z</t>
  </si>
  <si>
    <t>1355c4b7243641c49127b032148ebe39</t>
  </si>
  <si>
    <t>2026-03-05T14:25:00Z</t>
  </si>
  <si>
    <t>1. EXTRA FUEL IS DUE EST FUE ON BOARD.
2/EXTRA FUEL POLICY WAS OVERRIDDEN BY LIOR YAVOR.
DISP-EREZ Y.</t>
  </si>
  <si>
    <t>SUVAS STEPA APLON A28 BETID</t>
  </si>
  <si>
    <t>2026-03-05T15:50:40Z</t>
  </si>
  <si>
    <t>2026-03-05T16:55:02Z</t>
  </si>
  <si>
    <t>2026-03-05T15:37:04.4575967Z</t>
  </si>
  <si>
    <t>38eae647f5394118b67a9ba305a74076</t>
  </si>
  <si>
    <t>2026-03-05T13:45:00Z</t>
  </si>
  <si>
    <t>**NEW OFP DUE DROP OF ZFW BY MORE THE 800 KG
1. DISP EREZ Y.
2. EXTRA FUEL PLANNED FOR THE NEXT LEG.</t>
  </si>
  <si>
    <t>EMEDA2B EMEDA DCT ANANE DCT IDAKU DCT PIKOG L609 ZUKKO</t>
  </si>
  <si>
    <t>2026-03-05T11:27:52Z</t>
  </si>
  <si>
    <t>2026-03-05T15:26:21Z</t>
  </si>
  <si>
    <t>2026-03-05T14:47:14.5552237Z</t>
  </si>
  <si>
    <t>60455fdc720546a2a3a8f7f4d8daab26</t>
  </si>
  <si>
    <t>2026-03-05T12:45:00Z</t>
  </si>
  <si>
    <t>1. THIS FLIGHT WAS PREPARED BY NIMROD R.
2. EXTRA FUEL PLANNED FOR THE NEXT LEG.</t>
  </si>
  <si>
    <t>EMEDA2B EMEDA M67 ANANE DCT IDAKU DCT PIKOG L609 ZUKKO</t>
  </si>
  <si>
    <t>2026-03-05T13:22:34Z</t>
  </si>
  <si>
    <t>2026-03-05T14:20:01Z</t>
  </si>
  <si>
    <t>2026-03-05T13:47:55.7023105Z</t>
  </si>
  <si>
    <t>e4c18da6de0749dfb436f3a5497502a6</t>
  </si>
  <si>
    <t>2026-02-18T17:55:00Z</t>
  </si>
  <si>
    <t>N0278F130 EMEDA2B EMEDA B17 MERVA P68 GALIM/N0273A050 VFR</t>
  </si>
  <si>
    <t>2026-02-18T18:02:17Z</t>
  </si>
  <si>
    <t>2026-02-18T18:43:11Z</t>
  </si>
  <si>
    <t>2026-02-18T18:33:40.9857286Z</t>
  </si>
  <si>
    <t>9c3647ac888f4277bb858a8b58f36198</t>
  </si>
  <si>
    <t>2026-02-18T16:30:00Z</t>
  </si>
  <si>
    <t>EXTRA FUEL IS PER POLICY.
T/O DATA-RWY -33,TEMP 20C,WIND 0,Q1012,PACKS OFF,....RTOW 22065 KG.
DISP-EREZ Y.</t>
  </si>
  <si>
    <t>N0235A050 GALIM/N0234A050 IFR P68 MERVA/N0272A140 N131 EMEDA EMEDA1A</t>
  </si>
  <si>
    <t>2026-02-18T16:31:16Z</t>
  </si>
  <si>
    <t>2026-02-18T17:18:45Z</t>
  </si>
  <si>
    <t>2026-02-18T17:17:52.057255Z</t>
  </si>
  <si>
    <t>0faa502c9d2c418899101417bc120549</t>
  </si>
  <si>
    <t>2026-02-18T15:25:00Z</t>
  </si>
  <si>
    <t>1.NILAS-ALKIS IS LIMITED TO F/L 150 BY EUROCONTROL,OPT LVL MIGHT BE APPROVED BY ATC UPON REQ,F/L 170 FROM ALKIS,LIMITED AS WELL DUE YOYO(CAN NOT BE FILED FOR 210).
2.EXTRA FUEL IS FOR FOR THE NEXT FLT(LCA).
DISP-EREZ Y.</t>
  </si>
  <si>
    <t>KEA1N KEA L995 RDS L609 NILAS/F150 L609 ALKIS/F170 L609 APLON P68 MERVA P68 GALIM/N0275A050 VFR</t>
  </si>
  <si>
    <t>2026-02-18T16:35:12Z</t>
  </si>
  <si>
    <t>2026-02-18T18:39:18Z</t>
  </si>
  <si>
    <t>2026-02-18T17:26:51.8006957Z</t>
  </si>
  <si>
    <t>7fb42273aacd494ba1baeb07e093b253</t>
  </si>
  <si>
    <t>2026-02-18T14:40:00Z</t>
  </si>
  <si>
    <t>N0270F120 NURIT2H NURIT J10 TOMAL/N0273F080 J10 NAT/N0225F040 J15 ATLIT/N0226F040 VFR 3245N03456E DCT 3248N03457E DCT GALIM</t>
  </si>
  <si>
    <t>2026-02-18T14:10:30Z</t>
  </si>
  <si>
    <t>2026-02-18T15:07:52Z</t>
  </si>
  <si>
    <t>2026-02-18T15:29:19.8933213Z</t>
  </si>
  <si>
    <t>eaade78bf23841cdb8cd93c1f645772d</t>
  </si>
  <si>
    <t>2026-02-18T14:35:00Z</t>
  </si>
  <si>
    <t>2026-02-18T14:53:37Z</t>
  </si>
  <si>
    <t>2026-02-18T15:42:06Z</t>
  </si>
  <si>
    <t>2026-02-18T15:21:25.1327935Z</t>
  </si>
  <si>
    <t>8a5bf0407e0f4ab699466240e5e380b0</t>
  </si>
  <si>
    <t>2026-02-18T12:25:00Z</t>
  </si>
  <si>
    <t>FUEL    :    EXTRA FUEL TO COVER NEXT LEG.
DISP     :   UDI A,TRAINEE. SUPERVISED BY AYELET W.</t>
  </si>
  <si>
    <t>OMENO3S OMENO Y505 NIKTI N127 LMO L618 MES N139 LURUS L995 RDS/N0279F170 L995 IRBAX/N0280F150 L995 ULFIT/N0276F170 M978 TOSKA M67 MAROS L609 APLON P68 GALIM/N0274A050 VFR</t>
  </si>
  <si>
    <t>2026-02-18T13:02:49Z</t>
  </si>
  <si>
    <t>2026-02-18T15:49:19Z</t>
  </si>
  <si>
    <t>2026-02-18T15:16:17.585758Z</t>
  </si>
  <si>
    <t>ba4025384fc0442491ddb7e33ec69881</t>
  </si>
  <si>
    <t>2026-02-18T11:55:00Z</t>
  </si>
  <si>
    <t>FUEL     :    AS PER COMPANY POLICY.
RTOW   :    22360kg. SPS DATA  -  RWY33 WET,260/20KT,20C,Q1011,NO PACKS.
CTOT    :    PLS CHECK.
DISP     :    UDI A,TRAINEE. SUPERVISED BY AYELET W.</t>
  </si>
  <si>
    <t>2026-02-18T13:00:07Z</t>
  </si>
  <si>
    <t>2026-02-18T13:56:22Z</t>
  </si>
  <si>
    <t>2026-02-18T12:51:34.0472375Z</t>
  </si>
  <si>
    <t>b201f6efda6143fe9d90ba1e28889204</t>
  </si>
  <si>
    <t>FUEL     :    AC IS FUELED WITH 1880KG FROM PREV. LEG
RTOW   :    22360kg. SPS DATA  -  RWY33 WET,260/20KT,20C,Q1011,NO PACKS.
DISP     :    UDI A,TRAINEE. SUPERVISED BY AYELET W.</t>
  </si>
  <si>
    <t>N0236A050 GALIM/N0235A050 IFR Q28 ATLIT J15 NAT/N0273A090 J10 SIVAK/N0272A130 J10 NURIT NURIT1D</t>
  </si>
  <si>
    <t>2026-02-18T11:58:48Z</t>
  </si>
  <si>
    <t>2026-02-18T12:55:23Z</t>
  </si>
  <si>
    <t>2026-02-18T12:55:39.6788294Z</t>
  </si>
  <si>
    <t>b725c9f6b4bb4db9a2da723928baa5cd</t>
  </si>
  <si>
    <t>2026-02-18T11:45:00Z</t>
  </si>
  <si>
    <t>FUEL     :     AS PER COMPANY POLICY.
RTOW   :    22360kg. SPS DATA  -  RWY33 WET,260/20KT,20C,Q1011,NO PACKS.
F/L        :    FL120 CONSIDERING FUEL AND HEAD WIND.   
CTOT    :    PLS CHECK.
DISP     :    UDI A,TRAINEE. SUPERVISED BY AYELET W.</t>
  </si>
  <si>
    <t>GALIM/N0267A120 IFR P68 APLON L609 RDS L995 VARIX VARIX1Q</t>
  </si>
  <si>
    <t>2026-02-18T12:31:53Z</t>
  </si>
  <si>
    <t>2026-02-18T15:48:50Z</t>
  </si>
  <si>
    <t>2026-02-18T14:38:35.8890546Z</t>
  </si>
  <si>
    <t>5c7aeba88109455cabe2deece6d4d576</t>
  </si>
  <si>
    <t>2026-02-18T10:10:00Z</t>
  </si>
  <si>
    <t>FUEL    :    EXTRA FUEL TO COVER THE NEXT LEG.
DISP     :   UDI A,TRAINEE. SUPERVISED BY AYELET W.</t>
  </si>
  <si>
    <t>EMEDA2B EMEDA B17 MERVA P68 GALIM/N0273A050 VFR</t>
  </si>
  <si>
    <t>2026-02-18T10:22:34Z</t>
  </si>
  <si>
    <t>2026-02-18T11:05:21Z</t>
  </si>
  <si>
    <t>2026-02-18T10:51:26.6726989Z</t>
  </si>
  <si>
    <t>b516e721938740d08b6d67a510adc416</t>
  </si>
  <si>
    <t>2026-02-18T09:25:00Z</t>
  </si>
  <si>
    <t>FUEL    :    EXTRA FUEL TO COVER NEXT LEG-PFO.
DISP     :   UDI A,TRAINEE. SUPERVISED BY AYELET W.</t>
  </si>
  <si>
    <t>KEA1N KEA L995 RDS L609 ALKIS/N0278F170 L609 APLON P68 GALIM/N0275F170 VFR</t>
  </si>
  <si>
    <t>2026-02-18T09:48:59Z</t>
  </si>
  <si>
    <t>2026-02-18T12:04:28Z</t>
  </si>
  <si>
    <t>2026-02-18T11:31:27.2955124Z</t>
  </si>
  <si>
    <t>c91e966e0f834cb0b4680c80a239f24a</t>
  </si>
  <si>
    <t>2026-02-18T08:50:00Z</t>
  </si>
  <si>
    <t>FUEL    :    EXTRA FUEL TO COVER NEXT LEG-ETM.
DISP     :   UDI A,TRAINEE. SUPERVISED BY AYELET W.</t>
  </si>
  <si>
    <t>2026-02-18T10:09:17Z</t>
  </si>
  <si>
    <t>2026-02-18T11:02:35Z</t>
  </si>
  <si>
    <t>2026-02-18T09:38:47.9331407Z</t>
  </si>
  <si>
    <t>11192216346943ac8455a4838f3c354f</t>
  </si>
  <si>
    <t>2026-02-18T08:30:00Z</t>
  </si>
  <si>
    <t>FUEL     :    AS PER COMPANY POLICY.  REFUELED FROM PREVIOUS LEG.
RTOW   :    22373kg. SPS DATA  -  RWY33 WET,260/20KT,20C,Q1011,NO PACKS.
DISP     :    UDI A,TRAINEE. SUPERVISED BY AYELET W.</t>
  </si>
  <si>
    <t>N0235A050 GALIM/N0234A050 IFR P68 MERVA/N0273A140 N131 EMEDA EMEDA1A</t>
  </si>
  <si>
    <t>2026-02-18T08:37:37Z</t>
  </si>
  <si>
    <t>2026-02-18T09:21:34Z</t>
  </si>
  <si>
    <t>2026-02-18T09:15:35.3345916Z</t>
  </si>
  <si>
    <t>8a0064c767d7433ab45245fae24f287b</t>
  </si>
  <si>
    <t>2026-02-18T08:00:00Z</t>
  </si>
  <si>
    <t>AC IS FUELED WITH 1890KG FROM PREV. LEG
T/O DATA: RWY 15. DRY.230/07K 20C 1012Q  AC-OFF.  RTOW - 22475KG
DIS. BY AYELET W.</t>
  </si>
  <si>
    <t>N0235A050 GALIM/N0235A050 IFR Q28 ATLIT J15 NAT/N0271A090 J10 SIVAK/N0273A130 J10 NURIT NURIT1D</t>
  </si>
  <si>
    <t>2026-02-18T08:10:53Z</t>
  </si>
  <si>
    <t>2026-02-18T09:07:56Z</t>
  </si>
  <si>
    <t>2026-02-18T09:00:31.4958858Z</t>
  </si>
  <si>
    <t>118752b567204c62bc988831b4f46493</t>
  </si>
  <si>
    <t>2026-02-18T07:40:00Z</t>
  </si>
  <si>
    <t>OFP REV 01 DUE TO ROUTE CHNGE +EXTRA FUEL
FUEL     :    AS PER COMPANY POLICY.
RTOW   :    22574kg. SPS DATA  -  RWY15 DRY,230/07KT,18C,Q1012,NO PACKS.
DISP     :    UDI A,TRAINEE. SUPERVISED BY AYELET W.</t>
  </si>
  <si>
    <t>GALIM/N0234A050 IFR P68 MERVA/N0266A140 P68 APLON L609 MAROS M67 TOSKA M978 VAXOS N128 OKESA RIKSO/N0274F140 N128 PEREN L863 EVIVI Y94 VANET VANET5H</t>
  </si>
  <si>
    <t>2026-02-18T07:46:42Z</t>
  </si>
  <si>
    <t>2026-02-18T11:39:26Z</t>
  </si>
  <si>
    <t>2026-02-18T11:34:37.1915708Z</t>
  </si>
  <si>
    <t>86d065fd247240e9b0ccf544bb44b610</t>
  </si>
  <si>
    <t>2026-02-18T05:45:00Z</t>
  </si>
  <si>
    <t>FUEL     :    AS PER COMPANY POLICY.
RTOW   :    22719kg. SPS DATA  -  RWY15 DRY,160/05KT,18C,Q1011,NO PACKS.
F/L        :    CHOSEN CONSIDERING  FLIGHT TIME.  
DISP     :    UDI A,TRAINEE. SUPERVISED BY AYELET W.</t>
  </si>
  <si>
    <t>N0233A050 GALIM/N0232A050 IFR P68 MERVA/N0266A120 P68 APLON L609 RDS L995 VARIX VARIX1Q</t>
  </si>
  <si>
    <t>2026-02-18T06:01:38Z</t>
  </si>
  <si>
    <t>2026-02-18T09:03:51Z</t>
  </si>
  <si>
    <t>2026-02-18T08:32:53.6831468Z</t>
  </si>
  <si>
    <t>2c0930491569402796831c5e6c67b21c</t>
  </si>
  <si>
    <t>2026-02-01T17:25:00Z</t>
  </si>
  <si>
    <t>EXTRA FUEL IS FOR NEXT LEG(ETM).
DISP-EREZ Y.</t>
  </si>
  <si>
    <t>2026-02-01T17:41:15Z</t>
  </si>
  <si>
    <t>2026-02-01T18:26:49Z</t>
  </si>
  <si>
    <t>2026-02-01T18:08:39.9243642Z</t>
  </si>
  <si>
    <t>e2cb4ce3108a4d68a694301fcc89f6dc</t>
  </si>
  <si>
    <t>2026-02-01T16:00:00Z</t>
  </si>
  <si>
    <t>T/O DATA-LLHA-RWY 15,TEMP 24C,WIND 140/05,Q1012,....RTOW 22458 KG.
EXTRA FUEL IS FROM PREVIOUS FLT
DISP-EREZ Y.</t>
  </si>
  <si>
    <t>2026-02-01T16:00:38Z</t>
  </si>
  <si>
    <t>2026-02-01T16:43:55Z</t>
  </si>
  <si>
    <t>2026-02-01T16:43:44.2871688Z</t>
  </si>
  <si>
    <t>c3a30e18e80946128d635f2139a8318e</t>
  </si>
  <si>
    <t>2026-02-01T13:55:00Z</t>
  </si>
  <si>
    <t>EXTRA FUEL TO COVER THE NEXT LEG.
DISP-EREZ Y.</t>
  </si>
  <si>
    <t>2026-02-01T14:56:40Z</t>
  </si>
  <si>
    <t>2026-02-01T17:31:40Z</t>
  </si>
  <si>
    <t>2026-02-01T16:22:43.2427127Z</t>
  </si>
  <si>
    <t>66bed3dc9a314cbab475bc50dbc89a31</t>
  </si>
  <si>
    <t>2026-02-01T12:35:00Z</t>
  </si>
  <si>
    <t>1.  THIS FLIGT WAS PREPARED BY UDI A.
2.  MEL 30-60-01B ,LEFT HAND WINDSHILD HEATING SYS.aircraft is not operated into known or forecast icing conditions .
2.  EXTRA FUEL TO COVER THE NEXT LEG-ETM.</t>
  </si>
  <si>
    <t>2026-02-01T12:50:26Z</t>
  </si>
  <si>
    <t>2026-02-01T13:42:21Z</t>
  </si>
  <si>
    <t>2026-02-01T13:23:07.3542328Z</t>
  </si>
  <si>
    <t>f768f41645d1483e82d8b9d0a1a20a8e</t>
  </si>
  <si>
    <t>2026-02-01T10:45:00Z</t>
  </si>
  <si>
    <t>1. THIS FLIGT WAS PREPARED BY UDI A.
2. LLHA- 22433kg. SPS DATA : 150/05KT,DRY,25C Q1013,PACKS OFF.
3. EXTRA FUEL PLANNED AS PER COMPANY POLICY.</t>
  </si>
  <si>
    <t>2026-02-01T11:01:46Z</t>
  </si>
  <si>
    <t>2026-02-01T11:57:50Z</t>
  </si>
  <si>
    <t>2026-02-01T11:45:16.0633701Z</t>
  </si>
  <si>
    <t>186ddb34f8554b299ed25221faf78fd5</t>
  </si>
  <si>
    <t>2026-02-01T10:30:00Z</t>
  </si>
  <si>
    <t>1. THIS FLIGT WAS PREPARED BY UDI A.
2. EXTRA FUEL TO COVER THE NEXT LEG-SOF.</t>
  </si>
  <si>
    <t>2026-02-01T10:29:29Z</t>
  </si>
  <si>
    <t>2026-02-01T11:14:03Z</t>
  </si>
  <si>
    <t>2026-02-01T11:12:17.8671896Z</t>
  </si>
  <si>
    <t>2c2e236b1422490ea482908d35909da4</t>
  </si>
  <si>
    <t>2026-02-01T10:15:00Z</t>
  </si>
  <si>
    <t>1. THIS FLIGT WAS PREPARED BY UDI A.
2. LLHA-RWY 15 RTOW 22727kg. SPS DATA:120/03KT, DRY, 16C, 1014Q, PACKS OFF.
3. EXTRA FUEL PLANNED:100kg AS PER COMPANY POLICY AND 100kg,DUE TO ATH WX UPON ARR..
4. ATC FILED FOR 09:55.   PLS,CHECK CTOT.
NEW OFT DUE TO UPDATED ZFW.</t>
  </si>
  <si>
    <t>GALIM/F050 IFR P68 MERVA/F140 P68 APLON L609 RDS L995 VARIX VARIX1Q</t>
  </si>
  <si>
    <t>2026-02-01T10:53:49Z</t>
  </si>
  <si>
    <t>2026-02-01T13:33:50Z</t>
  </si>
  <si>
    <t>2026-02-01T12:49:22.6738311Z</t>
  </si>
  <si>
    <t>5c90f4f9b3134d6b8099c43dafdd6013</t>
  </si>
  <si>
    <t>2026-02-01T09:55:00Z</t>
  </si>
  <si>
    <t>1. THIS FLIGT WAS PREPARED BY UDI A.
2. EXTRA FUEL TO COVER THE NEXT LEG-LCA.</t>
  </si>
  <si>
    <t>2026-02-01T09:48:56Z</t>
  </si>
  <si>
    <t>2026-02-01T10:38:56Z</t>
  </si>
  <si>
    <t>2026-02-01T10:44:00.2700261Z</t>
  </si>
  <si>
    <t>4f3c6b342b414e0e95bdb2f0cdae5bc4</t>
  </si>
  <si>
    <t>2026-02-01T08:50:00Z</t>
  </si>
  <si>
    <t>1.  THIS FLIGT WAS PREPARED BY UDI A.
2.  MEL 30-60-01B ,LEFT HAND WINDSHILD HEATING SYS.aircraft is not operated into known or forecast icing conditions .
3.  EXTRA FUEL TO COVER NEXT LEG-ETM.
4.  ETM.  A/D CLSD 09:45-10:45.</t>
  </si>
  <si>
    <t>2026-02-01T08:51:46Z</t>
  </si>
  <si>
    <t>2026-02-01T09:43:08Z</t>
  </si>
  <si>
    <t>2026-02-01T09:38:09.529609Z</t>
  </si>
  <si>
    <t>dfcb073c78664d4a92cbddda82aa057a</t>
  </si>
  <si>
    <t>1.  THIS FLIGT WAS PREPARED BY UDI A.
2.  A/C IS FUELED WITH 2100kg FROM PREVIOUS LEG.
3.  LLHA-RWY 15 RTOW 22727kg. SPS DATA:120/03KT, DRY, 16C, 1014Q, PACKS OFF.</t>
  </si>
  <si>
    <t>2026-02-01T08:51:43Z</t>
  </si>
  <si>
    <t>2026-02-01T09:35:09Z</t>
  </si>
  <si>
    <t>2026-02-01T09:35:25.3881328Z</t>
  </si>
  <si>
    <t>abe31b7b51f14fd6bc385e16036b60a6</t>
  </si>
  <si>
    <t>2026-02-01T08:05:00Z</t>
  </si>
  <si>
    <t>1. THIS FLIGT WAS PREPARED BY UDI A.
2. LLHA-RWY 15 RTOW 22727kg. SPS DATA:120/03KT, DRY, 16C, 1014Q, PACKS OFF.
3. A/C ALREADY FULED FROM PREVIOUS LEG.</t>
  </si>
  <si>
    <t>2026-02-01T08:07:03Z</t>
  </si>
  <si>
    <t>2026-02-01T09:03:53Z</t>
  </si>
  <si>
    <t>2026-02-01T08:55:01.641986Z</t>
  </si>
  <si>
    <t>eb9b67fb01dc48928fcffdb449e00a4b</t>
  </si>
  <si>
    <t>2026-02-01T07:00:00Z</t>
  </si>
  <si>
    <t>1. THIS FLIGT WAS PREPARED BY UDI A.
2. MEL 30-60-01B ,LEFT HAND WINDSHILD HEATING SYS.aircraft is not operated into known or forecast icing conditions .
3. LLHA-RWY 15 RTOW 22727kg. SPS DATA:120/03KT, DRY, 16C, 1014Q, PACKS OFF.
4. A/C IS FUELED WITH 1970kg FROM PREVIOUS LEG.
5. ETM.  A/D CLSD 09:45-10:45.</t>
  </si>
  <si>
    <t>2026-02-01T07:12:22Z</t>
  </si>
  <si>
    <t>2026-02-01T08:07:37Z</t>
  </si>
  <si>
    <t>2026-02-01T07:59:36.3405686Z</t>
  </si>
  <si>
    <t>c3b6cb7f1ace44c49989c8edd940cec1</t>
  </si>
  <si>
    <t>2026-01-22T18:50:00Z</t>
  </si>
  <si>
    <t>1.FLT DIPATCHED AT F/L 090 PER CAPT REQ DUE OBSERVED SEVERE ICING ON HIGHER LEVELS.
2.EXTRA FUEL IS FOR NEXT FLT(ETM).
DISP-EREZ Y.</t>
  </si>
  <si>
    <t>2026-01-22T19:13:32Z</t>
  </si>
  <si>
    <t>2026-01-22T20:07:55Z</t>
  </si>
  <si>
    <t>2026-01-22T19:32:09.0167941Z</t>
  </si>
  <si>
    <t>6004c817adfa4cd49851892864a615fe</t>
  </si>
  <si>
    <t>2026-01-22T17:20:00Z</t>
  </si>
  <si>
    <t>1.FLT DIPATCHED AT F/L 080 PER CAPT REQ DUE OBSERVED SEVERE ICING ON HIGHER LEVELS.
2.EXTRA FUEL IS PER POLICY.
3.T/O DATA-RWY 15,TEMP 13C,WIND 130/07,Q1012,PACKS OFF,....RTOW 23000KG.
DISP-EREZ Y.</t>
  </si>
  <si>
    <t>N0229A050 GALIM/N0229A050 IFR P68 MERVA/N0259A080 N131 EMEDA EMEDA1A</t>
  </si>
  <si>
    <t>2026-01-22T17:41:16Z</t>
  </si>
  <si>
    <t>2026-01-22T18:28:12Z</t>
  </si>
  <si>
    <t>2026-01-22T18:01:59.1265609Z</t>
  </si>
  <si>
    <t>655bdde753c64e289786a518615b9069</t>
  </si>
  <si>
    <t>2026-01-22T15:25:00Z</t>
  </si>
  <si>
    <t>EXTRA FUEL IS FOR THE NEXT FLT.
DISP -EREZ Y.</t>
  </si>
  <si>
    <t>KEA1N KEA L995 RDS L609 ALKIS/N0280F190 L609 APLON P68 GALIM/F050 VFR</t>
  </si>
  <si>
    <t>2026-01-22T15:28:41Z</t>
  </si>
  <si>
    <t>2026-01-22T17:58:52Z</t>
  </si>
  <si>
    <t>2026-01-22T17:44:47.7733222Z</t>
  </si>
  <si>
    <t>53b25cb4489242ac8205c4ba8afe6be0</t>
  </si>
  <si>
    <t>2026-01-22T15:10:00Z</t>
  </si>
  <si>
    <t>2026-01-22T16:03:49Z</t>
  </si>
  <si>
    <t>2026-01-22T16:58:33Z</t>
  </si>
  <si>
    <t>2026-01-22T15:58:00.4780854Z</t>
  </si>
  <si>
    <t>300d1b4ae9e24313aa441729943de3d8</t>
  </si>
  <si>
    <t>2026-01-22T14:45:00Z</t>
  </si>
  <si>
    <t>1. EXTRA FUEL PLANNED DUE TO WX AT DEST AND VICINITY.
2. DISPATCHED WITH TWO ALTERNATES DUE TO LIMITING X-WINDS AT LLHA.
3. DISPATCHED WITH MEL: 28-42-01.
DISP-EREZ Y.</t>
  </si>
  <si>
    <t>2026-01-22T15:27:00.0486044Z</t>
  </si>
  <si>
    <t>5f077d3a2e7f4fdd8b041594ab64cd83</t>
  </si>
  <si>
    <t>2026-01-22T14:40:00Z</t>
  </si>
  <si>
    <t>NEW OFP DUE HIGHER ZFW(PAX FROM 804),AND AT F/L 090 AS PER CAPT REQ.
EXTRA FUEL IS FOR NXT FLT+FOR HOLDING FUEL DUE POSS CROSS WIND AT LLHA.
DISP-EREZ Y.</t>
  </si>
  <si>
    <t>2026-01-22T16:01:33Z</t>
  </si>
  <si>
    <t>2026-01-22T16:52:08Z</t>
  </si>
  <si>
    <t>2026-01-22T15:22:06.8626314Z</t>
  </si>
  <si>
    <t>999d9db27f1448348c26eba3ef9abc28</t>
  </si>
  <si>
    <t>2026-01-22T13:20:00Z</t>
  </si>
  <si>
    <t>NEW OFP DUE MAINT ON IHB
1. LLHA-RWY15 RTOW 23000KG. SPS DATA: 130/07KTS, DRY, 13C DEG, QNH 1015, Air Cond. OFF.
2. EXTRA FUEL IS PER POLICY.
DISP-EREZ Y.</t>
  </si>
  <si>
    <t>GALIM/N0233A050 IFR Q28 ATLIT J15 NAT/N0272A090 J10 SIVAK/N0274A130 J10 NURIT NURIT1D</t>
  </si>
  <si>
    <t>2026-01-22T14:07:04Z</t>
  </si>
  <si>
    <t>2026-01-22T15:08:53Z</t>
  </si>
  <si>
    <t>2026-01-22T14:21:57.9262227Z</t>
  </si>
  <si>
    <t>2d8c03a6578748a29583be0746c782d8</t>
  </si>
  <si>
    <t>2026-01-22T13:00:00Z</t>
  </si>
  <si>
    <t>1. THIS FLIGT WAS PREPARED BY NIMROD R.
2. LLHA-RWY 15 RTOW 23000KG. SPS DATA: 130/07KTS, DRY, 13C DEG, QNH 1015, Air Cond. OFF.
3. DISPATCHED WITH T/O ALT DUE TO POSSIBLE LIMITING X-WINDS.
4. A/C IS FUELED WITH 1760 KG FROM PREVIOUS LEG.</t>
  </si>
  <si>
    <t>2026-01-22T13:17:33Z</t>
  </si>
  <si>
    <t>2026-01-22T14:02:47Z</t>
  </si>
  <si>
    <t>2026-01-22T13:44:00.1493046Z</t>
  </si>
  <si>
    <t>548ffd026c7346ceb9fbb4df57832a36</t>
  </si>
  <si>
    <t>2026-01-22T12:10:00Z</t>
  </si>
  <si>
    <t>1. THIS FLIGT WAS PREPARED BY NIMROD R.
2. NEW OFP REV.01 ISSUED DUE TO BLOCK FUEL CHG, DISPATCH WITH ONE ALT.</t>
  </si>
  <si>
    <t>2026-01-22T12:20:24Z</t>
  </si>
  <si>
    <t>2026-01-22T13:14:36Z</t>
  </si>
  <si>
    <t>2026-01-22T12:57:43.9995711Z</t>
  </si>
  <si>
    <t>322b8c90965e4eea87264d4502592c89</t>
  </si>
  <si>
    <t>2026-01-22T12:01:00Z</t>
  </si>
  <si>
    <t>1. THIS FLIGT WAS PREPARED BY NIMROD R.
2. LLHA-RWY 15 RTOW 23000KG. SPS DATA: 120/10KTS, DRY, 14C DEG, QNH 1017, Air Cond. OFF.
3. EXTRA FUEL PLANNED DUE TO WX AT DEST AND ENROUTE.</t>
  </si>
  <si>
    <t>N0231A050 DCT GALIM/N0231A050 IFR P68 MERVA/N0261A160 P68 APLON L609 RDS L995 VARIX VARIX1Q</t>
  </si>
  <si>
    <t>2026-01-22T12:01:38Z</t>
  </si>
  <si>
    <t>2026-01-22T14:48:19Z</t>
  </si>
  <si>
    <t>2026-01-22T14:39:08.3536307Z</t>
  </si>
  <si>
    <t>0c925bc4cbd24f4083461e8c281e6c86</t>
  </si>
  <si>
    <t>2026-01-22T10:39:00Z</t>
  </si>
  <si>
    <t>1. THIS FLIGT WAS PREPARED BY NIMROD R.
2. LLHA-RWY 15 RTOW 23000KG. SPS DATA: 120/10KTS, DRY, 14C DEG, QNH 1017, Air Cond. OFF.
3. DISPATCHED WITH MEL: 28-42-01 - FUEL HAS TO BE CHECKED MANUALLY AFTER EVERY REFUEL.
4. EXTRA FUEL PLANNED FOR NEXT LEG WITH EXTRA FUEL OF 600 KG (45 MINUTES).</t>
  </si>
  <si>
    <t>2026-01-22T10:50:10Z</t>
  </si>
  <si>
    <t>2026-01-22T11:40:28Z</t>
  </si>
  <si>
    <t>2026-01-22T11:24:55.7103781Z</t>
  </si>
  <si>
    <t>3ef63e0f16764480ade2ce156b9edf1b</t>
  </si>
  <si>
    <t>2026-01-22T09:55:00Z</t>
  </si>
  <si>
    <t>1. THIS FLIGT WAS PREPARED BY NIMROD R.
2. EXTRA FUEL TO COVER THE NEXT LEG.
3. DISPATCHED WITH 2ND ALTERNATE DUE TO LIMITING X-WINDS AT LLHA.</t>
  </si>
  <si>
    <t>2026-01-22T10:14:43Z</t>
  </si>
  <si>
    <t>2026-01-22T11:06:46Z</t>
  </si>
  <si>
    <t>2026-01-22T10:43:59.7282037Z</t>
  </si>
  <si>
    <t>97cee1aea88641f1845a1c0ad8ff3530</t>
  </si>
  <si>
    <t>2026-01-22T09:45:00Z</t>
  </si>
  <si>
    <t>1. THIS FLIGT WAS PREPARED BY NIMROD R.
2. LLHA-RWY 15 RTOW 23000KG. SPS DATA: 120/10KTS, DRY, 14C DEG, QNH 1017, Air Cond. OFF.
3. A/C IS FUELED WITH 1910 KG FROM PREVIOUS LEG.
4. DISPATCHED WITH T/O ALT DUE TO LIMITING X-WINDS.</t>
  </si>
  <si>
    <t>2026-01-22T10:14:35Z</t>
  </si>
  <si>
    <t>2026-01-22T11:18:07Z</t>
  </si>
  <si>
    <t>2026-01-22T10:47:01.069178Z</t>
  </si>
  <si>
    <t>7f42019dcaee4b26b545b94e3448e921</t>
  </si>
  <si>
    <t>2026-01-22T09:25:00Z</t>
  </si>
  <si>
    <t xml:space="preserve">1. THIS FLIGT WAS PREPARED BY NIMROD R.
2. EXTRA FUEL PLANNED FOR </t>
  </si>
  <si>
    <t>KEA1N KEA L995 RDS L609 ALKIS/N0280F170 L609 APLON P68 GALIM/F050 VFR</t>
  </si>
  <si>
    <t>2026-01-22T09:38:34Z</t>
  </si>
  <si>
    <t>2026-01-22T13:58:39Z</t>
  </si>
  <si>
    <t>2026-01-22T11:43:23.7362052Z</t>
  </si>
  <si>
    <t>0111466108644ec8a3c37bd0aafbb62a</t>
  </si>
  <si>
    <t>2026-01-22T09:10:00Z</t>
  </si>
  <si>
    <t>1. THIS FLIGT WAS PREPARED BY NIMROD R.
2. A/C IS FUELED WITH 1200 KG FROM PREVIOUS LEG.</t>
  </si>
  <si>
    <t>NAT J15 ATLIT VFR ATLIT HOTRM DAROM GALIM VFR</t>
  </si>
  <si>
    <t>2026-01-22T09:38:28Z</t>
  </si>
  <si>
    <t>2026-01-22T10:00:17Z</t>
  </si>
  <si>
    <t>2026-01-22T09:25:53.1570176Z</t>
  </si>
  <si>
    <t>061780cd6ecf4a9c8524c41b110b7636</t>
  </si>
  <si>
    <t>2026-01-22T08:05:00Z</t>
  </si>
  <si>
    <t>1. THIS FLIGT WAS PREPARED BY NIMROD R.
2. LLHA-RWY 15 RTOW 23000KG. SPS DATA: 120/10KTS, DRY, 14C DEG, QNH 1017, Air Cond. OFF.
3. A/C IS FUELED WITH 2080 KG FROM PREVIOUS LEG.
4. DISPATCHED WITH T/O ALT DUE TO STRONG X-WINDS AT LLHA.</t>
  </si>
  <si>
    <t>GALIM/N0230A050 IFR P68 MERVA/F140 N131 VELOX M42 ESERI</t>
  </si>
  <si>
    <t>2026-01-22T08:14:57Z</t>
  </si>
  <si>
    <t>2026-01-22T09:22:09Z</t>
  </si>
  <si>
    <t>2026-01-22T08:57:12.7947279Z</t>
  </si>
  <si>
    <t>b218e7ebd07c4849acc24d6250ebe4b8</t>
  </si>
  <si>
    <t>2026-01-22T05:45:00Z</t>
  </si>
  <si>
    <t>1. THIS FLIGT WAS PREPARED BY NIMROD R.
2. LLHA-RWY 15 RTOW 23000KG. SPS DATA: 120/10KTS, DRY, 14C DEG, QNH 1016, Air Cond. OFF.
3. EXTRA FUEL PLANNED DUE TO WX AT DEST AND ENROUTE.</t>
  </si>
  <si>
    <t>2026-01-22T05:59:19Z</t>
  </si>
  <si>
    <t>2026-01-22T08:46:08Z</t>
  </si>
  <si>
    <t>2026-01-22T08:29:34.9837368Z</t>
  </si>
  <si>
    <t>9f12e41e0dad4d44adf26921a65ffb29</t>
  </si>
  <si>
    <t>2026-03-04T14:30:00Z</t>
  </si>
  <si>
    <t>2026-03-04T15:43:21.480904Z</t>
  </si>
  <si>
    <t>a4641f00b3c744b0a32c9964465de76d</t>
  </si>
  <si>
    <t>2026-01-11T17:55:00Z</t>
  </si>
  <si>
    <t>FUEL   :   EXTRA FUEL TO COVER NEXT LEG-LCA.
DISP   :    UDI A,TRAINEE.SUPERVISED BY LIAT N.</t>
  </si>
  <si>
    <t>2026-01-11T18:08:40Z</t>
  </si>
  <si>
    <t>2026-01-11T18:47:42Z</t>
  </si>
  <si>
    <t>2026-01-11T18:36:39.68164Z</t>
  </si>
  <si>
    <t>c1d678e6e54a480e93b4c8a4b183de13</t>
  </si>
  <si>
    <t>2026-01-11T16:30:00Z</t>
  </si>
  <si>
    <t>FUEL    :   EXTRA FUEL AS PER COMPANY POLICY.
RTOW  :    22408kg.  SPS DATA - RWY15 DRY,NO WIND,20C,1015Q,PACKS OFF.
DISP    :    UDI A,TRAINEE.SUPERVISED BY LIAT N.</t>
  </si>
  <si>
    <t>2026-01-11T16:30:51Z</t>
  </si>
  <si>
    <t>2026-01-11T17:14:58Z</t>
  </si>
  <si>
    <t>2026-01-11T17:13:57.1117006Z</t>
  </si>
  <si>
    <t>50b80c77f5674e3eb1bd83cfc0afeb3d</t>
  </si>
  <si>
    <t>2026-01-11T15:25:00Z</t>
  </si>
  <si>
    <t>FUEL   :   EXTRA FUEL TO COVER NEXT LEG-SOF.
DISP   :    UDI A,TRAINEE.SUPERVISED BY LIAT N.</t>
  </si>
  <si>
    <t>KEA1E KEA L995 RDS L609 ALKIS L609 APLON P68 GALIM VFR</t>
  </si>
  <si>
    <t>2026-01-11T15:43:05Z</t>
  </si>
  <si>
    <t>2026-01-11T18:01:50Z</t>
  </si>
  <si>
    <t>2026-01-11T17:43:46.06271Z</t>
  </si>
  <si>
    <t>4235d662c0c04e4bb2147d05574468aa</t>
  </si>
  <si>
    <t>2026-01-11T14:40:00Z</t>
  </si>
  <si>
    <t>N0272F130 EMEDA2B EMEDA B17 MERVA P68 GALIM/N0272A050 VFR</t>
  </si>
  <si>
    <t>2026-01-11T14:38:24Z</t>
  </si>
  <si>
    <t>2026-01-11T15:20:38Z</t>
  </si>
  <si>
    <t>2026-01-11T15:21:52.0186288Z</t>
  </si>
  <si>
    <t>4b4727718ed74975b3d4fedcf2edd6cf</t>
  </si>
  <si>
    <t>FUEL   :   EXTRA FUEL TO COVER NEXT LEG-ETM.
DISP   :    UDI A,TRAINEE.SUPERVISED BY EREZ Y.</t>
  </si>
  <si>
    <t>N0269F120 NURIT2H NURIT J10 TOMAL/N0272F080 J10 NAT/N0224F040 J15 ATLIT/N0225F040 VFR HOTRM DAROM GALIM</t>
  </si>
  <si>
    <t>2026-01-11T14:47:37Z</t>
  </si>
  <si>
    <t>2026-01-11T15:36:09Z</t>
  </si>
  <si>
    <t>2026-01-11T15:28:49.3094292Z</t>
  </si>
  <si>
    <t>eb98857951ac4548a65318f0c38ab7d9</t>
  </si>
  <si>
    <t>2026-01-11T13:00:00Z</t>
  </si>
  <si>
    <t>EXTRA FUEL IS FROM PREVIOUS FLT.
T/O DATA-RWY 15,TEMP 20C,WIND 130/04,Q1019,PACKS OFF,....RTOW 22672 KG.
DISP-EREZ Y.</t>
  </si>
  <si>
    <t>2026-01-11T12:59:58Z</t>
  </si>
  <si>
    <t>2026-01-11T13:44:24Z</t>
  </si>
  <si>
    <t>2026-01-11T13:44:50.6527905Z</t>
  </si>
  <si>
    <t>ef096ecd28764baabe18db34c0a2d974</t>
  </si>
  <si>
    <t>2026-01-11T12:50:00Z</t>
  </si>
  <si>
    <t>EXTRA FUEL IS PER POLICY.
T/O DATA-RWY 15,TEMP 20C,WIND 130/04,Q1019,PACKS OFF,....RTOW 22672 KG.
DISP-EREZ Y.</t>
  </si>
  <si>
    <t>GALIM/N0235A050 IFR Q28 ATLIT J15 NAT/N0275A090 J10 SIVAK/N0277A130 J10 NURIT NURIT1D</t>
  </si>
  <si>
    <t>2026-01-11T13:07:16Z</t>
  </si>
  <si>
    <t>2026-01-11T14:01:14Z</t>
  </si>
  <si>
    <t>2026-01-11T13:48:03.5501432Z</t>
  </si>
  <si>
    <t>2c532949197a4297bd6341df4a65386d</t>
  </si>
  <si>
    <t>2026-01-11T12:35:00Z</t>
  </si>
  <si>
    <t>EXTRA FUEL IS FOR NEXT FLT.
DISP-EREZ Y.</t>
  </si>
  <si>
    <t>NURIT2H NURIT J10 TOMAL/N0275F080 J10 NAT/N0225F040 J15 ATLIT/N0226F040 VFR 3245N03456E 3248N03457E GALIM</t>
  </si>
  <si>
    <t>2026-01-11T12:40:28Z</t>
  </si>
  <si>
    <t>2026-01-11T13:31:45Z</t>
  </si>
  <si>
    <t>2026-01-11T13:23:57.5235198Z</t>
  </si>
  <si>
    <t>5de38f61504049fc86ea3875d6a85713</t>
  </si>
  <si>
    <t>2026-01-11T11:45:00Z</t>
  </si>
  <si>
    <t>1.ATC F/P WAS FILED FOR 1115Z DUE PREDICTED HEAVY CTOT.
2.EXTRA FUEL IS PER POLICY.
3.T/O DATA-RWY 15,TEMP 20C,WIND 130/04,Q1019,PACKS OFF,....RTOW 22672 KG.
DISP-EREZ Y.</t>
  </si>
  <si>
    <t>GALIM/F050 IFR P68 MERVA/F180 P68 APLON L609 RDS L995 VARIX VARIX1Q</t>
  </si>
  <si>
    <t>2026-01-11T11:42:47Z</t>
  </si>
  <si>
    <t>2026-01-11T14:38:18Z</t>
  </si>
  <si>
    <t>2026-01-11T14:29:47.6456715Z</t>
  </si>
  <si>
    <t>f71f10b1c16a4104ac95d5da854b4a0a</t>
  </si>
  <si>
    <t>2026-01-11T10:45:00Z</t>
  </si>
  <si>
    <t>1.EXTRA FUEL IS PER POLICY.
2.T/O DATA-RWY 15,TEMP 20C,WIND 130/04,Q1019,PACKS OFF,....RTOW 22672 KG.
DISP-EREZ Y.</t>
  </si>
  <si>
    <t>2026-01-11T10:50:10Z</t>
  </si>
  <si>
    <t>2026-01-11T11:49:40Z</t>
  </si>
  <si>
    <t>2026-01-11T11:44:20.2314008Z</t>
  </si>
  <si>
    <t>fa4c2e8253764d7f9695d8b15bf4ab6c</t>
  </si>
  <si>
    <t>2026-01-11T09:55:00Z</t>
  </si>
  <si>
    <t>2026-01-11T09:50:42Z</t>
  </si>
  <si>
    <t>2026-01-11T10:39:22Z</t>
  </si>
  <si>
    <t>2026-01-11T10:44:27.6004901Z</t>
  </si>
  <si>
    <t>c3328549707641ca93613d10e5a4816b</t>
  </si>
  <si>
    <t>2026-01-11T09:25:00Z</t>
  </si>
  <si>
    <t>1.AS PER REQ DISPATCHED AT F/L 210 FROM ALKIS DUE PERFORMANCE LIMITATION
2.EXTRA FUEL IS FOR THE NEXT FLT.
DISP-EREZ Y.</t>
  </si>
  <si>
    <t>KEA1E KEA L995 RIPLI L995 RDS/F210 L609 ALKIS L609 APLON P68 MERVA/F190 P68 GALIM/N0269F050 VFR</t>
  </si>
  <si>
    <t>2026-01-11T09:54:48Z</t>
  </si>
  <si>
    <t>2026-01-11T12:15:46Z</t>
  </si>
  <si>
    <t>2026-01-11T11:47:15.9963152Z</t>
  </si>
  <si>
    <t>7f0c0aa1c73442b89a02b63c1bea5b66</t>
  </si>
  <si>
    <t>2026-01-11T09:10:00Z</t>
  </si>
  <si>
    <t>EXTRA FUEL IS FOR THE NEXT FLT ON THIS A/C(ETM).
DISP-EREZ Y.</t>
  </si>
  <si>
    <t>2026-01-11T09:31:33Z</t>
  </si>
  <si>
    <t>2026-01-11T10:16:47Z</t>
  </si>
  <si>
    <t>2026-01-11T09:52:44.0720995Z</t>
  </si>
  <si>
    <t>30013a74f16a40bca547ce1ceedd0a02</t>
  </si>
  <si>
    <t>2026-01-11T08:50:00Z</t>
  </si>
  <si>
    <t>NURIT2H NURIT J10 TOMAL/N0274F080 J10 NAT/N0225F040 J15 ATLIT/N0226F040 VFR 3245N03456E 3248N03457E GALIM</t>
  </si>
  <si>
    <t>2026-01-11T09:46:19Z</t>
  </si>
  <si>
    <t>2026-01-11T09:38:09.614567Z</t>
  </si>
  <si>
    <t>f325fc5bbc6f4646b7b55f5b24560211</t>
  </si>
  <si>
    <t>2026-01-11T08:05:00Z</t>
  </si>
  <si>
    <t>EXTRA FUEL IS FROM PREVIOUS FLT.
T/O DATA-RWY 15,TEMP 17C,WIND 150/04,Q1018,PACKS OFF,....RTOW 22809 KG.
DISP-EREZ Y.</t>
  </si>
  <si>
    <t>2026-01-11T08:06:29Z</t>
  </si>
  <si>
    <t>2026-01-11T08:54:20Z</t>
  </si>
  <si>
    <t>2026-01-11T08:56:12.7306418Z</t>
  </si>
  <si>
    <t>27d6e18d556f4e8b98affe0871bc0ff0</t>
  </si>
  <si>
    <t>2026-01-11T07:30:00Z</t>
  </si>
  <si>
    <t>2026-01-11T07:36:20Z</t>
  </si>
  <si>
    <t>2026-01-11T08:18:27Z</t>
  </si>
  <si>
    <t>2026-01-11T08:15:07.0579973Z</t>
  </si>
  <si>
    <t>2173451a35cb4e318f8a0ed3ca364e41</t>
  </si>
  <si>
    <t>2026-01-11T07:00:00Z</t>
  </si>
  <si>
    <t>1.EXTRA FUEL IS PER POLICY.
2.T/O DATA -RWY 15,TEMP 14C,WIND 120/04,Q1019,PACKS OFF,....RTOW 22926 KG.
DISP-EREZ Y.</t>
  </si>
  <si>
    <t>GALIM/N0234A050 IFR Q28 ATLIT J15 NAT/N0273A090 J10 SIVAK/N0273A130 J10 NURIT NURIT1D</t>
  </si>
  <si>
    <t>2026-01-11T07:06:45Z</t>
  </si>
  <si>
    <t>2026-01-11T08:07:31Z</t>
  </si>
  <si>
    <t>2026-01-11T07:58:48.2633341Z</t>
  </si>
  <si>
    <t>a5eeda1aab9a410fbc6e1860460bae18</t>
  </si>
  <si>
    <t>2026-01-11T05:45:00Z</t>
  </si>
  <si>
    <t>GALIM/N0235A050 IFR P68 MERVA/N0278A180 P68 APLON L609 NILAS L609 RDS L995 RIPLI L995 VARIX VARIX1W</t>
  </si>
  <si>
    <t>2026-01-11T05:58:20Z</t>
  </si>
  <si>
    <t>2026-01-11T08:49:34Z</t>
  </si>
  <si>
    <t>2026-01-11T08:30:15.4957962Z</t>
  </si>
  <si>
    <t>b90ab9e6b4cd4a038d5fc1ae71377df9</t>
  </si>
  <si>
    <t>2026-03-25T13:00:00Z</t>
  </si>
  <si>
    <t>AC IS FUELED WITH 2180KG FROM PREV. FLIGHT
EXTRA FUEL TO POSS WAIT AT LLBG+WX
DIS. BY AYELET W.</t>
  </si>
  <si>
    <t>2026-03-25T13:15:48Z</t>
  </si>
  <si>
    <t>2026-03-25T14:12:49Z</t>
  </si>
  <si>
    <t>2026-03-25T14:13:28.6134322Z</t>
  </si>
  <si>
    <t>b116f436b5464c2d9abb32e2e9839f25</t>
  </si>
  <si>
    <t>2026-03-25T10:30:00Z</t>
  </si>
  <si>
    <t>EXTRA FUEL IS FOR THE NEXT FLIGHT+POSS WAIT AT LLBG
DIS. BY AYELET W.</t>
  </si>
  <si>
    <t>N0274F150 EMEDA2B EMEDA M67 ANANE DCT IDAKU DCT PIKOG L609 ZUKKO</t>
  </si>
  <si>
    <t>2026-03-25T11:10:30Z</t>
  </si>
  <si>
    <t>2026-03-25T12:07:54Z</t>
  </si>
  <si>
    <t>2026-03-25T11:34:50.2148514Z</t>
  </si>
  <si>
    <t>c905aebe774d401e96deba2b04845863</t>
  </si>
  <si>
    <t>2026-01-09T11:00:00Z</t>
  </si>
  <si>
    <t>N0271F130 EMEDA2B EMEDA B17 MERVA P68 GALIM/N0270A050 VFR</t>
  </si>
  <si>
    <t>2026-01-09T11:14:02Z</t>
  </si>
  <si>
    <t>2026-01-09T11:57:31Z</t>
  </si>
  <si>
    <t>2026-01-09T11:38:13.154672Z</t>
  </si>
  <si>
    <t>f99efa2d4697462bbbdbdede505e8183</t>
  </si>
  <si>
    <t>2026-01-09T10:16:00Z</t>
  </si>
  <si>
    <t>DISPATCH 972502126365 PASSENGERS FLIGHT</t>
  </si>
  <si>
    <t>DILVO3S DILVO OTKOK N127 LMO L618 MES N139 NAXAS L52 LINRO L52 VAXOS M978 TOSKA M67 MAROS L609 APLON P68 MERVA/F180 P68 GALIM/N0283A050 VFR</t>
  </si>
  <si>
    <t>2026-01-09T10:27:31Z</t>
  </si>
  <si>
    <t>2026-01-09T13:17:05Z</t>
  </si>
  <si>
    <t>2026-01-09T12:59:30.2017743Z</t>
  </si>
  <si>
    <t>b3e9fe9dee404508b3e7399102678399</t>
  </si>
  <si>
    <t>2026-01-09T10:06:00Z</t>
  </si>
  <si>
    <t>KEA1E KEA L52 VAXOS M978 TOSKA M67 MAROS L609 APLON P68 GALIM/N0274A050 VFR</t>
  </si>
  <si>
    <t>2026-01-09T10:20:24Z</t>
  </si>
  <si>
    <t>2026-01-09T12:29:34Z</t>
  </si>
  <si>
    <t>2026-01-09T12:10:49.229642Z</t>
  </si>
  <si>
    <t>5b2babc38dd84321bead147d13fe110d</t>
  </si>
  <si>
    <t>2026-01-09T09:30:00Z</t>
  </si>
  <si>
    <t>1. THIS FLIGT WAS PREPARED BY NIMROD R.
2. LLHA-RWY 33 RTOW 22349KG. SPS DATA: 250/16KTS, WET, 16C DEG, QNH 1012, Air Cond. OFF.
3. EXTRA FUEL PLANNED DUE TO WX AT ORIGIN AND DESTINATION.</t>
  </si>
  <si>
    <t>N0272A050 GALIM/N0271A140 IFR P68 MERVA N131 EMEDA EMEDA1A</t>
  </si>
  <si>
    <t>2026-01-09T09:26:52Z</t>
  </si>
  <si>
    <t>2026-01-09T10:11:32Z</t>
  </si>
  <si>
    <t>2026-01-09T10:17:23.6187691Z</t>
  </si>
  <si>
    <t>80835122d3fd4f9bb081191e11c67fed</t>
  </si>
  <si>
    <t>2026-01-09T08:50:00Z</t>
  </si>
  <si>
    <t>2026-01-09T09:02:49Z</t>
  </si>
  <si>
    <t>2026-01-09T09:53:51Z</t>
  </si>
  <si>
    <t>2026-01-09T09:39:14.9094172Z</t>
  </si>
  <si>
    <t>2c8a3a9d526a40f09fe5b8cb661e67dc</t>
  </si>
  <si>
    <t>2026-01-09T07:40:00Z</t>
  </si>
  <si>
    <t>1. THIS FLIGT WAS PREPARED BY NIMROD R.
2. EXTRA FUEL TO COVER THE NEXT LEG WITH ADDITIONAL 300 KG.</t>
  </si>
  <si>
    <t>2026-01-09T07:37:17Z</t>
  </si>
  <si>
    <t>2026-01-09T08:16:32Z</t>
  </si>
  <si>
    <t>2026-01-09T08:18:41.563303Z</t>
  </si>
  <si>
    <t>51380e7e2bf449768ecdfecce248651c</t>
  </si>
  <si>
    <t>2026-01-09T07:00:00Z</t>
  </si>
  <si>
    <t>1. THIS FLIGT WAS PREPARED BY NIMROD R.
2. LLHA-RWY 33 RTOW 22514KG. SPS DATA: 270/15KTS, WET, 18C DEG, QNH 1012, Air Cond. OFF.
3. A/C IS FUELED WITH 2100 KG FROM PREVIOUS LEG, DUE TO WX AT ORIGIN AND ENROUTE.</t>
  </si>
  <si>
    <t>2026-01-09T07:03:05Z</t>
  </si>
  <si>
    <t>2026-01-09T08:05:32Z</t>
  </si>
  <si>
    <t>2026-01-09T08:00:54.7097945Z</t>
  </si>
  <si>
    <t>a0ac4acccb1c4197a070e0f7278f67c3</t>
  </si>
  <si>
    <t>2026-01-09T06:13:00Z</t>
  </si>
  <si>
    <t>1. THIS FLIGT WAS PREPARED BY NIMROD R.
2. LLHA-RWY 33 RTOW 22514KG. SPS DATA: 270/15KTS, WET, 18C DEG, QNH 1012, Air Cond. OFF.
3. EXTRA FUEL PLANNED DUE TO WX AT ORIGIN AND VICINITY.</t>
  </si>
  <si>
    <t>N0233A050 GALIM/N0232A050 IFR P68 MERVA/N0266A140 P68 APLON L609 RDS L995 VARIX VARIX1R</t>
  </si>
  <si>
    <t>2026-01-09T06:17:11Z</t>
  </si>
  <si>
    <t>2026-01-09T09:25:54Z</t>
  </si>
  <si>
    <t>2026-01-09T09:11:09.6632357Z</t>
  </si>
  <si>
    <t>e162ac7ffb174c1682e5a76c11bb3b00</t>
  </si>
  <si>
    <t>2026-01-09T06:00:00Z</t>
  </si>
  <si>
    <t>1. THIS FLIGT WAS PREPARED BY NIMROD R.
2. LLHA-RWY 33 RTOW 22323KG. SPS DATA: 270/10KTS, WET, 20C DEG, QNH 1012, Air Cond. OFF.
3. EXTRA FUEL PLANNED DUE TO WX AT ORIGIN, ENROUTE AND DESTINATION.</t>
  </si>
  <si>
    <t>N0234A050 GALIM/N0233A050 IFR P68 MERVA/N0275A140 N131 EMEDA EMEDA1A</t>
  </si>
  <si>
    <t>2026-01-09T06:08:36Z</t>
  </si>
  <si>
    <t>2026-01-09T06:53:19Z</t>
  </si>
  <si>
    <t>2026-01-09T06:46:21.2576657Z</t>
  </si>
  <si>
    <t>79ed02ab6662428d97964b6980b2d000</t>
  </si>
  <si>
    <t>2026-01-09T05:15:00Z</t>
  </si>
  <si>
    <t>1. THIS FLIGT WAS PREPARED BY NIMROD R.
2. LLHA-RWY 33 RTOW 22322KG. SPS DATA: 260/10KTS, WET, 18C DEG, QNH 1012, Air Cond. OFF.
3. EXTRA FUEL PLANNED DUE TO WX AT ORIGIN AND VICINITY.
4. DISPATCHED AT FL 140 DUE TO STRONG H-WINDS ENROUTE.</t>
  </si>
  <si>
    <t>GALIM/F150 IFR P68 MERVA/F140 P68 APLON L609 MAROS M67 TOSKA M978 VAXOS N128 OKESA RIKSO N128 PEREN/F160 L863 EVIVI Y94 VANET VANET5H</t>
  </si>
  <si>
    <t>2026-01-09T05:22:48Z</t>
  </si>
  <si>
    <t>2026-01-09T09:28:59Z</t>
  </si>
  <si>
    <t>2026-01-09T09:21:56.0497461Z</t>
  </si>
  <si>
    <t>72f5ec905c594a40959f67228c2adbfc</t>
  </si>
  <si>
    <t>2026-01-13T15:00:00Z</t>
  </si>
  <si>
    <t>1. THIS FLIGHT WAS PREPARED BY NIMROD R.
2. A/C IS FUELED WITH 1910 KG FROM PREVIOUS LEG.</t>
  </si>
  <si>
    <t>NAT J15 ATLIT VFR ATLIT HOTRM DAROM GALIM</t>
  </si>
  <si>
    <t>2026-01-13T15:26:30Z</t>
  </si>
  <si>
    <t>2026-01-13T16:00:44Z</t>
  </si>
  <si>
    <t>2026-01-13T15:16:22.1134868Z</t>
  </si>
  <si>
    <t>850c23141989486999d846a081560fee</t>
  </si>
  <si>
    <t>2026-01-13T13:00:00Z</t>
  </si>
  <si>
    <t>1. THIS FLIGHT WAS PREPARED BY LIAT NAHON
2. FLIGHT DISPATCHED TO DEST BELOW MINIMA DUE TO CROSSWIND LIMITATION
3. EXTRA FUEL DUE TO WX AT DEST AND THE VICINITY</t>
  </si>
  <si>
    <t>KEA2F KEA L995 RDS/N0272F170 L609 APLON P68 GALIM/N0276A050 VFR</t>
  </si>
  <si>
    <t>2026-01-13T13:17:53Z</t>
  </si>
  <si>
    <t>2026-01-13T16:09:24Z</t>
  </si>
  <si>
    <t>2026-01-13T15:05:27.9144741Z</t>
  </si>
  <si>
    <t>fe4cef41fcba420ab6ad30fe7516f661</t>
  </si>
  <si>
    <t>2026-01-13T08:20:00Z</t>
  </si>
  <si>
    <t>1. THIS FLIGHT WAS PREPARED BY LIAT NAHON
2. EXTRA FUEL DUE TO ENRTE WX</t>
  </si>
  <si>
    <t>SUVAS1F SUVAS L53 TIPAS N137 RIPLI L995 VARIX VARIX3C</t>
  </si>
  <si>
    <t>2026-01-13T09:00:31Z</t>
  </si>
  <si>
    <t>2026-01-13T12:14:15Z</t>
  </si>
  <si>
    <t>2026-01-13T11:39:46.5018369Z</t>
  </si>
  <si>
    <t>83235446d4e542b18a32c3e68efd9e50</t>
  </si>
  <si>
    <t>2026-01-31T18:30:00Z</t>
  </si>
  <si>
    <t>2026-01-31T18:43:52Z</t>
  </si>
  <si>
    <t>2026-01-31T19:35:01Z</t>
  </si>
  <si>
    <t>2026-01-31T19:20:21.6336044Z</t>
  </si>
  <si>
    <t>8789660f55ef43e193df48e7607d1b0c</t>
  </si>
  <si>
    <t>2026-01-31T16:41:00Z</t>
  </si>
  <si>
    <t>1. THIS FLIGT WAS PREPARED BY NIMROD R.
2. LLHA-RWY 15 RTOW 22546KG. SPS DATA: 140/05KTS, DRY, 22C DEG, QNH 1012, Air Cond. OFF.
3. EXTRA FUEL PLANNED AS PER COMPANY POLICY.</t>
  </si>
  <si>
    <t>2026-01-31T16:44:41Z</t>
  </si>
  <si>
    <t>2026-01-31T17:37:41Z</t>
  </si>
  <si>
    <t>2026-01-31T17:38:18.6115467Z</t>
  </si>
  <si>
    <t>a56a735af6df421eb590c78820e2bf0f</t>
  </si>
  <si>
    <t>2026-01-31T16:00:00Z</t>
  </si>
  <si>
    <t>2026-01-31T16:06:10Z</t>
  </si>
  <si>
    <t>2026-01-31T16:47:55Z</t>
  </si>
  <si>
    <t>2026-01-31T16:40:57.8193478Z</t>
  </si>
  <si>
    <t>2654db9783894782aae8a6d16362f220</t>
  </si>
  <si>
    <t>2026-01-31T15:00:00Z</t>
  </si>
  <si>
    <t>2026-01-31T14:49:17Z</t>
  </si>
  <si>
    <t>2026-01-31T17:03:01Z</t>
  </si>
  <si>
    <t>2026-01-31T17:13:17.6288332Z</t>
  </si>
  <si>
    <t>bb41cc98368f4fa692df13fcd62a170f</t>
  </si>
  <si>
    <t>2026-01-31T14:55:00Z</t>
  </si>
  <si>
    <t>2026-01-31T14:46:13Z</t>
  </si>
  <si>
    <t>2026-01-31T15:34:25Z</t>
  </si>
  <si>
    <t>2026-01-31T15:43:39.0539482Z</t>
  </si>
  <si>
    <t>e7aa4093c70a4478a8dfe9fdd8e56ea3</t>
  </si>
  <si>
    <t>2026-01-31T14:20:00Z</t>
  </si>
  <si>
    <t>1. THIS FLIGT WAS PREPARED BY NIMROD R.
2. LLHA-RWY 15 RTOW 22546KG. SPS DATA: 140/05KTS, DRY, 22C DEG, QNH 1012, Air Cond. OFF.
3. A/C IS FUELED WITH 1570 KG FROM PREVIOUS LEG.</t>
  </si>
  <si>
    <t>2026-01-31T14:19:04Z</t>
  </si>
  <si>
    <t>2026-01-31T15:05:14Z</t>
  </si>
  <si>
    <t>2026-01-31T15:06:34.6586415Z</t>
  </si>
  <si>
    <t>4998b39ac1f44fdaad4a1eb6a935ae2b</t>
  </si>
  <si>
    <t>2026-01-31T13:05:00Z</t>
  </si>
  <si>
    <t>1. THIS FLIGT WAS PREPARED BY NIMROD R.
2. LLHA-RWY 15 RTOW 22559KG. SPS DATA: 170/05KTS, DRY, 22C DEG, QNH 1013, Air Cond. OFF.
3. A/C IS FUELED WITH 1620 KG FROM PREVIOUS LEG.</t>
  </si>
  <si>
    <t>2026-01-31T12:57:38Z</t>
  </si>
  <si>
    <t>2026-01-31T13:47:25Z</t>
  </si>
  <si>
    <t>2026-01-31T13:56:49.8445307Z</t>
  </si>
  <si>
    <t>e4214509b03a4398bf2fc5f7c3e05566</t>
  </si>
  <si>
    <t>2026-01-31T11:20:00Z</t>
  </si>
  <si>
    <t>1. THIS FLIGT WAS PREPARED BY NIMROD R.
2. LLHA-RWY 15 RTOW 22559KG. SPS DATA: 170/05KTS, DRY, 22C DEG, QNH 1013, Air Cond. OFF.
3. EXTRA FUEL PLANNED DUE TO POSSIBLE WX ENROUTE.</t>
  </si>
  <si>
    <t>2026-01-31T11:16:55Z</t>
  </si>
  <si>
    <t>2026-01-31T14:00:38Z</t>
  </si>
  <si>
    <t>2026-01-31T14:05:56.1783937Z</t>
  </si>
  <si>
    <t>be72c32bd95f48aea9801be9d698a2f9</t>
  </si>
  <si>
    <t>2026-03-16T04:20:00Z</t>
  </si>
  <si>
    <t>1. THIS FLIGHT WAS PREPARED BY NIMROD R.
2. NEW OFP REV. 01 ISSUED DUE TO INCREASE OF BLOCK FUEL.</t>
  </si>
  <si>
    <t>2026-03-16T05:25:18.6516786Z</t>
  </si>
  <si>
    <t>e6cf87d22d304e62b92f147aa165ad78</t>
  </si>
  <si>
    <t>2026-02-03T17:35:00Z</t>
  </si>
  <si>
    <t xml:space="preserve">FUEL    :    EXTRA FUEL TO COVER NEXT LEG-LCA.
ATC      :    FILED FOR 1735.
DISP     :    UDI A. </t>
  </si>
  <si>
    <t>2026-02-03T18:17:36Z</t>
  </si>
  <si>
    <t>2026-02-03T18:54:25Z</t>
  </si>
  <si>
    <t>2026-02-03T18:11:02.3551674Z</t>
  </si>
  <si>
    <t>a7a4659d59b544e0a4218aef943859da</t>
  </si>
  <si>
    <t>2026-02-03T16:30:00Z</t>
  </si>
  <si>
    <t>2026-02-03T16:46:58Z</t>
  </si>
  <si>
    <t>2026-02-03T17:35:38Z</t>
  </si>
  <si>
    <t>2026-02-03T17:19:51.9865598Z</t>
  </si>
  <si>
    <t>ef01a6a9492841c59a7afd29b33002e0</t>
  </si>
  <si>
    <t>2026-02-03T15:05:00Z</t>
  </si>
  <si>
    <t>FUEL   :   EXTRA FUEL TO COVER NEXT FLIGHT-SOF.
DISP    :   UDI A.</t>
  </si>
  <si>
    <t>KEA1E KEA L995 RDS L609 APLON P68 MERVA/N0267F190 P68 GALIM/N0274A050 VFR</t>
  </si>
  <si>
    <t>2026-02-03T15:24:22Z</t>
  </si>
  <si>
    <t>2026-02-03T17:33:56Z</t>
  </si>
  <si>
    <t>2026-02-03T17:14:04.6473294Z</t>
  </si>
  <si>
    <t>5140bf0125504719921909b3633ef3e6</t>
  </si>
  <si>
    <t>2026-02-03T14:40:00Z</t>
  </si>
  <si>
    <t>FUEL    :   EXTRA FUEL TO COVER NEXT LEG-LCA.
DISP     :   UDI A.   
:</t>
  </si>
  <si>
    <t>N0272F120 NURIT2H NURIT J10 TOMAL/N0271F080 J10 NAT/N0224F040 J15 ATLIT/N0224F040 VFR HOTRM DAROM GALIM</t>
  </si>
  <si>
    <t>2026-02-03T17:03:25Z</t>
  </si>
  <si>
    <t>2026-02-03T16:04:58Z</t>
  </si>
  <si>
    <t>2026-02-03T15:34:56.8185924Z</t>
  </si>
  <si>
    <t>2d30f8448d1c4734a0ddd0c3612d0686</t>
  </si>
  <si>
    <t>2026-02-03T12:50:00Z</t>
  </si>
  <si>
    <t>1. THIS FLIGHT WAS PREPARED BY NIMROD R.
2. LLHA-RWY 33 RTOW 22565KG. SPS DATA: 290/10KTS, DRY, 19C DEG, QNH 1017, Air Cond. OFF.
3. A/C IS FUELED WITH 1970 KG FROM PREVIOUS LEG.</t>
  </si>
  <si>
    <t>2026-02-03T12:46:32Z</t>
  </si>
  <si>
    <t>2026-02-03T13:38:21Z</t>
  </si>
  <si>
    <t>2026-02-03T13:44:06.4858606Z</t>
  </si>
  <si>
    <t>f565d6eb65974e528f4ca08a2dda1a59</t>
  </si>
  <si>
    <t>2026-02-03T11:45:00Z</t>
  </si>
  <si>
    <t>1. THIS FLIGHT WAS PREPARED BY NIMROD R.
2. LLHA-RWY 33 RTOW 22486KG. SPS DATA: 290/06KTS, DRY, 18C DEG, QNH 1017, Air Cond. OFF.
3. EXTRA FUEL PLANNED AS PER COMPANY POLICY.
4. DISPATCHED AT FL120 DUE TO STRONG H-WINDS.</t>
  </si>
  <si>
    <t>2026-02-03T14:34:19.5574412Z</t>
  </si>
  <si>
    <t>530e4a112b6f4d529a61646d894f9fb2</t>
  </si>
  <si>
    <t>2026-02-03T11:10:00Z</t>
  </si>
  <si>
    <t>EMEDA2B EMEDA B17 MERVA P68 GALIM/N0278A050 VFR</t>
  </si>
  <si>
    <t>2026-02-03T11:08:53Z</t>
  </si>
  <si>
    <t>2026-02-03T11:46:40Z</t>
  </si>
  <si>
    <t>2026-02-03T11:46:52.0812544Z</t>
  </si>
  <si>
    <t>47e322c6918e4baf8c0638e520b74863</t>
  </si>
  <si>
    <t>2026-02-03T09:30:00Z</t>
  </si>
  <si>
    <t>1. THIS FLIGHT WAS PREPARED BY NIMROD R.
2. LLHA-RWY 33 RTOW 22461KG. SPS DATA: 270/10KTS, DRY, 18C DEG, QNH 1015, Air Cond. OFF.
3. EXTRA FUEL PLANNED DUE TO WX AT ORIGIN AND VICINITY.
4. LLHA CLSD BETWEEN 0930-1100 UTC.</t>
  </si>
  <si>
    <t>GALIM/F050 IFR P68 MERVA/F140 N131 EMEDA EMEDA1A</t>
  </si>
  <si>
    <t>2026-02-03T09:17:30Z</t>
  </si>
  <si>
    <t>2026-02-03T10:05:47Z</t>
  </si>
  <si>
    <t>2026-02-03T10:18:41.4389209Z</t>
  </si>
  <si>
    <t>081eb30ff2eb4eb8b6ee928b2ed19956</t>
  </si>
  <si>
    <t>2026-02-03T07:40:00Z</t>
  </si>
  <si>
    <t>1. THIS FLIGHT WAS PREPARED BY NIMROD R.
2. EXTRA FUEL TO COVER THE NEXT LEG WITH 300 KG EXTRA FUEL.
3. LLHA CLSD BETWEEN 0625-0825 UTC, AND THEN 0930-1100 UTC.
4. NEW OFP REV. 01 ISSUED DUE TO ALT CHG.</t>
  </si>
  <si>
    <t>N0272F180 NURIT2H NURIT J10 AMMIT/F100 J10 TOMAL/N0271F080 J10 NAT/N0224F040 J15 ATLIT/N0224F040 VFR HOTRM DAROM GALIM</t>
  </si>
  <si>
    <t>2026-02-03T07:37:30Z</t>
  </si>
  <si>
    <t>2026-02-03T08:35:06Z</t>
  </si>
  <si>
    <t>2026-02-03T08:34:20.3842918Z</t>
  </si>
  <si>
    <t>0573b3a0346445729c68a060ad3d6b79</t>
  </si>
  <si>
    <t>2026-02-03T05:50:00Z</t>
  </si>
  <si>
    <t>1. THIS FLIGHT WAS PREPARED BY NIMROD R.
2. LLHA-RWY 33 RTOW 22461KG. SPS DATA: 270/10KTS, DRY, 18C DEG, QNH 1015, Air Cond. OFF.
3. A/C IS FUELED WITH 1970 KG FROM PREVIOUS LEG.
4. LLHA CLSD BETWEEN 0625-0825 UTC, AND THEN 0930-1100 UTC.
5. NEW OFP REV. -1 ISSUED DUE TO LARGE DECREASE OF ZFW.</t>
  </si>
  <si>
    <t>2026-02-03T05:59:03Z</t>
  </si>
  <si>
    <t>2026-02-03T06:49:58Z</t>
  </si>
  <si>
    <t>2026-02-03T06:45:15.2869925Z</t>
  </si>
  <si>
    <t>a2770585914c4cd9b948dd3dd598a05d</t>
  </si>
  <si>
    <t>2026-03-28T13:10:00Z</t>
  </si>
  <si>
    <t>1. THIS FLIGHT WAS PREPARED BY NIMROD R.
2. EXTRA FUEL PLANNED IN CASE OF SIRENS.</t>
  </si>
  <si>
    <t>2026-03-28T13:20:24Z</t>
  </si>
  <si>
    <t>2026-03-28T14:31:34Z</t>
  </si>
  <si>
    <t>2026-03-28T14:23:29.3959817Z</t>
  </si>
  <si>
    <t>baa59c28b7fc43c5b333f24b01480efd</t>
  </si>
  <si>
    <t>2026-03-28T12:25:00Z</t>
  </si>
  <si>
    <t>EXTRA FUEL IS FOR POSS TAXI HOLD AT LLBG.
DISP-EREZ Y.</t>
  </si>
  <si>
    <t>SUVAS1E SUVAS STEPA APLON A28 ANANE M28 BETID BETID1A</t>
  </si>
  <si>
    <t>2026-03-28T12:45:35Z</t>
  </si>
  <si>
    <t>2026-03-28T13:47:12Z</t>
  </si>
  <si>
    <t>2026-03-28T13:39:55.0092597Z</t>
  </si>
  <si>
    <t>be49544df79f4bd99eba7703173c1aac</t>
  </si>
  <si>
    <t>2026-03-28T11:00:00Z</t>
  </si>
  <si>
    <t>2026-03-28T11:05:42Z</t>
  </si>
  <si>
    <t>2026-03-28T12:08:45Z</t>
  </si>
  <si>
    <t>2026-03-28T12:14:15.1345319Z</t>
  </si>
  <si>
    <t>0d052cc8529d4a9d940440a1d86ca3f4</t>
  </si>
  <si>
    <t>2026-03-28T10:45:00Z</t>
  </si>
  <si>
    <t>EXTRA FUEL IS FOR THE NEXT FLT AND CAN BE USED FOR HOLDING IF NEEDED AT LLBG.
DISP-EREZ Y.</t>
  </si>
  <si>
    <t>2026-03-28T11:10:29Z</t>
  </si>
  <si>
    <t>2026-03-28T12:04:30Z</t>
  </si>
  <si>
    <t>2026-03-28T11:51:44.1353581Z</t>
  </si>
  <si>
    <t>235ed606daa14f2fad6b879fa10ca27d</t>
  </si>
  <si>
    <t>2026-03-28T09:45:00Z</t>
  </si>
  <si>
    <t>2026-03-28T10:33:38Z</t>
  </si>
  <si>
    <t>2026-03-28T11:42:04Z</t>
  </si>
  <si>
    <t>2026-03-28T10:51:29.0373348Z</t>
  </si>
  <si>
    <t>56491488fbca4227bcab7893ff4dbaaa</t>
  </si>
  <si>
    <t>LIRF</t>
  </si>
  <si>
    <t>2026-03-28T09:30:00Z</t>
  </si>
  <si>
    <t>PHA1W PHA M31 GENOS M42 ALKIS L609 NILAS/N0271F240 L609 RDS N128 OKESA RIKSO N127 LMO N128 PEREN M603 PINDO ADDER OVVER TIRCA LIMJA GOKEL/N0278F250 SOR/N0280F240 TEA/N0285F180 Z803 LAT LAT4C</t>
  </si>
  <si>
    <t>2026-03-28T14:11:49.834192Z</t>
  </si>
  <si>
    <t>3d864e67966944f7baa115039fa5c188</t>
  </si>
  <si>
    <t>2026-03-28T08:45:00Z</t>
  </si>
  <si>
    <t>2026-03-28T09:20:40Z</t>
  </si>
  <si>
    <t>2026-03-28T10:14:35Z</t>
  </si>
  <si>
    <t>2026-03-28T09:52:24.118842Z</t>
  </si>
  <si>
    <t>7407592051b649bcaa7a3036a04c594d</t>
  </si>
  <si>
    <t>2026-03-21T20:45:00Z</t>
  </si>
  <si>
    <t>EXTRA FUEL OF 300KG IS FOR POSS TAXI HOLD DUE SECURITY REASON AND DUE POSS WX AT LCLK(TSRA,VRBWIN WITH STRONG GUST AND CB'S).
DISP-EREZ Y.</t>
  </si>
  <si>
    <t>2026-03-21T20:59:31Z</t>
  </si>
  <si>
    <t>2026-03-21T21:52:29Z</t>
  </si>
  <si>
    <t>2026-03-21T21:58:24.5298765Z</t>
  </si>
  <si>
    <t>5445af7e45c14fb9923a268e46545c10</t>
  </si>
  <si>
    <t>2026-03-21T19:20:00Z</t>
  </si>
  <si>
    <t>2026-03-21T18:58:37Z</t>
  </si>
  <si>
    <t>2026-03-21T20:35:38.3682332Z</t>
  </si>
  <si>
    <t>0735585b14024138b959e5c23753abd8</t>
  </si>
  <si>
    <t>2026-03-21T18:45:00Z</t>
  </si>
  <si>
    <t>2026-03-21T18:58:14Z</t>
  </si>
  <si>
    <t>2026-03-21T20:18:56Z</t>
  </si>
  <si>
    <t>2026-03-21T19:57:38.3520685Z</t>
  </si>
  <si>
    <t>9946a1ea60c24d34b4c3b34556f890c5</t>
  </si>
  <si>
    <t>2026-03-21T17:00:00Z</t>
  </si>
  <si>
    <t>EXTRA FUEL IS FOR THE NEXT FLT(CAN BE USED,IF NEEDED TO HOLD NEAR DEST FOR SECURITY REASON).
DISP-EREZ Y.</t>
  </si>
  <si>
    <t>KEA1E KEA L52 VAXOS N134 VANZA DCT PIKOG L609 ZUKKO AMMOS1A</t>
  </si>
  <si>
    <t>2026-03-21T16:54:59Z</t>
  </si>
  <si>
    <t>2026-03-21T19:24:58Z</t>
  </si>
  <si>
    <t>2026-03-21T19:28:46.4814433Z</t>
  </si>
  <si>
    <t>b4e8e6ba487e430e9bc0d6344c31044b</t>
  </si>
  <si>
    <t>2026-03-21T16:15:00Z</t>
  </si>
  <si>
    <t>2026-03-21T16:41:52Z</t>
  </si>
  <si>
    <t>2026-03-21T17:40:44Z</t>
  </si>
  <si>
    <t>2026-03-21T17:29:34.4220722Z</t>
  </si>
  <si>
    <t>976b803262e143fe809119b811aae2d4</t>
  </si>
  <si>
    <t>2026-03-21T15:00:00Z</t>
  </si>
  <si>
    <t>EXTRA FUEL IS FOR THE NEXT FLT(CAN BE USED FOR POSS HOLD DUE SECURITY REASON AND WX).
DISP-EREZ Y.</t>
  </si>
  <si>
    <t>DISPATCH 972502126365 FERRY FLIGHT</t>
  </si>
  <si>
    <t>2026-03-21T15:20:02Z</t>
  </si>
  <si>
    <t>2026-03-21T17:47:04Z</t>
  </si>
  <si>
    <t>2026-03-21T17:27:38.2473972Z</t>
  </si>
  <si>
    <t>b48523f7b0e2497690a57d805a9cc368</t>
  </si>
  <si>
    <t>2026-03-21T14:00:00Z</t>
  </si>
  <si>
    <t>EXTRA FUEL -TO COVER NEXT FLT(CAN BE USED,IF NEEDED FOR POSS HOLD).
DISP-EREZ Y.</t>
  </si>
  <si>
    <t>N0283F150 EMEDA2B EMEDA M67 ANANE DCT IDAKU DCT PIKOG L609 ZUKKO</t>
  </si>
  <si>
    <t>2026-03-21T14:12:09Z</t>
  </si>
  <si>
    <t>2026-03-21T15:07:52Z</t>
  </si>
  <si>
    <t>2026-03-21T15:03:08.9812226Z</t>
  </si>
  <si>
    <t>656626d3d2604b83b76f29df94cdcb28</t>
  </si>
  <si>
    <t>2026-03-21T12:45:00Z</t>
  </si>
  <si>
    <t xml:space="preserve">EXTRA FUEL OF 300 KG IS FOR POSS TAXI HOLD AT LLBG DUE SECURITY REASON,AND DUE DEST WX(POSS VRB GUST WIND,TSRA AND CB'S).
DISP-EREZ Y. </t>
  </si>
  <si>
    <t>N0277A160 SUVAS1F SUVAS DCT STEPA DCT APLON A28 BETID BETID1A</t>
  </si>
  <si>
    <t>2026-03-21T13:28:55Z</t>
  </si>
  <si>
    <t>2026-03-21T14:33:52Z</t>
  </si>
  <si>
    <t>2026-03-21T13:58:27.5411461Z</t>
  </si>
  <si>
    <t>ec98e66d1e1a49f2858d180fa68d461f</t>
  </si>
  <si>
    <t>2026-03-21T10:45:00Z</t>
  </si>
  <si>
    <t>2026-03-21T10:46:36Z</t>
  </si>
  <si>
    <t>2026-03-21T13:30:27Z</t>
  </si>
  <si>
    <t>2026-03-21T13:31:12.3169Z</t>
  </si>
  <si>
    <t>3b55fbd52bf2466d88795575703013e4</t>
  </si>
  <si>
    <t>2026-03-21T10:30:00Z</t>
  </si>
  <si>
    <t>1. THIS FLIGHT WAS PREPARED BY NIMROD R.
2. EXTRA FUEL PLANNED FOR THE NEXT LEG WITH 300 KG EXTRA.</t>
  </si>
  <si>
    <t>2026-03-21T11:56:29Z</t>
  </si>
  <si>
    <t>2026-03-21T11:32:14.3916617Z</t>
  </si>
  <si>
    <t>9c79a282468141cab2691bb0f7bcf22c</t>
  </si>
  <si>
    <t>2026-03-21T09:15:00Z</t>
  </si>
  <si>
    <t>1. THIS FLIGHT WAS PREPARED BY NIMROD R.
2. EXTRA FUEL PLANNED FOR POSSIBLE SIRENS.</t>
  </si>
  <si>
    <t>2026-03-21T09:40:06Z</t>
  </si>
  <si>
    <t>2026-03-21T12:29:13Z</t>
  </si>
  <si>
    <t>2026-03-21T12:01:48.1377426Z</t>
  </si>
  <si>
    <t>a258606767014c548c9c1b986c3edde7</t>
  </si>
  <si>
    <t>2026-03-21T08:30:00Z</t>
  </si>
  <si>
    <t>2026-03-21T08:42:08Z</t>
  </si>
  <si>
    <t>2026-03-21T09:41:32Z</t>
  </si>
  <si>
    <t>2026-03-21T09:32:26.0981845Z</t>
  </si>
  <si>
    <t>07f5f2c8b32446fca952aeff79828b1e</t>
  </si>
  <si>
    <t>2026-03-21T07:45:00Z</t>
  </si>
  <si>
    <t>SUVAS1F SUVAS DCT STEPA DCT APLON A28 BETID BETID1A</t>
  </si>
  <si>
    <t>2026-03-21T08:11:01Z</t>
  </si>
  <si>
    <t>2026-03-21T09:25:22Z</t>
  </si>
  <si>
    <t>2026-03-21T08:58:52.3767032Z</t>
  </si>
  <si>
    <t>49eb6ed061604116be6eb7d502eb42c9</t>
  </si>
  <si>
    <t>2026-03-21T07:00:00Z</t>
  </si>
  <si>
    <t>1. THIS FLIGHT WAS PREPARED BY NIMROD R.
2. EXTRA FUEL PLANNED FOR NEXT LEG.
3. NEW OFP REV. 01 ISSUED WITH CORRECTED F/O.</t>
  </si>
  <si>
    <t>2026-03-21T07:15:49Z</t>
  </si>
  <si>
    <t>2026-03-21T08:16:25Z</t>
  </si>
  <si>
    <t>2026-03-21T08:02:17.7285676Z</t>
  </si>
  <si>
    <t>f83dbe3f27ba46928e7567e8181555dc</t>
  </si>
  <si>
    <t>2026-03-21T05:45:00Z</t>
  </si>
  <si>
    <t>1. THIS FLIGHT WAS PREPARED BY NIMROD R.
2. EXTRA FUEL PLANNED FOR THE NEXT LEG WITH 400 KG EXTRA.</t>
  </si>
  <si>
    <t xml:space="preserve">FERRY FLIGHT </t>
  </si>
  <si>
    <t>2026-03-21T05:54:32Z</t>
  </si>
  <si>
    <t>2026-03-21T06:56:43Z</t>
  </si>
  <si>
    <t>2026-03-21T06:47:04.6845921Z</t>
  </si>
  <si>
    <t>ad5eafd1c5ca4cf9a07ca7c3c2e2dd8f</t>
  </si>
  <si>
    <t>2026-03-20T19:00:00Z</t>
  </si>
  <si>
    <t>EXTRA FUEL IS FOR POSS TAXI HOLD AT LLBG DUE SECURITY REASON AND DUE POSS WX AT LCLK(TSRA,TS,CB'S AND VRB GUST WIND).
DISP-EREZ Y.</t>
  </si>
  <si>
    <t>2026-03-20T19:25:37Z</t>
  </si>
  <si>
    <t>2026-03-20T20:37:52Z</t>
  </si>
  <si>
    <t>2026-03-20T20:14:00.9930633Z</t>
  </si>
  <si>
    <t>3fe1382f7c9b452c978054474b73112e</t>
  </si>
  <si>
    <t>LFBO</t>
  </si>
  <si>
    <t>2026-03-20T15:50:00Z</t>
  </si>
  <si>
    <t>2026-03-20T21:45:07.6772904Z</t>
  </si>
  <si>
    <t>6a6224c8119c4b839d3b33913004b80e</t>
  </si>
  <si>
    <t>2026-03-20T15:45:00Z</t>
  </si>
  <si>
    <t>EXTRA FUEL OF 400 KG IS TO COVER POSS TAXI HOLD AT LLBG AND DUE WX AT LCLK.
DISP-EREZ Y.</t>
  </si>
  <si>
    <t>2026-03-20T16:03:26Z</t>
  </si>
  <si>
    <t>2026-03-20T17:16:37Z</t>
  </si>
  <si>
    <t>2026-03-20T16:58:03.0007871Z</t>
  </si>
  <si>
    <t>e82c5f002b484c13bae774cf6a15130b</t>
  </si>
  <si>
    <t>2026-03-20T15:30:00Z</t>
  </si>
  <si>
    <t>KEA1E KEA L52 VAXOS/F210 N134 VANZA DCT PIKOG L609 ZUKKO AMMOS1A</t>
  </si>
  <si>
    <t>2026-03-20T15:27:17Z</t>
  </si>
  <si>
    <t>2026-03-20T17:53:58Z</t>
  </si>
  <si>
    <t>2026-03-20T17:55:15.4375511Z</t>
  </si>
  <si>
    <t>a9728bf4ac424ef99f0ca57841565d9d</t>
  </si>
  <si>
    <t>2026-03-20T14:51:00Z</t>
  </si>
  <si>
    <t>**NEW OFP DUE MEL 61-22-02-01 LIMITING MTOW TO 20839KG**
1. THIS FLIGHT WAS PREPARED BY NIMROD R.
2. EXTRA FUEL PLANNED IN CASE OF SIRENS.</t>
  </si>
  <si>
    <t>2026-03-20T17:14:13Z</t>
  </si>
  <si>
    <t>2026-03-20T18:35:44Z</t>
  </si>
  <si>
    <t>2026-03-20T16:02:38.7170733Z</t>
  </si>
  <si>
    <t>31063d16d66241cba13ab7831082c606</t>
  </si>
  <si>
    <t>2026-03-20T13:47:00Z</t>
  </si>
  <si>
    <t>1. THIS FLIGHT WAS PREPARED BY NIMROD R.
2. EXTRA FUEL PLANNED FOR NEXT LEG WITH 500 KG EXTRA.
3. NEW OFP REV. 01 ISSUED DUE TO INCREASE OF ZFW, AND UPDATED BLOCK FUEL.</t>
  </si>
  <si>
    <t>2026-03-20T13:54:08Z</t>
  </si>
  <si>
    <t>2026-03-20T14:57:27Z</t>
  </si>
  <si>
    <t>2026-03-20T14:51:33.8364176Z</t>
  </si>
  <si>
    <t>cf5b17e80faa4a5c99e21e17b7e082e6</t>
  </si>
  <si>
    <t>2026-03-20T10:45:00Z</t>
  </si>
  <si>
    <t>1. THIS FLIGHT WAS PREPARED BY NIMROD R.
2. DISPATCH WITH NO-ALT DUE TO PROXIMITY TO MTOW.</t>
  </si>
  <si>
    <t>N0273A160 SUVAS1E SUVAS N128 RDS L995 VARIX VARIX1Q</t>
  </si>
  <si>
    <t>2026-03-20T11:03:04Z</t>
  </si>
  <si>
    <t>2026-03-20T14:05:25Z</t>
  </si>
  <si>
    <t>2026-03-20T13:30:41.8425072Z</t>
  </si>
  <si>
    <t>2367f5e11e8c44ce8e85b96e953fe162</t>
  </si>
  <si>
    <t>2026-03-20T10:40:00Z</t>
  </si>
  <si>
    <t>1. THIS FLIGHT WAS PREPARED BY NIMROD R.
2. EXTRA FUEL PLANNED FOR NEXT LEG WITH 300 KG EXTRA.</t>
  </si>
  <si>
    <t>2026-03-20T11:00:59Z</t>
  </si>
  <si>
    <t>2026-03-20T12:24:16Z</t>
  </si>
  <si>
    <t>2026-03-20T11:44:04.0870059Z</t>
  </si>
  <si>
    <t>89e97fef19754441814002c8638d24d9</t>
  </si>
  <si>
    <t>2026-03-20T08:51:00Z</t>
  </si>
  <si>
    <t>1. THIS FLIGHT WAS PREPARED BY NIMROD R.
2. EXTRA FUEL PLANNED FOR NEXT LEG.
3. NEW OFP REV. 01 ISSUED DUE TO A/C CHG.</t>
  </si>
  <si>
    <t>2026-03-20T09:03:06Z</t>
  </si>
  <si>
    <t>2026-03-20T09:58:56Z</t>
  </si>
  <si>
    <t>2026-03-20T09:58:46.8279787Z</t>
  </si>
  <si>
    <t>6f29238f5dd74f9b918eac36df19a8ad</t>
  </si>
  <si>
    <t>2026-02-11T18:25:00Z</t>
  </si>
  <si>
    <t>FUEL   :   EXTRA FUEL TO COVER NEXT FLIGHT-LCA.
DISP    :   UDI A,TRAINEE.SUPERVISED BY NIMROD R.</t>
  </si>
  <si>
    <t>2026-02-11T18:34:39Z</t>
  </si>
  <si>
    <t>2026-02-11T19:16:52Z</t>
  </si>
  <si>
    <t>2026-02-11T19:04:32.7071088Z</t>
  </si>
  <si>
    <t>c74f12512fbf47adaa20220f2c966e37</t>
  </si>
  <si>
    <t>2026-02-11T16:30:00Z</t>
  </si>
  <si>
    <t>FUEL   :   EXTRA FUEL AS PER COMPANY POLICY AND AREA WX.
RTOW  :   22529KG. SPS DATA - 15 WET,NO WIND,17C,Q1013,NO PACKS.
DISP    :   UDI A,TRAINEE.SUPERVISED BY NIMROD R.</t>
  </si>
  <si>
    <t>2026-02-11T16:45:41Z</t>
  </si>
  <si>
    <t>2026-02-11T17:34:22Z</t>
  </si>
  <si>
    <t>2026-02-11T17:16:48.7476499Z</t>
  </si>
  <si>
    <t>233461b70c554f87bb657b3dc9ec4feb</t>
  </si>
  <si>
    <t>2026-02-11T15:48:00Z</t>
  </si>
  <si>
    <t>FUEL   :   EXTRA FUEL TO COVER NEXT LEG-LCA.
DISP    :   UDI A,TRAINEE.SUPERVISED BY NIMROD R.</t>
  </si>
  <si>
    <t>KEA1N KEA L995 RDS L609 APLON P68 MERVA/F190 P68 GALIM/N0280A050</t>
  </si>
  <si>
    <t>2026-02-11T16:03:25Z</t>
  </si>
  <si>
    <t>2026-02-11T18:18:11Z</t>
  </si>
  <si>
    <t>2026-02-11T17:55:13.3220174Z</t>
  </si>
  <si>
    <t>594b761743ec43aea9aa58f03048fea0</t>
  </si>
  <si>
    <t>2026-02-11T14:40:00Z</t>
  </si>
  <si>
    <t>NURIT1F NURIT J10 TOMAL/N0273F080 J10 NAT/N0224F040 J15 ATLIT/N0225F040 VFR 3245N03456E 3248N03457E GALIM</t>
  </si>
  <si>
    <t>2026-02-11T14:49:18Z</t>
  </si>
  <si>
    <t>2026-02-11T15:45:46Z</t>
  </si>
  <si>
    <t>2026-02-11T15:29:40.5268258Z</t>
  </si>
  <si>
    <t>fd995c83a2084d60b12ba3914a0f1b2a</t>
  </si>
  <si>
    <t>2026-02-11T13:10:00Z</t>
  </si>
  <si>
    <t>EXTRA FUEL IS FOR THE NEXT FLT(ETM)+100 KG DUE POSS WX AT LLHA(CROSS WIND,RA WITH CB'S)
DISP-EREZ Y.</t>
  </si>
  <si>
    <t>2026-02-11T13:21:23Z</t>
  </si>
  <si>
    <t>2026-02-11T14:09:51Z</t>
  </si>
  <si>
    <t>2026-02-11T13:57:45.1201799Z</t>
  </si>
  <si>
    <t>daa114a853b6455a868b44b7a1065e99</t>
  </si>
  <si>
    <t>2026-02-11T12:50:00Z</t>
  </si>
  <si>
    <t>EXTRA FUEL IS PER POLICY.
T/O DATA-RWY 33,TEMP 19C,WIND 0,Q1014,PACKS OFF,....RTOW 22143 KG.
DISP-EREZ Y.</t>
  </si>
  <si>
    <t>2026-02-11T12:55:03Z</t>
  </si>
  <si>
    <t>2026-02-11T13:54:12Z</t>
  </si>
  <si>
    <t>2026-02-11T13:48:32.2271092Z</t>
  </si>
  <si>
    <t>9317bbca74d14396a38760fb379bc3dd</t>
  </si>
  <si>
    <t>2026-02-11T12:25:00Z</t>
  </si>
  <si>
    <t>1. THIS FLIGT WAS PREPARED BY NIMROD R.
2. EXTRA FUEL IS FOR THE NEXT FLT(ATH),CAN BE USED FOR HOLDING IF NEEDED DUE POSS WX AT DEST.
3. NEW OFP REV. 01 ISSUED DUE TO A/C CHG.</t>
  </si>
  <si>
    <t>OMENO3S OMENO Y505 NIKTI N127 LMO L618 MES N139 LURUS L995 RDS L995 ULFIT M978 TOSKA M67 MAROS L609 APLON P68 MERVA/F190 P68 GALIM/N0274A050 VFR</t>
  </si>
  <si>
    <t>2026-02-11T12:27:02Z</t>
  </si>
  <si>
    <t>2026-02-11T15:23:50Z</t>
  </si>
  <si>
    <t>2026-02-11T15:29:45.1295137Z</t>
  </si>
  <si>
    <t>5a9d16b8c2e84688b59cf18f0f71c184</t>
  </si>
  <si>
    <t>2026-02-11T12:03:00Z</t>
  </si>
  <si>
    <t>**NEW OFP DUE A/C CHANGE TO IHA**
EXTRA FUEL IS PER POLICY.
T/O DATA-RWY 33,TEMP 19C,WIND 0,Q1014,PACKS OFF,....RTOW 22143 KG.
DISP-EREZ Y.</t>
  </si>
  <si>
    <t>N0235A050 GALIM/N0235A050 IFR P68 MERVA/N0275A160 P68 APLON L609 RDS L995 VARIX VARIX2B</t>
  </si>
  <si>
    <t>2026-02-11T12:21:55Z</t>
  </si>
  <si>
    <t>2026-02-11T15:11:30Z</t>
  </si>
  <si>
    <t>2026-02-11T14:46:34.9401697Z</t>
  </si>
  <si>
    <t>f5b8296d72714e369445d38ba2b8ab90</t>
  </si>
  <si>
    <t>2026-02-11T10:45:00Z</t>
  </si>
  <si>
    <t>2026-02-11T11:24:21Z</t>
  </si>
  <si>
    <t>2026-02-11T12:27:21Z</t>
  </si>
  <si>
    <t>2026-02-11T11:37:12.8006809Z</t>
  </si>
  <si>
    <t>690ddb417f484976a865a6dd714677d2</t>
  </si>
  <si>
    <t>Cancelled</t>
  </si>
  <si>
    <t>2026-02-11T10:40:00Z</t>
  </si>
  <si>
    <t>2026-02-11T11:20:13.6782565Z</t>
  </si>
  <si>
    <t>81df144471fd4e9abaa2d2eecb0956b6</t>
  </si>
  <si>
    <t>2026-02-11T09:25:00Z</t>
  </si>
  <si>
    <t>EXTRA FUEL IS FOR THE NEXT FLT(PFO)+100 KG DUE POSS WX AT LLHA(CROSS WIND,RA WITH CB'S)
DISP-EREZ Y.</t>
  </si>
  <si>
    <t>N0277F190 KEA1N KEA L995 RDS L609 NILAS L609 ALKIS/N0277F190 L609 APLON P68 GALIM/N0277A050 VFR</t>
  </si>
  <si>
    <t>2026-02-11T09:40:33Z</t>
  </si>
  <si>
    <t>2026-02-11T12:00:11Z</t>
  </si>
  <si>
    <t>2026-02-11T11:38:50.7419793Z</t>
  </si>
  <si>
    <t>e88fe1d6b1534c4cba605de10567acf1</t>
  </si>
  <si>
    <t>2026-02-11T09:00:00Z</t>
  </si>
  <si>
    <t>EXTRA FUEL IS FROM THE PREVIOUS FLT.
T/O DATA-RWY 15,TEMP 18C,WIND 0,Q1014,PACKS OFF,....RTOW 22494 KG.
DISP-EREZ Y.</t>
  </si>
  <si>
    <t>N0235A050 GALIM/N0234A050 IFR P68 MERVA/N0275A140 N131 EMEDA EMEDA1A</t>
  </si>
  <si>
    <t>2026-02-11T09:18:09Z</t>
  </si>
  <si>
    <t>2026-02-11T10:04:28Z</t>
  </si>
  <si>
    <t>2026-02-11T09:46:43.818069Z</t>
  </si>
  <si>
    <t>8654cca334274a9a826d5a26efd8c04d</t>
  </si>
  <si>
    <t>2026-02-11T08:50:00Z</t>
  </si>
  <si>
    <t>N0268F120 NURIT2H NURIT J10 TOMAL/N0269F080 J10 NAT/N0224F040 J15 ATLIT/N0225F040 VFR 3245N03456E DCT 3248N03457E DCT GALIM</t>
  </si>
  <si>
    <t>2026-02-11T09:13:16Z</t>
  </si>
  <si>
    <t>2026-02-11T10:08:24Z</t>
  </si>
  <si>
    <t>2026-02-11T09:39:29.9361561Z</t>
  </si>
  <si>
    <t>452bc94c84974231975e068a2cfacf53</t>
  </si>
  <si>
    <t>2026-02-11T07:40:00Z</t>
  </si>
  <si>
    <t>EXTRA FUEL IS PER POLICY
2.T/ O DATA -RWY 15,TEMP 13C,WIND 0,Q1013,PACKS OFF,....RTOW 22728 KG.
DISP-EREZ Y.</t>
  </si>
  <si>
    <t>N0235A050 GALIM/N0234A050 IFR P68 MERVA/F160 B17 VELOX M42 ESERI M42 GENOS DCT PEDER A16 DASNI M601 EXELA N127 DAL N618 YOYYO G80 OKESA DCT RIKSO N128 PEREN L863 EVIVI Y94 VANET VANET6D</t>
  </si>
  <si>
    <t>2026-02-11T07:42:36Z</t>
  </si>
  <si>
    <t>2026-02-11T11:13:34Z</t>
  </si>
  <si>
    <t>2026-02-11T11:16:53.2839117Z</t>
  </si>
  <si>
    <t>164062ca78514b69979fb00617c5df2a</t>
  </si>
  <si>
    <t>2026-02-11T07:00:00Z</t>
  </si>
  <si>
    <t>EXTRA FUEL IS FROM PREVIOUS FLT.
T/ O DATA -RWY 15,TEMP 15C,WIND 0,Q1013,PACKS OFF,....RTOW 22629 KG.
DISP-EREZ Y.</t>
  </si>
  <si>
    <t>N0235A050 GALIM/N0235A050 IFR Q28 ATLIT J15 NAT/N0274A090 J10 SIVAK/N0277A130 J10 NURIT NURIT1D</t>
  </si>
  <si>
    <t>2026-02-11T06:56:50Z</t>
  </si>
  <si>
    <t>2026-02-11T07:55:33Z</t>
  </si>
  <si>
    <t>2026-02-11T07:58:31.4278462Z</t>
  </si>
  <si>
    <t>c83fbb59d8464d329578a102dbc185e0</t>
  </si>
  <si>
    <t>2026-02-11T05:45:00Z</t>
  </si>
  <si>
    <t>**NEW OFP DUE LONG F/T(NOW BASED ON F/L 120),WITH CONSULTATION OF PIC**
1.EXTRA FUEL IS PER POLICY
2.T/ O DATA -RWY 15,TEMP 13C,WIND 0,Q1013,PACKS OFF,....RTOW 22728 KG.
DISP-EREZ Y.</t>
  </si>
  <si>
    <t>2026-02-11T06:12:55Z</t>
  </si>
  <si>
    <t>2026-02-11T08:53:44Z</t>
  </si>
  <si>
    <t>2026-02-11T08:24:44.2777973Z</t>
  </si>
  <si>
    <t>2029a76f5a504208af9a1ffbd75b0499</t>
  </si>
  <si>
    <t>2026-03-22T08:45:00Z</t>
  </si>
  <si>
    <t>EXTRA FUEL IS PER POLICY,AND FOR POSS TAXI HOLD DUE SECURITY REASON.
DISP-EREZ Y.</t>
  </si>
  <si>
    <t>SUVAS1E SUVAS N128 RDS L995 VARIX VARIX1Q</t>
  </si>
  <si>
    <t>2026-03-22T11:32:37.6158225Z</t>
  </si>
  <si>
    <t>d60f18e2af454fdabed27f6f55e7b456</t>
  </si>
  <si>
    <t>2026-03-22T06:30:00Z</t>
  </si>
  <si>
    <t>**NEW OFP PER CAPT REQ FOR NEXT LEG**
EXTRA FUEL IS FOR THE NEXT FLT AND FOR POSS HOLD DUE SECURITY REASON.
DISP-EREZ Y.</t>
  </si>
  <si>
    <t>N0282F150 EMEDA2B EMEDA M67 ANANE DCT IDAKU DCT PIKOG L609 ZUKKO</t>
  </si>
  <si>
    <t>2026-03-22T07:59:41Z</t>
  </si>
  <si>
    <t>2026-03-22T07:32:22.9177794Z</t>
  </si>
  <si>
    <t>9d4dfbca147e441ca8ebef2473c1bc2a</t>
  </si>
  <si>
    <t>2026-03-08T21:45:00Z</t>
  </si>
  <si>
    <t>EXTRA FUEL IS PER POLICY+FUEL FOR POSS HOLD PER CAPT.
DISP-EREZ Y.</t>
  </si>
  <si>
    <t>2026-03-08T21:47:46Z</t>
  </si>
  <si>
    <t>2026-03-08T23:05:33Z</t>
  </si>
  <si>
    <t>2026-03-08T22:59:53.1835356Z</t>
  </si>
  <si>
    <t>a7531526abe9404995b32c1b19f0fe5e</t>
  </si>
  <si>
    <t>2026-03-08T20:45:00Z</t>
  </si>
  <si>
    <t>2026-03-08T20:54:27Z</t>
  </si>
  <si>
    <t>2026-03-08T22:16:42Z</t>
  </si>
  <si>
    <t>2026-03-08T21:59:39.5335976Z</t>
  </si>
  <si>
    <t>b584ccc4747443e5805b3c9971633d9d</t>
  </si>
  <si>
    <t>2026-03-08T18:00:00Z</t>
  </si>
  <si>
    <t>EXTRA FUEL WAS VOIDED PER LIOR YAVOR APPROVAL.
DISP-EREZ Y</t>
  </si>
  <si>
    <t>KEA1E KEA L52 VAXOS N134 BIRES Z89 PIKOG L609 ZUKKO GODED10</t>
  </si>
  <si>
    <t>2026-03-08T18:14:56Z</t>
  </si>
  <si>
    <t>2026-03-08T20:42:18Z</t>
  </si>
  <si>
    <t>2026-03-08T20:24:56.6333976Z</t>
  </si>
  <si>
    <t>2b3d078eb48b47c3a646363fd4a7a87f</t>
  </si>
  <si>
    <t>2026-03-08T17:00:00Z</t>
  </si>
  <si>
    <t>EXTRA FUEL CAN BE VOIDED PER LIOR YAVOR APPROVAL.
DISP-EREZ Y.</t>
  </si>
  <si>
    <t>N0269F190 KEA1E KEA L52 VAXOS N134 BIRES Z89 PIKOG/F190 L609 ZUKKO GODED10</t>
  </si>
  <si>
    <t>2026-03-08T17:23:09Z</t>
  </si>
  <si>
    <t>2026-03-08T19:52:36Z</t>
  </si>
  <si>
    <t>2026-03-08T19:24:45.7952903Z</t>
  </si>
  <si>
    <t>1ec54b7e2675469ab2512c4322abc6d3</t>
  </si>
  <si>
    <t>2026-03-08T10:45:00Z</t>
  </si>
  <si>
    <t>EXTRA FUEL TO POSS WAIT AT LLBG
DIS. BY AYELET W.</t>
  </si>
  <si>
    <t>N0271A160 SUVAS1E SUVAS L53 TIPAS N137 RIPLI L995 VARIX VARIX3C</t>
  </si>
  <si>
    <t>2026-03-08T10:56:15Z</t>
  </si>
  <si>
    <t>2026-03-08T13:46:12Z</t>
  </si>
  <si>
    <t>2026-03-08T13:34:30.5888065Z</t>
  </si>
  <si>
    <t>0d925ce300a7485893ccd63db463253b</t>
  </si>
  <si>
    <t>2026-03-08T08:00:00Z</t>
  </si>
  <si>
    <t>EXTRA FUEL TO POSS WAIT AT LLBG
DIS. BY AYELET W</t>
  </si>
  <si>
    <t>N0271A160 SUVAS1E SUVAS L53 TIPAS N137 RIPLI L995 VARIX VARIX1Q</t>
  </si>
  <si>
    <t>2026-03-08T08:20:10Z</t>
  </si>
  <si>
    <t>2026-03-08T11:12:52Z</t>
  </si>
  <si>
    <t>2026-03-08T10:48:28.5632892Z</t>
  </si>
  <si>
    <t>1d48e37eb58b460a8e1d6238c99876a4</t>
  </si>
  <si>
    <t>2026-03-08T07:45:00Z</t>
  </si>
  <si>
    <t xml:space="preserve">
OFP REV 02 DUE TO CHG IN ZFW
OFP REV 01 DUE TO CHG IN ALT ROUTE.
EXTRA FUEL IS FOR THE NEXT LEG+POSS HOLDING
DIS. BY AYELET W.</t>
  </si>
  <si>
    <t>2026-03-08T08:07:50Z</t>
  </si>
  <si>
    <t>2026-03-08T09:03:58Z</t>
  </si>
  <si>
    <t>2026-03-08T08:45:57.7624326Z</t>
  </si>
  <si>
    <t>ee22e0ff21ca4a96933f3b1e30ef35e1</t>
  </si>
  <si>
    <t>2026-03-08T05:00:00Z</t>
  </si>
  <si>
    <t>OFP REV 01 DUE TO CHG IN ZFW.
EXTAR FUEL FOR THE NEXT LEG+POSS HOLIDING.
DIS. BY AYELET W.</t>
  </si>
  <si>
    <t>2026-03-08T05:57:51Z</t>
  </si>
  <si>
    <t>2026-03-08T06:51:34Z</t>
  </si>
  <si>
    <t>2026-03-08T06:00:35.3136124Z</t>
  </si>
  <si>
    <t>f2bc24c7c5644d748cafc6e3e3107884</t>
  </si>
  <si>
    <t>2026-01-08T17:55:00Z</t>
  </si>
  <si>
    <t>1.EXTRA FUEL IS IN ORDER TO LAND AT LLHA WITH ABOUT 2000 KG OF FUEL DUE PREDICTED STRONG WINDS UP TO 30KT AT NIGHT,NEXT FLT ON THIS A/C IS TO ETM.
DISP-EREZ Y.</t>
  </si>
  <si>
    <t>EMEDA2B EMEDA B17 MERVA P68 GALIM/N0268F130 VFR</t>
  </si>
  <si>
    <t>2026-01-08T18:34:01Z</t>
  </si>
  <si>
    <t>2026-01-08T19:17:43Z</t>
  </si>
  <si>
    <t>2026-01-08T18:39:14.0996134Z</t>
  </si>
  <si>
    <t>fc36f120d67649c6957d1adb2859fc46</t>
  </si>
  <si>
    <t>2026-01-08T16:30:00Z</t>
  </si>
  <si>
    <t>EXTRA FUEL IS PER POLICY.
T/O DATA-RWY 15,TEMP 19C,WIND 150/03,Q1015,PACKS OFF,....RTOW 22639 KG.
DISP-EREZ Y.</t>
  </si>
  <si>
    <t>2026-01-08T16:46:55Z</t>
  </si>
  <si>
    <t>2026-01-08T17:30:29Z</t>
  </si>
  <si>
    <t>2026-01-08T17:14:05.4915841Z</t>
  </si>
  <si>
    <t>901478fe6ec2476ebab07b6293d666c8</t>
  </si>
  <si>
    <t>2026-01-08T15:25:00Z</t>
  </si>
  <si>
    <t>1.F/L 150 TILL ALKIS DUE EUROCONTROL LIMITATION,MIGHT BE APPROVED BY ATC UPON REQUEST.
2.EXTRA FUEL IS FOR THE NEXT FLT.
DISP-EREZ Y.</t>
  </si>
  <si>
    <t>KEA1N KEA L995 RDS L609 ALKIS/N0272F190 L609 APLON P68 GALIM/F050 VFR</t>
  </si>
  <si>
    <t>2026-01-08T15:59:45Z</t>
  </si>
  <si>
    <t>2026-01-08T18:21:13Z</t>
  </si>
  <si>
    <t>2026-01-08T17:38:42.2014092Z</t>
  </si>
  <si>
    <t>155fded430d44139ba65c0201cb16229</t>
  </si>
  <si>
    <t>2026-01-08T14:40:00Z</t>
  </si>
  <si>
    <t>2026-01-08T14:45:50Z</t>
  </si>
  <si>
    <t>2026-01-08T15:27:40Z</t>
  </si>
  <si>
    <t>2026-01-08T15:24:03.2543619Z</t>
  </si>
  <si>
    <t>760b0e26cf1e48f7a40f267a0d88f54d</t>
  </si>
  <si>
    <t>EXTRA FUEL IS FOR THE NEXT FLT(LCA).
DISP-EREZ Y.</t>
  </si>
  <si>
    <t>NURIT2H NURIT J10 TOMAL/N0265F080 J10 NAT/N0223F040 J15 ATLIT/N0224F040 VFR 3245N03456E 3248N03457E GALIM</t>
  </si>
  <si>
    <t>2026-01-08T14:49:17Z</t>
  </si>
  <si>
    <t>2026-01-08T15:39:35Z</t>
  </si>
  <si>
    <t>2026-01-08T15:28:38.1973224Z</t>
  </si>
  <si>
    <t>32a0883838524be79f2239ebd2f04649</t>
  </si>
  <si>
    <t>2026-01-08T13:00:00Z</t>
  </si>
  <si>
    <t>1. THIS FLIGHT WAS PREPARED BY LIAT NAHON
2. LLHA RWY 15CWY, DRY, 140/04, 23C, 1016, AC OFF
    RTOW = 22604 KG
3. EXTRA FUEL AS PER COMPANY POLICY</t>
  </si>
  <si>
    <t>2026-01-08T12:57:31Z</t>
  </si>
  <si>
    <t>2026-01-08T13:39:48Z</t>
  </si>
  <si>
    <t>2026-01-08T13:43:20.346254Z</t>
  </si>
  <si>
    <t>e3bf4e1b0b734f08acef79c98b71e7c1</t>
  </si>
  <si>
    <t>2026-01-08T12:50:00Z</t>
  </si>
  <si>
    <t>2026-01-08T12:49:46Z</t>
  </si>
  <si>
    <t>2026-01-08T13:47:01Z</t>
  </si>
  <si>
    <t>2026-01-08T13:49:38.408843Z</t>
  </si>
  <si>
    <t>cd1abe027cfc41a3aa89f90cef93440c</t>
  </si>
  <si>
    <t>2026-01-08T12:35:00Z</t>
  </si>
  <si>
    <t>1. THIS FLIGHT WAS PREPARED BY LIAT NAHON
2. FLIGHT DISPATCHED WITH MEL 36-11-02-01
    REQ TRIP FUEL TO COVER FL010 = 671 KG
3. EXTRA FUEL TO COVER THE NEXT LEG</t>
  </si>
  <si>
    <t>2026-01-08T12:35:19Z</t>
  </si>
  <si>
    <t>2026-01-08T13:27:57Z</t>
  </si>
  <si>
    <t>2026-01-08T13:23:45.9280811Z</t>
  </si>
  <si>
    <t>d5343422bb5a45a9a84feed5f29e6846</t>
  </si>
  <si>
    <t>2026-01-08T11:45:00Z</t>
  </si>
  <si>
    <t>1. THIS FLIGHT WAS PREPARED BY LIAT NAHON
2. LLHA RWY 15CWY, DRY, 140/04, 20C, 1019, AC OFF
    RTOW = 22791 KG
3. EXTRA FUEL AS PER COMPANY POLICY</t>
  </si>
  <si>
    <t>N0232A050 GALIM/N0231A160 IFR P68 MERVA P68 APLON L609 RDS L995 VARIX VARIX1W</t>
  </si>
  <si>
    <t>2026-01-08T12:10:48Z</t>
  </si>
  <si>
    <t>2026-01-08T15:02:44Z</t>
  </si>
  <si>
    <t>2026-01-08T14:30:51.5791204Z</t>
  </si>
  <si>
    <t>db6b32eac64541aaae4da75b3f5164dd</t>
  </si>
  <si>
    <t>2026-01-08T11:10:00Z</t>
  </si>
  <si>
    <t>2026-01-08T11:07:02Z</t>
  </si>
  <si>
    <t>2026-01-08T11:52:52Z</t>
  </si>
  <si>
    <t>2026-01-08T11:53:36.9576413Z</t>
  </si>
  <si>
    <t>8ad3df2c00c34e9c8a272e45cfa101c9</t>
  </si>
  <si>
    <t>2026-01-08T10:45:00Z</t>
  </si>
  <si>
    <t>1. THIS FLIGHT WAS PREPARED BY LIAT NAHON
2. FLIGHT DISPATCHED WITH MEL 36-11-02-01
    TRIP FUEL TO COVER FL010 = 848
3. LLHA RWY 15CWY, DRY, 140/04, 20C, 1019, AC OFF
    RTOW = 22791 KG
4. EXTRA FUEL AS PER COMPANY POLICY</t>
  </si>
  <si>
    <t>2026-01-08T10:46:14Z</t>
  </si>
  <si>
    <t>2026-01-08T11:47:02Z</t>
  </si>
  <si>
    <t>2026-01-08T11:44:18.8696862Z</t>
  </si>
  <si>
    <t>30370d10a1c145c88685d2672b896190</t>
  </si>
  <si>
    <t>2026-01-08T09:55:00Z</t>
  </si>
  <si>
    <t>2026-01-08T09:53:39Z</t>
  </si>
  <si>
    <t>2026-01-08T10:44:15Z</t>
  </si>
  <si>
    <t>2026-01-08T10:47:12.6788431Z</t>
  </si>
  <si>
    <t>f5eda2b07bb84a60a4705f21f89852b6</t>
  </si>
  <si>
    <t>2026-01-08T09:30:00Z</t>
  </si>
  <si>
    <t>1. THIS FLIGHT WAS PREPARED BY LIAT NAHON
2. LLHA RWY 15CWY, DRY, 140/04, 19C, 1019, AC OFF
    RTOW = 22840 KG
3. EXTRA FUEL AS PER COMPANY POLICY</t>
  </si>
  <si>
    <t>2026-01-08T09:26:51Z</t>
  </si>
  <si>
    <t>2026-01-08T10:06:59Z</t>
  </si>
  <si>
    <t>2026-01-08T10:14:01.299108Z</t>
  </si>
  <si>
    <t>4c7cce94447243528f3f878ef6ef7c21</t>
  </si>
  <si>
    <t>2026-01-08T09:25:00Z</t>
  </si>
  <si>
    <t>1. THIS FLIGHT WAS PREPARED BY LIAT NAHON
2. ATTN TO ICING ENRTE. REQ TF FOR FL110 = 1847
3. EXTRA FUEL TO COVER THE NEXT LEG</t>
  </si>
  <si>
    <t>KEA1N KEA L995 RDS L609 ALKIS/N0272F170 L609 APLON P68 GALIM/N0273F170 VFR</t>
  </si>
  <si>
    <t>2026-01-08T09:49:32Z</t>
  </si>
  <si>
    <t>2026-01-08T12:14:31Z</t>
  </si>
  <si>
    <t>2026-01-08T11:47:17.9614757Z</t>
  </si>
  <si>
    <t>53589305a7c8440c8eacba14fd748ac0</t>
  </si>
  <si>
    <t>2026-01-08T08:50:00Z</t>
  </si>
  <si>
    <t>2026-01-08T08:54:04Z</t>
  </si>
  <si>
    <t>2026-01-08T09:45:28Z</t>
  </si>
  <si>
    <t>2026-01-08T09:38:38.5673394Z</t>
  </si>
  <si>
    <t>d4b83d1813834792a6adaf1274ef4e6f</t>
  </si>
  <si>
    <t>2026-01-08T08:05:00Z</t>
  </si>
  <si>
    <t>1. THIS FLIGHT WAS PREPARED BY LIAT NAHON
2. LLHA RWY 15CWY, DRY, 140/04, 19C, 1019, AC OFF
    RTOW = 22840 KG
3. EXTRA FUEL DUE TO REMAINING FOB</t>
  </si>
  <si>
    <t>2026-01-08T08:02:54Z</t>
  </si>
  <si>
    <t>2026-01-08T08:53:01Z</t>
  </si>
  <si>
    <t>2026-01-08T08:54:58.4233083Z</t>
  </si>
  <si>
    <t>c1579c38262a4bc7b52d3c9559db9f7f</t>
  </si>
  <si>
    <t>2026-01-08T07:40:00Z</t>
  </si>
  <si>
    <t>2026-01-08T07:42:24Z</t>
  </si>
  <si>
    <t>2026-01-08T08:27:23Z</t>
  </si>
  <si>
    <t>2026-01-08T08:22:06.5343453Z</t>
  </si>
  <si>
    <t>9991c642318e4b85aaa1130e3a9932ab</t>
  </si>
  <si>
    <t>2026-01-08T07:00:00Z</t>
  </si>
  <si>
    <t>1. THIS FLIGHT WAS PREPARED BY LIAT NAHON
2. LLHA RWY 15CWY, DRY, 140/04, 17C, 1019, AC OFF
    RTOW = 22938 KG
3. EXTRA FUEL DUE TO REMAINING FOB</t>
  </si>
  <si>
    <t>N0233A050 GALIM/N0233A050 IFR Q28 ATLIT J15 NAT/N0270A090 J10 SIVAK/N0271A130 J10 NURIT NURIT1D</t>
  </si>
  <si>
    <t>2026-01-08T07:04:07Z</t>
  </si>
  <si>
    <t>2026-01-08T08:04:43Z</t>
  </si>
  <si>
    <t>2026-01-08T07:58:36.1198469Z</t>
  </si>
  <si>
    <t>27f35bb2af9d485bb1019047b33930b4</t>
  </si>
  <si>
    <t>2026-01-08T06:00:00Z</t>
  </si>
  <si>
    <t>1. THIS FLIGHT WAS PREPARED BY LIAT NAHON
2. LLHA RWY 15CWY, DRY, 140/04, 15C, 1019, AC OFF
    RTOW = 23000 KG
3. EXTRA FUEL DUE TO REMAINING FOB</t>
  </si>
  <si>
    <t>2026-01-08T06:09:03Z</t>
  </si>
  <si>
    <t>2026-01-08T05:50:32Z</t>
  </si>
  <si>
    <t>2026-01-08T06:45:08.5326156Z</t>
  </si>
  <si>
    <t>a461f3b5449343ddb081b0c7d049508f</t>
  </si>
  <si>
    <t>2026-01-08T05:45:00Z</t>
  </si>
  <si>
    <t>1. THIS FLIGHT WAS PREPARED BY LIAT NAHON
2. LLHA RWY 15CWY, DRY, 140/04, 15C, 1019, AC OFF
    RTOW = 23000 KG
3. EXTRA FUEL AS PER COMPANY POLICY</t>
  </si>
  <si>
    <t>GALIM/N0231A050 IFR P68 MERVA/N0269A160 P68 APLON L609 RDS L995 VARIX VARIX1W</t>
  </si>
  <si>
    <t>2026-01-08T05:59:11Z</t>
  </si>
  <si>
    <t>2026-01-08T08:57:40Z</t>
  </si>
  <si>
    <t>2026-01-08T08:27:26.5882402Z</t>
  </si>
  <si>
    <t>185a145f782443aa9a20b966be943fbe</t>
  </si>
  <si>
    <t>2026-03-30T18:00:00Z</t>
  </si>
  <si>
    <t>1.EXTRA FUEL IS FOR POSS TAXI HOLD.
2.DTA NOT AVAIL FOR ISRAELI SIG MAPS.
3.FLT DISPATCHED AT F/L 160,AT F/L 120 IT IS 2 MIN SHORTER PER YOUR DISCRETION.
DISP-EREZ Y.</t>
  </si>
  <si>
    <t>2026-03-30T19:05:19Z</t>
  </si>
  <si>
    <t>2026-03-30T20:27:32Z</t>
  </si>
  <si>
    <t>2026-03-30T19:18:25.1697964Z</t>
  </si>
  <si>
    <t>8655234f0e404e90ae8cde9764e751ea</t>
  </si>
  <si>
    <t>2026-03-30T15:45:00Z</t>
  </si>
  <si>
    <t>EXTRA FUEL IS FOR THE NEXT FLT AND CAN BE USED IF NEEDED DUE POSS HOLD.
DISP-EREZ Y.</t>
  </si>
  <si>
    <t>2026-03-30T16:17:58Z</t>
  </si>
  <si>
    <t>2026-03-30T17:10:04Z</t>
  </si>
  <si>
    <t>2026-03-30T16:49:43.6814202Z</t>
  </si>
  <si>
    <t>2026-03-30T05:55:00Z</t>
  </si>
  <si>
    <t>2026-03-30T06:35:34.6473052Z</t>
  </si>
  <si>
    <t>baeca0f86f634721aa479ab6cf70ed9e</t>
  </si>
  <si>
    <t>2026-01-26T17:55:00Z</t>
  </si>
  <si>
    <t>EXTRA FUEL IS FOR THE NEXT FLT (LLER)
DIS. BY AYELET W UNDER THE SUPER. OF EREZ Y.</t>
  </si>
  <si>
    <t>2026-01-26T18:02:30Z</t>
  </si>
  <si>
    <t>2026-01-26T18:45:51Z</t>
  </si>
  <si>
    <t>2026-01-26T18:38:03.1284026Z</t>
  </si>
  <si>
    <t>a37185068bb942e698398498546dae73</t>
  </si>
  <si>
    <t>2026-01-26T16:30:00Z</t>
  </si>
  <si>
    <t>AC IS FUELED WITH 1420KG FROM PREV. FLT.
SPS DATA: RWY 15. DRY. 130/05KTS. 22C 1013Q AC-OFF.     RTOW-22546KG
DIS. BY AYELET W UNDER THE SUPER. OF EREZ Y.</t>
  </si>
  <si>
    <t>2026-01-26T16:25:38Z</t>
  </si>
  <si>
    <t>2026-01-26T17:06:23Z</t>
  </si>
  <si>
    <t>2026-01-26T17:12:48.7994822Z</t>
  </si>
  <si>
    <t>c78918aeb4704d13b2712d839dab1e3b</t>
  </si>
  <si>
    <t>2026-01-26T15:25:00Z</t>
  </si>
  <si>
    <t>EXTRA FUEL IS FOR THE NEXT FLT
DIS. BY AYELET W UNDER THE SUPER. OF EREZ Y.</t>
  </si>
  <si>
    <t>2026-01-26T15:46:56Z</t>
  </si>
  <si>
    <t>2026-01-26T18:14:24Z</t>
  </si>
  <si>
    <t>2026-01-26T17:50:50.8082365Z</t>
  </si>
  <si>
    <t>2514f79acc8540568b5a7f59469da44e</t>
  </si>
  <si>
    <t>2026-01-26T12:00:00Z</t>
  </si>
  <si>
    <t>2026-01-26T12:17:54Z</t>
  </si>
  <si>
    <t>2026-01-26T16:09:24Z</t>
  </si>
  <si>
    <t>2026-01-26T15:37:30.2612682Z</t>
  </si>
  <si>
    <t>488fd9ceb040400fba047e16a5b4e923</t>
  </si>
  <si>
    <t>2026-01-26T11:50:00Z</t>
  </si>
  <si>
    <t>2026-01-26T11:59:50Z</t>
  </si>
  <si>
    <t>2026-01-26T12:48:38Z</t>
  </si>
  <si>
    <t>2026-01-26T12:38:36.9007288Z</t>
  </si>
  <si>
    <t>40b529d25726426db42b3c85b16cb44c</t>
  </si>
  <si>
    <t>2026-01-26T11:45:00Z</t>
  </si>
  <si>
    <t>1. THIS FLIGHT WAS PREPARED BY NIMROD R.
2. LLHA-RWY 15 RTOW 22629KG. SPS DATA: 130/05KTS, DRY, 21C DEG, QNH 1016, Air Cond. OFF.
3. EXTRA FUEL PLANNED DUE TO WX ENROUTE AND AT DEST.</t>
  </si>
  <si>
    <t>N0236A050 GALIM/N0235A050 IFR P68 MERVA/N0274A160 P68 APLON L609 RDS L995 VARIX VARIX1Q</t>
  </si>
  <si>
    <t>2026-01-26T11:45:19Z</t>
  </si>
  <si>
    <t>2026-01-26T14:15:17Z</t>
  </si>
  <si>
    <t>2026-01-26T14:15:45.6773726Z</t>
  </si>
  <si>
    <t>b8b8ed9f3af449258076c7dfd055da3d</t>
  </si>
  <si>
    <t>2026-01-26T10:00:00Z</t>
  </si>
  <si>
    <t>1. THIS FLIGHT WAS PREPARED BY NIMROD R.
2. LLHA-RWY 15 RTOW 22686KG. SPS DATA: 130/05KTS, DRY, 20C DEG, QNH 1017, Air Cond. OFF.
3. EXTRA FUEL PLANNED AS PER COMPANY POLICY.</t>
  </si>
  <si>
    <t>2026-01-26T10:18:17Z</t>
  </si>
  <si>
    <t>2026-01-26T11:18:35Z</t>
  </si>
  <si>
    <t>2026-01-26T10:58:45.0940298Z</t>
  </si>
  <si>
    <t>84d55b535cb24f42974481dfbcaff9db</t>
  </si>
  <si>
    <t>2026-01-26T08:20:00Z</t>
  </si>
  <si>
    <t>2026-01-26T08:34:23Z</t>
  </si>
  <si>
    <t>2026-01-26T09:18:22Z</t>
  </si>
  <si>
    <t>2026-01-26T09:02:55.0888218Z</t>
  </si>
  <si>
    <t>997decd738a44f6c9508f0bea279f369</t>
  </si>
  <si>
    <t>2026-01-26T07:15:00Z</t>
  </si>
  <si>
    <t>1. THIS FLIGHT WAS PREPARED BY NIMROD R.
2. LLHA-RWY 15 RTOW 22910KG. SPS DATA: 130/05KTS, DRY, 15C DEG, QNH 1017, Air Cond. OFF.
3. EXTRA FUEL PLANNED DUE TO POSSIBLE WX ENROUTE AND AT DEST.</t>
  </si>
  <si>
    <t>2026-01-26T07:15:35Z</t>
  </si>
  <si>
    <t>2026-01-26T10:30:51Z</t>
  </si>
  <si>
    <t>2026-01-26T10:30:48.8728525Z</t>
  </si>
  <si>
    <t>abd4434d6d794c71b8ba27819e8b34c9</t>
  </si>
  <si>
    <t>2026-01-26T06:40:00Z</t>
  </si>
  <si>
    <t>1. THIS FLIGHT WAS PREPARED BY NIMROD R.
2. LLHA-RWY 15 RTOW 22910KG. SPS DATA: 130/05KTS, DRY, 15C DEG, QNH 1017, Air Cond. OFF.
3. A/C IS FUELED WITH 1440 KG FROM PREVIOUS LEG.</t>
  </si>
  <si>
    <t>2026-01-26T06:40:44Z</t>
  </si>
  <si>
    <t>2026-01-26T07:23:31Z</t>
  </si>
  <si>
    <t>2026-01-26T07:24:57.3404421Z</t>
  </si>
  <si>
    <t>42667b00e84d47cf83be0da1d8b2e871</t>
  </si>
  <si>
    <t>2026-03-12T22:30:00Z</t>
  </si>
  <si>
    <t>ROPOX1H ROPOX/N0280F240 M749 SKP L617 TSL M987 MICPO L863 EVIVI Y94 VANET VANET5H</t>
  </si>
  <si>
    <t>2026-03-12T22:56:08Z</t>
  </si>
  <si>
    <t>2026-03-13T00:09:24Z</t>
  </si>
  <si>
    <t>2026-03-12T23:52:54.3179977Z</t>
  </si>
  <si>
    <t>70a276f9405d48939f2c0683d05d158f</t>
  </si>
  <si>
    <t>2026-03-12T20:35:00Z</t>
  </si>
  <si>
    <t>1. THIS FLIGHT WAS PREPARED BY NIMROD R.
2. ALT LLBG DUE TO RWY CLOSURE AT LCPH BTW 2200-0300 UTC - APPROVED BY LIOR YAVOR.</t>
  </si>
  <si>
    <t>2026-03-12T20:43:27Z</t>
  </si>
  <si>
    <t>2026-03-12T21:42:23Z</t>
  </si>
  <si>
    <t>2026-03-12T21:52:15.4613244Z</t>
  </si>
  <si>
    <t>c92d629d3acc41b3a43507a92f0cb361</t>
  </si>
  <si>
    <t>2026-03-12T18:20:00Z</t>
  </si>
  <si>
    <t>1. THIS FLIGHT WAS PREPARED BY NIMROD R.
2. NO-ALT DISPATCH DUE TO HIGH EZFW.</t>
  </si>
  <si>
    <t>2026-03-12T18:47:08Z</t>
  </si>
  <si>
    <t>2026-03-12T21:38:17Z</t>
  </si>
  <si>
    <t>2026-03-12T21:12:02.6190259Z</t>
  </si>
  <si>
    <t>7622dfd3b2ad4b66b126b0d36f7ee59d</t>
  </si>
  <si>
    <t>2026-03-12T16:30:00Z</t>
  </si>
  <si>
    <t>KEA1E KEA L52 VAXOS N134 BIRES Z89 PIKOG L609 ZUKKO GODED2</t>
  </si>
  <si>
    <t>2026-03-12T16:40:10Z</t>
  </si>
  <si>
    <t>2026-03-12T19:16:42Z</t>
  </si>
  <si>
    <t>2026-03-12T18:56:47.9863543Z</t>
  </si>
  <si>
    <t>d924264253ab4e50a903d1a2f42c10b0</t>
  </si>
  <si>
    <t>2026-03-12T16:20:00Z</t>
  </si>
  <si>
    <t>2026-03-12T16:33:03Z</t>
  </si>
  <si>
    <t>2026-03-12T17:29:36Z</t>
  </si>
  <si>
    <t>2026-03-12T17:22:59.502107Z</t>
  </si>
  <si>
    <t>8ad367afd6bd49dca1c156a90ebc2a43</t>
  </si>
  <si>
    <t>2026-03-12T11:45:00Z</t>
  </si>
  <si>
    <t>N0275A160 SUVAS DCT STEPA DCT APLON A28 BETID</t>
  </si>
  <si>
    <t>2026-03-12T12:02:19Z</t>
  </si>
  <si>
    <t>2026-03-12T13:01:32Z</t>
  </si>
  <si>
    <t>2026-03-12T13:00:25.6167667Z</t>
  </si>
  <si>
    <t>0f221ac3a69b4102800b46cd8885ba7d</t>
  </si>
  <si>
    <t>2026-03-12T09:45:00Z</t>
  </si>
  <si>
    <t>FLY DIS WITH NO ALT. DUE TO PROXIMITY TO MTOW
DIS. BY AYELET W.</t>
  </si>
  <si>
    <t xml:space="preserve">RTECOORATC LCCC </t>
  </si>
  <si>
    <t>2026-03-12T10:27:44Z</t>
  </si>
  <si>
    <t>2026-03-12T13:19:21Z</t>
  </si>
  <si>
    <t>2026-03-12T12:33:04.9477553Z</t>
  </si>
  <si>
    <t>801287106c9d467d8e1000b07b854331</t>
  </si>
  <si>
    <t>2026-03-12T08:00:00Z</t>
  </si>
  <si>
    <t>ATTN TO PROXIMITY TO MTOW
DIS BY AYELET W.</t>
  </si>
  <si>
    <t>2026-03-12T08:20:12Z</t>
  </si>
  <si>
    <t>2026-03-12T10:57:48Z</t>
  </si>
  <si>
    <t>2026-03-12T10:30:14.3657615Z</t>
  </si>
  <si>
    <t>5991daac36c04ec5834a7a95fe9631ed</t>
  </si>
  <si>
    <t>2026-03-12T07:15:00Z</t>
  </si>
  <si>
    <t>EXTRA FUEL FOR POSS. HOLDING AT LLBG
DIS. BY AYELET W.</t>
  </si>
  <si>
    <t>2026-03-12T08:09:52Z</t>
  </si>
  <si>
    <t>2026-03-12T09:09:14Z</t>
  </si>
  <si>
    <t>2026-03-12T08:18:40.5811152Z</t>
  </si>
  <si>
    <t>65b549ecafdd42198b489b8b79722175</t>
  </si>
  <si>
    <t>2026-03-11T19:45:00Z</t>
  </si>
  <si>
    <t>EXTRA FUEL FOR POSS WAITING AT LLBG
DIS BY AYELET W</t>
  </si>
  <si>
    <t>2026-03-11T20:48:41Z</t>
  </si>
  <si>
    <t>2026-03-11T21:48:32Z</t>
  </si>
  <si>
    <t>2026-03-11T21:00:14.4333731Z</t>
  </si>
  <si>
    <t>3a22e8608ab645349b0e8d8e9c918cf6</t>
  </si>
  <si>
    <t>2026-03-11T19:20:00Z</t>
  </si>
  <si>
    <t>EXTRA FUEL FOR POSS WAITING AT LLBG
DIS BY AYELET W.</t>
  </si>
  <si>
    <t>2026-03-11T19:41:40Z</t>
  </si>
  <si>
    <t>2026-03-11T20:48:58Z</t>
  </si>
  <si>
    <t>2026-03-11T20:34:30.30156Z</t>
  </si>
  <si>
    <t>cda080ff585e4eef87e6edb92b904ab9</t>
  </si>
  <si>
    <t>2026-03-11T18:55:00Z</t>
  </si>
  <si>
    <t>FLT DIS WITH NO ALT DUE TO PROXIMITY TO MTOW
DIS. BY AYELET W.</t>
  </si>
  <si>
    <t>2026-03-11T19:04:58Z</t>
  </si>
  <si>
    <t>2026-03-11T21:47:15Z</t>
  </si>
  <si>
    <t>2026-03-11T21:38:14.7907871Z</t>
  </si>
  <si>
    <t>8815cf6e429a4d79932f3319efe30978</t>
  </si>
  <si>
    <t>2026-03-11T16:35:00Z</t>
  </si>
  <si>
    <t>ATTN TO PROXIMITY TO MTOW
DIS. BY AYELET W.</t>
  </si>
  <si>
    <t>KEA1E KEA L52 VAXOS N134 BIRES/N0270F190 Z89 PIKOG L609 ZUKKO GODED2</t>
  </si>
  <si>
    <t>2026-03-11T19:08:14.6356883Z</t>
  </si>
  <si>
    <t>0f639150b36348dbb8f3a5c1affabd11</t>
  </si>
  <si>
    <t>EXTRA FUEL FOR NEXT LEG+POSS HOLDING
DIS. BY AYELET W.</t>
  </si>
  <si>
    <t>2026-03-11T16:49:55Z</t>
  </si>
  <si>
    <t>2026-03-11T18:15:27Z</t>
  </si>
  <si>
    <t>2026-03-11T17:38:37.5345685Z</t>
  </si>
  <si>
    <t>988d589505764515a23ffb858c096cd0</t>
  </si>
  <si>
    <t>2026-03-11T12:40:00Z</t>
  </si>
  <si>
    <t>1.EXTRA FUEL POLICY WAS VOIDED WITH LIOR YAVOR APPROVAL DUE TO EXPECTED HIGH PAYLOAD.
PLEASE TRY TO LEAVE THE FUEL CONNECTED IN ORDER TO ADD LAST MIN FUEL WITH POSS NO SHOW.
FOR NOW 2900 KG WAS REQUESTED.
DISP-EREZ Y.</t>
  </si>
  <si>
    <t>2026-03-11T13:35:45Z</t>
  </si>
  <si>
    <t>2026-03-11T16:20:41Z</t>
  </si>
  <si>
    <t>2026-03-11T15:12:55.6302034Z</t>
  </si>
  <si>
    <t>48a2fcd0622c4bd29fa92338343b533d</t>
  </si>
  <si>
    <t>2026-03-11T07:15:00Z</t>
  </si>
  <si>
    <t>1.DISPATCHED WITH NO ALT PER POLICY DUE HIGH ZFW.
TRY TO STAY WITH FUEL CONNECTED FOR POSS PAX NO SHOW,TO ADD MORE FUEL,FOR NOW 2400KG WAS ASKED.
DISP-EREZ Y.</t>
  </si>
  <si>
    <t>2026-03-11T07:55:04Z</t>
  </si>
  <si>
    <t>2026-03-11T10:42:43Z</t>
  </si>
  <si>
    <t>2026-03-11T10:00:30.2305372Z</t>
  </si>
  <si>
    <t>ed2006e24d23414e9fac8933c299e9a8</t>
  </si>
  <si>
    <t>2026-03-11T04:45:00Z</t>
  </si>
  <si>
    <t>EXTRA FUEL-FOR POSS HOLD(NOT UP TO MAX TOW DUE POSS ZFW INCREASE).
DISP-EREZ Y.</t>
  </si>
  <si>
    <t>2026-03-11T05:33:06Z</t>
  </si>
  <si>
    <t>2026-03-11T06:35:14Z</t>
  </si>
  <si>
    <t>2026-03-11T05:47:18.1960914Z</t>
  </si>
  <si>
    <t>458694406233426e841130f96eaa9fac</t>
  </si>
  <si>
    <t>2026-03-11T03:10:00Z</t>
  </si>
  <si>
    <t>2026-03-11T03:34:53Z</t>
  </si>
  <si>
    <t>2026-03-11T04:33:35Z</t>
  </si>
  <si>
    <t>2026-03-11T04:26:16.9705396Z</t>
  </si>
  <si>
    <t>dad2a453c0664a56a8888aaa83241369</t>
  </si>
  <si>
    <t>2026-03-10T23:00:00Z</t>
  </si>
  <si>
    <t xml:space="preserve">LCLK RWY 04/22 CLS BETWEEN 2305-0325Z  PER NOTAM
ALT LCPH DUE TO LCLK CLOSURE
EXTRA FUEL FOR POSS HOLDING.
DIS BY AYELET W.
</t>
  </si>
  <si>
    <t>N0275F150 EMEDA2B EMEDA M67 ANANE DCT IDAKU DCT PIKOG L609 ZUKKO</t>
  </si>
  <si>
    <t>2026-03-10T23:03:41Z</t>
  </si>
  <si>
    <t>2026-03-11T00:16:36Z</t>
  </si>
  <si>
    <t>2026-03-11T00:02:11.1409431Z</t>
  </si>
  <si>
    <t>b5789c2dd85d413d98b6f4adbf628057</t>
  </si>
  <si>
    <t>2026-03-10T16:45:00Z</t>
  </si>
  <si>
    <t>2026-03-10T17:33:35Z</t>
  </si>
  <si>
    <t>2026-03-10T18:32:39Z</t>
  </si>
  <si>
    <t>2026-03-10T18:01:04.1755092Z</t>
  </si>
  <si>
    <t>7e3d8a885fb846a09088088468d6cc11</t>
  </si>
  <si>
    <t>2026-03-10T13:00:00Z</t>
  </si>
  <si>
    <t>1.EXTRA FUEL WAS VOIDED WITH LIOR YAVOR APPROVAL,DUE HIGH PAYLOAD.
DISP-EREZ Y.</t>
  </si>
  <si>
    <t>KEA1E KEA L52 VAXOS/N0272F190 N134 VANZA DCT PIKOG L609 ZUKKO GODED10</t>
  </si>
  <si>
    <t>2026-03-10T13:37:18Z</t>
  </si>
  <si>
    <t>2026-03-10T13:28:54Z</t>
  </si>
  <si>
    <t>2026-03-10T15:30:03.597832Z</t>
  </si>
  <si>
    <t>3c1b3bb76d3d4d1b99f76bd3dc2f8d2b</t>
  </si>
  <si>
    <t>2026-03-10T11:50:00Z</t>
  </si>
  <si>
    <t>PASSENGERS FLIGHT</t>
  </si>
  <si>
    <t>DCT FINOT G393 FJR Y25 MTG G701 LACAZ Q302 UGLET Y30 GILON P856 RAPED Y15 EGHIN Z388 KALMO M730 SORUG/N0276F240 M730 KEGED/N0279F110 M730 SPL Y88 KEB L614 NISVA NISVA4K</t>
  </si>
  <si>
    <t>2026-03-10T15:33:40.7759958Z</t>
  </si>
  <si>
    <t>316b19c54b7b41d9b92690af93198851</t>
  </si>
  <si>
    <t>2026-03-10T10:15:00Z</t>
  </si>
  <si>
    <t>1.EXTRA FUEL-100KG IS PER POLICY+100 FOR POSS TAXI HOLD.
2.ALT LGMK IS CLSD ON TUESDAY.
DISP-EREZ Y.</t>
  </si>
  <si>
    <t>N0266F160 SUVAS1E SUVAS L53 TIPAS N137 RIPLI L995 VARIX VARIX1Q</t>
  </si>
  <si>
    <t>2026-03-10T10:18:37Z</t>
  </si>
  <si>
    <t>2026-03-10T13:06:53Z</t>
  </si>
  <si>
    <t>2026-03-10T12:57:06.4235494Z</t>
  </si>
  <si>
    <t>c2ebc0cc22d045d99679e2be1b50f085</t>
  </si>
  <si>
    <t>2026-03-10T07:15:00Z</t>
  </si>
  <si>
    <t>1.FLT IS DISP WITH NO ALT  PER LIOR YAVOR APPROVAL,STAY CONNECTED WITH THE FUEL FOR POSS NO SHOW.
2.EXTRA FUEL POLICY WAS ALSO VOIDED WITH LIOR YAVOR APPROVAL.
DISP-EREZ Y.</t>
  </si>
  <si>
    <t>2026-03-10T08:29:15Z</t>
  </si>
  <si>
    <t>2026-03-10T11:36:02Z</t>
  </si>
  <si>
    <t>2026-03-10T10:07:05.5343268Z</t>
  </si>
  <si>
    <t>a7c3774e0859433883a5848e7c059e32</t>
  </si>
  <si>
    <t>2026-03-10T06:30:00Z</t>
  </si>
  <si>
    <t>**NEW OFP DUE HIGHER ZFW,NOW WITH BLOCK FUEL 3000KG AND TAXI FUEL 170KG**
EXTRA FUEL IS FOR THE NEXT FLT AND FOR POSS HOLD.
DISP-EREZ Y.</t>
  </si>
  <si>
    <t>N0270F190 KEA1E KEA L52 VAXOS N134 BIRES Z89 PIKOG L609 ZUKKO GODED10</t>
  </si>
  <si>
    <t>2026-03-10T06:38:54Z</t>
  </si>
  <si>
    <t>2026-03-10T09:14:50Z</t>
  </si>
  <si>
    <t>2026-03-10T09:00:56.5676226Z</t>
  </si>
  <si>
    <t>9799a68a7a9e41e590a1989a3d56c1f0</t>
  </si>
  <si>
    <t>2026-03-10T04:45:00Z</t>
  </si>
  <si>
    <t>EXTRA FUEL IS FOR THE NEXT FLT(AND FOR POSS HOLD).
DISP-EREZ Y.</t>
  </si>
  <si>
    <t>2026-03-10T05:49:18.18169Z</t>
  </si>
  <si>
    <t>ee0bd3e0afc34ec386eddc47599b12f2</t>
  </si>
  <si>
    <t>2026-03-09T20:00:00Z</t>
  </si>
  <si>
    <t>EXTRA FUEL COSIST OF 100KG PER POLICY+100KG DUE SECURITY SITUATION.
DISP-EREZ Y.</t>
  </si>
  <si>
    <t>2026-03-09T20:21:19Z</t>
  </si>
  <si>
    <t>2026-03-09T21:21:40Z</t>
  </si>
  <si>
    <t>2026-03-09T21:15:08.6618527Z</t>
  </si>
  <si>
    <t>69b5be7ee5494e27956ad3290e10429e</t>
  </si>
  <si>
    <t>2026-03-09T16:00:00Z</t>
  </si>
  <si>
    <t>2026-03-09T16:58:52.7575816Z</t>
  </si>
  <si>
    <t>e2285b67718d4869ac348fd080091bb3</t>
  </si>
  <si>
    <t>2026-03-09T15:30:00Z</t>
  </si>
  <si>
    <t>**new ofp due dct rt to alt lclk**
TAXI FUEL INCREASED TO 170 KG IN ORDER TO HAVE MORE MANEUVERING REGARDING THE FUEL AND T/O WGT.
DISP-EREZ Y.</t>
  </si>
  <si>
    <t>2026-03-09T15:43:18Z</t>
  </si>
  <si>
    <t>2026-03-09T18:15:40Z</t>
  </si>
  <si>
    <t>2026-03-09T17:58:03.6015245Z</t>
  </si>
  <si>
    <t>ce94e4fc27ee41d6a2dd608decb81cfa</t>
  </si>
  <si>
    <t>2026-03-09T18:51:53Z</t>
  </si>
  <si>
    <t>2026-03-09T19:54:51Z</t>
  </si>
  <si>
    <t>2026-03-09T16:47:58.3633561Z</t>
  </si>
  <si>
    <t>849cc3f3265647289270681db2f8a7d6</t>
  </si>
  <si>
    <t>2026-03-09T13:30:00Z</t>
  </si>
  <si>
    <t>2026-03-09T13:50:34Z</t>
  </si>
  <si>
    <t>2026-03-09T16:41:11Z</t>
  </si>
  <si>
    <t>2026-03-09T16:18:46.6668718Z</t>
  </si>
  <si>
    <t>ec06ced5b4744a51bef2e7574eda253d</t>
  </si>
  <si>
    <t>2026-03-09T11:00:00Z</t>
  </si>
  <si>
    <t>EXTRA FUEL IS FOR THE NEXT LEG
DIS BY NIMROD R.</t>
  </si>
  <si>
    <t>N0273F150 EMEDA2B EMEDA M67 ANANE DCT IDAKU DCT PIKOG L609 ZUKKO</t>
  </si>
  <si>
    <t>2026-03-09T11:23:19Z</t>
  </si>
  <si>
    <t>2026-03-09T12:18:18Z</t>
  </si>
  <si>
    <t>2026-03-09T12:01:43.6804955Z</t>
  </si>
  <si>
    <t>353a965d9c7144ca8f8d427f88781246</t>
  </si>
  <si>
    <t>2026-03-09T10:40:00Z</t>
  </si>
  <si>
    <t>DIS WITH NO ALT REQ. DUE TO TOW LIMIT.
DIS. BY AYELET W.</t>
  </si>
  <si>
    <t>N0271A180 SUVAS1E SUVAS L53 TIPAS N137 RIPLI L995 VARIX VARIX1Q</t>
  </si>
  <si>
    <t>2026-03-09T11:13:36Z</t>
  </si>
  <si>
    <t>2026-03-09T14:04:59Z</t>
  </si>
  <si>
    <t>2026-03-09T13:31:11.2104981Z</t>
  </si>
  <si>
    <t>bc4fb025b1d743c7855bf630ccf9e01c</t>
  </si>
  <si>
    <t>2026-03-09T08:15:00Z</t>
  </si>
  <si>
    <t>EXTRA FUEL IS PER COMPANY POLICY
DIS BY AYELET W.</t>
  </si>
  <si>
    <t>PHA1W PHA M31 GENOS TOSKA M978 PERIM L53 TIPAS N137 RIPLI L995 VARIX VARIX1Q</t>
  </si>
  <si>
    <t>2026-03-09T08:34:14Z</t>
  </si>
  <si>
    <t>2026-03-09T10:45:50Z</t>
  </si>
  <si>
    <t>2026-03-09T10:26:46.3336721Z</t>
  </si>
  <si>
    <t>abbad4d62e934a2da9ede97870c592bd</t>
  </si>
  <si>
    <t>2026-03-09T07:00:00Z</t>
  </si>
  <si>
    <t>EXTRA FUEL FOR THE NEXT LEG+POSS HOLDIND
DIS. BY AYELET W.</t>
  </si>
  <si>
    <t xml:space="preserve"> RMKDISPATCH 972502126365 RTECOORATC LCCC</t>
  </si>
  <si>
    <t>2026-03-09T08:02:48Z</t>
  </si>
  <si>
    <t>2026-03-09T09:00:52Z</t>
  </si>
  <si>
    <t>2026-03-09T08:01:45.0513892Z</t>
  </si>
  <si>
    <t>69d0feddb70d46d8a7db69e9f3dbffc8</t>
  </si>
  <si>
    <t>2026-03-07T21:03:00Z</t>
  </si>
  <si>
    <t>2026-03-07T21:14:06Z</t>
  </si>
  <si>
    <t>2026-03-07T22:32:56Z</t>
  </si>
  <si>
    <t>2026-03-07T22:17:50.8859624Z</t>
  </si>
  <si>
    <t>0e55e2bfb0e047e284e841029e35246a</t>
  </si>
  <si>
    <t>2026-03-07T19:25:00Z</t>
  </si>
  <si>
    <t>2026-03-07T19:45:05Z</t>
  </si>
  <si>
    <t>2026-03-07T21:03:06Z</t>
  </si>
  <si>
    <t>2026-03-07T20:39:46.2658373Z</t>
  </si>
  <si>
    <t>105ab1e3818448b9bf79a67d12a1e477</t>
  </si>
  <si>
    <t>2026-03-07T18:42:00Z</t>
  </si>
  <si>
    <t>2026-03-07T19:06:09Z</t>
  </si>
  <si>
    <t>2026-03-07T20:22:17Z</t>
  </si>
  <si>
    <t>2026-03-07T19:42:25.5054452Z</t>
  </si>
  <si>
    <t>0d7fb2815f7f49ddbceebf311ef41b83</t>
  </si>
  <si>
    <t>2026-03-07T17:45:00Z</t>
  </si>
  <si>
    <t>2026-03-07T17:57:26Z</t>
  </si>
  <si>
    <t>2026-03-07T17:10:26Z</t>
  </si>
  <si>
    <t>2026-03-07T18:44:13.6158408Z</t>
  </si>
  <si>
    <t>9acc98d836cc4a42badeab2242c4865b</t>
  </si>
  <si>
    <t>2026-03-07T15:25:00Z</t>
  </si>
  <si>
    <t>EXTRA FUEL CAN BE  VOIDED ,IF NEEDED, WITH LIOR YAVOR APPROVAL(expected at landing 1600kg).
DSP-EREZ Y</t>
  </si>
  <si>
    <t>2026-03-07T15:53:58Z</t>
  </si>
  <si>
    <t>2026-03-07T17:00:46Z</t>
  </si>
  <si>
    <t>2026-03-07T16:42:51.1930334Z</t>
  </si>
  <si>
    <t>cf0ca11a2fc649a3bd330bf780d7a110</t>
  </si>
  <si>
    <t>2026-03-07T13:55:00Z</t>
  </si>
  <si>
    <t>EXTRA FUEL CAN BE  VOIDED ,IF NEEDED, WITH LIOR YAVOR APPROVAL(requested for 1700kg).
DSP-EREZ Y</t>
  </si>
  <si>
    <t>2026-03-07T14:07:40Z</t>
  </si>
  <si>
    <t>2026-03-07T15:21:16Z</t>
  </si>
  <si>
    <t>2026-03-07T15:14:05.5950354Z</t>
  </si>
  <si>
    <t>11bc4463ebef4719854e891a46ee323f</t>
  </si>
  <si>
    <t>2026-03-07T13:45:00Z</t>
  </si>
  <si>
    <t>EXTRA FUEL IS FOR THE NEXT FLT+FOR POSS HOLD.
DISP-EREZ Y.</t>
  </si>
  <si>
    <t>2026-03-07T14:06:06Z</t>
  </si>
  <si>
    <t>2026-03-07T15:04:37Z</t>
  </si>
  <si>
    <t>2026-03-07T14:44:35.612071Z</t>
  </si>
  <si>
    <t>1d7906eee2a64d3d9a2a66986e30c88f</t>
  </si>
  <si>
    <t>2026-03-07T11:55:00Z</t>
  </si>
  <si>
    <t>2026-03-07T12:54:27Z</t>
  </si>
  <si>
    <t>2026-03-07T14:23:23Z</t>
  </si>
  <si>
    <t>2026-03-07T13:12:08.2386425Z</t>
  </si>
  <si>
    <t>a09b372460bf4e219391b26bebf21948</t>
  </si>
  <si>
    <t>2026-03-07T11:25:00Z</t>
  </si>
  <si>
    <t>EXTRA FUEL CAN BE  VOIDED ,IF NEEDED, WITH LIOR YAVOR APPROVAL(requested for 1600kg).
DSP-EREZ Y</t>
  </si>
  <si>
    <t>2026-03-07T12:41:58Z</t>
  </si>
  <si>
    <t>2026-03-07T14:01:48Z</t>
  </si>
  <si>
    <t>2026-03-07T12:41:04.4656009Z</t>
  </si>
  <si>
    <t>e3d3225ce485401e83a058ac9ada3eee</t>
  </si>
  <si>
    <t>2026-03-07T09:55:00Z</t>
  </si>
  <si>
    <t>EXTRA FUEL CAN BE  VOIDED ,IF NEEDED, WITH LIOR YAVOR APPROVAL.
DSP-EREZ Y</t>
  </si>
  <si>
    <t>2026-03-07T11:58:55Z</t>
  </si>
  <si>
    <t>2026-03-07T13:01:36Z</t>
  </si>
  <si>
    <t>2026-03-07T11:09:27.7077624Z</t>
  </si>
  <si>
    <t>a5fd3359664d4ff7b7ac6e3390d34d5a</t>
  </si>
  <si>
    <t>2026-03-07T09:25:00Z</t>
  </si>
  <si>
    <t>2026-03-07T10:58:47Z</t>
  </si>
  <si>
    <t>2026-03-07T12:03:32Z</t>
  </si>
  <si>
    <t>2026-03-07T10:39:00.6286336Z</t>
  </si>
  <si>
    <t>42230916b4514ac6940324cb99246f48</t>
  </si>
  <si>
    <t>2026-03-07T09:15:00Z</t>
  </si>
  <si>
    <t>EXTRA FUEL IS LIMITED DUE HIGH ZFW AND T/O WGT(A/C WAS FUELED A DAY AHEAD).
DISP-EREZ Y.</t>
  </si>
  <si>
    <t>2026-03-07T10:59:20Z</t>
  </si>
  <si>
    <t>2026-03-07T11:52:20Z</t>
  </si>
  <si>
    <t>2026-03-07T10:16:13.281061Z</t>
  </si>
  <si>
    <t>88a14f68e52743f6bb0c4bb8152c65b9</t>
  </si>
  <si>
    <t>2026-03-07T08:15:00Z</t>
  </si>
  <si>
    <t>EXTRA FUEL IS FOR THE NEXT FLT+POSS HOLD IN AND OUT OF LLBG.
DISP-EREZ Y.</t>
  </si>
  <si>
    <t>2026-03-07T10:12:58Z</t>
  </si>
  <si>
    <t>2026-03-07T11:11:32Z</t>
  </si>
  <si>
    <t>2026-03-07T09:16:26.9566462Z</t>
  </si>
  <si>
    <t>dc0b7e8bf0d14be989c1a4041767cc1b</t>
  </si>
  <si>
    <t>1.PAY ATTN TO T/O NEAR MAX T/O WGT(EXTRA FUEL OF 100 CAN BE VOIDED ,IF NEEDED PER LIOR YAVOR).
DISP-EREZ Y.</t>
  </si>
  <si>
    <t>N0267F190 KEA1E KEA L52 VAXOS N134 VANZA/N0268F190 DCT PIKOG L609 ZUKKO AMMOS1A</t>
  </si>
  <si>
    <t>2026-03-07T09:00:43Z</t>
  </si>
  <si>
    <t>2026-03-07T11:25:34Z</t>
  </si>
  <si>
    <t>2026-03-07T10:42:40.1145216Z</t>
  </si>
  <si>
    <t>82fa7b35ad964b5e864086fd2e6f9156</t>
  </si>
  <si>
    <t>2026-03-07T08:00:00Z</t>
  </si>
  <si>
    <t>EXTRA FUEL POLICY WAS TEMPORARLILY VOIDED DUE TO T/O WGT,AS PER LIOR YAVOR APPROVAL.
DISP-EREZ Y.</t>
  </si>
  <si>
    <t>OMENO3S OMENO Y505 NIKTI N127 IMR G80 AKBUK PIROX N129 RDS L609 EVUNU/N0264F210 L609 ZUKKO AMMOS1A</t>
  </si>
  <si>
    <t>2026-03-07T08:24:52Z</t>
  </si>
  <si>
    <t>2026-03-07T11:37:57Z</t>
  </si>
  <si>
    <t>2026-03-07T11:09:36.7765963Z</t>
  </si>
  <si>
    <t>9f0293dd22b549368883be8fa8e529f6</t>
  </si>
  <si>
    <t>2026-03-07T07:45:00Z</t>
  </si>
  <si>
    <t>EXTRA FUEL IS DUE FUEL ONBOARD FOR RTRN FLT +POSS HOLDING.
DISP-EREZ Y.</t>
  </si>
  <si>
    <t>2026-03-07T09:03:52Z</t>
  </si>
  <si>
    <t>2026-03-07T10:00:38Z</t>
  </si>
  <si>
    <t>2026-03-07T08:46:39.8647171Z</t>
  </si>
  <si>
    <t>88d4bee3893e4990ac27ad40436002a1</t>
  </si>
  <si>
    <t>2026-03-07T05:00:00Z</t>
  </si>
  <si>
    <t>EXTRA FUEL IS DUE FUEL ON BOARD.
DISP-EREZ Y.</t>
  </si>
  <si>
    <t>N0283F160 PHA1W PHA M31 GENOS DCT ALKIS L609 RDS L995 VARIX VARIX1Q</t>
  </si>
  <si>
    <t>2026-03-07T05:45:51Z</t>
  </si>
  <si>
    <t>2026-03-07T08:00:15Z</t>
  </si>
  <si>
    <t>2026-03-07T07:17:24.0699699Z</t>
  </si>
  <si>
    <t>ec89f4f96ff743c09717d8a7c91d3709</t>
  </si>
  <si>
    <t>2026-03-06T21:10:00Z</t>
  </si>
  <si>
    <t>2026-03-06T21:21:05Z</t>
  </si>
  <si>
    <t>2026-03-06T22:19:16Z</t>
  </si>
  <si>
    <t>2026-03-06T22:24:25.0715491Z</t>
  </si>
  <si>
    <t>247ade7c105f4155a29efc8d6ba07191</t>
  </si>
  <si>
    <t>2026-03-06T19:40:00Z</t>
  </si>
  <si>
    <t>N0282A160 SUVAS DCT STEPA DCT APLON A28 BETID</t>
  </si>
  <si>
    <t>2026-03-06T20:22:29Z</t>
  </si>
  <si>
    <t>2026-03-06T21:19:20Z</t>
  </si>
  <si>
    <t>2026-03-06T20:55:05.2998591Z</t>
  </si>
  <si>
    <t>70ed7c1fd8754809b4aa6ce2fa5d40d8</t>
  </si>
  <si>
    <t>2026-03-06T18:55:00Z</t>
  </si>
  <si>
    <t>2026-03-06T19:40:39Z</t>
  </si>
  <si>
    <t>2026-03-06T20:48:27Z</t>
  </si>
  <si>
    <t>2026-03-06T20:10:22.0202161Z</t>
  </si>
  <si>
    <t>a5cb85f9fcdd4a24896c5eff76c3402f</t>
  </si>
  <si>
    <t>2026-03-06T17:00:00Z</t>
  </si>
  <si>
    <t>OMENO3S OMENO Y505 NIKTI N127 IMR G80 AKBUK DCT PIROX N129 RDS L609 ZUKKO AMMOS1A</t>
  </si>
  <si>
    <t>2026-03-06T17:14:25Z</t>
  </si>
  <si>
    <t>2026-03-06T20:37:28Z</t>
  </si>
  <si>
    <t>2026-03-06T20:08:24.1076044Z</t>
  </si>
  <si>
    <t>5219ee7f3ae14bd6a29ab00d4f74a9a5</t>
  </si>
  <si>
    <t>2026-03-06T16:41:00Z</t>
  </si>
  <si>
    <t xml:space="preserve">EXTRA FUEL IS PER COMPANY POLICY.
DIS BY AYELET </t>
  </si>
  <si>
    <t>2026-03-06T16:52:46Z</t>
  </si>
  <si>
    <t>2026-03-06T17:51:21Z</t>
  </si>
  <si>
    <t>2026-03-06T17:57:07.2299126Z</t>
  </si>
  <si>
    <t>80d314e8feb34e26ba6faf8f719eeacb</t>
  </si>
  <si>
    <t>2026-03-06T16:15:00Z</t>
  </si>
  <si>
    <t>AC IS FUELED WITH 2500 KG
EXTRA FUEL FOR THE NEXT LEG.
DIS. BY NIMROD R.
NEW OFP REV. 01 ISSUED DUE TO DECREASE IN ZFW.</t>
  </si>
  <si>
    <t>EMEDA2B EMEDA M67 ANANE DCT IDAKU DCT PIKOG L609 ZUKKO GODED2</t>
  </si>
  <si>
    <t>2026-03-06T16:33:08Z</t>
  </si>
  <si>
    <t>2026-03-06T17:53:02Z</t>
  </si>
  <si>
    <t>2026-03-06T17:16:25.3635947Z</t>
  </si>
  <si>
    <t>d2cc38cb0bcc44e8b5a99278a0e4e4db</t>
  </si>
  <si>
    <t>2026-03-06T15:15:00Z</t>
  </si>
  <si>
    <t>OFP REV 01 DUE TO EXTRA FUEL- 300KG
EXTRA FUEL FOR THE NEXT LEG
NEEDS TO REFUEL AT LLBG FOR NEXT LEG (LLBG-LCLK)
DIS. BY AYELET W.</t>
  </si>
  <si>
    <t>KEA1E KEA L995 RDS/F150 L609 ALKIS/N0274F190 L609 APLON DCT PIKOG L609 ZUKKO GODED2</t>
  </si>
  <si>
    <t>2026-03-06T15:31:10Z</t>
  </si>
  <si>
    <t>2026-03-06T18:03:29Z</t>
  </si>
  <si>
    <t>2026-03-06T17:40:41.1622023Z</t>
  </si>
  <si>
    <t>d49a69023f8e4ccd92eaf2032321679a</t>
  </si>
  <si>
    <t>2026-03-06T13:15:00Z</t>
  </si>
  <si>
    <t>EXTRA FUEL FOR NEXT LEG.
NEEDS TO REFUEL AT LLBG FOR NEXT LEG (LLBG-LCLK)
DIS. BY AYELET W.</t>
  </si>
  <si>
    <t>KEA1E KEA L995 RDS/F150 L609 ALKIS/N0274F190 L609 APLON DCT PIKOG L609 ZUKKO AMMOS1A</t>
  </si>
  <si>
    <t>2026-03-06T13:37:08Z</t>
  </si>
  <si>
    <t>2026-03-06T16:08:19Z</t>
  </si>
  <si>
    <t>2026-03-06T15:43:34.5720084Z</t>
  </si>
  <si>
    <t>172bf7db1fb24bfc83699d5764c244f3</t>
  </si>
  <si>
    <t>2026-03-06T11:30:00Z</t>
  </si>
  <si>
    <t>EXTRA FUEL IS PER COMPANY POLICY
DIS. BY AYEET W</t>
  </si>
  <si>
    <t>PHA1W PHA M31 MAROS M67 TOSKA M978 VAXOS N128 OKESA DCT RIKSO N128 PEREN L863 EVIVI Y94 VANET VANET5H</t>
  </si>
  <si>
    <t>2026-03-06T11:41:34Z</t>
  </si>
  <si>
    <t>2026-03-06T14:42:11Z</t>
  </si>
  <si>
    <t>2026-03-06T14:41:51.9508772Z</t>
  </si>
  <si>
    <t>c9bd93e3b5de44a8b54ca5cd8e3324fb</t>
  </si>
  <si>
    <t>2026-03-06T11:15:00Z</t>
  </si>
  <si>
    <t>KOTEL</t>
  </si>
  <si>
    <t>2026-03-06T14:02:14.6646059Z</t>
  </si>
  <si>
    <t>41f462e6cf284e9181f2c949d561396d</t>
  </si>
  <si>
    <t>2026-03-06T11:00:00Z</t>
  </si>
  <si>
    <t>EXTREA FUEL PER COMPNAY POLICY-REDUCED TO 80KG (PER LIOR)
DIS. BY AYELET W.</t>
  </si>
  <si>
    <t>PHA1W PHA M31 GENOS TOSKA M978 VAXOS N128 RDS L995 VARIX VARIX1Q</t>
  </si>
  <si>
    <t>2026-03-06T11:26:45Z</t>
  </si>
  <si>
    <t>2026-03-06T13:39:31Z</t>
  </si>
  <si>
    <t>2026-03-06T13:17:40.3997241Z</t>
  </si>
  <si>
    <t>8885d9c3a47e4810bd9fbe4f19099ffd</t>
  </si>
  <si>
    <t>2026-03-06T09:00:00Z</t>
  </si>
  <si>
    <t>EXTRA FUEL IS PER COMPNAY POLICY
DIS. BY AYELET W.</t>
  </si>
  <si>
    <t>2026-03-06T09:25:05Z</t>
  </si>
  <si>
    <t>2026-03-06T11:33:06Z</t>
  </si>
  <si>
    <t>2026-03-06T11:18:59.431665Z</t>
  </si>
  <si>
    <t>3518055f2cf74142aec9442ab457d700</t>
  </si>
  <si>
    <t>2026-03-01T13:50:00Z</t>
  </si>
  <si>
    <t>2026-03-01T14:28:41.1671923Z</t>
  </si>
  <si>
    <t>c65b9697955646d68fe017e0dbbc8b47</t>
  </si>
  <si>
    <t>2026-02-27T14:00:00Z</t>
  </si>
  <si>
    <t>2026-02-27T14:45:35.8528353Z</t>
  </si>
  <si>
    <t>8d1116ae793c4b7280c170be5acf53ce</t>
  </si>
  <si>
    <t>2026-02-27T11:10:00Z</t>
  </si>
  <si>
    <t>N0276F130 EMEDA2B EMEDA B17 MERVA P68 GALIM/N0276A050 VFR</t>
  </si>
  <si>
    <t>2026-02-27T11:09:00Z</t>
  </si>
  <si>
    <t>2026-02-27T11:46:39Z</t>
  </si>
  <si>
    <t>2026-02-27T11:46:24.085529Z</t>
  </si>
  <si>
    <t>9caaee0da6e642298783b5659c5170d0</t>
  </si>
  <si>
    <t>2026-02-27T10:25:00Z</t>
  </si>
  <si>
    <t>2026-02-27T10:47:45Z</t>
  </si>
  <si>
    <t>2026-02-27T13:50:44Z</t>
  </si>
  <si>
    <t>2026-02-27T13:19:14.2200336Z</t>
  </si>
  <si>
    <t>4cf9c8ca57c04274b1934ff1a3d72eda</t>
  </si>
  <si>
    <t>2026-02-27T09:30:00Z</t>
  </si>
  <si>
    <t>EXTRA FUEL IS PER COMPANY POLICY
T/O DATA: RWY 33. DRY. 330/06K 1016Q AC-OFF.    RTOW-22685KG
DIS. BY AYELET W</t>
  </si>
  <si>
    <t>2026-02-27T09:20:23Z</t>
  </si>
  <si>
    <t>2026-02-27T10:08:54Z</t>
  </si>
  <si>
    <t>2026-02-27T10:20:44.4551128Z</t>
  </si>
  <si>
    <t>5ed5438bf65d4db798adfd53efd2cdf8</t>
  </si>
  <si>
    <t>2026-02-27T09:25:00Z</t>
  </si>
  <si>
    <t>EXTRA FUEL IS FOR THE NEXT LEG
DIS. BY AYELET  W.</t>
  </si>
  <si>
    <t>KEA1E KEA L995 RDS L609 APLON P68 GALIM/N0271A050 VFR</t>
  </si>
  <si>
    <t>2026-02-27T09:40:12Z</t>
  </si>
  <si>
    <t>2026-02-27T11:59:04Z</t>
  </si>
  <si>
    <t>2026-02-27T11:38:21.8025778Z</t>
  </si>
  <si>
    <t>72eebd2d524b44aaa8d1bee810b05f64</t>
  </si>
  <si>
    <t>2026-02-27T08:50:00Z</t>
  </si>
  <si>
    <t>OFP REV 01 DUE TO CHG IN ZFW
EXTRA FUEL IS FOR THE NEXT LEG
DIS. BY AYELET W.</t>
  </si>
  <si>
    <t>2026-02-27T08:40:38Z</t>
  </si>
  <si>
    <t>2026-02-27T09:39:24Z</t>
  </si>
  <si>
    <t>2026-02-27T09:42:12.4866226Z</t>
  </si>
  <si>
    <t>70dad08904224b30a9964dee98e94c16</t>
  </si>
  <si>
    <t>2026-02-27T07:40:00Z</t>
  </si>
  <si>
    <t>2026-02-27T07:54:56Z</t>
  </si>
  <si>
    <t>2026-02-27T08:29:43Z</t>
  </si>
  <si>
    <t>2026-02-27T08:15:52.4031321Z</t>
  </si>
  <si>
    <t>5a7bc8b25a024be1ba526c7ba15fab45</t>
  </si>
  <si>
    <t>2026-02-27T07:00:00Z</t>
  </si>
  <si>
    <t>AC IS FUELED WITH 1900KG FROM PREV. FLIGHT
T/O DATA:RWY 33. DRY. 320/06K AC- OFF. 1014Q   RTOW-22607KG
DIS. BY AYELET W.</t>
  </si>
  <si>
    <t>GALIM/N0234A050 IFR Q28 ATLIT J15 NAT/N0276A090 J10 SIVAK/N0275A130 J10 NURIT NURIT1D</t>
  </si>
  <si>
    <t>2026-02-27T07:03:24Z</t>
  </si>
  <si>
    <t>2026-02-27T07:51:20Z</t>
  </si>
  <si>
    <t>2026-02-27T07:55:07.4190253Z</t>
  </si>
  <si>
    <t>ba3805ff71114d44ac4ed732ec7dc72c</t>
  </si>
  <si>
    <t>2026-02-27T06:00:00Z</t>
  </si>
  <si>
    <t>AC IS FUELED WITH 1500KG FROM PREV. FLIGHT
T/O DATA: RWY 33. DRY. 16C 320/06K  Q1014  AC-OFF   RTOW-22607KG
DIS BY AYELET W.</t>
  </si>
  <si>
    <t>2026-02-27T06:03:40Z</t>
  </si>
  <si>
    <t>2026-02-27T06:53:46Z</t>
  </si>
  <si>
    <t>2026-02-27T06:50:58.4561067Z</t>
  </si>
  <si>
    <t>366c0ba43a6d4f52a62ee6fbe0eaa87b</t>
  </si>
  <si>
    <t>2026-02-27T05:45:00Z</t>
  </si>
  <si>
    <t>EXTRA FUEL IS PER COMPANY POLICY
DIS AT FL120 DUE TO FLIGHT TIME
T/O DATA/; RWY 33. DRY. 16C 320/06K AC-OFF   RTOW-22607K
DIS BY AYELET W.</t>
  </si>
  <si>
    <t>GALIM/N0234A050 IFR P68 MERVA/N0280A120 P68 APLON L609 RDS L995 VARIX VARIX1Q</t>
  </si>
  <si>
    <t>2026-02-27T05:56:40Z</t>
  </si>
  <si>
    <t>2026-02-27T08:45:19Z</t>
  </si>
  <si>
    <t>2026-02-27T08:30:06.5136225Z</t>
  </si>
  <si>
    <t>34e44018345340c78e9e75ab472ede79</t>
  </si>
  <si>
    <t>2026-02-27T05:40:00Z</t>
  </si>
  <si>
    <t>OPF REV01 DUE TO CHG IN ZFW
EXTRA FUEL IS  PER COMPANY POLICY +ENRTE WX
T/O DATA: RWY 33. DRY. 320/06K. Q1014. 16C AC-OFF   RTOW-22607KG
DIS BY AYELET W.</t>
  </si>
  <si>
    <t>GALIM/N0233A050 IFR P68 MERVA/N0274A140 P68 APLON L609 MAROS M67 TOSKA M978 VAXOS N128 OKESA RIKSO N128 PEREN L863 EVIVI Y94 VANET VANET5H</t>
  </si>
  <si>
    <t>2026-02-27T05:50:59Z</t>
  </si>
  <si>
    <t>2026-02-27T09:42:30Z</t>
  </si>
  <si>
    <t>2026-02-27T09:39:08.1650878Z</t>
  </si>
  <si>
    <t>3a46847a776d444e979ff55bfdc30147</t>
  </si>
  <si>
    <t>2026-02-26T17:15:00Z</t>
  </si>
  <si>
    <t>2026-02-26T17:35:50Z</t>
  </si>
  <si>
    <t>2026-02-26T18:16:32Z</t>
  </si>
  <si>
    <t>2026-02-26T17:50:59.1745089Z</t>
  </si>
  <si>
    <t>dbbd810d2ae24425b2b6dffb9b1be4f6</t>
  </si>
  <si>
    <t>2026-02-26T15:50:00Z</t>
  </si>
  <si>
    <t>1.F/L 100 DUE STRONG H/W ON F/L 140.
2.EXTRA FUEL IS FROM THE PREVIOUS FLT.
3.T/O DATA-RWY 33,TEMP 18C,WIND 290/06,Q1013,PACKS OFF,....RTOW 22436 KG.
DISP-EREZ Y.</t>
  </si>
  <si>
    <t>N0236A050 GALIM/N0235A050 IFR P68 MERVA/N0276A100 N131 EMEDA EMEDA1A</t>
  </si>
  <si>
    <t>2026-02-26T15:56:49Z</t>
  </si>
  <si>
    <t>2026-02-26T16:45:27Z</t>
  </si>
  <si>
    <t>2026-02-26T16:39:06.397272Z</t>
  </si>
  <si>
    <t>a3645febde2740e6993305ba5c35a852</t>
  </si>
  <si>
    <t>2026-02-26T15:25:00Z</t>
  </si>
  <si>
    <t>1.F/L 150  NILAS-ALKIS DUE EUROCONTROL LIMITATION,OPT F/L MIGHT BE APPROVED BY ATC UPON REQ.
2.EXTRA FUEL IS FOR THE NEXT FLT.
DISP-EREZ Y.</t>
  </si>
  <si>
    <t>KEA1E KEA L995 RDS L609 NILAS/F150 L609 ALKIS/N0268F190 L609 APLON P68 GALIM/N0269A050 VFR</t>
  </si>
  <si>
    <t>2026-02-26T15:47:29Z</t>
  </si>
  <si>
    <t>2026-02-26T17:57:48Z</t>
  </si>
  <si>
    <t>2026-02-26T17:32:33.2042891Z</t>
  </si>
  <si>
    <t>1c52575a97f94b549f58aedfeddeab45</t>
  </si>
  <si>
    <t>2026-02-26T14:40:00Z</t>
  </si>
  <si>
    <t>N0267F120 NURIT2H NURIT J10 TOMAL/N0272F080 J10 NAT/N0224F040 J15 ATLIT/N0225F040 VFR 3245N03456E DCT 3248N03457E DCT GALIM</t>
  </si>
  <si>
    <t>2026-02-26T14:39:02Z</t>
  </si>
  <si>
    <t>2026-02-26T15:36:18Z</t>
  </si>
  <si>
    <t>2026-02-26T15:32:20.002644Z</t>
  </si>
  <si>
    <t>b727cf6136d44e9ba770e2e0cf6da534</t>
  </si>
  <si>
    <t>2026-02-26T12:50:00Z</t>
  </si>
  <si>
    <t>1. THIS FLIGHT WAS PREPARED BY NIMROD R.
2. LLHA-RWY 33 RTOW 22402KG. SPS DATA: 280/06KTS, DRY, 18C DEG, QNH 1014, Air Cond. OFF.
3. EXTRA FUEL PLANNED AS PER COMPANY POLICY.</t>
  </si>
  <si>
    <t>N0235A050 GALIM/N0235A050 IFR Q28 ATLIT J15 NAT/N0275A090 J10 SIVAK/N0273A130 J10 NURIT NURIT1D</t>
  </si>
  <si>
    <t>2026-02-26T12:44:12Z</t>
  </si>
  <si>
    <t>2026-02-26T13:39:41Z</t>
  </si>
  <si>
    <t>2026-02-26T13:46:27.1797362Z</t>
  </si>
  <si>
    <t>6c7973f68e6448bb882e229dbd814f59</t>
  </si>
  <si>
    <t>2026-02-26T12:35:00Z</t>
  </si>
  <si>
    <t>N0268F120 NURIT2H NURIT J10 TOMAL/N0273F080 J10 NAT/N0224F040 J15 ATLIT/N0225F040 VFR HOTRM DAROM GALIM</t>
  </si>
  <si>
    <t>2026-02-26T12:40:35Z</t>
  </si>
  <si>
    <t>2026-02-26T13:35:43Z</t>
  </si>
  <si>
    <t>2026-02-26T13:27:00.9240239Z</t>
  </si>
  <si>
    <t>c27555dd522041458fabc693b6724cbe</t>
  </si>
  <si>
    <t>2026-02-26T11:45:00Z</t>
  </si>
  <si>
    <t>1. THIS FLIGHT WAS PREPARED BY NIMROD R.
2. LLHA-RWY 33 RTOW 22416KG. SPS DATA: 280/06KTS, DRY, 18C DEG, QNH 1015, Air Cond. OFF.
3. A/C IS FUELED AS PER COMPANY POLICY.
4. DISPATCHED AT FL100 DUE TO STRONG H-WINDS.</t>
  </si>
  <si>
    <t>N0235A050 GALIM/N0234A050 IFR P68 MERVA/N0272A100 P68 APLON L609 RDS L995 VARIX VARIX1Q</t>
  </si>
  <si>
    <t>2026-02-26T11:46:54Z</t>
  </si>
  <si>
    <t>2026-02-26T14:46:10Z</t>
  </si>
  <si>
    <t>2026-02-26T14:32:01.2071423Z</t>
  </si>
  <si>
    <t>784b81f4a5ad4ad89aadba58b17bc868</t>
  </si>
  <si>
    <t>2026-02-26T11:10:00Z</t>
  </si>
  <si>
    <t>2026-02-26T11:11:51Z</t>
  </si>
  <si>
    <t>2026-02-26T11:52:05Z</t>
  </si>
  <si>
    <t>2026-02-26T11:46:56.9951115Z</t>
  </si>
  <si>
    <t>5005897d1d2f43f6bb5a76283663aa0e</t>
  </si>
  <si>
    <t>2026-02-26T10:45:00Z</t>
  </si>
  <si>
    <t>1. THIS FLIGHT WAS PREPARED BY NIMROD R.
2. LLHA-RWY 33 RTOW 22476KG. SPS DATA: 280/08KTS, DRY, 18C DEG, QNH 1015, Air Cond. OFF.
3. EXTRA FUEL PLANNED AS PER COMPANY POLICY.</t>
  </si>
  <si>
    <t>2026-02-26T10:40:03Z</t>
  </si>
  <si>
    <t>2026-02-26T11:33:48Z</t>
  </si>
  <si>
    <t>2026-02-26T11:40:55.0763763Z</t>
  </si>
  <si>
    <t>a1f5b81c232648439e53bc0ec424690f</t>
  </si>
  <si>
    <t>2026-02-26T09:55:00Z</t>
  </si>
  <si>
    <t>2026-02-26T09:58:57Z</t>
  </si>
  <si>
    <t>2026-02-26T10:42:32Z</t>
  </si>
  <si>
    <t>2026-02-26T10:39:04.8897195Z</t>
  </si>
  <si>
    <t>e0c3c7694b0b4a39b7a661e9ce678294</t>
  </si>
  <si>
    <t>2026-02-26T09:30:00Z</t>
  </si>
  <si>
    <t>N0236A050 GALIM/N0235A050 IFR P68 MERVA/N0275A140 N131 EMEDA EMEDA1A</t>
  </si>
  <si>
    <t>2026-02-26T09:29:22Z</t>
  </si>
  <si>
    <t>2026-02-26T10:16:35Z</t>
  </si>
  <si>
    <t>2026-02-26T10:20:55.0077847Z</t>
  </si>
  <si>
    <t>cdd690acc78c41739f8ebfdd68633b4c</t>
  </si>
  <si>
    <t>2026-02-26T09:25:00Z</t>
  </si>
  <si>
    <t>KEA1E KEA L995 RDS L609 APLON P68 MERVA/N0242F190 P68 GALIM/N0272A050 VFR</t>
  </si>
  <si>
    <t>2026-02-26T09:45:15Z</t>
  </si>
  <si>
    <t>2026-02-26T11:55:41Z</t>
  </si>
  <si>
    <t>2026-02-26T11:28:54.6857801Z</t>
  </si>
  <si>
    <t>846ee2d929da49c68f5e1ceab767df71</t>
  </si>
  <si>
    <t>2026-02-26T08:50:00Z</t>
  </si>
  <si>
    <t>N0273F120 NURIT2H NURIT J10 TOMAL/N0273F080 J10 NAT/N0225F040 J15 ATLIT/N0225F040 VFR HOTRM DAROM GALIM</t>
  </si>
  <si>
    <t>2026-02-26T09:05:26Z</t>
  </si>
  <si>
    <t>2026-02-26T10:01:28Z</t>
  </si>
  <si>
    <t>2026-02-26T09:41:27.0741874Z</t>
  </si>
  <si>
    <t>30d43aa1437c422da945b543b6fef365</t>
  </si>
  <si>
    <t>2026-02-26T08:05:00Z</t>
  </si>
  <si>
    <t>1. THIS FLIGHT WAS PREPARED BY NIMROD R.
2. LLHA-RWY 33 RTOW 22402KG. SPS DATA: 280/06KTS, WET, 18C DEG, QNH 1014, Air Cond. OFF.
3. A/C IS FUELED WITH 1860 KG FROM PREVIOUS LEG.</t>
  </si>
  <si>
    <t>N0230A050 GALIM/N0230A050 IFR P68 MERVA/N0263A100 N131 VELOX M42 ESERI</t>
  </si>
  <si>
    <t>2026-02-26T08:06:54Z</t>
  </si>
  <si>
    <t>2026-02-26T09:05:54Z</t>
  </si>
  <si>
    <t>2026-02-26T09:00:17.7423385Z</t>
  </si>
  <si>
    <t>0b01d4e1abd14277bdec7bc990261203</t>
  </si>
  <si>
    <t>2026-02-26T07:40:00Z</t>
  </si>
  <si>
    <t>2026-02-26T07:45:06Z</t>
  </si>
  <si>
    <t>2026-02-26T08:25:11Z</t>
  </si>
  <si>
    <t>2026-02-26T08:16:54.3760224Z</t>
  </si>
  <si>
    <t>619b8fb8e016437cb3a3f4063035d5f8</t>
  </si>
  <si>
    <t>2026-02-26T07:00:00Z</t>
  </si>
  <si>
    <t>1. THIS FLIGHT WAS PREPARED BY NIMROD R.
2. LLHA-RWY 33 RTOW 22402KG. SPS DATA: 280/06KTS, WET, 18C DEG, QNH 1014, Air Cond. OFF.
3. A/C IS FUELED WITH 1900 KG FROM PREVIOUS LEG.</t>
  </si>
  <si>
    <t>2026-02-26T07:02:34Z</t>
  </si>
  <si>
    <t>2026-02-26T07:53:37Z</t>
  </si>
  <si>
    <t>2026-02-26T07:56:35.6843028Z</t>
  </si>
  <si>
    <t>8b07b2cb577042429d9c9cd5badf0013</t>
  </si>
  <si>
    <t>2026-02-26T06:00:00Z</t>
  </si>
  <si>
    <t>1. THIS FLIGHT WAS PREPARED BY NIMROD R.
2. LLHA-RWY 33 RTOW 22225KG. SPS DATA: 250/06KTS, DRY, 18C DEG, QNH 1014, Air Cond. OFF.
3. A/C IS FUELED WITH 1500 KG.</t>
  </si>
  <si>
    <t>2026-02-26T06:03:35Z</t>
  </si>
  <si>
    <t>2026-02-26T06:48:12Z</t>
  </si>
  <si>
    <t>2026-02-26T06:50:32.746622Z</t>
  </si>
  <si>
    <t>d657169ec9354c7c83ff7fb1d6203e6a</t>
  </si>
  <si>
    <t>2026-02-26T05:45:00Z</t>
  </si>
  <si>
    <t>1. THIS FLIGHT WAS PREPARED BY NIMROD R.
2. LLHA-RWY 33 RTOW 22225KG. SPS DATA: 250/06KTS, DRY, 18C DEG, QNH 1014, Air Cond. OFF.
3. EXTRA FUEL PLANNED AS PER COMPANY POLICY.
4. DISPATCHED AT FL100 DUE TO STRONG H-WINDS. | FUEL REQ. FOR FL160 WITH 100 KG EXTRA IS 3600 KG.</t>
  </si>
  <si>
    <t>GALIM/N0234A050 IFR P68 MERVA/N0272A100 P68 APLON L609 RDS L995 VARIX VARIX1Q</t>
  </si>
  <si>
    <t>2026-02-26T06:06:16Z</t>
  </si>
  <si>
    <t>2026-02-26T09:04:26Z</t>
  </si>
  <si>
    <t>2026-02-26T08:37:03.1096704Z</t>
  </si>
  <si>
    <t>e77f2a7bcfeb4d9a97fcdf9e773e0fe1</t>
  </si>
  <si>
    <t>2026-02-25T17:55:00Z</t>
  </si>
  <si>
    <t>2026-02-25T17:59:25Z</t>
  </si>
  <si>
    <t>2026-02-25T18:40:54Z</t>
  </si>
  <si>
    <t>2026-02-25T18:34:52.2917827Z</t>
  </si>
  <si>
    <t>beb6dd8fd1c34cd89d1d3c98ee8c4d68</t>
  </si>
  <si>
    <t>2026-02-25T16:30:00Z</t>
  </si>
  <si>
    <t>EXTRA FUEL IS PER POLICY
T/O DATA-RWY 15,TEMP 18C,WIND 0,Q1018,PACKS OFF....RTOW 22549 KG.
DISP-EREZ Y.</t>
  </si>
  <si>
    <t>2026-02-25T16:20:40Z</t>
  </si>
  <si>
    <t>2026-02-25T17:09:12Z</t>
  </si>
  <si>
    <t>2026-02-25T17:16:38.2331581Z</t>
  </si>
  <si>
    <t>4d5fabb74e0e4329a60b09a0c4b22680</t>
  </si>
  <si>
    <t>2026-02-25T16:25:00Z</t>
  </si>
  <si>
    <t>KEA1E KEA L995 RDS L609 ALKIS L609 APLON P68 MERVA/F190 P68 GALIM/N0278A050 VFR</t>
  </si>
  <si>
    <t>2026-02-25T16:38:10Z</t>
  </si>
  <si>
    <t>2026-02-25T18:46:48Z</t>
  </si>
  <si>
    <t>2026-02-25T18:32:58.7726351Z</t>
  </si>
  <si>
    <t>9391c46a95cb44f4b82890c4ff820912</t>
  </si>
  <si>
    <t>2026-02-25T15:05:00Z</t>
  </si>
  <si>
    <t>2026-02-25T15:27:18Z</t>
  </si>
  <si>
    <t>2026-02-25T16:19:50Z</t>
  </si>
  <si>
    <t>2026-02-25T15:52:06.4847462Z</t>
  </si>
  <si>
    <t>caf25e88f20d4ab7847d7e9cff37ed2f</t>
  </si>
  <si>
    <t>2026-02-25T14:40:00Z</t>
  </si>
  <si>
    <t>2026-02-25T14:32:10Z</t>
  </si>
  <si>
    <t>2026-02-25T15:27:29Z</t>
  </si>
  <si>
    <t>2026-02-25T15:29:36.132176Z</t>
  </si>
  <si>
    <t>b53f430b8e23486f8907155d8d423905</t>
  </si>
  <si>
    <t>2026-02-25T13:15:00Z</t>
  </si>
  <si>
    <t>FUEL    :    EXTRA FUEL DEU TO COMPANY POLICY.
RTOW   :   22608kg. SPS DATA - RWY15 WET,23007KT,19C,Q1018,PACKS OFF.
DISP     :   UDI A,TRAINEE. SUPERVISED BY NIMROD R.</t>
  </si>
  <si>
    <t>2026-02-25T13:27:26Z</t>
  </si>
  <si>
    <t>2026-02-25T14:26:31Z</t>
  </si>
  <si>
    <t>2026-02-25T14:07:56.8652442Z</t>
  </si>
  <si>
    <t>8c88ab4f69ce4707bd9a22d4a748caaa</t>
  </si>
  <si>
    <t>2026-02-25T12:50:00Z</t>
  </si>
  <si>
    <t>**NEW OFP DUE CHG OF TOW ABOVE 800 KG**
FUEL    :    FROM PREVIOUS FLT
RTOW   :   22608kg. SPS DATA - RWY15 WET,23007KT,19C,Q1018,PACKS OFF.
DISP     :EREZ Y</t>
  </si>
  <si>
    <t>2026-02-25T12:55:49Z</t>
  </si>
  <si>
    <t>2026-02-25T13:49:49Z</t>
  </si>
  <si>
    <t>2026-02-25T13:47:06.0039947Z</t>
  </si>
  <si>
    <t>4ebb2c2801674e7ea06bd00effb9334a</t>
  </si>
  <si>
    <t>2026-02-25T12:45:00Z</t>
  </si>
  <si>
    <t>FUEL    :    EXTRA FUEL DUE TO COMPANY POLICY.
RTOW   :   22608kg. SPS DATA - RWY15 WET,23007KT,19C,Q1018,PACKS OFF.
DISP     :   UDI A,TRAINEE. SUPERVISED BY NIMROD R.</t>
  </si>
  <si>
    <t>2026-02-25T12:52:05Z</t>
  </si>
  <si>
    <t>2026-02-25T15:54:53Z</t>
  </si>
  <si>
    <t>2026-02-25T15:35:55.6996178Z</t>
  </si>
  <si>
    <t>88f8c08134b2412d8a96b5bb220497ed</t>
  </si>
  <si>
    <t>2026-02-25T12:25:00Z</t>
  </si>
  <si>
    <t>FUEL    :    EXTRA FUEL- TO COVER NEXT LEG-PFO.
DISP     :   UDI A,TRAINEE. SUPERVISED BY NIMROD R.</t>
  </si>
  <si>
    <t>OMENO3S OMENO Y505 NIKTI N127 LMO L618 MES N139 LURUS L995 ULFIT M978 TOSKA M67 MAROS L609 APLON P68 GALIM/N0276A050 VFR</t>
  </si>
  <si>
    <t>2026-02-25T12:27:00Z</t>
  </si>
  <si>
    <t>2026-02-25T15:15:32Z</t>
  </si>
  <si>
    <t>2026-02-25T15:14:41.3808898Z</t>
  </si>
  <si>
    <t>cf30f643cb1e4d1aa6242324d7a9d4df</t>
  </si>
  <si>
    <t>2026-02-25T11:50:00Z</t>
  </si>
  <si>
    <t>2026-02-25T11:49:22Z</t>
  </si>
  <si>
    <t>2026-02-25T12:40:52Z</t>
  </si>
  <si>
    <t>2026-02-25T12:39:12.6673387Z</t>
  </si>
  <si>
    <t>312414f6d5394feaa7b6edcf976e3379</t>
  </si>
  <si>
    <t>2026-02-25T11:10:00Z</t>
  </si>
  <si>
    <t>FUEL    :    EXTRA FUEL- TO COVER NEXT LEG-ETM.
DISP     :   UDI A,TRAINEE. SUPERVISED BY NIMROD R.</t>
  </si>
  <si>
    <t>2026-02-25T11:11:52Z</t>
  </si>
  <si>
    <t>2026-02-25T11:52:46Z</t>
  </si>
  <si>
    <t>2026-02-25T11:49:38.1281064Z</t>
  </si>
  <si>
    <t>00e32064dceb48458f3179bdbaf0a7e7</t>
  </si>
  <si>
    <t>2026-02-25T10:00:00Z</t>
  </si>
  <si>
    <t>FUEL    :    EXTRA FUEL- A/C REFULED PREVIOUS LEG.
ETM     :    A/D CLSD TILL 11:00.
TLV       :   RWY 08/26 CLSD,TILL 11:00.
RTOW   :   22499kg. SPS DATA - RWY15 WET,NO WIND,19C,Q1018,PACKS OFF.
DISP     :   UDI A,TRAINEE. SUPERVISED BY NIMROD R.</t>
  </si>
  <si>
    <t>2026-02-25T10:03:47Z</t>
  </si>
  <si>
    <t>2026-02-25T11:05:21Z</t>
  </si>
  <si>
    <t>2026-02-25T10:56:37.0347471Z</t>
  </si>
  <si>
    <t>19d7e535ade84b4ab0c2216a40d172b0</t>
  </si>
  <si>
    <t>2026-02-25T09:30:00Z</t>
  </si>
  <si>
    <t>DCT GALIM/N0275A140 IFR P68 MERVA N131 EMEDA EMEDA1A</t>
  </si>
  <si>
    <t>2026-02-25T09:15:24Z</t>
  </si>
  <si>
    <t>2026-02-25T10:05:23Z</t>
  </si>
  <si>
    <t>2026-02-25T10:16:45.0364088Z</t>
  </si>
  <si>
    <t>87e1a69549cf404cb12fb64cf4d388ec</t>
  </si>
  <si>
    <t>2026-02-25T09:10:00Z</t>
  </si>
  <si>
    <t>FUEL    :    EXTRA FUEL- TO COVER NEXT LEG-ATH.
DISP     :   UDI A,TRAINEE. SUPERVISED BY NIMROD R.</t>
  </si>
  <si>
    <t>KEA1N KEA L995 RDS L609 APLON P68 GALIM/N0276A050 VFR</t>
  </si>
  <si>
    <t>2026-02-25T09:43:08Z</t>
  </si>
  <si>
    <t>2026-02-25T11:57:28Z</t>
  </si>
  <si>
    <t>2026-02-25T11:18:07.1113785Z</t>
  </si>
  <si>
    <t>1451f3a91e6f4302b979525682384b18</t>
  </si>
  <si>
    <t>2026-02-25T07:40:00Z</t>
  </si>
  <si>
    <t>FUEL    :    EXTRA FUEL- TO COVER NEXT LEG-LCA.
TLV       :    RWY08/26 CLSD,TILL 11:00.
DISP     :   UDI A,TRAINEE. SUPERVISED BY NIMROD R.</t>
  </si>
  <si>
    <t>2026-02-25T07:44:50Z</t>
  </si>
  <si>
    <t>2026-02-25T08:26:52Z</t>
  </si>
  <si>
    <t>2026-02-25T08:19:34.8006349Z</t>
  </si>
  <si>
    <t>b90ac686da3f482781e4993a34f0e8af</t>
  </si>
  <si>
    <t>FUEL    :    EXTRA FUEL- AS PER COMPANY POLICY.
RTOW   :   22499kg. SPS DATA - RWY15 WET,NO WIND,19C,Q1018,OACKS OFF.
DISP     :   UDI A,TRAINEE. SUPERVISED BY NIMROD R.</t>
  </si>
  <si>
    <t>N0235A050 GALIM/N0234A050 IFR P68 MERVA/N0267A140 P68 APLON L609 MAROS M67 TOSKA M978 VAXOS N128 OKESA DCT RIKSO N128 PEREN L863 EVIVI Y94 VANET VANET5H</t>
  </si>
  <si>
    <t>2026-02-25T07:40:54Z</t>
  </si>
  <si>
    <t>2026-02-25T11:29:26Z</t>
  </si>
  <si>
    <t>2026-02-25T11:28:11.9281169Z</t>
  </si>
  <si>
    <t>0faa04fc3a894c9dbb8b221b81e98d95</t>
  </si>
  <si>
    <t>2026-02-25T06:00:00Z</t>
  </si>
  <si>
    <t>FUEL    :    EXTRA FUEL- A/C REFULED PREVIOUS LEG.
RTOW   :   22499kg. SPS DATA - RWY15 WET,NO WIND,19C,Q1018,OACKS OFF.
DISP     :   UDI A,TRAINEE. SUPERVISED BY NIMROD R.</t>
  </si>
  <si>
    <t>2026-02-25T05:58:22Z</t>
  </si>
  <si>
    <t>2026-02-25T06:42:18Z</t>
  </si>
  <si>
    <t>2026-02-25T06:45:58.1538754Z</t>
  </si>
  <si>
    <t>65fd5f9da10f4605a5620cb1805eaa65</t>
  </si>
  <si>
    <t>2026-02-25T05:45:00Z</t>
  </si>
  <si>
    <t>FUEL    :    EXTRA FUEL DUE TO COMPANY POLICY.
RTOW   :   22499kg. SPS DATA - RWY15 WET,NO WIND,19C,Q1018,OACKS OFF.
DISP     :   UDI A,TRAINEE. SUPERVISED BY NIMROD R.</t>
  </si>
  <si>
    <t>2026-02-25T06:04:14Z</t>
  </si>
  <si>
    <t>2026-02-25T09:02:03Z</t>
  </si>
  <si>
    <t>2026-02-25T08:39:08.1039153Z</t>
  </si>
  <si>
    <t>bfe9b3e070104a95a16f48ca783d684e</t>
  </si>
  <si>
    <t>2026-02-24T17:55:00Z</t>
  </si>
  <si>
    <t>2026-02-24T18:14:07Z</t>
  </si>
  <si>
    <t>2026-02-24T18:53:59Z</t>
  </si>
  <si>
    <t>2026-02-24T18:33:54.5653197Z</t>
  </si>
  <si>
    <t>95f43fb1ca8d4b17839777e065ce9479</t>
  </si>
  <si>
    <t>2026-02-24T16:30:00Z</t>
  </si>
  <si>
    <t>EXTRA FUEL IS PER COMPANY POLICY
T/O DATA : RWY 33. DRY. 17C 270/06K. 1015Q   AC-OFF.    RTOW-22411KG
DIS. BY AYELET W.</t>
  </si>
  <si>
    <t>2026-02-24T16:34:59Z</t>
  </si>
  <si>
    <t>2026-02-24T17:19:46Z</t>
  </si>
  <si>
    <t>2026-02-24T17:17:58.2197874Z</t>
  </si>
  <si>
    <t>52c576d8d2bb40ac9d73c00746d01ca1</t>
  </si>
  <si>
    <t>2026-02-24T15:25:00Z</t>
  </si>
  <si>
    <t>KEA1E KEA L995 RDS L609 ALKIS/F190 L609 APLON P68 GALIM/N0278A050 VFR</t>
  </si>
  <si>
    <t>2026-02-24T15:36:19Z</t>
  </si>
  <si>
    <t>2026-02-24T17:54:41Z</t>
  </si>
  <si>
    <t>2026-02-24T17:40:53.1552372Z</t>
  </si>
  <si>
    <t>fb63019d471744b0b2e8312ee47d524d</t>
  </si>
  <si>
    <t>2026-02-24T14:40:00Z</t>
  </si>
  <si>
    <t>EXTRA FUEL IS FOR THE NEXT LEG
DIS. AYELET W.</t>
  </si>
  <si>
    <t>2026-02-24T14:42:01Z</t>
  </si>
  <si>
    <t>2026-02-24T15:34:11Z</t>
  </si>
  <si>
    <t>2026-02-24T15:32:04.3869044Z</t>
  </si>
  <si>
    <t>0944ecefa15c45d98ace70e572ac9d84</t>
  </si>
  <si>
    <t>2026-02-24T12:50:00Z</t>
  </si>
  <si>
    <t>1. THIS FLIGT WAS PREPARED BY NIMROD R.
2. LLHA-RWY 33 RTOW 22313KG. SPS DATA: 270/05KTS, DRY, 19C DEG, QNH 1017, Air Cond. OFF.
3. EXTRA FUEL PLANNED AS PER COMPANY POLICY.</t>
  </si>
  <si>
    <t>GALIM/N0235A050 IFR Q28 ATLIT J15 NAT/N0274A090 J10 SIVAK/N0276A130 J10 NURIT NURIT1D</t>
  </si>
  <si>
    <t>2026-02-24T13:05:17Z</t>
  </si>
  <si>
    <t>2026-02-24T13:54:07Z</t>
  </si>
  <si>
    <t>2026-02-24T13:44:50.4976435Z</t>
  </si>
  <si>
    <t>4615db9ee44444508a8074e3857ffba8</t>
  </si>
  <si>
    <t>2026-02-24T11:49:00Z</t>
  </si>
  <si>
    <t>1. THIS FLIGT WAS PREPARED BY NIMROD R.
2. LLHA-RWY 33 RTOW 22313KG. SPS DATA: 260/05KTS, DRY, 18C DEG, QNH 1017, Air Cond. OFF.
3. EXTRA FUEL PLANNED AS PER COMPANY POLICY.</t>
  </si>
  <si>
    <t>2026-02-24T11:57:12Z</t>
  </si>
  <si>
    <t>2026-02-24T14:46:11Z</t>
  </si>
  <si>
    <t>2026-02-24T14:36:26.7731204Z</t>
  </si>
  <si>
    <t>772563854c2d4cca8fc9083ece58d11c</t>
  </si>
  <si>
    <t>2026-02-24T11:10:00Z</t>
  </si>
  <si>
    <t>2026-02-24T11:32:43Z</t>
  </si>
  <si>
    <t>2026-02-24T12:16:02Z</t>
  </si>
  <si>
    <t>2026-02-24T11:48:37.2671282Z</t>
  </si>
  <si>
    <t>f5dd0b3cd39f487a949dfafc5b89afe7</t>
  </si>
  <si>
    <t>2026-02-24T09:35:00Z</t>
  </si>
  <si>
    <t>1. THIS FLIGT WAS PREPARED BY NIMROD R.
2. LLHA-RWY 33 RTOW 22382KG. SPS DATA: 260/03KTS, DRY, 16C DEG, QNH 1017, Air Cond. OFF.
3. A/C IS FUELED WITH 1560 KG FROM PREVIOUS LEG.</t>
  </si>
  <si>
    <t>2026-02-24T09:48:25Z</t>
  </si>
  <si>
    <t>2026-02-24T10:36:39Z</t>
  </si>
  <si>
    <t>2026-02-24T10:22:29.2852861Z</t>
  </si>
  <si>
    <t>26c798644b1343a3bea603a6beb5a911</t>
  </si>
  <si>
    <t>2026-02-24T07:50:00Z</t>
  </si>
  <si>
    <t>NURIT2H NURIT J10 TOMAL/N0260F080 J10 NAT/N0222F040 J15 ATLIT/N0223F040 VFR HOTRM DAROM GALIM</t>
  </si>
  <si>
    <t>2026-02-24T07:49:47Z</t>
  </si>
  <si>
    <t>2026-02-24T08:44:03Z</t>
  </si>
  <si>
    <t>2026-02-24T08:40:55.7395191Z</t>
  </si>
  <si>
    <t>a14f96561a894d8aa4f41ba9c0fbe42c</t>
  </si>
  <si>
    <t>2026-02-24T06:00:00Z</t>
  </si>
  <si>
    <t>1. THIS FLIGT WAS PREPARED BY NIMROD R.
2. LLHA-RWY 15 RTOW 22861KG. SPS DATA: 140/03KTS, DRY, 14C DEG, QNH 1015, Air Cond. OFF.
3. EXTRA FUEL PLANNED AS PER COMPANY POLICY.</t>
  </si>
  <si>
    <t>2026-02-24T06:06:54Z</t>
  </si>
  <si>
    <t>2026-02-24T06:59:06Z</t>
  </si>
  <si>
    <t>2026-02-24T06:55:21.5761656Z</t>
  </si>
  <si>
    <t>be71b6d23dcb4fcab314d79c5389e9f0</t>
  </si>
  <si>
    <t>2026-02-23T18:00:00Z</t>
  </si>
  <si>
    <t>N0278F130 EMEDA2B EMEDA B17 MERVA P68 GALIM/N0278A050 VFR</t>
  </si>
  <si>
    <t>2026-02-23T18:17:37Z</t>
  </si>
  <si>
    <t>2026-02-23T19:00:01Z</t>
  </si>
  <si>
    <t>2026-02-23T18:40:40.7125658Z</t>
  </si>
  <si>
    <t>86a28e07fdd04e11950569cd50f7af75</t>
  </si>
  <si>
    <t>2026-02-23T16:30:00Z</t>
  </si>
  <si>
    <t>1. THIS FLIGT WAS PREPARED BY NIMROD R.
2. LLHA-RWY 15 RTOW 22730KG. SPS DATA: 220/04KTS, DRY, 15C DEG, QNH 1013, Air Cond. OFF.
3. EXTRA FUEL PLANNED DUE TO POSSIBLE WX AT LLHA AND VICINITY.</t>
  </si>
  <si>
    <t>N0236A050 GALIM/N0235A050 IFR P68 MERVA/N0281A140 N131 EMEDA EMEDA1A</t>
  </si>
  <si>
    <t>2026-02-23T16:31:16Z</t>
  </si>
  <si>
    <t>2026-02-23T17:17:51Z</t>
  </si>
  <si>
    <t>2026-02-23T17:16:01.5304169Z</t>
  </si>
  <si>
    <t>f187a66983a54ac3805b216c98bd035c</t>
  </si>
  <si>
    <t>2026-02-23T15:25:00Z</t>
  </si>
  <si>
    <t>N0273F190 KEA1E KEA L995 RDS L609 APLON P68 GALIM/N0278A050 VFR</t>
  </si>
  <si>
    <t>2026-02-23T15:38:48Z</t>
  </si>
  <si>
    <t>2026-02-23T18:05:05Z</t>
  </si>
  <si>
    <t>2026-02-23T17:50:55.2574947Z</t>
  </si>
  <si>
    <t>625e6c3e2c2b42f79de5cdbec6439efc</t>
  </si>
  <si>
    <t>2026-02-23T14:40:00Z</t>
  </si>
  <si>
    <t>1. THIS FLIGT WAS PREPARED BY NIMROD R.
2. EXTRA FUEL TO COVER THE NEXT LEG WITH 200 KG EXTRA.</t>
  </si>
  <si>
    <t>2026-02-23T14:46:02Z</t>
  </si>
  <si>
    <t>2026-02-23T15:42:22Z</t>
  </si>
  <si>
    <t>2026-02-23T15:28:10.2159921Z</t>
  </si>
  <si>
    <t>58d379e89a1d44b1be4169c7d788b75f</t>
  </si>
  <si>
    <t>2026-02-23T12:50:00Z</t>
  </si>
  <si>
    <t>EXTRA FUEL IS PER POLICY.
T/O DATA-RWY 15-WET,TEMP 16C,WIND 0,Q1013,PACK OFF,....RTOW 22579 KG.
DISP-EREZ Y.</t>
  </si>
  <si>
    <t>2026-02-23T13:03:03Z</t>
  </si>
  <si>
    <t>2026-02-23T14:01:49Z</t>
  </si>
  <si>
    <t>2026-02-23T13:50:55.4487829Z</t>
  </si>
  <si>
    <t>7c418efad4ce4679b562f36c087f4fae</t>
  </si>
  <si>
    <t>2026-02-23T12:00:00Z</t>
  </si>
  <si>
    <t>EXTRA FUEL IS FOR THE NEXT FLT(CAN BE USED FOR POSS HOLD DUE WX AT DEST-TSRA AND CROSS WIND).
DISP-EREZ Y.</t>
  </si>
  <si>
    <t>OMENO3S OMENO Y505 NIKTI N127 LMO L618 MES N139 LURUS L995 ULFIT M978 TOSKA M67 MAROS L609 APLON P68 GALIM/N0275A050 VFR</t>
  </si>
  <si>
    <t>2026-02-23T12:06:31Z</t>
  </si>
  <si>
    <t>2026-02-23T15:26:23Z</t>
  </si>
  <si>
    <t>2026-02-23T15:10:22.596231Z</t>
  </si>
  <si>
    <t>d66514354d17457aab43ffb2174b6079</t>
  </si>
  <si>
    <t>2026-02-23T11:45:00Z</t>
  </si>
  <si>
    <t>EXTRA FUEL CONSIST OF 100KG PER POLICY+100 DUE LLHA FIR WX.
T/O DATA-RWY 15-WET,TEMP 16C,WIND 0,Q1013,PACK OFF,....RTOW 22579 KG.
DISP-EREZ Y.</t>
  </si>
  <si>
    <t>2026-02-23T12:06:30Z</t>
  </si>
  <si>
    <t>2026-02-23T14:43:41Z</t>
  </si>
  <si>
    <t>2026-02-23T14:19:09.4110092Z</t>
  </si>
  <si>
    <t>a83eaa875d254de0914070cedea96aba</t>
  </si>
  <si>
    <t>2026-02-23T11:10:00Z</t>
  </si>
  <si>
    <t>EXTRA FUEL IS FOR THE NEXT FLT+100KG FOR POSS HOLD DUE WX AT LLHA(CROSS WIND AND TSRA).
DISP-EREZ Y.</t>
  </si>
  <si>
    <t>2026-02-23T11:18:44Z</t>
  </si>
  <si>
    <t>2026-02-23T12:00:40Z</t>
  </si>
  <si>
    <t>2026-02-23T11:50:56.8783797Z</t>
  </si>
  <si>
    <t>84dfc443dd98431c9d8e57c44e0b4969</t>
  </si>
  <si>
    <t>2026-02-23T09:50:00Z</t>
  </si>
  <si>
    <t>EXTRA FUEL IS FOR THE NEXT FLT-ATH AND,IF NEEDED, FOR POSS HOLD DUE DEST WX(TSRA,CROSS WIND,CB'S).
DISP-EREZ Y.</t>
  </si>
  <si>
    <t>N0262F120 NURIT2H NURIT J10 TOMAL/N0260F080 J10 NAT/N0222F040 J15 ATLIT/N0223F040 VFR HOTRM DCT DAROM DCT GALIM</t>
  </si>
  <si>
    <t>2026-02-23T09:45:53Z</t>
  </si>
  <si>
    <t>2026-02-23T10:35:52Z</t>
  </si>
  <si>
    <t>2026-02-23T10:37:19.2604052Z</t>
  </si>
  <si>
    <t>826d0ad6083b4fed97b5cbca7f049fbe</t>
  </si>
  <si>
    <t>2026-02-23T09:30:00Z</t>
  </si>
  <si>
    <t>EXTRA FUEL IS PER POLICY.
T/O DATA-RWY 33,TEMP 16C,WIND 0,Q1013,PACKS OFF,....RTOW 22279 KG.
DISP-EREZ Y.</t>
  </si>
  <si>
    <t>2026-02-23T09:17:43Z</t>
  </si>
  <si>
    <t>2026-02-23T09:58:22Z</t>
  </si>
  <si>
    <t>2026-02-23T10:14:15.5776249Z</t>
  </si>
  <si>
    <t>0bdf05a1b92d4433977be43a0bab9ed0</t>
  </si>
  <si>
    <t>2026-02-23T09:25:00Z</t>
  </si>
  <si>
    <t>KEA1E KEA L995 RDS L609 ALKIS/F190 L609 APLON P68 MERVA P68 GALIM/F050 VFR</t>
  </si>
  <si>
    <t>2026-02-23T09:35:47Z</t>
  </si>
  <si>
    <t>2026-02-23T12:08:32Z</t>
  </si>
  <si>
    <t>2026-02-23T11:49:42.8981269Z</t>
  </si>
  <si>
    <t>2e9f442a90834410aaaac7d82e79129f</t>
  </si>
  <si>
    <t>2026-02-23T08:00:00Z</t>
  </si>
  <si>
    <t>EXTRA FUEL IS FROM PREVIOUS FLT.
T/O DATA -RWY 15,TEMP 15C,WIND 0,Q1013,PACKS OFF....RTOW 22629 KG.
DISP-EREZ Y.</t>
  </si>
  <si>
    <t>2026-02-23T09:00:53Z</t>
  </si>
  <si>
    <t>2026-02-23T09:01:18.5325383Z</t>
  </si>
  <si>
    <t>09b08704838c4bccb74461b1d1951c3f</t>
  </si>
  <si>
    <t>2026-02-23T07:40:00Z</t>
  </si>
  <si>
    <t>2026-02-23T07:56:26Z</t>
  </si>
  <si>
    <t>2026-02-23T08:37:25Z</t>
  </si>
  <si>
    <t>2026-02-23T08:20:32.7188869Z</t>
  </si>
  <si>
    <t>00c006c35b604f4987d6875c605e2c38</t>
  </si>
  <si>
    <t>2026-02-23T07:15:00Z</t>
  </si>
  <si>
    <t>EXTRA FUEL IS PER POLICY.
T/O DATA -RWY 15,TEMP 15C,WIND 0,Q1013,PACKS OFF....RTOW 22629 KG.
DISP-EREZ Y.</t>
  </si>
  <si>
    <t>GALIM/N0234A050 IFR P68 MERVA/N0266A160 P68 APLON L609 MAROS M67 TOSKA M978 VAXOS N128 OKESA RIKSO N128 PEREN L863 EVIVI Y94 VANET VANET5H</t>
  </si>
  <si>
    <t>2026-02-23T07:21:37Z</t>
  </si>
  <si>
    <t>2026-02-23T11:54:06Z</t>
  </si>
  <si>
    <t>2026-02-23T10:47:58.0449384Z</t>
  </si>
  <si>
    <t>6a9276f9eea945478c8fd2eecb0d1ab8</t>
  </si>
  <si>
    <t>2026-02-23T06:00:00Z</t>
  </si>
  <si>
    <t>2026-02-23T06:06:22Z</t>
  </si>
  <si>
    <t>2026-02-23T06:49:18Z</t>
  </si>
  <si>
    <t>2026-02-23T06:44:05.6937215Z</t>
  </si>
  <si>
    <t>7b92d61136a140629786dfdebef216e1</t>
  </si>
  <si>
    <t>2026-02-23T05:45:00Z</t>
  </si>
  <si>
    <t>2026-02-23T06:00:18Z</t>
  </si>
  <si>
    <t>2026-02-23T08:41:00Z</t>
  </si>
  <si>
    <t>2026-02-23T08:17:35.8855489Z</t>
  </si>
  <si>
    <t>405a8320e27d4546ab29d3e986c6864f</t>
  </si>
  <si>
    <t>2026-02-21T18:20:00Z</t>
  </si>
  <si>
    <t>2026-02-21T18:24:26Z</t>
  </si>
  <si>
    <t>2026-02-21T19:15:53Z</t>
  </si>
  <si>
    <t>2026-02-21T19:08:32.6131929Z</t>
  </si>
  <si>
    <t>141d0fb3fa9c429c8dbad962152ef7ac</t>
  </si>
  <si>
    <t>2026-02-21T17:00:00Z</t>
  </si>
  <si>
    <t>2026-02-21T17:41:42Z</t>
  </si>
  <si>
    <t>2026-02-21T18:25:24Z</t>
  </si>
  <si>
    <t>2026-02-21T17:43:48.2798145Z</t>
  </si>
  <si>
    <t>89bb2c91265a4a239214ccbc1b2af2c1</t>
  </si>
  <si>
    <t>2026-02-21T16:30:00Z</t>
  </si>
  <si>
    <t>EXTRA FUEL IS PER COMPANY POLICY
T/O DATA: RWY 15. DRY. 19C 1015Q AC-OFF.   RTOW-22458KG
DIS. BY AYELET W.</t>
  </si>
  <si>
    <t>2026-02-21T16:37:15Z</t>
  </si>
  <si>
    <t>2026-02-21T17:38:00Z</t>
  </si>
  <si>
    <t>2026-02-21T17:31:09.3571652Z</t>
  </si>
  <si>
    <t>4eb5484adcda40d9b9fbc360bf04d317</t>
  </si>
  <si>
    <t>2026-02-21T15:20:00Z</t>
  </si>
  <si>
    <t>EXTRA FUEL IS FROM THE PREV. FLIGHT
T/O DATA: RWY 15. DRY. 20C. 1014Q  220/05K    AC-OFF      RTOW:22522KG
DIS. BY AYELET W.</t>
  </si>
  <si>
    <t>N0234A050 GALIM/N0234A050 IFR P68 MERVA/N0270A140 N131 EMEDA EMEDA1A</t>
  </si>
  <si>
    <t>2026-02-21T15:37:41Z</t>
  </si>
  <si>
    <t>2026-02-21T16:16:57Z</t>
  </si>
  <si>
    <t>2026-02-21T16:04:34.2838307Z</t>
  </si>
  <si>
    <t>980c5009304b4a4ea2165f5efad2acd4</t>
  </si>
  <si>
    <t>2026-02-21T15:00:00Z</t>
  </si>
  <si>
    <t>EXTRA FUEL IS FOR THE NEXT LEG.
DIS. BY AYELET W.</t>
  </si>
  <si>
    <t>N0274F190 KEA1N KEA L995 RDS L609 APLON P68 GALIM/N0275A050 VFR</t>
  </si>
  <si>
    <t>2026-02-21T15:23:09Z</t>
  </si>
  <si>
    <t>2026-02-21T17:52:14Z</t>
  </si>
  <si>
    <t>2026-02-21T17:22:18.3768861Z</t>
  </si>
  <si>
    <t>3546dca87a0e4c13ba69f2a281be29c1</t>
  </si>
  <si>
    <t>2026-02-21T14:55:00Z</t>
  </si>
  <si>
    <t>EXTRA FUEL IS FOR THE NEXT FLIGHT (LLER)
DIS. BY AYELET W.</t>
  </si>
  <si>
    <t>N0273F130 ESERI1D ESERI M42 VELOX B17 MERVA P68 GALIM/N0273A050 VFR</t>
  </si>
  <si>
    <t>2026-02-21T15:05:25Z</t>
  </si>
  <si>
    <t>2026-02-21T15:55:21Z</t>
  </si>
  <si>
    <t>2026-02-21T15:46:35.9401326Z</t>
  </si>
  <si>
    <t>0259e02770c94af89d8baf81eb169787</t>
  </si>
  <si>
    <t>2026-02-21T13:45:00Z</t>
  </si>
  <si>
    <t>N0275F130 EMEDA2B EMEDA B17 MERVA P68 GALIM/N0274A050 VFR</t>
  </si>
  <si>
    <t>2026-02-21T13:58:29Z</t>
  </si>
  <si>
    <t>2026-02-21T14:43:36Z</t>
  </si>
  <si>
    <t>2026-02-21T14:28:52.1800471Z</t>
  </si>
  <si>
    <t>74c8f591d492415cbab5f8442c60f9e5</t>
  </si>
  <si>
    <t>2026-02-21T13:05:00Z</t>
  </si>
  <si>
    <t>AC IS FUELED WITH 1750KG FROM PREV. FLIGHT.
T/O DATA: RWY 15. DEY. 24C 1015Q AC-OFF.   RTOW-22243KG
DIS. BY AYELET W.</t>
  </si>
  <si>
    <t>N0235A050 GALIM/N0234A050 IFR P68 MERVA/N0272A140 N131 VELOX M42 ESERI</t>
  </si>
  <si>
    <t>2026-02-21T13:07:25Z</t>
  </si>
  <si>
    <t>2026-02-21T14:03:07Z</t>
  </si>
  <si>
    <t>2026-02-21T13:55:08.5653987Z</t>
  </si>
  <si>
    <t>5f98f70e4c4c4793b80e2c96e1bf9a3c</t>
  </si>
  <si>
    <t>2026-02-21T12:05:00Z</t>
  </si>
  <si>
    <t>AC IS FUELED WITH 1560KG. FROM PREV FLIGHT.
T/O DATA: RWY 15. 23C 1016Q. 240/06K  AC-OFF    RTOW- 22306KG
DIS. BY AYELET W.</t>
  </si>
  <si>
    <t>2026-02-21T12:12:06Z</t>
  </si>
  <si>
    <t>2026-02-21T12:53:32Z</t>
  </si>
  <si>
    <t>2026-02-21T12:49:09.1288644Z</t>
  </si>
  <si>
    <t>634984e8d3114ba0a6473457804f9d93</t>
  </si>
  <si>
    <t>2026-02-21T11:20:00Z</t>
  </si>
  <si>
    <t>EXTRA FUEL IS PER COMPANY POLICY+ENRTE WX
T/O DATA: RWY 15. 23C 1016Q. 240/06K  AC-OFF    RTOW- 22306KG
DIS. BY AYELET W</t>
  </si>
  <si>
    <t>N0234A050 GALIM/N0233A050 IFR P68 MERVA/N0269A160 P68 APLON L609 RDS L995 USINI L995 VARIX VARIX1W</t>
  </si>
  <si>
    <t>2026-02-21T11:25:57Z</t>
  </si>
  <si>
    <t>2026-02-21T14:18:22Z</t>
  </si>
  <si>
    <t>2026-02-21T13:52:54.8534415Z</t>
  </si>
  <si>
    <t>da0b010c7932425f9bd5d068ac6abdaa</t>
  </si>
  <si>
    <t>2026-02-19T18:06:00Z</t>
  </si>
  <si>
    <t>2026-02-19T18:17:25Z</t>
  </si>
  <si>
    <t>2026-02-19T18:55:19Z</t>
  </si>
  <si>
    <t>2026-02-19T18:47:13.3192312Z</t>
  </si>
  <si>
    <t>9ec1172300d94414bd2302697fbc437e</t>
  </si>
  <si>
    <t>2026-02-19T16:30:00Z</t>
  </si>
  <si>
    <t>1. THIS FLIGHT WAS PREPARED BY NIMROD R.
2. LLHA-RWY 33 RTOW 22276KG. SPS DATA: WIND 0, DRY, 18C DEG, QNH 1020, Air Cond. OFF.
3. A/C IS FUELED WITH 1750 KG FROM PREVIOUS LEG.
4. NEW OFP REV. 01 ISSUED DUE TO A/C CHG.</t>
  </si>
  <si>
    <t>2026-02-19T16:41:50Z</t>
  </si>
  <si>
    <t>2026-02-19T17:24:24Z</t>
  </si>
  <si>
    <t>2026-02-19T17:15:57.9254831Z</t>
  </si>
  <si>
    <t>90a5edcd18a54123907cc5c18d64528a</t>
  </si>
  <si>
    <t>2026-02-19T15:25:00Z</t>
  </si>
  <si>
    <t>KEA1N KEA L995 RDS L609 APLON P68 GALIM/N0275A050 VFR</t>
  </si>
  <si>
    <t>2026-02-19T15:29:13Z</t>
  </si>
  <si>
    <t>2026-02-19T17:52:40Z</t>
  </si>
  <si>
    <t>2026-02-19T17:45:46.9751384Z</t>
  </si>
  <si>
    <t>3c60f2bf5cd5439393481f271a5cfec3</t>
  </si>
  <si>
    <t>2026-02-19T15:00:00Z</t>
  </si>
  <si>
    <t>2026-02-19T15:06:36Z</t>
  </si>
  <si>
    <t>2026-02-19T16:02:10Z</t>
  </si>
  <si>
    <t>2026-02-19T15:51:19.1340496Z</t>
  </si>
  <si>
    <t>2f6bd6dc67b04a498ea1a415455dcdac</t>
  </si>
  <si>
    <t>2026-02-19T14:40:00Z</t>
  </si>
  <si>
    <t>2026-02-19T14:43:16Z</t>
  </si>
  <si>
    <t>2026-02-19T15:23:31Z</t>
  </si>
  <si>
    <t>2026-02-19T15:19:12.7849639Z</t>
  </si>
  <si>
    <t>5d7cc80bc3094d4593edc49df3be7e5f</t>
  </si>
  <si>
    <t>2026-02-19T13:00:00Z</t>
  </si>
  <si>
    <t>EXTRA FUEL IS PER COMPANY POLICY
T/O DATA: RWY 33. DRY. 310/05K  19C 1020Q AC-OFF       RTOW -22491KG
DIS BY AYELET W.</t>
  </si>
  <si>
    <t>GALIM/N0235A050 IFR P68 MERVA/N0278A140 N131 EMEDA EMEDA1A</t>
  </si>
  <si>
    <t>2026-02-19T13:15:37Z</t>
  </si>
  <si>
    <t>2026-02-19T13:58:07Z</t>
  </si>
  <si>
    <t>2026-02-19T13:47:10.6575609Z</t>
  </si>
  <si>
    <t>07cfed21af8a4b5b93490c583d52cf3f</t>
  </si>
  <si>
    <t>2026-02-19T12:50:00Z</t>
  </si>
  <si>
    <t>GALIM/N0235A050 IFR Q28 ATLIT J15 NAT/N0269A090 J10 SIVAK/N0271A130 J10 NURIT NURIT1D</t>
  </si>
  <si>
    <t>2026-02-19T12:56:42Z</t>
  </si>
  <si>
    <t>2026-02-19T13:54:54Z</t>
  </si>
  <si>
    <t>2026-02-19T13:47:42.7609262Z</t>
  </si>
  <si>
    <t>b07c8589b5ca4ad9a18f33986e3ae2d5</t>
  </si>
  <si>
    <t>2026-02-19T12:35:00Z</t>
  </si>
  <si>
    <t>EXTRA FUEL TO COVER THE LEG 
DIS. BY AYELET W.</t>
  </si>
  <si>
    <t>2026-02-19T13:30:24Z</t>
  </si>
  <si>
    <t>2026-02-19T14:25:54Z</t>
  </si>
  <si>
    <t>2026-02-19T13:26:34.2700341Z</t>
  </si>
  <si>
    <t>baa3cc79b9c24ca187a63b3604c2db7c</t>
  </si>
  <si>
    <t>2026-02-19T11:45:00Z</t>
  </si>
  <si>
    <t>EXTRA FUEL IS PER COMPANY POLICY
T/O DATA: RWY 33. DRY. 290/05K  19C 1021Q  AC-OFF     RTOW-22455KG
DIS. BY AYELET W.</t>
  </si>
  <si>
    <t>N0267A050 GALIM/N0267A140 IFR P68 APLON L609 RDS L995 VARIX VARIX1W</t>
  </si>
  <si>
    <t>2026-02-19T11:53:44Z</t>
  </si>
  <si>
    <t>2026-02-19T14:36:24Z</t>
  </si>
  <si>
    <t>2026-02-19T14:23:27.7705422Z</t>
  </si>
  <si>
    <t>392aca158c8e4c1fbe1ec91cb7d80c8e</t>
  </si>
  <si>
    <t>2026-02-19T11:10:00Z</t>
  </si>
  <si>
    <t>EXTRA FUEL TO COVER THE NEXT LEG. 
DIS. BY AYELET W.</t>
  </si>
  <si>
    <t>EMEDA2B EMEDA B17 MERVA P68 GALIM/N0277A050 VFR</t>
  </si>
  <si>
    <t>2026-02-19T11:05:18Z</t>
  </si>
  <si>
    <t>2026-02-19T11:46:14Z</t>
  </si>
  <si>
    <t>2026-02-19T11:49:01.0730154Z</t>
  </si>
  <si>
    <t>b1883a65a5b94a77834989bd4511a313</t>
  </si>
  <si>
    <t>2026-02-19T10:45:00Z</t>
  </si>
  <si>
    <t>EXTRA FUEL IS PER COMPNAY POLICY
T/O DATA : RWY 33. DRY. 19C 1021Q AC-OFF  RTOW- 22455KG.
DIS. BY AYELET W.</t>
  </si>
  <si>
    <t>GALIM/N0234A050 IFR Q28 ATLIT J15 NAT/N0270A090 J10 SIVAK/N0271A130 J10 NURIT NURIT1D</t>
  </si>
  <si>
    <t>2026-02-19T11:20:16Z</t>
  </si>
  <si>
    <t>2026-02-19T12:15:42Z</t>
  </si>
  <si>
    <t>2026-02-19T11:42:34.4323339Z</t>
  </si>
  <si>
    <t>cc8969bca8604a9a88d70d462a76ae9d</t>
  </si>
  <si>
    <t>2026-02-19T09:55:00Z</t>
  </si>
  <si>
    <t>ESERI1D ESERI M42 VELOX B17 MERVA P68 GALIM/N0273A050 VFR</t>
  </si>
  <si>
    <t>2026-02-19T09:58:56Z</t>
  </si>
  <si>
    <t>2026-02-19T10:46:45Z</t>
  </si>
  <si>
    <t>2026-02-19T10:42:22.6012403Z</t>
  </si>
  <si>
    <t>1df97d0933ea4537a68974676d3320ea</t>
  </si>
  <si>
    <t>2026-02-19T09:30:00Z</t>
  </si>
  <si>
    <t>EXTRA FUEL IS PER COMPANY POLICY
T/O DATA : RWY 33. DRY. 290/05/K 19C. 1021Q  AC-OFF.    RTOW -22455KG.
DIS. BY AYELET W.</t>
  </si>
  <si>
    <t>GALIM/N0234A050 IFR P68 MERVA/N0271A140 N131 EMEDA EMEDA1A</t>
  </si>
  <si>
    <t>2026-02-19T09:31:40Z</t>
  </si>
  <si>
    <t>2026-02-19T10:17:17Z</t>
  </si>
  <si>
    <t>2026-02-19T10:19:00.3522609Z</t>
  </si>
  <si>
    <t>66f860d008b34b249600df14771e9ced</t>
  </si>
  <si>
    <t>2026-02-19T09:25:00Z</t>
  </si>
  <si>
    <t>KEA1E KEA L995 RDS L609 APLON P68 GALIM/N0275A050 VFR</t>
  </si>
  <si>
    <t>2026-02-19T09:59:00Z</t>
  </si>
  <si>
    <t>2026-02-19T14:19:08Z</t>
  </si>
  <si>
    <t>2026-02-19T11:43:42.4026731Z</t>
  </si>
  <si>
    <t>a7627a2c07e24a31993ded9d1ed8d681</t>
  </si>
  <si>
    <t>2026-02-19T09:15:00Z</t>
  </si>
  <si>
    <t>2026-02-19T09:29:43Z</t>
  </si>
  <si>
    <t>2026-02-19T10:28:02Z</t>
  </si>
  <si>
    <t>2026-02-19T10:06:31.6191565Z</t>
  </si>
  <si>
    <t>1a998bef4ed9481e97477199c0327e0f</t>
  </si>
  <si>
    <t>2026-02-19T08:05:00Z</t>
  </si>
  <si>
    <t>AC IS FUELED WITH 1610KG FROM PREV. LEG
T/O DATA: RWY 33. DRY. 290/05KT. 18C 1020Q  AC-OFF.     RTOW- 22491KG
DIS. BY AYELET W.</t>
  </si>
  <si>
    <t>GALIM/N0234A050 IFR P68 MERVA/N0272A140 N131 VELOX M42 ESERI</t>
  </si>
  <si>
    <t>2026-02-19T08:13:24Z</t>
  </si>
  <si>
    <t>2026-02-19T09:08:18Z</t>
  </si>
  <si>
    <t>2026-02-19T08:59:19.4594248Z</t>
  </si>
  <si>
    <t>70e9f335f1474a5386a6e882258df420</t>
  </si>
  <si>
    <t>2026-02-19T07:40:00Z</t>
  </si>
  <si>
    <t>EMEDA2B EMEDA B17 MERVA P68 GALIM/N0274A050 VFR</t>
  </si>
  <si>
    <t>2026-02-19T07:43:24Z</t>
  </si>
  <si>
    <t>2026-02-19T08:26:06Z</t>
  </si>
  <si>
    <t>2026-02-19T08:18:33.2365447Z</t>
  </si>
  <si>
    <t>a98f9fce89c24823bba1706576a4b12b</t>
  </si>
  <si>
    <t>2026-02-19T07:00:00Z</t>
  </si>
  <si>
    <t>1. THIS FLIGT WAS PREPARED BY NIMROD R.
2. LLHA-RWY 33 RTOW 22373KG. SPS DATA: 280/05KTS, DRY, 19C DEG, QNH 1018, Air Cond. OFF.
3. A/C IS FUELED WITH 1840 KG FROM PREVIOUS LEG.</t>
  </si>
  <si>
    <t>2026-02-19T07:01:10Z</t>
  </si>
  <si>
    <t>2026-02-19T08:00:39Z</t>
  </si>
  <si>
    <t>2026-02-19T07:57:25.998292Z</t>
  </si>
  <si>
    <t>2452174b33af4bfbaf5be3f1b379bfc5</t>
  </si>
  <si>
    <t>2026-02-19T06:00:00Z</t>
  </si>
  <si>
    <t>1. THIS FLIGT WAS PREPARED BY NIMROD R.
2. LLHA-RWY 33 RTOW 22422KG. SPS DATA: 280/05KTS, DRY, 18C DEG, QNH 1018, Air Cond. OFF.
3. A/C IS FUELED WITH 1660 KG FROM PREVIOUS LEG.</t>
  </si>
  <si>
    <t>2026-02-19T06:04:48Z</t>
  </si>
  <si>
    <t>2026-02-19T06:48:16Z</t>
  </si>
  <si>
    <t>2026-02-19T06:48:40.915988Z</t>
  </si>
  <si>
    <t>976897f1499e4c1fbb31cde45d1ab564</t>
  </si>
  <si>
    <t>2026-02-19T05:45:00Z</t>
  </si>
  <si>
    <t>1. THIS FLIGHT WAS PREPARED BY NIMROD R.
2. LLHA-RWY 33 RTOW 22472KG. SPS DATA: 280/05KTS, DRY, 17C DEG, QNH 1018, Air Cond. OFF. 
3. EXTRA FUEL PLANNED AS PER COMPANY POLICY.
4. NEW OFP REV. 01 ISSUED DUE TO NO-ALTERNATE REQ. DISPATCH.</t>
  </si>
  <si>
    <t>N0234A050 GALIM/N0234A050 IFR P68 MERVA/N0268A140 P68 APLON L609 RDS L995 VARIX VARIX1W</t>
  </si>
  <si>
    <t>2026-02-19T08:30:10.9602975Z</t>
  </si>
  <si>
    <t>8cd03ebaf6c746c8a88732e3e4d5b62d</t>
  </si>
  <si>
    <t>2026-02-17T17:55:00Z</t>
  </si>
  <si>
    <t>2026-02-17T18:07:45Z</t>
  </si>
  <si>
    <t>2026-02-17T18:47:31Z</t>
  </si>
  <si>
    <t>2026-02-17T18:35:52.3488751Z</t>
  </si>
  <si>
    <t>850a09b6fcb44de8b4ae72e8fbf7ecf8</t>
  </si>
  <si>
    <t>2026-02-17T16:30:00Z</t>
  </si>
  <si>
    <t>EXTRA FUEL IS PER POLICY.
T/O DATA-RWY 15,TEMP 20C,WIND 0,Q1013,PACKS OFF,....RTOW 22380 KG.
DISP-EREZ Y.</t>
  </si>
  <si>
    <t>2026-02-17T16:28:09Z</t>
  </si>
  <si>
    <t>2026-02-17T17:12:40Z</t>
  </si>
  <si>
    <t>2026-02-17T17:15:49.8826936Z</t>
  </si>
  <si>
    <t>8c833fadf192431ca3cca85894ce79d3</t>
  </si>
  <si>
    <t>2026-02-17T15:25:00Z</t>
  </si>
  <si>
    <t>KEA1N KEA L995 RDS L609 NILAS L609 ALKIS L609 APLON P68 MERVA/F190 P68 GALIM/N0272F050 VFR</t>
  </si>
  <si>
    <t>2026-02-17T15:44:58Z</t>
  </si>
  <si>
    <t>2026-02-17T18:07:54Z</t>
  </si>
  <si>
    <t>2026-02-17T17:39:49.1031458Z</t>
  </si>
  <si>
    <t>53af266347f74e209b4cb9df0db46b63</t>
  </si>
  <si>
    <t>2026-02-17T14:40:00Z</t>
  </si>
  <si>
    <t>NURIT2H NURIT J10 TOMAL/N0267F080 J10 NAT/N0224F040 J15 ATLIT/N0225F040 VFR HOTRM DAROM GALIM</t>
  </si>
  <si>
    <t>2026-02-17T14:59:28Z</t>
  </si>
  <si>
    <t>2026-02-17T15:48:44Z</t>
  </si>
  <si>
    <t>2026-02-17T15:26:33.3324515Z</t>
  </si>
  <si>
    <t>dcfb7d73bbe84f9b8304f5034bf82a4f</t>
  </si>
  <si>
    <t>2026-02-17T12:50:00Z</t>
  </si>
  <si>
    <t>1. THIS FLIGHT WAS PREPARED BY NIMROD R.
2. LLHA-RWY 15 RTOW 22424KG. SPS DATA: 230/06KTS, DRY, 21C DEG, QNH 1013, Air Cond. OFF.
3. EXTRA FUEL PLANNED AS PER COMPANY POLICY.</t>
  </si>
  <si>
    <t>GALIM/N0231A050 IFR Q28 ATLIT J15 NAT/N0262A090 J10 SIVAK/N0264A130 J10 NURIT NURIT1D</t>
  </si>
  <si>
    <t>2026-02-17T13:02:08Z</t>
  </si>
  <si>
    <t>2026-02-17T14:10:46Z</t>
  </si>
  <si>
    <t>2026-02-17T13:53:28.964838Z</t>
  </si>
  <si>
    <t>28322135dfd44624b96dc5e48ec02dd3</t>
  </si>
  <si>
    <t>2026-02-17T11:45:00Z</t>
  </si>
  <si>
    <t>1. THIS FLIGHT WAS PREPARED BY NIMROD R.
2. LLHA-RWY 15 RTOW 22389KG. SPS DATA: 230/06KTS, DRY, 22C DEG, QNH 1014, Air Cond. OFF.
3. EXTRA FUEL PLANNED AS PER COMPANY POLICY.</t>
  </si>
  <si>
    <t>2026-02-17T11:54:46Z</t>
  </si>
  <si>
    <t>2026-02-17T14:48:14Z</t>
  </si>
  <si>
    <t>2026-02-17T14:28:07.1234151Z</t>
  </si>
  <si>
    <t>4241edd78bc345679121d96e01ab699a</t>
  </si>
  <si>
    <t>2026-02-17T11:10:00Z</t>
  </si>
  <si>
    <t>2026-02-17T11:10:14Z</t>
  </si>
  <si>
    <t>2026-02-17T11:52:31Z</t>
  </si>
  <si>
    <t>2026-02-17T11:52:27.7871739Z</t>
  </si>
  <si>
    <t>16e5a56f26254e4d949de6b4053f2dab</t>
  </si>
  <si>
    <t>2026-02-17T09:30:00Z</t>
  </si>
  <si>
    <t>1. THIS FLIGHT WAS PREPARED BY NIMROD R.
2. LLHA-RWY 15 RTOW 22439KG. SPS DATA: 230/06KTS, DRY, 21C DEG, QNH 1014, Air Cond. OFF.
3. EXTRA FUEL PLANNED AS PER COMPANY POLICY.</t>
  </si>
  <si>
    <t>2026-02-17T09:28:59Z</t>
  </si>
  <si>
    <t>2026-02-17T10:11:43Z</t>
  </si>
  <si>
    <t>2026-02-17T10:13:49.9004627Z</t>
  </si>
  <si>
    <t>969c681401ea4da88678ea1d080ab96a</t>
  </si>
  <si>
    <t>2026-02-17T07:52:00Z</t>
  </si>
  <si>
    <t>2026-02-17T07:56:33Z</t>
  </si>
  <si>
    <t>2026-02-17T08:41:22Z</t>
  </si>
  <si>
    <t>2026-02-17T08:37:55.8958688Z</t>
  </si>
  <si>
    <t>283c193b8d584762a0ae9e876bfc116b</t>
  </si>
  <si>
    <t>2026-02-17T06:00:00Z</t>
  </si>
  <si>
    <t>1. THIS FLIGHT WAS PREPARED BY NIMROD R.
2. LLHA-RWY 15 RTOW 22484KG. SPS DATA: WIND 210/03, DRY, 20C DEG, QNH 1013, Air Cond. OFF.
3. A/C IS FUELED WITH 1840 KG FROM PREVIOUS LEG.</t>
  </si>
  <si>
    <t>GALIM/F050 IFR Q28 ATLIT J15 NAT/N0262A090 J10 SIVAK/N0264A130 J10 NURIT NURIT1D</t>
  </si>
  <si>
    <t>2026-02-17T06:10:49Z</t>
  </si>
  <si>
    <t>2026-02-17T07:14:20Z</t>
  </si>
  <si>
    <t>2026-02-17T07:03:28.636519Z</t>
  </si>
  <si>
    <t>f3d366e807944a609d515c4f14b90ef0</t>
  </si>
  <si>
    <t>2026-02-16T18:15:00Z</t>
  </si>
  <si>
    <t>N0266F130 EMEDA2B EMEDA B17 MERVA P68 GALIM/N0266A050 VFR</t>
  </si>
  <si>
    <t>2026-02-16T18:27:39Z</t>
  </si>
  <si>
    <t>2026-02-16T19:12:38Z</t>
  </si>
  <si>
    <t>2026-02-16T18:59:16.4448925Z</t>
  </si>
  <si>
    <t>cb8dfa825c464f009c033b179e4701bf</t>
  </si>
  <si>
    <t>2026-02-16T16:45:00Z</t>
  </si>
  <si>
    <t>1. THIS FLIGHT WAS PREPARED BY NIMROD R.
2. LLHA-RWY 15 RTOW 22282KG. SPS DATA: 130/05KTS, DRY, 27C DEG, QNH 1011, Air Cond. OFF.
3. EXTRA FUEL PLANNED AS PER COMPANY POLICY.</t>
  </si>
  <si>
    <t>N0233A050 GALIM/N0233A050 IFR P68 MERVA/N0273A140 N131 EMEDA EMEDA1A</t>
  </si>
  <si>
    <t>2026-02-16T16:42:04Z</t>
  </si>
  <si>
    <t>2026-02-16T17:23:40Z</t>
  </si>
  <si>
    <t>2026-02-16T17:28:52.446496Z</t>
  </si>
  <si>
    <t>8272f2533da14d1b9db2c31e71afc416</t>
  </si>
  <si>
    <t>2026-02-16T15:25:00Z</t>
  </si>
  <si>
    <t>KEA1N KEA L995 RDS L609 NILAS/F150 L609 ALKIS/F170 L609 APLON P68 GALIM/N0272F050 VFR DCT</t>
  </si>
  <si>
    <t>2026-02-16T15:42:01Z</t>
  </si>
  <si>
    <t>2026-02-16T18:13:08Z</t>
  </si>
  <si>
    <t>2026-02-16T17:53:43.3094686Z</t>
  </si>
  <si>
    <t>24bb60c9da9c423e961a06e1e5994428</t>
  </si>
  <si>
    <t>2026-02-16T15:00:00Z</t>
  </si>
  <si>
    <t>2026-02-16T15:09:40Z</t>
  </si>
  <si>
    <t>2026-02-16T15:59:46Z</t>
  </si>
  <si>
    <t>2026-02-16T15:47:32.9923686Z</t>
  </si>
  <si>
    <t>818791d7d5e845028916c3910f6f6bf9</t>
  </si>
  <si>
    <t>2026-02-16T12:50:00Z</t>
  </si>
  <si>
    <t>EXTRA FUEL IS PER POLICY.
T/O DATA-RWY 15,TEMP 25C,WIND 130/07,Q1016,PACKS OFF,....RTOW 22531 KG.
DISP-EREZ Y.</t>
  </si>
  <si>
    <t>N0233A050 GALIM/N0233A050 IFR Q28 ATLIT J15 NAT/N0264A090 J10 SIVAK/N0264A130 J10 NURIT NURIT1D</t>
  </si>
  <si>
    <t>2026-02-16T12:58:26Z</t>
  </si>
  <si>
    <t>2026-02-16T13:59:41Z</t>
  </si>
  <si>
    <t>2026-02-16T13:51:51.9046693Z</t>
  </si>
  <si>
    <t>41f49e32d49e42be8689b09d7115c737</t>
  </si>
  <si>
    <t>2026-02-16T12:00:00Z</t>
  </si>
  <si>
    <t>1.IRBAX-ULIFT IS BASED ON F/L 150 DUE EUROCONTROL LIMITATION AND IS THE FASTEST F/L.
F/L 190 IS THE MOST FUEL EFFICIENT F/L.
2.EXTRA FUEL IS FOR THE NEXT FLT.
DISP-EREZ Y.</t>
  </si>
  <si>
    <t>OMENO3S OMENO Y505 NIKTI N127 LMO L618 MES N139 LURUS L995 RDS L995 IRBAX/F150 L995 ULFIT/F170 M978 TOSKA M67 MAROS L609 APLON P68 GALIM/N0270A050 VFR</t>
  </si>
  <si>
    <t>2026-02-16T12:10:14Z</t>
  </si>
  <si>
    <t>2026-02-16T15:37:45Z</t>
  </si>
  <si>
    <t>2026-02-16T15:25:35.3259484Z</t>
  </si>
  <si>
    <t>e46d7209bd1143289c455ab34d802f9f</t>
  </si>
  <si>
    <t>2026-02-16T11:45:00Z</t>
  </si>
  <si>
    <t>1.PAY ATTN-ATC F/P WAS FILED FOR 1125Z FOR POSS CTOT.
2.EXTRA FUEL IS PER POLICY.
3.T/O DATA-RWY 15,TEMP 25C,WIND 130/07,Q1016,PACKS OFF,....RTOW 22531 KG.
DISP-EREZ Y.</t>
  </si>
  <si>
    <t>N0235A050 DCT GALIM/N0234A050 IFR P68 MERVA/N0271A160 P68 APLON L609 RDS L995 VARIX VARIX1W</t>
  </si>
  <si>
    <t>2026-02-16T11:58:24Z</t>
  </si>
  <si>
    <t>2026-02-16T14:44:20Z</t>
  </si>
  <si>
    <t>2026-02-16T14:18:31.4720955Z</t>
  </si>
  <si>
    <t>c69313bed29640de923fa4cd1282b51c</t>
  </si>
  <si>
    <t>2026-02-16T11:10:00Z</t>
  </si>
  <si>
    <t>N0265F130 EMEDA2B EMEDA B17 MERVA P68 GALIM/N0265A050 VFR</t>
  </si>
  <si>
    <t>2026-02-16T11:15:31Z</t>
  </si>
  <si>
    <t>2026-02-16T12:02:05Z</t>
  </si>
  <si>
    <t>2026-02-16T11:54:24.0614488Z</t>
  </si>
  <si>
    <t>b5d85085ad74444b898e0ece2355c96f</t>
  </si>
  <si>
    <t>2026-02-16T09:50:00Z</t>
  </si>
  <si>
    <t>N0267F120 NURIT2H NURIT J10 TOMAL/N0267F080 J10 NAT/N0224F040 J15 ATLIT/N0225F040 VFR HOTRM DAROM DCT GALIM</t>
  </si>
  <si>
    <t>2026-02-16T10:12:20Z</t>
  </si>
  <si>
    <t>2026-02-16T11:01:28Z</t>
  </si>
  <si>
    <t>2026-02-16T10:37:46.0391023Z</t>
  </si>
  <si>
    <t>513c17c03cd3413d8fdc401042d30b60</t>
  </si>
  <si>
    <t>2026-02-16T09:30:00Z</t>
  </si>
  <si>
    <t>EXTRA FUEL IS PER POLICY.
T/O DATA-RWY 15,TEMP 24C,WIND 130/07,Q1016,PACKS OFF,...RTOW 22575 KG.
DISP-EREZ Y.</t>
  </si>
  <si>
    <t>N0234A050 GALIM/N0233A050 IFR P68 MERVA/N0273A140 N131 EMEDA EMEDA1A</t>
  </si>
  <si>
    <t>2026-02-16T09:27:46Z</t>
  </si>
  <si>
    <t>2026-02-16T10:11:48Z</t>
  </si>
  <si>
    <t>2026-02-16T10:13:51.5038317Z</t>
  </si>
  <si>
    <t>68ba2d43a4b641a5aad00c319ed1e57f</t>
  </si>
  <si>
    <t>2026-02-16T08:00:00Z</t>
  </si>
  <si>
    <t>EXTRA FUEL IS PER POLICY.
T/O DATA -RWY 15,TEMP 22C,WIND 140/07,Q1016,PACKS OFF,....RTOW 22682KG.
DISP-EREZ Y.</t>
  </si>
  <si>
    <t>2026-02-16T08:05:04Z</t>
  </si>
  <si>
    <t>2026-02-16T09:08:38Z</t>
  </si>
  <si>
    <t>2026-02-16T09:01:42.095719Z</t>
  </si>
  <si>
    <t>13def9d6e2f644daba1c8767b97983a8</t>
  </si>
  <si>
    <t>2026-02-16T07:40:00Z</t>
  </si>
  <si>
    <t>2026-02-16T07:46:02Z</t>
  </si>
  <si>
    <t>2026-02-16T08:32:10Z</t>
  </si>
  <si>
    <t>2026-02-16T08:23:27.5426343Z</t>
  </si>
  <si>
    <t>3b06fd72be9341869b686324b207b6bc</t>
  </si>
  <si>
    <t>2026-02-16T07:15:00Z</t>
  </si>
  <si>
    <t>EXTRA FUEL IS PER POLICY.
T/O DATA -RWY 15,TEMP 20C,WIND 140/07,Q1016,PACKS OFF,....RTOW 22771KG.
DISP-EREZ Y.</t>
  </si>
  <si>
    <t>N0233A050 GALIM/N0233A050 IFR P68 MERVA/N0277A180 P68 APLON L609 ALKIS/N0276F220 L609 RDS N129 PIROX DCT AKBUK G80 OKESA DCT RIKSO N128 PEREN L863 EVIVI Y94 VANET VANET5H</t>
  </si>
  <si>
    <t>2026-02-16T07:11:42Z</t>
  </si>
  <si>
    <t>2026-02-16T10:42:44Z</t>
  </si>
  <si>
    <t>2026-02-16T10:41:31.6042693Z</t>
  </si>
  <si>
    <t>49a803bc6a47486f9b01752766793a3e</t>
  </si>
  <si>
    <t>2026-02-16T06:00:00Z</t>
  </si>
  <si>
    <t>FUEL   :  REFULED ON PREVIOS FLIGHT.
T/O DATA -RWY 15,TEMP 20C,WIND 140/07,Q1016,PACKS OFF,....RTOW 22771KG.
DISP-EREZ Y.</t>
  </si>
  <si>
    <t>2026-02-16T06:00:24Z</t>
  </si>
  <si>
    <t>2026-02-16T06:42:13Z</t>
  </si>
  <si>
    <t>2026-02-16T06:44:24.5563496Z</t>
  </si>
  <si>
    <t>5b02c44d63814e7f963910059445edd6</t>
  </si>
  <si>
    <t>1.EXTRA FUEL IS PER POLICY.
2.BALLAST WEIGHT 80KG ADDED.
3.T/O DATA -RWY 15,TEMP 20C,WIND 140/07,Q1016,PACKS OFF,....RTOW 22771KG.
DISP-EREZ Y.</t>
  </si>
  <si>
    <t>N0233A050 GALIM IFR P68 MERVA/N0276A180 P68 APLON L609 ALKIS/N0276F220 L609 RDS N129 PIROX DCT AKBUK G80 OKESA DCT RIKSO N128 PEREN L863 EVIVI Y94 VANET VANET5H</t>
  </si>
  <si>
    <t>2026-02-16T06:12:38Z</t>
  </si>
  <si>
    <t>2026-02-16T09:33:41Z</t>
  </si>
  <si>
    <t>2026-02-16T09:21:43.9437685Z</t>
  </si>
  <si>
    <t>e2959be01f564d658664a5368c678629</t>
  </si>
  <si>
    <t>2026-02-15T17:55:00Z</t>
  </si>
  <si>
    <t>FUEL   :   EXTRA FUEL TO COVER NEXT LEG-ETM.
DISP    :   UDI A,TRAINEE.SUPERVISED BY NIMROD R.</t>
  </si>
  <si>
    <t>2026-02-15T18:09:10Z</t>
  </si>
  <si>
    <t>2026-02-15T18:54:21Z</t>
  </si>
  <si>
    <t>2026-02-15T18:38:58.6139901Z</t>
  </si>
  <si>
    <t>00698f61b6b44d329e1a42b03095c532</t>
  </si>
  <si>
    <t>2026-02-15T16:30:00Z</t>
  </si>
  <si>
    <t>FUEL     :   EXTRA FUEL AS PER COMPANY POLICY.
RTOW   :   22521kg. SPS DATA - RWY15 DRY,NO WIND,18C,Q1016,PACKS OFF. 
DISP     :   UDI A,TRAINEE.SUPERVISED BY NIMROD R.</t>
  </si>
  <si>
    <t>2026-02-15T16:25:51Z</t>
  </si>
  <si>
    <t>2026-02-15T17:07:30Z</t>
  </si>
  <si>
    <t>2026-02-15T17:14:36.87391Z</t>
  </si>
  <si>
    <t>632827d6e5a84428a2937c223185d5af</t>
  </si>
  <si>
    <t>2026-02-15T15:25:00Z</t>
  </si>
  <si>
    <t>FUEL   :   EXTRA FUEL TO COVER NEXT LEG-SOF.
CTOT   :   PLS CHECK.
DISP    :   UDI A,TRAINEE.SUPERVISED BY NIMROD R.</t>
  </si>
  <si>
    <t>N0267F190 KEA1N KEA L995 RDS L609 APLON P68 GALIM/N0267A050 VFR DCT</t>
  </si>
  <si>
    <t>2026-02-15T15:48:26Z</t>
  </si>
  <si>
    <t>2026-02-15T18:17:52Z</t>
  </si>
  <si>
    <t>2026-02-15T17:51:26.2719203Z</t>
  </si>
  <si>
    <t>0f53f08e3ecc41f39fa6a2fcdd42f1e9</t>
  </si>
  <si>
    <t>2026-02-15T14:51:00Z</t>
  </si>
  <si>
    <t>2026-02-15T15:02:27Z</t>
  </si>
  <si>
    <t>2026-02-15T15:54:44Z</t>
  </si>
  <si>
    <t>2026-02-15T15:40:54.5010834Z</t>
  </si>
  <si>
    <t>92b582bc86a648b49eeab8f37b28963b</t>
  </si>
  <si>
    <t>2026-02-15T14:40:00Z</t>
  </si>
  <si>
    <t>2026-02-15T14:52:17Z</t>
  </si>
  <si>
    <t>2026-02-15T15:35:32Z</t>
  </si>
  <si>
    <t>2026-02-15T15:23:09.0527592Z</t>
  </si>
  <si>
    <t>90e4c6660e6b4ea986ad8bc3c1f07809</t>
  </si>
  <si>
    <t>2026-02-15T13:00:00Z</t>
  </si>
  <si>
    <t>N0267F120 NURIT2H NURIT J10 TOMAL/N0267F080 J10 NAT/N0224F040 J15 ATLIT/N0225F040 VFR 3245N03456E DCT 3248N03457E DCT GALIM</t>
  </si>
  <si>
    <t>2026-02-15T13:07:46Z</t>
  </si>
  <si>
    <t>2026-02-15T13:59:34Z</t>
  </si>
  <si>
    <t>2026-02-15T13:50:11.3999507Z</t>
  </si>
  <si>
    <t>4e6e414b90904c378f4de31cd108a3f9</t>
  </si>
  <si>
    <t>EXTRA FUEL IS FROM PREVIOUS FLT.
T/O DATA-RWY 15,TEMP 20C,WIND 130/05,Q1021,PACKS OFF....RTOW 22736 KG.
DISP-EREZ Y.</t>
  </si>
  <si>
    <t>N0234A050 GALIM/N0233A050 IFR P68 MERVA/N0270A140 N131 EMEDA EMEDA1A</t>
  </si>
  <si>
    <t>2026-02-15T13:02:32Z</t>
  </si>
  <si>
    <t>2026-02-15T13:48:46Z</t>
  </si>
  <si>
    <t>2026-02-15T13:44:29.5256471Z</t>
  </si>
  <si>
    <t>0e376b43d4ab4825878b2d16f4a506e2</t>
  </si>
  <si>
    <t>2026-02-15T12:50:00Z</t>
  </si>
  <si>
    <t>EXTRA FUEL IS PER POLICY.
T/O DATA-RWY 15,TEMP 20C,WIND 100/05,Q1021,PACKS OFF,....RTOW 22664 KG.
DISP-EREZ Y.</t>
  </si>
  <si>
    <t>2026-02-15T13:12:47Z</t>
  </si>
  <si>
    <t>2026-02-15T14:10:25Z</t>
  </si>
  <si>
    <t>2026-02-15T13:47:43.3829272Z</t>
  </si>
  <si>
    <t>2c9164fb2db3462289181bd421534af4</t>
  </si>
  <si>
    <t>2026-02-15T11:45:00Z</t>
  </si>
  <si>
    <t>1.ATC F/P WAS FILED FOR 1120Z DUE PREDICTED HEAVY CTOT.
2.EXTRA FUEL IS PER POLICY.
3.T/O DATA-RWY 15,TEMP 20C,WIND 130/05,Q1021,PACKS OFF....RTOW 22736 KG.
DISP-EREZ Y.</t>
  </si>
  <si>
    <t>N0235A050 DCT GALIM/N0234A050 IFR P68 MERVA/N0271A140 P68 APLON L609 RDS L995 VARIX VARIX1W</t>
  </si>
  <si>
    <t>2026-02-15T11:54:53Z</t>
  </si>
  <si>
    <t>2026-02-15T14:35:03Z</t>
  </si>
  <si>
    <t>2026-02-15T14:20:31.2966819Z</t>
  </si>
  <si>
    <t>e1a6e7f7db0442afa07bb316ba5acdc9</t>
  </si>
  <si>
    <t>2026-02-15T11:10:00Z</t>
  </si>
  <si>
    <t>2026-02-15T11:45:47Z</t>
  </si>
  <si>
    <t>2026-02-15T12:29:04Z</t>
  </si>
  <si>
    <t>2026-02-15T11:52:22.8323529Z</t>
  </si>
  <si>
    <t>87ef2196d6d645a484f34248019c9d36</t>
  </si>
  <si>
    <t>2026-02-15T10:45:00Z</t>
  </si>
  <si>
    <t>EXTRA FUEL IS PER POLICY(FUEL ON THE A/C FROM PREVIOUS FLT-1790 KG).
T/O DATA-RWY 15,TEMP 20C,WIND 130/05,Q1021,PACKS OFF....RTOW 22736 KG.
DISP-EREZ Y.</t>
  </si>
  <si>
    <t>2026-02-15T11:08:46Z</t>
  </si>
  <si>
    <t>2026-02-15T12:11:28Z</t>
  </si>
  <si>
    <t>2026-02-15T11:43:23.7294306Z</t>
  </si>
  <si>
    <t>964c4f86e67c45febec762c336a7d24d</t>
  </si>
  <si>
    <t>2026-02-15T09:55:00Z</t>
  </si>
  <si>
    <t>2026-02-15T10:04:11Z</t>
  </si>
  <si>
    <t>2026-02-15T10:53:34Z</t>
  </si>
  <si>
    <t>2026-02-15T10:45:39.9408227Z</t>
  </si>
  <si>
    <t>b5c3972b5733415e91c986421c8aceb8</t>
  </si>
  <si>
    <t>2026-02-15T09:30:00Z</t>
  </si>
  <si>
    <t>EXTRA FUEL IS FROM PREVIOUS FLT.
T/O DATA-RWY 15,TEMP 18C,WIND 130/05,Q1022,PACKS OFF,...RTOW 22837 KG.
DISP-EREZ Y.</t>
  </si>
  <si>
    <t>2026-02-15T09:35:35Z</t>
  </si>
  <si>
    <t>2026-02-15T10:21:37Z</t>
  </si>
  <si>
    <t>2026-02-15T10:16:20.0028887Z</t>
  </si>
  <si>
    <t>faf056d12b0748b69b2ca96c97841aa1</t>
  </si>
  <si>
    <t>2026-02-15T09:25:00Z</t>
  </si>
  <si>
    <t>KEA1N KEA L52 VAXOS M978 ULFIT M978 TOSKA M67 MAROS L609 APLON P68 GALIM/N0270A050 VFR DCT</t>
  </si>
  <si>
    <t>2026-02-15T09:40:39Z</t>
  </si>
  <si>
    <t>2026-02-15T12:07:57Z</t>
  </si>
  <si>
    <t>2026-02-15T11:47:57.158511Z</t>
  </si>
  <si>
    <t>45a3882c31044fb08a49cb135f225318</t>
  </si>
  <si>
    <t>2026-02-15T08:50:00Z</t>
  </si>
  <si>
    <t>2026-02-15T09:26:16Z</t>
  </si>
  <si>
    <t>2026-02-15T10:19:04Z</t>
  </si>
  <si>
    <t>2026-02-15T09:40:46.0192304Z</t>
  </si>
  <si>
    <t>8e95de5a49b04dce9c4ee22b326566ee</t>
  </si>
  <si>
    <t>2026-02-15T08:05:00Z</t>
  </si>
  <si>
    <t>AC IS FUELED WITH 2050KG FROM PREV. FLT
T/O DATA: RWY 15. DRY. 1305/05K. 16C. AC-OFF. 1022Q      RTOW- 22926KG
LCPH-RWY 11 RVR- UNSERVICEABLE (PER NOTAM)
DIS. BY AYELET W.</t>
  </si>
  <si>
    <t>2026-02-15T08:13:56Z</t>
  </si>
  <si>
    <t>2026-02-15T09:06:55Z</t>
  </si>
  <si>
    <t>2026-02-15T08:57:19.9683693Z</t>
  </si>
  <si>
    <t>4f7ab4ec797f41d18432e14240c2e36d</t>
  </si>
  <si>
    <t>2026-02-15T07:00:00Z</t>
  </si>
  <si>
    <t>EXTRA FUEL IS PER POLICY.
T/O DATA-RWY 15,TEMP-13C,WIND 0,Q121,PACKS OFF,....RTOW 22837 KG.
DISP-EREZ Y.</t>
  </si>
  <si>
    <t>2026-02-15T07:21:35Z</t>
  </si>
  <si>
    <t>2026-02-15T08:24:30Z</t>
  </si>
  <si>
    <t>2026-02-15T07:57:30.8177302Z</t>
  </si>
  <si>
    <t>7459a2591f5e46cd99e71411ab0d2646</t>
  </si>
  <si>
    <t>2026-02-15T05:45:00Z</t>
  </si>
  <si>
    <t>N0232A050 DCT GALIM/N0231A050 IFR P68 MERVA/N0262A140 P68 APLON L609 RDS L995 VARIX VARIX1W</t>
  </si>
  <si>
    <t>2026-02-15T05:59:17Z</t>
  </si>
  <si>
    <t>2026-02-15T08:35:23Z</t>
  </si>
  <si>
    <t>2026-02-15T08:19:56.7692122Z</t>
  </si>
  <si>
    <t>077bb283563745b1880b4de7100b3985</t>
  </si>
  <si>
    <t>2026-02-14T18:40:00Z</t>
  </si>
  <si>
    <t>EXTRA FUEL IS FOR THE NEXT FLT
DIS BY AYELET W.</t>
  </si>
  <si>
    <t>NURIT2H NURIT J10 TOMAL/N0270F080 J10 NAT/N0223F040 J15 ATLIT/N0224F040 VFR HOTRM DAROM GALIM</t>
  </si>
  <si>
    <t>2026-02-14T19:02:08Z</t>
  </si>
  <si>
    <t>2026-02-14T20:00:28Z</t>
  </si>
  <si>
    <t>2026-02-14T19:34:09.7889936Z</t>
  </si>
  <si>
    <t>239538c6ca504f01ae60b562453b5e24</t>
  </si>
  <si>
    <t>2026-02-14T18:20:00Z</t>
  </si>
  <si>
    <t>2026-02-14T18:54:41Z</t>
  </si>
  <si>
    <t>2026-02-14T19:33:26Z</t>
  </si>
  <si>
    <t>2026-02-14T18:59:16.6902037Z</t>
  </si>
  <si>
    <t>c8f026bdfdf4435f8525fbbcee0457cb</t>
  </si>
  <si>
    <t>2026-02-14T17:30:00Z</t>
  </si>
  <si>
    <t>KEA1N KEA L995 RDS L609 APLON P68 GALIM/F050 VFR</t>
  </si>
  <si>
    <t>2026-02-14T17:38:22Z</t>
  </si>
  <si>
    <t>2026-02-14T19:58:29Z</t>
  </si>
  <si>
    <t>2026-02-14T19:45:36.3253746Z</t>
  </si>
  <si>
    <t>b3564c00895948f0ab47f28817e8d5ab</t>
  </si>
  <si>
    <t>2026-02-14T17:00:00Z</t>
  </si>
  <si>
    <t>AC IS FUELED WITH 1940 FROM PREV LEG.
T/O DATA: RWY 33. DRY. OK . 19C 1016Q AC-OFF.. RTOW- 22472KG
DIS BY AYELET W.</t>
  </si>
  <si>
    <t>2026-02-14T17:16:13Z</t>
  </si>
  <si>
    <t>2026-02-14T18:04:30Z</t>
  </si>
  <si>
    <t>2026-02-14T17:55:31.6770914Z</t>
  </si>
  <si>
    <t>8dc9c0b49e3a48219d359fe2bbd43a3a</t>
  </si>
  <si>
    <t>2026-02-14T16:50:00Z</t>
  </si>
  <si>
    <t>EXTRA FUEL IS PER COMPANY POLICY
T/O DATA: RWY 33. DRY. OK 1016Q 19C  AC-OFF   RTOW-22472KG
LCPH- RWY 11 RVR -UNSERVICABLE
DIS. BY AYELET W</t>
  </si>
  <si>
    <t>2026-02-14T17:11:26Z</t>
  </si>
  <si>
    <t>2026-02-14T18:03:00Z</t>
  </si>
  <si>
    <t>2026-02-14T17:39:43.4945696Z</t>
  </si>
  <si>
    <t>c705111f4d29472ebf6489922cd8d166</t>
  </si>
  <si>
    <t>2026-02-14T15:25:00Z</t>
  </si>
  <si>
    <t>EXTRA FUEL TO COVER THE NEXT LEG (LLER)
DIS. BY AYELET W.</t>
  </si>
  <si>
    <t>2026-02-14T15:46:38Z</t>
  </si>
  <si>
    <t>2026-02-14T16:34:10Z</t>
  </si>
  <si>
    <t>2026-02-14T16:12:02.2833795Z</t>
  </si>
  <si>
    <t>44bf36cf33dc49f2998adb4ae3ea0590</t>
  </si>
  <si>
    <t>2026-02-14T15:20:00Z</t>
  </si>
  <si>
    <t xml:space="preserve">EXTRA FUEL IS FOR THE NEXT LEG
DIS BY AYELET W.
</t>
  </si>
  <si>
    <t>2026-02-14T15:43:56Z</t>
  </si>
  <si>
    <t>2026-02-14T16:24:46Z</t>
  </si>
  <si>
    <t>2026-02-14T15:58:55.4412323Z</t>
  </si>
  <si>
    <t>693f7c2bdce54184a5691c22c821d647</t>
  </si>
  <si>
    <t>2026-02-14T13:50:00Z</t>
  </si>
  <si>
    <t xml:space="preserve">EXTRA FUEL AS PER COMPNAY POLICY.
T/O ALT LCLK - DUE TO WX AT LLBG
T/O DATA: RWY 33. WET. 20C  O K 1014Q AC-OFF .   RTOW WITH RTO -22466KG 
DIS. BY AYELET W.
</t>
  </si>
  <si>
    <t>GALIM IFR P68 MERVA/F160 P68 APLON L609 RDS L995 VARIX VARIX1R</t>
  </si>
  <si>
    <t>2026-02-14T13:55:10Z</t>
  </si>
  <si>
    <t>2026-02-14T16:52:22Z</t>
  </si>
  <si>
    <t>2026-02-14T16:46:28.8729862Z</t>
  </si>
  <si>
    <t>9b89b1ead88b4331a854084afc2d4e8e</t>
  </si>
  <si>
    <t>2026-02-14T13:30:00Z</t>
  </si>
  <si>
    <t>AC IS FUELED WITH 1580KG FROM PREV. LEG
T/O ALT LCLK DUE TO WX AT LLHA AND LLBG
T/O DATA: RWY 33. WET. OK 19C 1014Q AC-OFF RTOW-22143KG
DIS. BY AYELET W.</t>
  </si>
  <si>
    <t>GALIM/F050 IFR P68 MERVA/F140 N131 VELOX M42 ESERI</t>
  </si>
  <si>
    <t>2026-02-14T14:09:26Z</t>
  </si>
  <si>
    <t>2026-02-14T15:00:30Z</t>
  </si>
  <si>
    <t>2026-02-14T14:25:52.7744129Z</t>
  </si>
  <si>
    <t>a7677fc267cd439392b4f27130828a40</t>
  </si>
  <si>
    <t>2026-02-14T13:05:00Z</t>
  </si>
  <si>
    <t>AC IS FULED WITH `1570KG FROM PREV. LEG
T/O ALT  LCLK DUE TO WX AT LLHA AND LLBG
T/O DATA: RWY 33. 0K DRY. 21C Q1014  AC-OFF   RTOW WITH RTO- 22415KG
DIS. BY AYELET W.</t>
  </si>
  <si>
    <t>2026-02-14T13:59:50Z</t>
  </si>
  <si>
    <t>2026-02-14T14:45:51Z</t>
  </si>
  <si>
    <t>2026-02-14T13:54:09.0608217Z</t>
  </si>
  <si>
    <t>11489be684be4785bcb51ee57af45297</t>
  </si>
  <si>
    <t>2026-02-13T11:10:00Z</t>
  </si>
  <si>
    <t>1. THIS FLIGT WAS PREPARED BY NIMROD R.
2. EXTRA FUEL TO COVER THE NEXT LEG.
3. DISPATCHED AT FL090 DUE TO WX ENROUTE.
4. DISPATCHED WITH 2 ALTERNATES DUE TO WX AT LLHA.
5. HAIFA TOWER WILL LET YOU CONTINUE FROM GALIM WITH SCVF IF YOU ASK FOR IT.</t>
  </si>
  <si>
    <t>2026-02-13T11:17:56Z</t>
  </si>
  <si>
    <t>2026-02-13T12:00:38Z</t>
  </si>
  <si>
    <t>2026-02-13T11:54:12.6561243Z</t>
  </si>
  <si>
    <t>6c4dc2f57c2c40fca93acbca3830c18e</t>
  </si>
  <si>
    <t>2026-02-13T10:25:00Z</t>
  </si>
  <si>
    <t>1. THIS FLIGT WAS PREPARED BY NIMROD R.
2. EXTRA FUEL TO COVER THE NEXT LEG.
3. DISPATCHED WITH 2 ALTERNATES DUE TO WX AT LLHA.
4. HAIFA TOWER WILL LET YOU CONTINUE FROM GALIM WITH SCVF IF YOU ASK FOR IT.</t>
  </si>
  <si>
    <t>OMENO3S OMENO Y505 NIKTI N127 LMO L618 MES N139 LURUS L995 ULFIT M978 TOSKA M67 MAROS L609 APLON P68 MERVA P68 GALIM/N0280A050 VFR</t>
  </si>
  <si>
    <t>2026-02-13T10:44:34Z</t>
  </si>
  <si>
    <t>2026-02-13T14:07:24Z</t>
  </si>
  <si>
    <t>2026-02-13T13:35:58.5952896Z</t>
  </si>
  <si>
    <t>022bdfec4c2c4b459eadfaf250a97ce2</t>
  </si>
  <si>
    <t>2026-02-13T09:30:00Z</t>
  </si>
  <si>
    <t>1. THIS FLIGT WAS PREPARED BY NIMROD R.
2. LLHA-RWY 15 RTOW 22401KG. SPS DATA: 130/06KTS, DRY, 25C DEG, QNH 1009, Air Cond. OFF.
3. EXTRA FUEL PLANNED DUE TO POSSIBLE WX AT LCLK AND ENROUTE.
4. DISPATCHED AT FL100 DUE TO WX ENROUTE.</t>
  </si>
  <si>
    <t>GALIM/F050 IFR P68 MERVA/F100 N131 EMEDA EMEDA1A</t>
  </si>
  <si>
    <t>2026-02-13T09:37:53Z</t>
  </si>
  <si>
    <t>2026-02-13T10:19:09Z</t>
  </si>
  <si>
    <t>2026-02-13T10:13:43.3366203Z</t>
  </si>
  <si>
    <t>ec4197e7a10d4e8f9b0ab3fb2bf6feb0</t>
  </si>
  <si>
    <t>2026-02-13T09:25:00Z</t>
  </si>
  <si>
    <t>1. THIS FLIGT WAS PREPARED BY NIMROD R.
2. EXTRA FUEL TO COVER THE NEXT LEG.
3. DISPATCHED AT FL130 DUE TO WX ENROUTE.
4. NEW OFP REV. 01 ISSUED WITH 2 ALTERNATES DUE TO LLHA WX.</t>
  </si>
  <si>
    <t>KEA1N KEA L995 RDS L609 ALKIS L609 APLON P68 MERVA P68 GALIM/F050 VFR</t>
  </si>
  <si>
    <t>2026-02-13T09:46:27Z</t>
  </si>
  <si>
    <t>2026-02-13T12:05:31Z</t>
  </si>
  <si>
    <t>2026-02-13T11:44:04.872375Z</t>
  </si>
  <si>
    <t>b276526340474892afc0518adce4395b</t>
  </si>
  <si>
    <t>2026-02-13T08:50:00Z</t>
  </si>
  <si>
    <t>2026-02-13T08:53:02Z</t>
  </si>
  <si>
    <t>2026-02-13T09:43:46Z</t>
  </si>
  <si>
    <t>2026-02-13T09:36:24.0889869Z</t>
  </si>
  <si>
    <t>fcff89afa0d24d378d51ebf45b82016d</t>
  </si>
  <si>
    <t>2026-02-13T07:40:00Z</t>
  </si>
  <si>
    <t>1. THIS FLIGT WAS PREPARED BY NIMROD R.
2. EXTRA FUEL TO COVER THE NEXT LEG WITH 200 KG EXTRA FUEL.</t>
  </si>
  <si>
    <t>N0269F110 EMEDA2B EMEDA B17 MERVA P68 GALIM/N0269A050 VFR</t>
  </si>
  <si>
    <t>2026-02-13T07:50:34Z</t>
  </si>
  <si>
    <t>2026-02-13T08:40:14Z</t>
  </si>
  <si>
    <t>2026-02-13T08:23:39.5987515Z</t>
  </si>
  <si>
    <t>17d55db6f3be4dfd9346303288932d12</t>
  </si>
  <si>
    <t>2026-02-13T07:00:00Z</t>
  </si>
  <si>
    <t>1. THIS FLIGT WAS PREPARED BY NIMROD R.
2. LLHA-RWY 15 RTOW 22623KG. SPS DATA: 130/06KTS, DRY, 20C DEG, QNH 1009, Air Cond. OFF.
3. A/C IS FUELED WITH 1930 KG FROM PREVIOUS LEG.</t>
  </si>
  <si>
    <t>2026-02-13T07:01:24Z</t>
  </si>
  <si>
    <t>2026-02-13T07:54:13Z</t>
  </si>
  <si>
    <t>2026-02-13T08:01:24.6917786Z</t>
  </si>
  <si>
    <t>deaf24cd6be845da84d8b72859b2292f</t>
  </si>
  <si>
    <t>2026-02-13T06:00:00Z</t>
  </si>
  <si>
    <t>1. THIS FLIGT WAS PREPARED BY NIMROD R.
2. LLHA-RWY 15 RTOW 22623KG. SPS DATA: 130/06KTS, DRY, 20C DEG, QNH 1009, Air Cond. OFF.
3. A/C IS FUELED WITH 1480 KG FROM PREVIOUS LEG.
4. DISPATCHED AT FL100 DUE TO WX ENROUTE.</t>
  </si>
  <si>
    <t>GALIM/N0229A050 IFR P68 MERVA/N0259A100 N131 EMEDA EMEDA1A</t>
  </si>
  <si>
    <t>2026-02-13T06:15:13Z</t>
  </si>
  <si>
    <t>2026-02-13T06:56:34Z</t>
  </si>
  <si>
    <t>2026-02-13T06:44:13.5668724Z</t>
  </si>
  <si>
    <t>9d61136c353a43b2a485057edcf91f8c</t>
  </si>
  <si>
    <t>2026-02-13T05:46:00Z</t>
  </si>
  <si>
    <t>1. THIS FLIGT WAS PREPARED BY NIMROD R.
2. LLHA-RWY 15 RTOW 22635KG. SPS DATA: 130/04KTS, DRY, 18C DEG, QNH 1009, Air Cond. OFF.
3. EXTRA FUEL PLANNED DUE TO WX ENROUTE.
4. DISPATCHED AT FL120 DUE TO WX ENROUTE.</t>
  </si>
  <si>
    <t>GALIM/F050 IFR P68 MERVA/F120 P68 APLON L609 RDS L995 VARIX VARIX1R</t>
  </si>
  <si>
    <t>2026-02-13T05:56:09Z</t>
  </si>
  <si>
    <t>2026-02-13T08:36:33Z</t>
  </si>
  <si>
    <t>2026-02-13T08:20:54.9118701Z</t>
  </si>
  <si>
    <t>88c28607478f49b5935af44ac4d88fa8</t>
  </si>
  <si>
    <t>2026-02-13T05:40:00Z</t>
  </si>
  <si>
    <t>1. THIS FLIGT WAS PREPARED BY NIMROD R.
2. LLHA-RWY 15 RTOW 22635KG. SPS DATA: 130/04KTS, DRY, 18C DEG, QNH 1009, Air Cond. OFF.
3. EXTRA FUEL PLANNED DUE TO WX ENROUTE.
4. DISPATCHED AT FL140 DUE TO WX AND H-WINDS.</t>
  </si>
  <si>
    <t>N0234A050 GALIM/N0233A050 IFR P68 MERVA/N0272A140 B17 VELOX M42 GENOS DCT PEDER A16 DASNI M601 EXELA N127 DAL N618 YOYYO G80 OKESA DCT RIKSO N128 PEREN L863 EVIVI Y94 VANET VANET6D</t>
  </si>
  <si>
    <t>2026-02-13T05:59:47Z</t>
  </si>
  <si>
    <t>2026-02-13T09:39:37Z</t>
  </si>
  <si>
    <t>2026-02-13T09:09:29.7029912Z</t>
  </si>
  <si>
    <t>8f655f9a4ef341c2ade0331083ae0c2e</t>
  </si>
  <si>
    <t>2026-02-10T17:55:00Z</t>
  </si>
  <si>
    <t>2026-02-10T18:19:09Z</t>
  </si>
  <si>
    <t>2026-02-10T18:59:05Z</t>
  </si>
  <si>
    <t>2026-02-10T18:34:57.9969935Z</t>
  </si>
  <si>
    <t>3995e74a834d4af6b6934e84c3e864aa</t>
  </si>
  <si>
    <t>2026-02-10T16:30:00Z</t>
  </si>
  <si>
    <t>EXTRA FUEL IS PER POLICY.
T/O DATA-RWY 33,TEMP 21C,WIND 0,Q1011,PACKS OFF,....RTOW 22000KG.
DISP-EREZ Y.</t>
  </si>
  <si>
    <t>GALIM/N0235A050 IFR P68 MERVA/N0277A140 N131 EMEDA EMEDA1A</t>
  </si>
  <si>
    <t>2026-02-10T16:40:34Z</t>
  </si>
  <si>
    <t>2026-02-10T17:29:21Z</t>
  </si>
  <si>
    <t>2026-02-10T17:16:12.5557429Z</t>
  </si>
  <si>
    <t>0f731f60ea154c7584d131393d494bb5</t>
  </si>
  <si>
    <t>2026-02-10T15:25:00Z</t>
  </si>
  <si>
    <t>1.F/L BETWEEN ALKIS-NILAS IS DUE EUROCONTROL LIMITATION,OPT LVL MIGHT BE APPROVED BY ATC UPON REQ.
2.EXTRA FUEL IS FOR THE NEXT FLT.
DISP-EREZ Y.</t>
  </si>
  <si>
    <t>KEA1E KEA L995 RDS L609 NILAS/F150 L609 ALKIS/F190 L609 APLON P68 GALIM/N0264A050 VFR</t>
  </si>
  <si>
    <t>2026-02-10T16:19:32Z</t>
  </si>
  <si>
    <t>2026-02-10T18:32:46Z</t>
  </si>
  <si>
    <t>2026-02-10T17:40:21.4127314Z</t>
  </si>
  <si>
    <t>681073db6f8f4cd4a6b5908be22ef2ad</t>
  </si>
  <si>
    <t>2026-02-10T14:40:00Z</t>
  </si>
  <si>
    <t>NURIT2H NURIT J10 TOMAL/N0269F080 J10 NAT/N0224F040 J15 ATLIT/N0225F040 VFR 3245N03456E 3248N03457E GALIM</t>
  </si>
  <si>
    <t>2026-02-10T14:55:52Z</t>
  </si>
  <si>
    <t>2026-02-10T15:51:58Z</t>
  </si>
  <si>
    <t>2026-02-10T15:29:32.7555653Z</t>
  </si>
  <si>
    <t>70d0c856efaa4b98beea1b78863f18b6</t>
  </si>
  <si>
    <t>2026-02-10T12:50:00Z</t>
  </si>
  <si>
    <t>EXTRA FUELED WITH 1940KG FROM PREV. LEG.
T/O DATA: RWY 33. DRY. 260/06KT 20C  AC-OFF 1011Q    RTOW-22144KG
DIS. BY AYELET W.</t>
  </si>
  <si>
    <t>2026-02-10T12:56:20Z</t>
  </si>
  <si>
    <t>2026-02-10T13:51:50Z</t>
  </si>
  <si>
    <t>2026-02-10T13:49:21.2164807Z</t>
  </si>
  <si>
    <t>722b146890b14198980befc24f9d6a8b</t>
  </si>
  <si>
    <t>2026-02-10T11:45:00Z</t>
  </si>
  <si>
    <t>EXTRA FUEL TO COVER THE NEXT FLT
LLBG RWY 03/21 IS CLSD PER NOTAM -07-11Z
DIS. BY AYELET W .</t>
  </si>
  <si>
    <t>2026-02-10T12:12:48Z</t>
  </si>
  <si>
    <t>2026-02-10T12:52:04Z</t>
  </si>
  <si>
    <t>2026-02-10T12:24:45.7669201Z</t>
  </si>
  <si>
    <t>534b709e6c9e4ba09f41a311fc6b08db</t>
  </si>
  <si>
    <t>EXTRA FUEL IS PER COMPANY POLICY
T/O DATA: RWY 33. DRY. 0K 20C 1011Q AC-OFF  RTOW-22050KG
DIS. BY AYELET W.</t>
  </si>
  <si>
    <t>N0233A050 GALIM/N0232A050 IFR P68 MERVA/N0266A140 P68 APLON L609 RDS L995 VARIX VARIX1Q</t>
  </si>
  <si>
    <t>2026-02-10T11:47:01Z</t>
  </si>
  <si>
    <t>2026-02-10T11:37:25Z</t>
  </si>
  <si>
    <t>2026-02-10T14:28:50.3379646Z</t>
  </si>
  <si>
    <t>6ed675793de34a4aacf189964facae6a</t>
  </si>
  <si>
    <t>2026-02-10T10:05:00Z</t>
  </si>
  <si>
    <t>EXTRA FUEL IS PER COMPANY POLICY
T/O DATA : RWY 33 260/05K  DRY. 19C 1011Q AC-OFF    RTOW-22178KG
LCLK- AD IS CLSD AS PER NOTAM 09-11Z
DIS. BY AYELET W.</t>
  </si>
  <si>
    <t>2026-02-10T10:25:12Z</t>
  </si>
  <si>
    <t>2026-02-10T10:51:38.774095Z</t>
  </si>
  <si>
    <t>f51c2d45225447e7b2bd911cdb2ab901</t>
  </si>
  <si>
    <t>2026-02-10T07:50:00Z</t>
  </si>
  <si>
    <t>EXTRA FUEL TO COVER THE NEXT FLT
LLBG RWY 03/21 CLSD AS PER NOTAM
DIS BY AYELET W .</t>
  </si>
  <si>
    <t>2026-02-10T08:21:43Z</t>
  </si>
  <si>
    <t>2026-02-10T09:14:34Z</t>
  </si>
  <si>
    <t>2026-02-10T08:38:35.8390426Z</t>
  </si>
  <si>
    <t>48c4f40922864c6d91875eef29be2133</t>
  </si>
  <si>
    <t>2026-02-10T06:00:00Z</t>
  </si>
  <si>
    <t>OFP REV01 DUE TO CHG OF ALT TO LCLK
AC IS FUELED WITH 1910KG FROM PREV. FLT
T/O DATA: RWY 15. DRY. 16C. 1010Q  AC-OFF.  RTOW -22536KG
LCLK-AD CLSD AS PER NOTAM 09-11Z
 DIS BY AYELET W.</t>
  </si>
  <si>
    <t>2026-02-10T08:36:41Z</t>
  </si>
  <si>
    <t>2026-02-10T07:34:46Z</t>
  </si>
  <si>
    <t>2026-02-10T06:59:35.3509145Z</t>
  </si>
  <si>
    <t>471aeebf6f454d34af0f89266e0d854b</t>
  </si>
  <si>
    <t>2026-01-01T18:35:00Z</t>
  </si>
  <si>
    <t xml:space="preserve">1. THIS FLIGHT WAS PREPARED BY LIAT NAHON
2. EXTRA FUEL DUE TO WX AT DEST + TO COVER THE NEXT LEG </t>
  </si>
  <si>
    <t>2026-01-01T18:55:16Z</t>
  </si>
  <si>
    <t>2026-01-01T19:38:09Z</t>
  </si>
  <si>
    <t>2026-01-01T19:14:36.3242798Z</t>
  </si>
  <si>
    <t>4e6c33d7f1204488a79adc048b821d38</t>
  </si>
  <si>
    <t>2026-01-01T16:30:00Z</t>
  </si>
  <si>
    <t>1. THIS FLIGHT WAS PREPARED BY LIAT NAHON
2. LLHA RWY 33, WET, 270/05, 16C, 1011, AC OFF
    RTOW = 22378 KG
3. EXTRA FUEL AS PER COMPANY POLICY
    ATTN TO ICING ENRTE. REQ TF FL080 = 652 KG.</t>
  </si>
  <si>
    <t>GALIM/N0234A050 IFR P68 MERVA/N0277A140 N131 EMEDA EMEDA1A</t>
  </si>
  <si>
    <t>2026-01-01T16:44:03Z</t>
  </si>
  <si>
    <t>2026-01-01T17:33:44Z</t>
  </si>
  <si>
    <t>2026-01-01T17:18:08.4858443Z</t>
  </si>
  <si>
    <t>9003bde7221a4013a32f15735bef5443</t>
  </si>
  <si>
    <t>2026-01-01T15:25:00Z</t>
  </si>
  <si>
    <t>EXTRA FUEL IS FOR THE NEXT FLT(ATH),CAN BE USED,IF NEEDED FOR HOLDING AT DEST LLHA,DUE POSS WX(+TSRA,CB'S,GUST WIND).
DISP-EREZ Y.</t>
  </si>
  <si>
    <t>KEA1E KEA L995 RDS L609 APLON P68 GALIM/N0273A050 VFR</t>
  </si>
  <si>
    <t>2026-01-01T15:48:46Z</t>
  </si>
  <si>
    <t>2026-01-01T18:10:08Z</t>
  </si>
  <si>
    <t>2026-01-01T17:41:16.6341796Z</t>
  </si>
  <si>
    <t>86b6f5610fd347989c3633c93c4aeab4</t>
  </si>
  <si>
    <t>2026-01-01T15:05:00Z</t>
  </si>
  <si>
    <t>EXTRA FUEL IS FOR THE NEXT FLT+ABOUT 100 KG FOR POSS HOLDING AT DEST DUE WX(TS AND CROSS WIND WITH GUST).
DISP-EREZ Y.</t>
  </si>
  <si>
    <t>2026-01-01T15:06:38Z</t>
  </si>
  <si>
    <t>2026-01-01T15:49:53Z</t>
  </si>
  <si>
    <t>2026-01-01T15:44:30.179508Z</t>
  </si>
  <si>
    <t>d7bc1daa0d9b402ebbab574d2403988b</t>
  </si>
  <si>
    <t>2026-01-01T14:40:00Z</t>
  </si>
  <si>
    <t>EXTRA FUEL IS FOR THE NEXT FLT(ETM)+ABOUT 100KG FOR POSS HOLDING DUE WX AT DEST.
DISP-EREZ Y.</t>
  </si>
  <si>
    <t>NURIT2H NURIT J10 TOMAL/N0275F080 J10 NAT/N0225F040 J15 ATLIT/N0225F040 VFR 3245N03456E 3248N03457E GALIM</t>
  </si>
  <si>
    <t>2026-01-01T14:49:16Z</t>
  </si>
  <si>
    <t>2026-01-01T15:42:01Z</t>
  </si>
  <si>
    <t>2026-01-01T15:29:15.6023385Z</t>
  </si>
  <si>
    <t>9d3d3baf7b9a4a0aab494969e9ecdbf1</t>
  </si>
  <si>
    <t>2026-01-01T13:00:00Z</t>
  </si>
  <si>
    <t>EXTRA FUEL IS FROM PREVIOUS FLT.
T/O DATA-RWY 33-WET,TEMP 17C,WIND 0,Q1012,PACKS OFF,....RTOW 22588 KG.
DISP-EREZ Y.</t>
  </si>
  <si>
    <t>2026-01-01T13:17:43Z</t>
  </si>
  <si>
    <t>2026-01-01T14:03:32Z</t>
  </si>
  <si>
    <t>2026-01-01T13:48:01.9453597Z</t>
  </si>
  <si>
    <t>8ea6000062354d24be7e321b61af597f</t>
  </si>
  <si>
    <t>2026-01-01T12:50:00Z</t>
  </si>
  <si>
    <t>EXTRA FUEL CONSIST OF 100 KG PER POLICY + 100 KG DUE LLHA WX.
T/O DATA-RWY 33-WET,TEMP 17C,WIND 0,Q1012,PACKS OFF,....RTOW 22588 KG.
DISP-EREZ Y.</t>
  </si>
  <si>
    <t>GALIM/N0235A050 IFR Q28 ATLIT J15 NAT/N0276A090 J10 SIVAK/N0277A130 J10 NURIT NURIT1D</t>
  </si>
  <si>
    <t>2026-01-01T13:00:06Z</t>
  </si>
  <si>
    <t>2026-01-01T13:58:17Z</t>
  </si>
  <si>
    <t>2026-01-01T13:47:56.5019414Z</t>
  </si>
  <si>
    <t>5a1efb0b4d93406caaa3fd71547dd4ab</t>
  </si>
  <si>
    <t>2026-01-01T12:35:00Z</t>
  </si>
  <si>
    <t>EXTRA FUEL IS FOR THE NEXT FLT(ATH),CAN BE USED,IF NEEDED FOR HOLDING DUE WX AT DEST.
A/C RLSD AS PER MEL 36-11-02-01...MAX F/L 170. 
DISP-EREZ Y.</t>
  </si>
  <si>
    <t>NURIT2H NURIT J10 TOMAL/N0275F080 J10 NAT/N0224F040 J15 ATLIT/N0225F040 VFR 3245N03456E 3248N03457E GALIM</t>
  </si>
  <si>
    <t>2026-01-01T12:42:40Z</t>
  </si>
  <si>
    <t>2026-01-01T13:33:04Z</t>
  </si>
  <si>
    <t>2026-01-01T13:24:41.2654788Z</t>
  </si>
  <si>
    <t>3a8430266c954e57969c1e65e2f1e0cf</t>
  </si>
  <si>
    <t>2026-01-01T11:45:00Z</t>
  </si>
  <si>
    <t>1.EXTRA FUEL CONSIST OF 100 KG PER POLICY + 100 KG DUE LLHA WX.
2.T/O DATA-RWY 33-WET,TEMP 17,WIND 0,Q1012,PACKS OFF,....RTOW 22588 KG.
3.PAY ATTN -ATC WAS FILED FOR 1125Z DUE POSS CTOT. 
DISP-EREZ Y.</t>
  </si>
  <si>
    <t>GALIM/N0234A050 IFR P68 MERVA/N0276A160 P68 APLON L609 RDS L995 VARIX VARIX1Q</t>
  </si>
  <si>
    <t>2026-01-01T11:51:46Z</t>
  </si>
  <si>
    <t>2026-01-01T14:45:53Z</t>
  </si>
  <si>
    <t>2026-01-01T14:34:42.8859852Z</t>
  </si>
  <si>
    <t>5b10c79f983643f1b15aa9ae0a03444a</t>
  </si>
  <si>
    <t>2026-01-01T11:10:00Z</t>
  </si>
  <si>
    <t>EXTRA FUEL IS FOR THE NEXT FLT +FOR WX AT DEST(ABOUT 100 KG).
DISP-EREZ Y.</t>
  </si>
  <si>
    <t>2026-01-01T11:07:09Z</t>
  </si>
  <si>
    <t>2026-01-01T11:53:29Z</t>
  </si>
  <si>
    <t>2026-01-01T11:48:47.7038276Z</t>
  </si>
  <si>
    <t>3c658bc7b198418c88e8a7c3fc610dac</t>
  </si>
  <si>
    <t>2026-01-01T10:45:00Z</t>
  </si>
  <si>
    <t>1.EXTRA FUEL CONSIST OF 100 KG PER POLICY + 100 KG DUE LLHA WX.
2.A/C RLSD AS PER MEL 36-11-02-01...MAX F/L 170. 
3.T/O DATA-RWY 33-WET,TEMP 17,WIND 0,Q1012,PACKS OFF,....RTOW 22588 KG.
DISP-EREZ Y.</t>
  </si>
  <si>
    <t>GALIM/N0235A050 IFR Q28 ATLIT J15 NAT/N0277A090 J10 SIVAK/N0277A130 J10 NURIT NURIT1D</t>
  </si>
  <si>
    <t>2026-01-01T10:52:52Z</t>
  </si>
  <si>
    <t>2026-01-01T11:42:06Z</t>
  </si>
  <si>
    <t>2026-01-01T11:43:08.1432413Z</t>
  </si>
  <si>
    <t>f2f795ad8021414dab2c5186d31926ca</t>
  </si>
  <si>
    <t>2026-01-01T09:55:00Z</t>
  </si>
  <si>
    <t>EXTRA FUEL IS FOR THE NEXT FLT+DEST WX(NEXT FLT ATH).
DISP-EREZ Y.</t>
  </si>
  <si>
    <t>N0276F130 ESERI1C ESERI M42 VELOX B17 MERVA P68 GALIM/N0276A050 VFR MERVA P68 GALIM</t>
  </si>
  <si>
    <t>2026-01-01T09:55:19Z</t>
  </si>
  <si>
    <t>2026-01-01T10:46:46Z</t>
  </si>
  <si>
    <t>2026-01-01T10:51:11.3343307Z</t>
  </si>
  <si>
    <t>39c4279430c144809a31e11d28972b68</t>
  </si>
  <si>
    <t>2026-01-01T09:30:00Z</t>
  </si>
  <si>
    <t>EXTRA FUEL IS FROM PREVIOUS FLT.
T/O DATA-RWY 15-WET,TEMP 15C,WIND 0,Q1012,PACKS OFF,....RTOW 22615 KG.
DISP-EREZ Y.</t>
  </si>
  <si>
    <t>2026-01-01T09:30:14Z</t>
  </si>
  <si>
    <t>2026-01-01T10:18:45Z</t>
  </si>
  <si>
    <t>2026-01-01T10:17:50.8744412Z</t>
  </si>
  <si>
    <t>a9df542de3c9443fb7353eb192c80350</t>
  </si>
  <si>
    <t>2026-01-01T09:25:00Z</t>
  </si>
  <si>
    <t>EXTRA FUEL CONSIST OF NEXT LEG FUEL(ETM)+ABOUT 100 KG FOR POSS HOLD IF NEEDED DUE DEST WX.
DISP-EREZ Y.</t>
  </si>
  <si>
    <t>KEA1E KEA L995 RDS L609 APLON P68 GALIM/N0283A050 VFR</t>
  </si>
  <si>
    <t>2026-01-01T10:03:11Z</t>
  </si>
  <si>
    <t>2026-01-01T12:16:30Z</t>
  </si>
  <si>
    <t>2026-01-01T11:37:10.3121753Z</t>
  </si>
  <si>
    <t>d8f4a7f930c2473ba80d6ca891693582</t>
  </si>
  <si>
    <t>2026-01-01T08:50:00Z</t>
  </si>
  <si>
    <t>1.EXTRA FUEL IS FOR THE NEXT FLT + 100 KG DUE LLHA WX.
2.A/C RLSD AS PER MEL 36-11-02-01...MAX F/L 170. 
DISP-EREZ Y.</t>
  </si>
  <si>
    <t>NURIT2H NURIT J10 TOMAL/N0276F080 J10 NAT/N0225F040 J15 ATLIT/N0226F040 VFR 3245N03456E 3248N03457E GALIM</t>
  </si>
  <si>
    <t>2026-01-01T09:02:52Z</t>
  </si>
  <si>
    <t>2026-01-01T09:54:34Z</t>
  </si>
  <si>
    <t>2026-01-01T09:38:52.6680401Z</t>
  </si>
  <si>
    <t>c98e50a11e2c4e84b86c45106a461d88</t>
  </si>
  <si>
    <t>2026-01-01T08:05:00Z</t>
  </si>
  <si>
    <t>EXTRA FUEL DUE FUEL ON BOARD FROM PREVIOUS FLT.
T/O DATA-RWY 33-WET,TEMP 17,WIND 0,Q1011,PACKS OFF,....RTOW 22200 KG.
DISP-EREZ Y.</t>
  </si>
  <si>
    <t>GALIM/N0235A050 IFR P68 MERVA/N0281A140 N131 VELOX M42 ESERI</t>
  </si>
  <si>
    <t>2026-01-01T08:02:54Z</t>
  </si>
  <si>
    <t>2026-01-01T09:04:29Z</t>
  </si>
  <si>
    <t>2026-01-01T08:57:57.3925501Z</t>
  </si>
  <si>
    <t>d91c6fb58dd142b0b97d39e18995421a</t>
  </si>
  <si>
    <t>2026-01-01T07:40:00Z</t>
  </si>
  <si>
    <t>EXTRA FUEL IS FOR THE NEXT FLT +100 KG DUE DEST WX.
DISP-EREZ Y.</t>
  </si>
  <si>
    <t>2026-01-01T07:40:57Z</t>
  </si>
  <si>
    <t>2026-01-01T08:23:06Z</t>
  </si>
  <si>
    <t>2026-01-01T08:18:25.8999769Z</t>
  </si>
  <si>
    <t>918739a2250a4b24a0dc671784ec81fd</t>
  </si>
  <si>
    <t>2026-01-01T07:00:00Z</t>
  </si>
  <si>
    <t>1.EXTRA FUEL CONSIST OF 100 KG PER POLICY + 100 KG DUE LLHA WX.
2.A/C RLSD AS PER MEL 36-11-02-01...MAX F/L 170. 
3.T/O DATA-RWY 33-WET,TEMP 15,WIND 0,Q1010,PACKS OFF,....RTOW 22286 KG.
DISP-EREZ Y.</t>
  </si>
  <si>
    <t>GALIM/N0234A050 IFR Q28 ATLIT J15 NAT/N0275A090 J10 SIVAK/N0274A130 J10 NURIT NURIT1D</t>
  </si>
  <si>
    <t>2026-01-01T07:05:51Z</t>
  </si>
  <si>
    <t>2026-01-01T07:58:35Z</t>
  </si>
  <si>
    <t>2026-01-01T07:58:25.277369Z</t>
  </si>
  <si>
    <t>b20510c5054444519cc4c1fa499b3816</t>
  </si>
  <si>
    <t>2026-01-01T06:00:00Z</t>
  </si>
  <si>
    <t>1.EXTRA FUEL DUE FUEL FROM PREVIOUS FLT.
2.T/O DATA-RWY 33-WET,TEMP 15,WIND 0,Q1010,PACKS OFF,....RTOW 22286 KG.
DISP-EREZ Y.</t>
  </si>
  <si>
    <t>2026-01-01T06:03:10Z</t>
  </si>
  <si>
    <t>2026-01-01T06:49:18Z</t>
  </si>
  <si>
    <t>2026-01-01T06:47:18.5358668Z</t>
  </si>
  <si>
    <t>4b03bb97203f4fc9963bc9f78681b317</t>
  </si>
  <si>
    <t>2026-01-01T05:45:00Z</t>
  </si>
  <si>
    <t>1.EXTRA FUEL CONSIST OF 100 KG PER POLICY+100 KG DUE ORIGIN WX.
2.T/O DATA-RWY 33-WET,TEMP 15,WIND 0,Q1010,PACKS OFF,....RTOW 22286 KG.
DISP-EREZ Y.</t>
  </si>
  <si>
    <t>2026-01-01T06:00:32Z</t>
  </si>
  <si>
    <t>2026-01-01T08:59:51Z</t>
  </si>
  <si>
    <t>2026-01-01T08:38:41.4905921Z</t>
  </si>
  <si>
    <t>220b920abb164023a73853b9af5659ca</t>
  </si>
  <si>
    <t>2026-03-29T13:10:00Z</t>
  </si>
  <si>
    <t>2026-03-29T13:27:43Z</t>
  </si>
  <si>
    <t>2026-03-29T14:31:16Z</t>
  </si>
  <si>
    <t>2026-03-29T14:30:01.9922756Z</t>
  </si>
  <si>
    <t>b61d53f1441b470f8c0e93f48ce6f893</t>
  </si>
  <si>
    <t>2026-03-29T13:05:00Z</t>
  </si>
  <si>
    <t>2026-03-29T13:42:42.9915066Z</t>
  </si>
  <si>
    <t>1208ea5514a04d80a29d00daacec2307</t>
  </si>
  <si>
    <t>2026-03-29T10:45:00Z</t>
  </si>
  <si>
    <t>1. THIS FLIGHT WAS PREPARED BY NIMROD R.
EXTRA FUEL PLANNED FOR POSSIBLE SIRENS.</t>
  </si>
  <si>
    <t>2026-03-29T10:58:58Z</t>
  </si>
  <si>
    <t>2026-03-29T11:58:29Z</t>
  </si>
  <si>
    <t>2026-03-29T11:54:22.4837397Z</t>
  </si>
  <si>
    <t>aa4603a138ef48d687a156f4e741c1b8</t>
  </si>
  <si>
    <t>2026-03-29T09:00:00Z</t>
  </si>
  <si>
    <t>KOR2T KOR N604 RUTOM/N0277F190 M601 CRN M736 SOR M603 PNZ M729 MEDAL Q160 PODOX T246 MIRSA A3 RUBIT G7 MTG Y341 SALIN Y25 FJR/N0277F180 DCT AFRIC AFRIC3N</t>
  </si>
  <si>
    <t>2026-03-29T13:25:44.4153624Z</t>
  </si>
  <si>
    <t>4b3b538c90064daf9ee459de2dc702ad</t>
  </si>
  <si>
    <t>2026-03-29T08:15:00Z</t>
  </si>
  <si>
    <t>TST</t>
  </si>
  <si>
    <t>PHA1W PHA M31 GENOS DCT TOSKA M978 PERIM L53 KRK L869 LATAN/N0282F180 L869 CDC Q182 MINKA/N0279F240 Q182 MALAV DCT EPIKU DCT GINOX DCT OKSER DCT AMFAC/N0277F250 DCT FJR DCT AFRIC AFRIC3S</t>
  </si>
  <si>
    <t>2026-03-29T15:13:02.0540749Z</t>
  </si>
  <si>
    <t>adad49e6a98e42389e6c16ae164676bf</t>
  </si>
  <si>
    <t>2026-03-29T07:45:00Z</t>
  </si>
  <si>
    <t>1. THIS FLIGHT WAS PREPARED BY NIMROD R.
2. FLIGHT PLAN MAY BE OPERATIONAL ONCE ENOUGH FUELED SAVED TO PROCEED TO LFBF.</t>
  </si>
  <si>
    <t>2026-03-29T08:01:22Z</t>
  </si>
  <si>
    <t>2026-03-29T15:09:09Z</t>
  </si>
  <si>
    <t>2026-03-29T14:40:35.7434033Z</t>
  </si>
  <si>
    <t>f55c290953374b419c269049102b7350</t>
  </si>
  <si>
    <t>2026-03-29T07:30:00Z</t>
  </si>
  <si>
    <t>HFA131A</t>
  </si>
  <si>
    <t>PHA1W PHA M31 MAROS L609 ALKIS/F220 L609 EVUNU L609 NILAS/F240 L609 RDS L995 VARIX VARIX1Q</t>
  </si>
  <si>
    <t>2026-03-29T09:55:27.3708185Z</t>
  </si>
  <si>
    <t>7d8ddbca227d47c7be138c8a88d16ca8</t>
  </si>
  <si>
    <t>2026-02-05T17:15:00Z</t>
  </si>
  <si>
    <t>1. THIS FLIGHT WAS PREPARED BY NIMROD R.
2. EXTRA FUEL PLANNED TO COVER THE NEXT LEG.</t>
  </si>
  <si>
    <t>2026-02-05T17:17:18Z</t>
  </si>
  <si>
    <t>2026-02-05T17:59:40Z</t>
  </si>
  <si>
    <t>2026-02-05T17:56:27.1585019Z</t>
  </si>
  <si>
    <t>91b9051a4d814625bbee5b2667d3bade</t>
  </si>
  <si>
    <t>2026-02-05T15:50:00Z</t>
  </si>
  <si>
    <t>1. THIS FLIGHT WAS PREPARED BY NIMROD R.
2. LLHA-RWY 15 RTOW 22516KG. SPS DATA: 120/05KTS, DRY, 22C DEG, QNH 1012, Air Cond. OFF.
3. A/C IS FUELED WITH 1650 KG FROM PREVIOUS LEG.</t>
  </si>
  <si>
    <t>2026-02-05T15:47:28Z</t>
  </si>
  <si>
    <t>2026-02-05T16:31:08Z</t>
  </si>
  <si>
    <t>2026-02-05T16:35:37.4983263Z</t>
  </si>
  <si>
    <t>6779950398df47d1ae0a0abe54ec495b</t>
  </si>
  <si>
    <t>2026-02-05T15:15:00Z</t>
  </si>
  <si>
    <t>1. THIS FLIGHT WAS PREPARED BY NIMROD R.
2. EXTRA FUEL PLANNED FOR NEXT LEG.</t>
  </si>
  <si>
    <t>KEA1N KEA L995 RDS L609 APLON P68 MERVA P68 GALIM/F050 VFR</t>
  </si>
  <si>
    <t>2026-02-05T15:30:03Z</t>
  </si>
  <si>
    <t>2026-02-05T17:46:30Z</t>
  </si>
  <si>
    <t>2026-02-05T17:32:06.8320515Z</t>
  </si>
  <si>
    <t>4464990e45264eb3b175a0659539d0f0</t>
  </si>
  <si>
    <t>2026-02-05T12:50:00Z</t>
  </si>
  <si>
    <t xml:space="preserve">EXTRA FUEL TO COVER THE NEXT LEG.
DIS BY AYELET W UNDER THE SUPER. OF LIAT N
</t>
  </si>
  <si>
    <t>2026-02-05T13:01:23Z</t>
  </si>
  <si>
    <t>2026-02-05T13:52:47Z</t>
  </si>
  <si>
    <t>2026-02-05T13:39:12.2930736Z</t>
  </si>
  <si>
    <t>2965defac7724be2b6199f5fb75ad9e3</t>
  </si>
  <si>
    <t>2026-02-05T11:45:00Z</t>
  </si>
  <si>
    <t>EXTRA FUEL IS PER COMPANY POLICY.
DIS AT FL140 DUE TO SHORT FLIGHT TIME.
T/O DATA: RWY 15. DRY. 150/05K 20C 1015Q  AC-OFF   RTOW-22681KG
DIS. BY AYELET W UNDER THE SUPER. OF LIAT N</t>
  </si>
  <si>
    <t>GALIM P68 APLON L609 MAROS M67 TOSKA M978 PERIM L53 TIPAS N137 RIPLI L995 VARIX VARIX1W</t>
  </si>
  <si>
    <t>2026-02-05T11:46:21Z</t>
  </si>
  <si>
    <t>2026-02-05T14:29:58Z</t>
  </si>
  <si>
    <t>2026-02-05T14:25:42.214184Z</t>
  </si>
  <si>
    <t>d479458fa7d44d348cc8bb4a3ce1ecd8</t>
  </si>
  <si>
    <t>2026-02-05T11:10:00Z</t>
  </si>
  <si>
    <t>EXTRA FUEL TO COVER THE NEXT LEG.
DIS BY AYELET W UNDER THE SUPER. OF LIAT N.</t>
  </si>
  <si>
    <t>N0273F130 EMEDA2B EMEDA B17 MERVA P68 GALIM/N0272A050 VFR</t>
  </si>
  <si>
    <t>2026-02-05T11:09:35Z</t>
  </si>
  <si>
    <t>2026-02-05T11:50:38Z</t>
  </si>
  <si>
    <t>2026-02-05T11:50:33.4144053Z</t>
  </si>
  <si>
    <t>7cf0c6f241c7472ca983e1818e9baa62</t>
  </si>
  <si>
    <t>2026-02-05T10:45:00Z</t>
  </si>
  <si>
    <t>AC IS FUELED WITH 1920 KG FROM PREV. LEG
T/O DATA: RWY 15. DRY. 140/07K 20C 1016Q  AC-OFF       RTOW -22771KG
DIS BY AYELET W UNDER THE SUPER. OF LIAT N.</t>
  </si>
  <si>
    <t>2026-02-05T10:43:00Z</t>
  </si>
  <si>
    <t>2026-02-05T11:41:17Z</t>
  </si>
  <si>
    <t>2026-02-05T11:42:56.8613183Z</t>
  </si>
  <si>
    <t>dc466179d73d43ffab6a7acbf598c50d</t>
  </si>
  <si>
    <t>2026-02-05T09:55:00Z</t>
  </si>
  <si>
    <t>EXTRA FUEL TO COVER THE NEXT FLIGHT
DIS. BY AYELET W UNDER THE SUPER. OF LIAT N.</t>
  </si>
  <si>
    <t>2026-02-05T09:49:53Z</t>
  </si>
  <si>
    <t>2026-02-05T10:34:28Z</t>
  </si>
  <si>
    <t>2026-02-05T10:44:07.74191Z</t>
  </si>
  <si>
    <t>bbb5bacab0624a5598110048131f5784</t>
  </si>
  <si>
    <t>2026-02-05T09:30:00Z</t>
  </si>
  <si>
    <t xml:space="preserve">EXTRA FUEL IS PER COMPANY POLICY
T/O DATA: RWY 15. DRY. 140/07K  18C 1016Q  AC-OFF     RTOW-22860KG.
DIS. BY AYELET W UNDER THE SUPER OF LIAT N.
</t>
  </si>
  <si>
    <t>2026-02-05T09:30:15Z</t>
  </si>
  <si>
    <t>2026-02-05T10:19:21Z</t>
  </si>
  <si>
    <t>2026-02-05T10:15:44.5796825Z</t>
  </si>
  <si>
    <t>121744026dc446d8af52ef2787ba09e1</t>
  </si>
  <si>
    <t>2026-02-05T09:25:00Z</t>
  </si>
  <si>
    <t xml:space="preserve">EXTRA FUEL TO COVER THE NEXT FLIGHT
ATTN TO ENRTE ICING
DIS BY AYELET W UNDER THE SUPER. OF LIAT N
</t>
  </si>
  <si>
    <t>KEA1N KEA L995 RDS/F170 L609 APLON P68 MERVA P68 GALIM/N0274A050 VFR</t>
  </si>
  <si>
    <t>2026-02-05T10:10:42Z</t>
  </si>
  <si>
    <t>2026-02-05T12:39:42Z</t>
  </si>
  <si>
    <t>2026-02-05T11:42:05.1289536Z</t>
  </si>
  <si>
    <t>247e07b413a242e0b0ba894025df83b3</t>
  </si>
  <si>
    <t>2026-02-05T08:50:00Z</t>
  </si>
  <si>
    <t>EXTRA FUEL FOR NEXT FLIGHT (LLER)
DIS. BY AYELET W UNDER THE SUPER. OF LIAT N</t>
  </si>
  <si>
    <t>2026-02-05T08:53:21Z</t>
  </si>
  <si>
    <t>2026-02-05T09:45:37Z</t>
  </si>
  <si>
    <t>2026-02-05T09:40:07.643318Z</t>
  </si>
  <si>
    <t>e734cfde30b84bacb1e85f75e183b793</t>
  </si>
  <si>
    <t>2026-02-05T08:05:00Z</t>
  </si>
  <si>
    <t>AC IS FUELED WITH 1520KG FROM PREV. FLIGHT.
T/O DATA : RWY 15. DRY. 140/08K 14C  1016Q  AC-OFF   RTOW 23000KG
DIS BY AYELET W UNDER THE SUPER. OF LIAT N</t>
  </si>
  <si>
    <t>2026-02-05T08:03:30Z</t>
  </si>
  <si>
    <t>2026-02-05T09:00:57Z</t>
  </si>
  <si>
    <t>2026-02-05T08:55:46.0857988Z</t>
  </si>
  <si>
    <t>ac57a2573a894fd0b2596ec6d7a255b4</t>
  </si>
  <si>
    <t>2026-02-05T07:40:00Z</t>
  </si>
  <si>
    <t xml:space="preserve">EXTRA FUEL TO COVER THE NEXT LEG
DIS. BY AYELET W UNDER THE SUPER. OF LIAT </t>
  </si>
  <si>
    <t>2026-02-05T07:44:33Z</t>
  </si>
  <si>
    <t>2026-02-05T08:26:16Z</t>
  </si>
  <si>
    <t>2026-02-05T08:20:26.0196645Z</t>
  </si>
  <si>
    <t>23d7f750afe440c5a02e23f1a31f7927</t>
  </si>
  <si>
    <t>2026-02-05T07:00:00Z</t>
  </si>
  <si>
    <t>AC IS FUELED WITH 1880KG FROM PREV. FLIGHT
T/O DATA: RWY 15. DRY. 140/07K 13C AC-OFF  1016Q   RTOW -23000KG
DIS. BY AYELET W UNDER THE SUPER. OFLIAT N.</t>
  </si>
  <si>
    <t>GALIM/N0235A050 IFR Q28 ATLIT J15 NAT/N0270A090 J10 SIVAK/N0271A130 J10 NURIT NURIT1D</t>
  </si>
  <si>
    <t>2026-02-05T06:59:44Z</t>
  </si>
  <si>
    <t>2026-02-05T07:54:32Z</t>
  </si>
  <si>
    <t>2026-02-05T07:57:10.0939273Z</t>
  </si>
  <si>
    <t>c8977667c04348e3be81fbf3a86dfe3d</t>
  </si>
  <si>
    <t>2026-02-05T06:05:00Z</t>
  </si>
  <si>
    <t>EXTRA FUEL PER COMPANY POLICY+ENRTE ICING
T/O DATA - RWY 15. DRY. 130/05K 12C 1016Q AC-OFF         RTOW -23000KG
DIS AT FL140 - DUE TO SHORT FLIGHT TIME
DIS. BY AYELET W UNDER THE SUPER. OF LIAT N.</t>
  </si>
  <si>
    <t>2026-02-05T06:21:43Z</t>
  </si>
  <si>
    <t>2026-02-05T09:10:16Z</t>
  </si>
  <si>
    <t>2026-02-05T08:43:03.3833814Z</t>
  </si>
  <si>
    <t>b4a5021148a2406b95c8ecfa3cdd263f</t>
  </si>
  <si>
    <t>2026-02-05T06:00:00Z</t>
  </si>
  <si>
    <t>AC IS FUELED WITH 1430KG FROM PREV FLIGHT.
T/O DATA: RWY 15. DRY. 130/05K. 12C AC-OFF. 1016Q     RTOW 23000
DIS. BY AYELET W UNDER THE SUPER. OF LIAT N.</t>
  </si>
  <si>
    <t>2026-02-05T06:09:17Z</t>
  </si>
  <si>
    <t>2026-02-05T06:52:40Z</t>
  </si>
  <si>
    <t>2026-02-05T06:45:41.1610165Z</t>
  </si>
  <si>
    <t>d99147100538457a9af9fb293ef6b15e</t>
  </si>
  <si>
    <t>2026-01-20T15:30:00Z</t>
  </si>
  <si>
    <t xml:space="preserve">FLT DIS WITH MEL 28-42-01. 
AC IS FUELED FROM PREV LEG.
DIS. BY AYELET W UNDER THE SUPER. OF LIAT N.
</t>
  </si>
  <si>
    <t>EMEDA1W EMEDA B17 MERVA P68 GALIM/N0277F130 VFR</t>
  </si>
  <si>
    <t>2026-01-20T15:45:55Z</t>
  </si>
  <si>
    <t>2026-01-20T16:22:11Z</t>
  </si>
  <si>
    <t>2026-01-20T16:08:34.0669484Z</t>
  </si>
  <si>
    <t>65bc1a2b5f86480d9eca5e0abd284af6</t>
  </si>
  <si>
    <t>2026-01-20T15:25:00Z</t>
  </si>
  <si>
    <t xml:space="preserve">EXTRA FUEL FOR NEXT FLT
DIS. BY AYELET W UNDER THE SUPER. OF LIAT N
</t>
  </si>
  <si>
    <t>KEA1E KEA L995 RDS L609 ALKIS/N0280F210 L609 MAROS L609 APLON P68 MERVA/F190 P68 GALIM/N0280A050 VFR</t>
  </si>
  <si>
    <t>2026-01-20T15:38:40Z</t>
  </si>
  <si>
    <t>2026-01-20T17:47:48Z</t>
  </si>
  <si>
    <t>2026-01-20T17:36:21.6684473Z</t>
  </si>
  <si>
    <t>1c53a427f90141829875c6208de6b86b</t>
  </si>
  <si>
    <t>2026-01-20T14:09:00Z</t>
  </si>
  <si>
    <t xml:space="preserve">1.OFP REV 01- DUE TO MEL 28-42-01. 
2.FLT DISPATCHED AT F/L 100 DUE SHORTER F/T,FOR COMPARISON,CHECK MAX CRUISE (PLAN) AT THE BRIEF. 
   LOWER F/L(080) MIGHT CONFRONT YOU WITH ICING ON ROUTE.
3.FLT DISPATCHED WITH 2200KG TO COVER THE NEXT LEG -(LCA-HFA) DUE TO THE MEL
4.SPS DATA - RWY 33. DRY. 340/04KTS. 14C. 1022Q. AC-OFF   RTOW-22717KG
5.DIS. BY AYELET W UNDER THE SUPER. OF LIAT N.
</t>
  </si>
  <si>
    <t>GALIM/N0234A050 IFR P68 MERVA/F100 N131 EMEDA EMEDA1A</t>
  </si>
  <si>
    <t>2026-01-20T14:16:57Z</t>
  </si>
  <si>
    <t>2026-01-20T15:00:16Z</t>
  </si>
  <si>
    <t>2026-01-20T14:56:10.6595358Z</t>
  </si>
  <si>
    <t>85848827ff5648e78d90f5414266b833</t>
  </si>
  <si>
    <t>2026-01-20T12:50:00Z</t>
  </si>
  <si>
    <t>EXTRA FUEL IS FOR SECURITY REASON,IN ORDER TO LAND AT LLHA WITH ABOUT 1500KG.
DISP-EREZ Y.</t>
  </si>
  <si>
    <t>NURIT2H NURIT J10 TOMAL/N0273F080 J10 NAT/N0224F040 J15 ATLIT/N0224F040 VFR 3245N03456E 3248N03457E GALIM</t>
  </si>
  <si>
    <t>2026-01-20T13:20:26Z</t>
  </si>
  <si>
    <t>2026-01-20T14:21:46Z</t>
  </si>
  <si>
    <t>2026-01-20T13:44:15.1123048Z</t>
  </si>
  <si>
    <t>4a16c158538a4ddc9a2cb8f45ec226f3</t>
  </si>
  <si>
    <t>2026-01-20T11:45:00Z</t>
  </si>
  <si>
    <t>1.IN ORDER TO  UNDERSTAND WHY F/L 100 WAS CHOSEN FOR DISPATCHING THIS FLT,I WILL REFER YOU TO, MAX CRUISE (PLAN) IN THE FLT BRIEF.
THERE YOU CAN SEE THAT EVEN F/L 080 CAN BE CHOSEN AT CERTAIN STAGES OF THE FLT(SEE MSA) WITH BETTER FLYING TIME.
2.ALT LGTS GIVEN DUE CLOSURE OF THE MAIN RWY AT LGIR.
3.PAY ATTN-ATC F/P WAS FOR 1130Z DUE POSS CTOT(IF DLAY IS NEEDED).-SEE ABOVE
4.EXTRA FUEL IS PER POLICY.
5.T/O DATA-RWY 33,TEMP 15C,WIND 360/06,Q1022,PACKS OFF.....RTOW 22735 KG.
DISP-EREZ Y.</t>
  </si>
  <si>
    <t>N0232A050 DCT GALIM/N0231A050 IFR P68 MERVA/F100 P68 APLON L609 RDS L995 VARIX VARIX1Q</t>
  </si>
  <si>
    <t>2026-01-20T11:46:24Z</t>
  </si>
  <si>
    <t>2026-01-20T14:45:32Z</t>
  </si>
  <si>
    <t>2026-01-20T14:20:16.3623346Z</t>
  </si>
  <si>
    <t>654799c11e5c4ead8222a91cc982b014</t>
  </si>
  <si>
    <t>2026-01-20T11:00:00Z</t>
  </si>
  <si>
    <t>EXTRA FUEL IS PER POLICY.
T/O DATA-RWY 33,TEMP 15C,WIND 360/06,Q1022,PACKS OFF....RTOW 22735 KG.
DISP-EREZ Y.</t>
  </si>
  <si>
    <t>GALIM/N0234A050 IFR Q28 ATLIT J15 NAT/N0277A090 J10 SIVAK/N0276A130 J10 NURIT NURIT1D</t>
  </si>
  <si>
    <t>2026-01-20T11:01:58Z</t>
  </si>
  <si>
    <t>2026-01-20T11:54:16Z</t>
  </si>
  <si>
    <t>2026-01-20T11:54:05.6988435Z</t>
  </si>
  <si>
    <t>572000d7606342678a0dcfd690cd5fba</t>
  </si>
  <si>
    <t>2026-01-20T08:50:00Z</t>
  </si>
  <si>
    <t>2026-01-20T09:07:38Z</t>
  </si>
  <si>
    <t>2026-01-20T10:07:21Z</t>
  </si>
  <si>
    <t>2026-01-20T09:43:13.9936376Z</t>
  </si>
  <si>
    <t>21f5f73e8c404715ad62798b1c0e5091</t>
  </si>
  <si>
    <t>2026-01-20T07:00:00Z</t>
  </si>
  <si>
    <t>EXTRA FUEL IS FROM PREVIOUS FLT.
T/O DATA-RWY 33,TEMP 10,WIND 0,Q1022,PACKS OFF....RTOW  22700 KG.
DISP-EREZ Y.</t>
  </si>
  <si>
    <t>GALIM/N0234A050 IFR Q28 ATLIT J15 NAT/N0277A090 J10 SIVAK/N0277A130 J10 NURIT NURIT1D</t>
  </si>
  <si>
    <t>2026-01-20T07:03:05Z</t>
  </si>
  <si>
    <t>2026-01-20T07:59:21Z</t>
  </si>
  <si>
    <t>2026-01-20T07:54:09.6395674Z</t>
  </si>
  <si>
    <t>4d2f2e9b0bdc4ca6b24c2ca8ed5e6b93</t>
  </si>
  <si>
    <t>2026-03-27T16:00:00Z</t>
  </si>
  <si>
    <t>N0274A160 SUVAS1E SUVAS DCT STEPA DCT APLON A28 BETID BETID1A</t>
  </si>
  <si>
    <t>2026-03-27T16:22:21Z</t>
  </si>
  <si>
    <t>2026-03-27T17:22:49Z</t>
  </si>
  <si>
    <t>2026-03-27T17:17:06.7448139Z</t>
  </si>
  <si>
    <t>b13e1a17a0904be082baf36ab3b689b0</t>
  </si>
  <si>
    <t>2026-03-27T13:30:00Z</t>
  </si>
  <si>
    <t>EXTRA FUEL FOR THE NEXT FLIGHT+POSS WAIT AT LLBG
DIS. BY AYELET W.</t>
  </si>
  <si>
    <t>2026-03-27T14:33:03Z</t>
  </si>
  <si>
    <t>2026-03-27T15:25:30Z</t>
  </si>
  <si>
    <t>2026-03-27T14:35:33.4072168Z</t>
  </si>
  <si>
    <t>c5fa2c33076840fbaca56b498ed2a68f</t>
  </si>
  <si>
    <t>2026-03-27T11:00:00Z</t>
  </si>
  <si>
    <t>EXTRA FUEL IS FOR POSS TAXI HOLD DUE SECURITY REASON.
DISP-EREZ Y.</t>
  </si>
  <si>
    <t>2026-03-27T12:22:01Z</t>
  </si>
  <si>
    <t>2026-03-27T13:21:02Z</t>
  </si>
  <si>
    <t>2026-03-27T12:16:29.3586323Z</t>
  </si>
  <si>
    <t>a00e9de70f894926ba73834cdcad5078</t>
  </si>
  <si>
    <t>2026-03-27T10:00:00Z</t>
  </si>
  <si>
    <t>2026-03-27T12:12:21Z</t>
  </si>
  <si>
    <t>2026-03-27T13:19:42Z</t>
  </si>
  <si>
    <t>2026-03-27T11:16:25.2679263Z</t>
  </si>
  <si>
    <t>d202c1e44e0f4cdfb8ed32d260dc544a</t>
  </si>
  <si>
    <t>2026-03-27T08:45:00Z</t>
  </si>
  <si>
    <t>EXTRA FUEL IS FOR THE NEXT FLT AND IF NEEDED FOR POSS HOLD AT LLBG.
DISP-EREZ Y.</t>
  </si>
  <si>
    <t>2026-03-27T09:42:53Z</t>
  </si>
  <si>
    <t>2026-03-27T10:51:22Z</t>
  </si>
  <si>
    <t>2026-03-27T09:51:14.6536328Z</t>
  </si>
  <si>
    <t>d3d723df7eca4c6c9aa3b2fbfa28c9a4</t>
  </si>
  <si>
    <t>2026-03-27T07:45:00Z</t>
  </si>
  <si>
    <t>**last min chg to a/c ihc**
EXTRA FUEL IS FOR THE NEXT FLT ,CAN BE USED FOR POSS HOLD AT LLBG,FUELING IS AVAIL AT LLBG IF NEEDED.
DISP-EREZ Y.</t>
  </si>
  <si>
    <t>2026-03-27T09:31:47Z</t>
  </si>
  <si>
    <t>2026-03-27T10:46:18Z</t>
  </si>
  <si>
    <t>2026-03-27T08:49:39.2764557Z</t>
  </si>
  <si>
    <t>82401623d8bc45af8e91ab348d4881ac</t>
  </si>
  <si>
    <t>2026-01-06T17:55:00Z</t>
  </si>
  <si>
    <t>N0267F130 EMEDA2B EMEDA B17 MERVA P68 GALIM/N0267A050 VFR</t>
  </si>
  <si>
    <t>2026-01-06T18:21:51Z</t>
  </si>
  <si>
    <t>2026-01-06T19:02:03Z</t>
  </si>
  <si>
    <t>2026-01-06T18:35:48.4453684Z</t>
  </si>
  <si>
    <t>2a21f415ce344d17b1985c4206c11e73</t>
  </si>
  <si>
    <t>2026-01-06T16:30:00Z</t>
  </si>
  <si>
    <t>1. THIS FLIGHT WAS PREPARED BY LIAT NAHON
2. LLHA RWY 15, DRY, 130/04, 17C, 1020, AC OFF
    RTOW = 22818 KG
3. EXTRA FUEL AS PER COMPANY POLICY</t>
  </si>
  <si>
    <t>2026-01-06T16:28:16Z</t>
  </si>
  <si>
    <t>2026-01-06T17:08:11Z</t>
  </si>
  <si>
    <t>2026-01-06T17:16:56.6750335Z</t>
  </si>
  <si>
    <t>2cb49057ff3944cdbc190f0f68d9d367</t>
  </si>
  <si>
    <t>2026-01-06T15:40:00Z</t>
  </si>
  <si>
    <t>KEA1N KEA L52 VAXOS M978 TOSKA M67 MAROS/F190 L609 APLON P68 GALIM/N0263A050 VFR</t>
  </si>
  <si>
    <t>2026-01-06T16:10:52Z</t>
  </si>
  <si>
    <t>2026-01-06T18:25:30Z</t>
  </si>
  <si>
    <t>2026-01-06T17:58:29.0748755Z</t>
  </si>
  <si>
    <t>9e5e8dddfa324427a0e46b13387788a7</t>
  </si>
  <si>
    <t>2026-01-06T14:40:00Z</t>
  </si>
  <si>
    <t>2026-01-06T14:41:24Z</t>
  </si>
  <si>
    <t>2026-01-06T15:34:17Z</t>
  </si>
  <si>
    <t>2026-01-06T15:30:34.3339735Z</t>
  </si>
  <si>
    <t>83c984b3e11644cabc4ddbd09f0ffada</t>
  </si>
  <si>
    <t>2026-01-06T12:50:00Z</t>
  </si>
  <si>
    <t>EXTRA FUEL IS FROM PREVIOUS FLT.
T/O DATA-RWY 15,TEMP 20C,WIND 160/05,Q1022,PACKS OFF,....RTOW 22767 KG.
DISP-EREZ Y</t>
  </si>
  <si>
    <t>2026-01-06T12:52:09Z</t>
  </si>
  <si>
    <t>2026-01-06T13:50:26Z</t>
  </si>
  <si>
    <t>2026-01-06T13:47:27.1936436Z</t>
  </si>
  <si>
    <t>2b50c9d775774633a9caca68256e190a</t>
  </si>
  <si>
    <t>2026-01-06T11:45:00Z</t>
  </si>
  <si>
    <t>1.F/L 140 DUE BETTER WIND W/C 22H VERSUS F/L 160 28H AND FLYING TIME IS 0241 VERSUS 0246 WITH NEGLIGIBLE FUEL DIFFERENCE.
2.EXTRA FUEL IS PER POLICY.
3.ATC F/P WAS FILED FOR 1030 IN ORDER TO METIGATE POSS CTOT.
4.T/O DATA-RWY 15,TEMP 20C,WIND 160/05,Q1022,PACKS OFF,....RTOW 22767 KG.
DISP-EREZ Y</t>
  </si>
  <si>
    <t>GALIM/N0234A050 IFR P68 MERVA/N0272A140 P68 APLON L609 RDS L995 VARIX VARIX1W</t>
  </si>
  <si>
    <t>2026-01-06T12:15:40Z</t>
  </si>
  <si>
    <t>2026-01-06T14:54:27Z</t>
  </si>
  <si>
    <t>2026-01-06T14:26:43.613184Z</t>
  </si>
  <si>
    <t>a4cf50eb15e84c6baa6b7b05b8da7309</t>
  </si>
  <si>
    <t>2026-01-06T11:10:00Z</t>
  </si>
  <si>
    <t>2026-01-06T11:17:54Z</t>
  </si>
  <si>
    <t>2026-01-06T12:04:08Z</t>
  </si>
  <si>
    <t>2026-01-06T11:51:19.7347559Z</t>
  </si>
  <si>
    <t>907e7407e0244637bfa1c8653bd91151</t>
  </si>
  <si>
    <t>2026-01-06T09:30:00Z</t>
  </si>
  <si>
    <t>1.ATC F/P WAS FILED FOR 0925Z,DUE LLHA CLOSURE FROM 0930-1100(SEE NOTAM).
2.EXTRA FUEL IS PER POLICY.
3.T/O DATA-RWY 15,TEMP 20C,WIND 160/05,Q1021,PACKS OFF,....RTOW 22755 KG.
DISP EREZ Y.</t>
  </si>
  <si>
    <t>2026-01-06T09:23:35Z</t>
  </si>
  <si>
    <t>2026-01-06T10:08:47Z</t>
  </si>
  <si>
    <t>2026-01-06T10:16:19.0417596Z</t>
  </si>
  <si>
    <t>4611f701866c49b6b11d715474e395dc</t>
  </si>
  <si>
    <t>2026-01-06T08:15:00Z</t>
  </si>
  <si>
    <t>EXTRA FUEL IS FOR THE FLT(ATH).
DISP-EREZ Y.</t>
  </si>
  <si>
    <t>NURIT2H NURIT J10 TOMAL/N0270F080 J10 NAT/N0224F040 J15 ATLIT/N0225F040 VFR 3245N03456E 3248N03457E GALIM</t>
  </si>
  <si>
    <t>2026-01-06T08:12:25Z</t>
  </si>
  <si>
    <t>2026-01-06T09:04:58Z</t>
  </si>
  <si>
    <t>2026-01-06T09:04:28.1662002Z</t>
  </si>
  <si>
    <t>94114517e61f4c799cea74a26f7c5a90</t>
  </si>
  <si>
    <t>2026-01-06T07:40:00Z</t>
  </si>
  <si>
    <t>1.PAY ATTN TO LLHA CLOSURE TILL 0825Z,PER NOTAM.
2.EXTRA FUEL IS FOR THE NEXT FLT.
DISP-EREZ Y.</t>
  </si>
  <si>
    <t>N0268F130 EMEDA2B EMEDA B17 MERVA P68 GALIM/N0268A050 VFR</t>
  </si>
  <si>
    <t>2026-01-06T07:52:06Z</t>
  </si>
  <si>
    <t>2026-01-06T08:37:57Z</t>
  </si>
  <si>
    <t>2026-01-06T08:21:15.0309617Z</t>
  </si>
  <si>
    <t>8b641e35ed72495297bd908579ef42dd</t>
  </si>
  <si>
    <t>2026-01-06T06:25:00Z</t>
  </si>
  <si>
    <t>1.ATC F/P WAS FILED FOR 0620Z DUE CLOSURE OF LLHA FROM 0625Z(SEE NOTAM FOR DETAILS).
2.EXTRA FUEL IS FROM PREVIOUS FLT.
3.T/O DATA-RWY 15,TEMP 15C,WIND 140/06,Q1020,PACKS OFF,....RTOW 23000 KG.
DISP-EREZ Y.</t>
  </si>
  <si>
    <t>N0235A050 GALIM/N0234A050 IFR Q28 ATLIT J15 NAT/N0270A090 J10 SIVAK/N0271A130 J10 NURIT NURIT1D</t>
  </si>
  <si>
    <t>2026-01-06T06:21:12Z</t>
  </si>
  <si>
    <t>2026-01-06T07:19:51Z</t>
  </si>
  <si>
    <t>2026-01-06T07:22:54.6973355Z</t>
  </si>
  <si>
    <t>5b54d738159d4d4b929bf23aaa2267eb</t>
  </si>
  <si>
    <t>2026-01-06T06:00:00Z</t>
  </si>
  <si>
    <t>HFA991</t>
  </si>
  <si>
    <t>N0235A050 GALIM/N0234A050 IFR P68 MERVA/F160 B17 VELOX M42 ESERI M42 GENOS DCT PEDER A16 DASNI M601 EXELA N127 DAL N618 YOYYO/F180 G80 OKESA DCT RIKSO N128 PEREN L863 EVIVI Y94 VANET VANET6D</t>
  </si>
  <si>
    <t>2026-01-06T09:42:13.7584856Z</t>
  </si>
  <si>
    <t>547f7818e7d74b2a9759164ac8edb54a</t>
  </si>
  <si>
    <t>EXTRA FUEL IS FROM PREVIOUS FLT.
T/O DATA-RWY 15,TEMP 15C,WIND 140/06,Q1020,PACKS OFF,....RTOW 23000 KG.
DISP-EREZ Y.</t>
  </si>
  <si>
    <t>GALIM/N0234A050 IFR P68 MERVA/N0275A140 N131 EMEDA EMEDA1A</t>
  </si>
  <si>
    <t>2026-01-06T06:00:57Z</t>
  </si>
  <si>
    <t>2026-01-06T06:48:04Z</t>
  </si>
  <si>
    <t>2026-01-06T06:45:16.0000987Z</t>
  </si>
  <si>
    <t>d5a47d3894e640d8b7e8d8ff52112f5c</t>
  </si>
  <si>
    <t>2026-02-07T18:20:00Z</t>
  </si>
  <si>
    <t>NURIT2H NURIT J10 TOMAL/N0272F080 J10 NAT/N0224F040 J15 ATLIT/N0225F040 VFR HOTRM DAROM GALIM</t>
  </si>
  <si>
    <t>2026-02-07T18:23:57Z</t>
  </si>
  <si>
    <t>2026-02-07T19:16:48Z</t>
  </si>
  <si>
    <t>2026-02-07T19:12:31.5986794Z</t>
  </si>
  <si>
    <t>70207be478164400a7ac1e96c87465f1</t>
  </si>
  <si>
    <t>2026-02-07T17:00:00Z</t>
  </si>
  <si>
    <t>2026-02-07T17:06:49Z</t>
  </si>
  <si>
    <t>2026-02-07T17:44:38Z</t>
  </si>
  <si>
    <t>2026-02-07T17:38:06.9977325Z</t>
  </si>
  <si>
    <t>5ab5290b542c4b36a515cf52a8ac4fa6</t>
  </si>
  <si>
    <t>2026-02-07T16:20:00Z</t>
  </si>
  <si>
    <t>1. THIS FLIGT WAS PREPARED BY NIMROD R.
2. LLHA-RWY 15 RTOW 22411KG. SPS DATA: 230/07KTS, DRY, 21C DEG, QNH 1011, Air Cond. OFF.
3. EXTRA FUEL PLANNED AS PER COMPANY POLICY.</t>
  </si>
  <si>
    <t>2026-02-07T16:36:51Z</t>
  </si>
  <si>
    <t>2026-02-07T17:29:42Z</t>
  </si>
  <si>
    <t>2026-02-07T17:15:39.8437414Z</t>
  </si>
  <si>
    <t>a90168928a3b4e498155f17c65cacb29</t>
  </si>
  <si>
    <t>2026-02-07T15:20:00Z</t>
  </si>
  <si>
    <t>2026-02-07T15:18:27Z</t>
  </si>
  <si>
    <t>2026-02-07T16:10:13Z</t>
  </si>
  <si>
    <t>2026-02-07T16:09:50.9202211Z</t>
  </si>
  <si>
    <t>cd8360aba83b47dfaa8cc01806123007</t>
  </si>
  <si>
    <t>2026-02-07T15:00:00Z</t>
  </si>
  <si>
    <t>KEA1N KEA L995 RDS L609 APLON P68 MERVA/F190 P68 GALIM VFR</t>
  </si>
  <si>
    <t>2026-02-07T15:09:34Z</t>
  </si>
  <si>
    <t>2026-02-07T17:11:43Z</t>
  </si>
  <si>
    <t>2026-02-07T17:01:42.6749884Z</t>
  </si>
  <si>
    <t>87032723e4534b569f0fd4fd4749a79e</t>
  </si>
  <si>
    <t>2026-02-07T14:55:00Z</t>
  </si>
  <si>
    <t>ESERI1D ESERI M42 VELOX B17 MERVA P68 GALIM/N0276A050 VFR</t>
  </si>
  <si>
    <t>2026-02-07T14:53:23Z</t>
  </si>
  <si>
    <t>2026-02-07T15:43:56Z</t>
  </si>
  <si>
    <t>2026-02-07T15:40:31.0381605Z</t>
  </si>
  <si>
    <t>bef6d67e1c3e4b2c80458aa06ab7cf3e</t>
  </si>
  <si>
    <t>2026-02-07T13:35:00Z</t>
  </si>
  <si>
    <t>N0274F130 EMEDA2B EMEDA B17 MERVA P68 GALIM/N0273A050 VFR</t>
  </si>
  <si>
    <t>2026-02-07T13:59:57Z</t>
  </si>
  <si>
    <t>2026-02-07T14:37:19Z</t>
  </si>
  <si>
    <t>2026-02-07T14:12:43.6318432Z</t>
  </si>
  <si>
    <t>2a53e0956a4c4ecd965294048d4408c4</t>
  </si>
  <si>
    <t>2026-02-07T13:05:00Z</t>
  </si>
  <si>
    <t>1. THIS FLIGT WAS PREPARED BY NIMROD R.
2. LLHA-RWY 15 RTOW 22539KG. SPS DATA: 210/06KTS, DRY, 21C DEG, QNH 1013, Air Cond. OFF.
3. A/C IS FUELED WITH 1470 KG FROM PREVIOUS LEG.</t>
  </si>
  <si>
    <t>2026-02-07T12:57:09Z</t>
  </si>
  <si>
    <t>2026-02-07T13:52:36Z</t>
  </si>
  <si>
    <t>2026-02-07T14:03:26.1928803Z</t>
  </si>
  <si>
    <t>bff2eb2b17ce4b15b963df42dacb60c5</t>
  </si>
  <si>
    <t>2026-02-07T12:05:00Z</t>
  </si>
  <si>
    <t>1. THIS FLIGT WAS PREPARED BY NIMROD R.
2. LLHA-RWY 15 RTOW 22539KG. SPS DATA: 210/06KTS, DRY, 21C DEG, QNH 1013, Air Cond. OFF.
3. A/C IS FUELED AS PER COMPANY POLICY.</t>
  </si>
  <si>
    <t>2026-02-07T12:14:07Z</t>
  </si>
  <si>
    <t>2026-02-07T13:00:38Z</t>
  </si>
  <si>
    <t>2026-02-07T12:55:48.4616947Z</t>
  </si>
  <si>
    <t>38e468316b224076a7b92723565079d8</t>
  </si>
  <si>
    <t>2026-02-07T11:20:00Z</t>
  </si>
  <si>
    <t>1. THIS FLIGT WAS PREPARED BY NIMROD R.
2. LLHA-RWY 15 RTOW 22539KG. SPS DATA: 210/06KTS, DRY, 21C DEG, QNH 1013, Air Cond. OFF.
3. EXTRA FUEL PLANNED AS PER COMPANY POLICY.
4. DISPATCHED AT FL120 DUE TO STRONG H-WINDS.</t>
  </si>
  <si>
    <t>GALIM/F050 IFR P68 MERVA/F120 P68 APLON L609 RDS L995 CODIC L995 VARIX VARIX1R</t>
  </si>
  <si>
    <t>2026-02-07T11:17:59Z</t>
  </si>
  <si>
    <t>2026-02-07T14:21:38Z</t>
  </si>
  <si>
    <t>2026-02-07T14:17:10.5155782Z</t>
  </si>
  <si>
    <t>bb424ee288f84cb29817102f3511e6fe</t>
  </si>
  <si>
    <t>2026-01-03T18:20:00Z</t>
  </si>
  <si>
    <t>2026-01-03T18:24:10Z</t>
  </si>
  <si>
    <t>2026-01-03T19:17:26Z</t>
  </si>
  <si>
    <t>2026-01-03T19:11:19.6150225Z</t>
  </si>
  <si>
    <t>d870f62b11834deaabe6f9636692d0c8</t>
  </si>
  <si>
    <t>2026-01-03T17:00:00Z</t>
  </si>
  <si>
    <t>2026-01-03T17:03:15Z</t>
  </si>
  <si>
    <t>2026-01-03T17:43:28Z</t>
  </si>
  <si>
    <t>2026-01-03T17:40:59.0309025Z</t>
  </si>
  <si>
    <t>7ba260e4648f43789a0c1bda51330436</t>
  </si>
  <si>
    <t>2026-01-03T16:30:00Z</t>
  </si>
  <si>
    <t>1. THIS FLIGHT WAS PREPARED BY LIAT NAHON
2. LLHA RWY 15, DRY, 110/05, 14C, 1025, AC OFF
    RTOW = 23000 KG
3. EXTRA FUEL AS PER COMPANY POLICY</t>
  </si>
  <si>
    <t>2026-01-03T16:38:41Z</t>
  </si>
  <si>
    <t>2026-01-03T17:32:57Z</t>
  </si>
  <si>
    <t>2026-01-03T17:25:22.8037197Z</t>
  </si>
  <si>
    <t>4b5af63909ea4f7681d67a12de7afae1</t>
  </si>
  <si>
    <t>2026-01-03T16:00:00Z</t>
  </si>
  <si>
    <t>KEA1N KEA L995 RIPLI L995 RDS L609 APLON P68 GALIM VFR</t>
  </si>
  <si>
    <t>2026-01-03T16:14:51Z</t>
  </si>
  <si>
    <t>2026-01-03T18:35:32Z</t>
  </si>
  <si>
    <t>2026-01-03T18:20:07.1676525Z</t>
  </si>
  <si>
    <t>aa742970402c443ea98632fd9b85b3fb</t>
  </si>
  <si>
    <t>2026-01-03T15:20:00Z</t>
  </si>
  <si>
    <t>2026-01-03T15:14:21Z</t>
  </si>
  <si>
    <t>2026-01-03T15:56:37Z</t>
  </si>
  <si>
    <t>2026-01-03T16:06:03.244756Z</t>
  </si>
  <si>
    <t>b06123622d1641f1a2d2a20bcc1cd0ae</t>
  </si>
  <si>
    <t>2026-01-03T14:55:00Z</t>
  </si>
  <si>
    <t>1. THIS FLIGHT WAS PREPARED BY LIAT NAHON
2. EXTRA FUEL TO COVER THE NEXT LEG (REQ 1724 KG)</t>
  </si>
  <si>
    <t>2026-01-03T15:03:21Z</t>
  </si>
  <si>
    <t>2026-01-03T15:52:17Z</t>
  </si>
  <si>
    <t>2026-01-03T15:43:50.6192709Z</t>
  </si>
  <si>
    <t>6e812c95468848879924c94d9f76ffa4</t>
  </si>
  <si>
    <t>2026-01-03T13:45:00Z</t>
  </si>
  <si>
    <t>2026-01-03T13:46:40Z</t>
  </si>
  <si>
    <t>2026-01-03T14:28:42Z</t>
  </si>
  <si>
    <t>2026-01-03T14:25:33.2150532Z</t>
  </si>
  <si>
    <t>7d169723cea44b38a70045477a31d836</t>
  </si>
  <si>
    <t>2026-01-03T13:05:00Z</t>
  </si>
  <si>
    <t>1. THIS FLIGHT WAS PREPARED BY LIAT NAHON
2. LLHA RWY 15, DRY, 110/05, 16C, 1027, AC OFF
    RTOW = 22944 KG
3. EXTRA FUEL DUE TO REMAINING FOB</t>
  </si>
  <si>
    <t>2026-01-03T12:58:34Z</t>
  </si>
  <si>
    <t>2026-01-03T13:49:22Z</t>
  </si>
  <si>
    <t>2026-01-03T13:56:34.7883297Z</t>
  </si>
  <si>
    <t>1784ffd7427f4e58a5ff447ad41b46da</t>
  </si>
  <si>
    <t>2026-01-03T12:05:00Z</t>
  </si>
  <si>
    <t>1. THIS FLIGHT WAS PREPARED BY LIAT NAHON
2. LLHA RWY 15, DRY, 110/05, 16C, 1025, AC OFF
    RTOW = 22920 KG
3. EXTRA FUEL DUE TO REMAINING FOB</t>
  </si>
  <si>
    <t>2026-01-03T12:11:30Z</t>
  </si>
  <si>
    <t>2026-01-03T12:58:44Z</t>
  </si>
  <si>
    <t>2026-01-03T12:51:34.5487159Z</t>
  </si>
  <si>
    <t>b8cf23e879e647c3ba08653ff7306cb4</t>
  </si>
  <si>
    <t>2026-01-03T11:20:00Z</t>
  </si>
  <si>
    <t>1. THIS FLIGHT WAS PREPARED BY LIAT NAHON
2. LLHA RWY 15, DRY, 110/05, 16C, 1025, AC OFF
    RTOW = 22920 KG
3. EXTRA FUEL AS PER COMPANY POLICY</t>
  </si>
  <si>
    <t>GALIM/N0272A160 IFR P68 APLON L609 RDS L995 VARIX VARIX1W</t>
  </si>
  <si>
    <t>2026-01-03T11:41:04Z</t>
  </si>
  <si>
    <t>2026-01-03T14:29:49Z</t>
  </si>
  <si>
    <t>2026-01-03T14:04:12.9149071Z</t>
  </si>
  <si>
    <t>e209d760a28149ef9993116077f428bb</t>
  </si>
  <si>
    <t>2026-01-16T12:35:00Z</t>
  </si>
  <si>
    <t xml:space="preserve">EXTRA FUEL FOR NEXT LEG
DISPATCHED BY AYELET W UNDER THE SUPER. OF EREZ Y.
</t>
  </si>
  <si>
    <t>2026-01-16T12:35:18Z</t>
  </si>
  <si>
    <t>2026-01-16T13:19:15Z</t>
  </si>
  <si>
    <t>2026-01-16T13:21:52.9581741Z</t>
  </si>
  <si>
    <t>518b22c401844f64ad5d93e5b18ebb40</t>
  </si>
  <si>
    <t>2026-01-16T11:10:00Z</t>
  </si>
  <si>
    <t xml:space="preserve">EXTRA FUEL FOR NEXT LEG.
DISOATCHED BY AYELET W UNDER THE SUPER. OF EREZ Y
</t>
  </si>
  <si>
    <t>2026-01-16T11:06:35Z</t>
  </si>
  <si>
    <t>2026-01-16T11:43:53Z</t>
  </si>
  <si>
    <t>2026-01-16T11:49:24.5914929Z</t>
  </si>
  <si>
    <t>e478291f44f34f11ad62ac07c58a8c26</t>
  </si>
  <si>
    <t>2026-01-16T10:45:00Z</t>
  </si>
  <si>
    <t>EXTRA FUEL FROM PREV. FLIGHT
SPS DATA -RWY 33. DRY. OKTS. 1023Q 15C. AC OFF.         RTOW -22467KG
DISPATCHED BY AYELET W UNDER THE SUPER. OF EREZ Y.</t>
  </si>
  <si>
    <t>2026-01-16T10:36:40Z</t>
  </si>
  <si>
    <t>2026-01-16T11:29:36Z</t>
  </si>
  <si>
    <t>2026-01-16T11:36:20.2242712Z</t>
  </si>
  <si>
    <t>43400d4af9cb45ea9f8ed50d16a82250</t>
  </si>
  <si>
    <t>2026-01-16T10:25:00Z</t>
  </si>
  <si>
    <t xml:space="preserve">1.EXTRA FUEL FOR NEXT LEG
2.CHANGES IN FL - DUE TO EURO CONTROL LIMITATION.
3.DISPATCHED BY AYELET W UNDER THE SUPER. OF EREZ Y.
</t>
  </si>
  <si>
    <t>OMENO3S OMENO Y505 NIKTI N127 LMO L618 MES N139 LURUS L995 RDS/F170 L995 IRBAX/F150 L995 ULFIT/F170 M978 TOSKA M67 MAROS L609 APLON P68 MERVA P68 GALIM/N0271A050 VFR</t>
  </si>
  <si>
    <t>2026-01-16T11:08:23Z</t>
  </si>
  <si>
    <t>2026-01-16T14:16:14Z</t>
  </si>
  <si>
    <t>2026-01-16T13:31:06.6889082Z</t>
  </si>
  <si>
    <t>f1e05d6b6ac84faf9e01c48e059fbd71</t>
  </si>
  <si>
    <t>2026-01-16T09:30:00Z</t>
  </si>
  <si>
    <t>EXTRA FUEL IS FROM PREVIOUS FLT.
T/O DATA -RWY 15,TEMP 14C,WIND 0,Q1023,PACKS OFF,....RTOW 22815 KG.
DISP-EREZ Y.</t>
  </si>
  <si>
    <t>2026-01-16T09:17:55Z</t>
  </si>
  <si>
    <t>2026-01-16T09:59:03Z</t>
  </si>
  <si>
    <t>2026-01-16T10:17:30.464733Z</t>
  </si>
  <si>
    <t>eb62843480c94f63855147528409d4a5</t>
  </si>
  <si>
    <t>2026-01-16T09:25:00Z</t>
  </si>
  <si>
    <t>1.F/L 150 TILL ALKIS DUE EURO CONTROL LIMITATION.
2.EXTRA FUEL IS FOR THE NEXT FLT.
   DISP-EREZ Y.</t>
  </si>
  <si>
    <t>KEA1E KEA L995 RDS L609 ALKIS/F210 L609 APLON P68 MERVA/F190 P68 GALIM/N0280A050 VFR</t>
  </si>
  <si>
    <t>2026-01-16T09:38:58Z</t>
  </si>
  <si>
    <t>2026-01-16T11:52:26Z</t>
  </si>
  <si>
    <t>2026-01-16T11:41:59.8699361Z</t>
  </si>
  <si>
    <t>d8ffcdfe6ea140c2a1572ab3f8c604b9</t>
  </si>
  <si>
    <t>2026-01-16T08:50:00Z</t>
  </si>
  <si>
    <t xml:space="preserve">1.FLT'S TO ARR AT LLHA WITH ABOUT 1500 KG FOR SECURITY REASON.
2.DISP-EREZ Y. </t>
  </si>
  <si>
    <t>NURIT2H NURIT J10 TOMAL/N0274F080 J10 NAT/N0225F040 J15 ATLIT/N0225F040 VFR 3245N03456E 3248N03457E GALIM</t>
  </si>
  <si>
    <t>2026-01-16T08:30:27Z</t>
  </si>
  <si>
    <t>2026-01-16T09:23:11Z</t>
  </si>
  <si>
    <t>2026-01-16T09:40:37.5802064Z</t>
  </si>
  <si>
    <t>b031404e9d8f4d968971723fc9236402</t>
  </si>
  <si>
    <t>2026-01-16T07:40:00Z</t>
  </si>
  <si>
    <t xml:space="preserve">EXTRA FUEL FOR NEXT LEG
DISPATCHED BY AYELET W. UNDER THE SUPER. OF EREZ Y
</t>
  </si>
  <si>
    <t>2026-01-16T07:43:08Z</t>
  </si>
  <si>
    <t>2026-01-16T08:20:21Z</t>
  </si>
  <si>
    <t>2026-01-16T08:19:00.9630396Z</t>
  </si>
  <si>
    <t>e1221781113f4ebfb1d5a13ae586b0ec</t>
  </si>
  <si>
    <t>2026-01-16T07:00:00Z</t>
  </si>
  <si>
    <t>GALIM/N0235A050 IFR Q28 ATLIT J15 NAT/N0274A090 J10 SIVAK/N0275A130 J10 NURIT NURIT1D</t>
  </si>
  <si>
    <t>2026-01-16T06:53:33Z</t>
  </si>
  <si>
    <t>2026-01-16T07:46:13Z</t>
  </si>
  <si>
    <t>2026-01-16T07:55:34.0431925Z</t>
  </si>
  <si>
    <t>b75da5ce768b4bcaa59cbd5757fe0c32</t>
  </si>
  <si>
    <t>2026-01-16T06:00:00Z</t>
  </si>
  <si>
    <t>EXTRA FUEL IS FROM PREVIOUS FLT.
T/O DATA -RWY 15,TEMP 10C,WIND 0,Q1023,PACKS OFF,....RTOW 23000 KG.
DISP-EREZ Y.</t>
  </si>
  <si>
    <t>N0276A050 GALIM/N0275A140 IFR P68 MERVA N131 EMEDA EMEDA1A</t>
  </si>
  <si>
    <t>2026-01-16T06:03:11Z</t>
  </si>
  <si>
    <t>2026-01-16T06:47:09Z</t>
  </si>
  <si>
    <t>2026-01-16T06:47:20.124375Z</t>
  </si>
  <si>
    <t>f445522179604fd389b7bce1b0b34104</t>
  </si>
  <si>
    <t>2026-01-16T05:45:00Z</t>
  </si>
  <si>
    <t>1. EXTRA FUEL AS REP COMPANY POLICY
2. SPS DATA: RWY 15. DRY. OKTS. 9C. AC-OFF  1023Q        RTOW- 23000KG.
3.DISPATCHED BY AYELET W UNDER THE SUPER. OF EREZ Y.</t>
  </si>
  <si>
    <t>2026-01-16T05:54:34Z</t>
  </si>
  <si>
    <t>2026-01-16T08:38:35Z</t>
  </si>
  <si>
    <t>2026-01-16T08:28:38.5740274Z</t>
  </si>
  <si>
    <t>a24465664b9b42a8b4a73f4858921c9d</t>
  </si>
  <si>
    <t>2026-01-16T05:40:00Z</t>
  </si>
  <si>
    <t>1.F/L 180 FLYING TIME IS 03:42.
2.EXTRA FUEL PER LBSF POLICY.
3.T/O DATA -RWY 15,TEMP 10C,WIND 0,Q1023,PACKS OFF,....RTOW 23000 KG.
DISP-EREZ Y.</t>
  </si>
  <si>
    <t>N0235A050 GALIM/N0234A050 IFR P68 MERVA/N0274A160 P68 APLON L609 RDS N129 PIROX DCT AKBUK G80 OKESA DCT RIKSO N128 PEREN L863 EVIVI Y94 VANET VANET5H</t>
  </si>
  <si>
    <t>2026-01-16T05:45:02Z</t>
  </si>
  <si>
    <t>2026-01-16T09:20:26Z</t>
  </si>
  <si>
    <t>2026-01-16T09:18:54.1428615Z</t>
  </si>
  <si>
    <t>dc1937477674423a8efbde47f7612af8</t>
  </si>
  <si>
    <t>2026-01-23T11:30:00Z</t>
  </si>
  <si>
    <t>2026-01-23T12:08:46.75038Z</t>
  </si>
  <si>
    <t>0239fd0ce612421189ae124374b9bb8f</t>
  </si>
  <si>
    <t>2026-01-23T11:10:00Z</t>
  </si>
  <si>
    <t>1. THIS FLIGHT WAS PREPARED BY LIAT NAHON
2. EXTRA FUEL TO COVER THE NEXT LEG
SHABAT SHALOM</t>
  </si>
  <si>
    <t>EMEDA2B EMEDA B17 MERVA P68 GALIM/N0275A050 VFR</t>
  </si>
  <si>
    <t>2026-01-23T11:05:45Z</t>
  </si>
  <si>
    <t>2026-01-23T11:45:25Z</t>
  </si>
  <si>
    <t>2026-01-23T11:49:47.4239839Z</t>
  </si>
  <si>
    <t>c50274868a2e4986946b19d9830c6f38</t>
  </si>
  <si>
    <t>2026-01-23T10:25:00Z</t>
  </si>
  <si>
    <t>DILVO3S DILVO OTKOK N127 LMO L618 MES N139 NAXAS L52 LINRO L52 VAXOS M978 TOSKA M67 MAROS L609 APLON P68 MERVA/N0235F190 P68 GALIM/N0283A050 VFR</t>
  </si>
  <si>
    <t>2026-01-23T10:39:16Z</t>
  </si>
  <si>
    <t>2026-01-23T13:55:15Z</t>
  </si>
  <si>
    <t>2026-01-23T13:35:47.4048819Z</t>
  </si>
  <si>
    <t>24eb8e57c351414bb23424d904e4acf0</t>
  </si>
  <si>
    <t>2026-01-23T09:30:00Z</t>
  </si>
  <si>
    <t>1. THIS FLIGHT WAS PREPARED BY LIAT NAHON
2. LLHA RWY 15CWY, DRY, 160/05, 16C, 2010, AC OFF
    RTOW = 22931 KG
3. EXTRA FUEL AS PER COMPANY POLICY</t>
  </si>
  <si>
    <t>N0235A050 GALIM/N0235A050 IFR P68 MERVA/N0276A140 N131 EMEDA EMEDA1A</t>
  </si>
  <si>
    <t>2026-01-23T09:24:34Z</t>
  </si>
  <si>
    <t>2026-01-23T10:10:56Z</t>
  </si>
  <si>
    <t>2026-01-23T10:16:18.1880488Z</t>
  </si>
  <si>
    <t>533e19e9aea74cc98784bba53ba8c2f8</t>
  </si>
  <si>
    <t>2026-01-23T09:25:00Z</t>
  </si>
  <si>
    <t>KEA1E KEA L995 RDS L609 ALKIS L609 APLON P68 MERVA/N0240F190 P68 GALIM/N0276A050 VFR</t>
  </si>
  <si>
    <t>2026-01-23T09:34:33Z</t>
  </si>
  <si>
    <t>2026-01-23T11:55:39Z</t>
  </si>
  <si>
    <t>2026-01-23T11:43:04.2417246Z</t>
  </si>
  <si>
    <t>606a4c39ef274f018f2401dd4afa9217</t>
  </si>
  <si>
    <t>2026-01-23T08:50:00Z</t>
  </si>
  <si>
    <t>2026-01-23T08:47:19Z</t>
  </si>
  <si>
    <t>2026-01-23T09:40:33Z</t>
  </si>
  <si>
    <t>2026-01-23T09:38:04.6339217Z</t>
  </si>
  <si>
    <t>0940f7a5f79c4bfaa39d0a620ff39a3e</t>
  </si>
  <si>
    <t>2026-01-23T07:40:00Z</t>
  </si>
  <si>
    <t>2026-01-23T07:53:33Z</t>
  </si>
  <si>
    <t>2026-01-23T08:32:26Z</t>
  </si>
  <si>
    <t>2026-01-23T08:19:31.3931845Z</t>
  </si>
  <si>
    <t>b92fd4c11b1443d3aafc3e28ac89ae06</t>
  </si>
  <si>
    <t>2026-01-23T07:00:00Z</t>
  </si>
  <si>
    <t>1. THIS FLIGHT WAS PREPARED BY LIAT NAHON
2. LLHA RWY 15CWY, DRY, 160/05, 16C, 2010, AC OFF
    RTOW = 22931 KG
3. EXTRA FUEL DUE TO REMAINING FOB</t>
  </si>
  <si>
    <t>N0233A050 GALIM/N0232A050 IFR Q28 ATLIT J15 NAT/N0270A090 J10 SIVAK/N0270A130 J10 NURIT NURIT1D</t>
  </si>
  <si>
    <t>2026-01-23T07:04:02Z</t>
  </si>
  <si>
    <t>2026-01-23T08:02:27Z</t>
  </si>
  <si>
    <t>2026-01-23T07:59:38.3003416Z</t>
  </si>
  <si>
    <t>d5c248b993c44a2896f78da876bd5539</t>
  </si>
  <si>
    <t>2026-01-23T06:00:00Z</t>
  </si>
  <si>
    <t>1. THIS FLIGHT WAS PREPARED BY LIAT NAHON
2. LLHA RWY 15CWY, DRY, 140/05, 16C, 2009, AC OFF
    RTOW = 22908 KG
3. EXTRA FUEL DUE TO REMAINING FOB</t>
  </si>
  <si>
    <t>N0234A050 GALIM/N0233A050 IFR P68 MERVA/N0276A140 N131 EMEDA EMEDA1A</t>
  </si>
  <si>
    <t>2026-01-23T06:09:47Z</t>
  </si>
  <si>
    <t>2026-01-23T06:58:00Z</t>
  </si>
  <si>
    <t>2026-01-23T06:46:27.053385Z</t>
  </si>
  <si>
    <t>8820813e2543499bb4103334d89e5de8</t>
  </si>
  <si>
    <t>2026-01-23T05:45:00Z</t>
  </si>
  <si>
    <t>1. THIS FLIGHT WAS PREPARED BY LIAT NAHON
2. LLHA RWY 15CWY, DRY, 140/05, 16C, 2009, AC OFF
    RTOW = 22908 KG
3. LGTS - RWY 16/34 CLSD 
4. EXTRA FUEL AS PER COMPANY POLICY</t>
  </si>
  <si>
    <t>N0234A050 DCT GALIM/N0233A050 IFR P68 MERVA/N0275A160 P68 APLON L609 RDS L995 VARIX VARIX1Q</t>
  </si>
  <si>
    <t>2026-01-23T05:59:10Z</t>
  </si>
  <si>
    <t>2026-01-23T08:46:39Z</t>
  </si>
  <si>
    <t>2026-01-23T08:26:31.4892869Z</t>
  </si>
  <si>
    <t>56fe28bd0ef34014a2deae48dbe7e392</t>
  </si>
  <si>
    <t>2026-01-23T05:40:00Z</t>
  </si>
  <si>
    <t>1. THIS FLIGHT WAS PREPARED BY LIAT NAHON
2. LLHA RWY 15CWY, DRY, 140/05, 16C, 1009, AC OFF
    RTOW = 22908 KG
3. EXTRA FUEL DUE TO WX AT DEST</t>
  </si>
  <si>
    <t>N0274A050 DCT GALIM/N0274A160 IFR P68 APLON L609 MAROS M67 TOSKA M978 VAXOS/N0275A180 N128 OKESA DCT RIKSO N128 PEREN L863 EVIVI Y94 VANET VANET5H</t>
  </si>
  <si>
    <t>2026-01-23T05:47:03Z</t>
  </si>
  <si>
    <t>2026-01-23T09:28:56Z</t>
  </si>
  <si>
    <t>2026-01-23T09:20:20.209868Z</t>
  </si>
  <si>
    <t>fbc6f55d134a4595995f5de2980e7e57</t>
  </si>
  <si>
    <t>2026-01-25T17:55:00Z</t>
  </si>
  <si>
    <t>EXTRA FUEL IS FOR THE NEXT FLT
DIS. BY AYELET W UNDER THE SUPER. OF LIAT N.</t>
  </si>
  <si>
    <t>2026-01-25T18:09:48Z</t>
  </si>
  <si>
    <t>2026-01-25T18:50:28Z</t>
  </si>
  <si>
    <t>2026-01-25T18:36:45.1905221Z</t>
  </si>
  <si>
    <t>5ce0c0d8c7bf4731bf0bf948bc686ad8</t>
  </si>
  <si>
    <t>2026-01-25T16:30:00Z</t>
  </si>
  <si>
    <t>FUEL     :   EXTRA FUEL AS PER COMPANY POLICY.
RTOW   :    22477kg.SPS DATA - RWY15 DRY,NO WIND,20C,1020Q,PACKS OFF.
DISP     :    UDI A,TRAINEE. SUPERVISED BY LIAT N/</t>
  </si>
  <si>
    <t>2026-01-25T16:32:41Z</t>
  </si>
  <si>
    <t>2026-01-25T17:17:35Z</t>
  </si>
  <si>
    <t>2026-01-25T17:16:07.8181202Z</t>
  </si>
  <si>
    <t>0dce2d3a99d74efb90532f07a0cb1337</t>
  </si>
  <si>
    <t>2026-01-25T15:25:00Z</t>
  </si>
  <si>
    <t>FUEL   :   EXTRA FUEL TO COVER NEXT LEG-ATH.
DISP    :   UDI A,TRANEE.SUPERVISED BY LIAT N.</t>
  </si>
  <si>
    <t>KEA1N KEA L995 RDS L609 APLON P68 GALIM/N0269A050 VFR</t>
  </si>
  <si>
    <t>2026-01-25T15:30:16Z</t>
  </si>
  <si>
    <t>2026-01-25T18:00:40Z</t>
  </si>
  <si>
    <t>2026-01-25T17:50:20.0477314Z</t>
  </si>
  <si>
    <t>fc8324117a414a7882847001cf59c90e</t>
  </si>
  <si>
    <t>2026-01-25T14:40:00Z</t>
  </si>
  <si>
    <t>1. THIS FLIGHT WAS PREPARED BY LIAT NAHON
2. EXTRA FUEL TO COVER THE NEXT LEG
3. OFP REV.01 - ZFW CHG</t>
  </si>
  <si>
    <t>2026-01-25T15:01:44Z</t>
  </si>
  <si>
    <t>2026-01-25T15:55:22Z</t>
  </si>
  <si>
    <t>2026-01-25T15:30:10.747685Z</t>
  </si>
  <si>
    <t>63246fb8f7244eb4ac5f90d8f7122049</t>
  </si>
  <si>
    <t xml:space="preserve">EXTRA FUEL IS FOR THE NEXT FLT. 
DIS. BY AYELET W UNDER THE SUPER. OF LIAT N.
</t>
  </si>
  <si>
    <t>2026-01-25T14:58:42Z</t>
  </si>
  <si>
    <t>2026-01-25T15:41:44Z</t>
  </si>
  <si>
    <t>2026-01-25T15:21:12.0186255Z</t>
  </si>
  <si>
    <t>8acb6c51f91e46c59fdc33e032a312fd</t>
  </si>
  <si>
    <t>2026-01-25T13:00:00Z</t>
  </si>
  <si>
    <t>EXTRA FUEL IS PER POLICY.
T/O DATA-RWY 15,TEMP 19C,WIND 0,Q1020,PACKS OFF,....RTOW 22844 KG.
DISP-EREZ Y.</t>
  </si>
  <si>
    <t>2026-01-25T13:12:16Z</t>
  </si>
  <si>
    <t>2026-01-25T13:56:52Z</t>
  </si>
  <si>
    <t>2026-01-25T13:46:02.2545742Z</t>
  </si>
  <si>
    <t>1315e6419703414f975803533c483f0a</t>
  </si>
  <si>
    <t>2026-01-25T12:50:00Z</t>
  </si>
  <si>
    <t>EXTRA FUEL IS PER POLICY.
T/O DATA-RWY 15,TEMP 15C,WIND 0,Q1021,PACKS OFF,....RTOW 22844 KG.
DISP-EREZ Y.</t>
  </si>
  <si>
    <t>GALIM/N0234A050 IFR Q28 ATLIT J15 NAT/N0270A090 J10 SIVAK/N0270A130 J10 NURIT NURIT1D</t>
  </si>
  <si>
    <t>2026-01-25T13:14:18Z</t>
  </si>
  <si>
    <t>2026-01-25T14:12:38Z</t>
  </si>
  <si>
    <t>2026-01-25T13:46:11.6294077Z</t>
  </si>
  <si>
    <t>cc120f39dccf4d0392b2c6fd0c6f0958</t>
  </si>
  <si>
    <t>2026-01-25T12:35:00Z</t>
  </si>
  <si>
    <t>2026-01-25T12:57:58Z</t>
  </si>
  <si>
    <t>2026-01-25T13:50:20Z</t>
  </si>
  <si>
    <t>2026-01-25T13:25:59.572336Z</t>
  </si>
  <si>
    <t>4cd762237d344334b7c28696e46f04f2</t>
  </si>
  <si>
    <t>2026-01-25T11:45:00Z</t>
  </si>
  <si>
    <t>EXTRA FUEL IS PER POLICY.
T/O DATA-RWY 15,TEMP 15C,WIND 130/06,Q1023,PACKS OFF,....RTOW 22844 KG.
DISP-EREZ Y.</t>
  </si>
  <si>
    <t>N0236A050 GALIM/N0235A050 IFR P68 MERVA/N0274A160 P68 APLON L609 RDS L995 VARIX VARIX1R</t>
  </si>
  <si>
    <t>2026-01-25T11:49:22Z</t>
  </si>
  <si>
    <t>2026-01-25T14:27:41Z</t>
  </si>
  <si>
    <t>2026-01-25T14:22:57.629089Z</t>
  </si>
  <si>
    <t>6fc462a083c94e6fba8fe2ea528b6f2f</t>
  </si>
  <si>
    <t>2026-01-25T10:45:00Z</t>
  </si>
  <si>
    <t>N0235A050 GALIM/N0234A050 IFR Q28 ATLIT J15 NAT/N0269A090 J10 SIVAK/N0269A130 J10 NURIT NURIT1D</t>
  </si>
  <si>
    <t>2026-01-25T11:01:08Z</t>
  </si>
  <si>
    <t>2026-01-25T11:54:19Z</t>
  </si>
  <si>
    <t>2026-01-25T11:42:05.2111933Z</t>
  </si>
  <si>
    <t>c66faa12377649d28299e07f8d923e33</t>
  </si>
  <si>
    <t>2026-01-25T10:10:00Z</t>
  </si>
  <si>
    <t>EXTRA FUEL IS FOR LANDING AT LLHA  WITH ABOUT 1500 KG FOR SECURITY REASON.
DISP-EREZ Y.</t>
  </si>
  <si>
    <t>2026-01-25T10:18:52Z</t>
  </si>
  <si>
    <t>2026-01-25T10:58:20Z</t>
  </si>
  <si>
    <t>2026-01-25T10:50:39.9660436Z</t>
  </si>
  <si>
    <t>44c463eed50a45eaafe0a1beb68593c7</t>
  </si>
  <si>
    <t>2026-01-25T09:55:00Z</t>
  </si>
  <si>
    <t>N0274F130 ESERI1D ESERI M42 VELOX B17 MERVA P68 GALIM/F050</t>
  </si>
  <si>
    <t>2026-01-25T10:07:00Z</t>
  </si>
  <si>
    <t>2026-01-25T10:53:30Z</t>
  </si>
  <si>
    <t>2026-01-25T10:43:24.9996588Z</t>
  </si>
  <si>
    <t>b5814e2961824272990ed9645825fff6</t>
  </si>
  <si>
    <t>2026-01-25T09:50:00Z</t>
  </si>
  <si>
    <t>1.EXTRA FUEL DUE FUEL ON BOARD.
2.BALLAST WEIGHT IS TOTAL OF 260 KG.
3.A/C RLSD WITH MEL 28-42-01 ...FUEL QTY INDCT.
4.TECH GUY WILL RTRN ON BOARD THE A/C.
DISP-EREZ Y.</t>
  </si>
  <si>
    <t>2026-01-25T11:46:23Z</t>
  </si>
  <si>
    <t>2026-01-25T12:24:09Z</t>
  </si>
  <si>
    <t>2026-01-25T10:28:31.7051999Z</t>
  </si>
  <si>
    <t>b984331ed2734ff5b2032fad716f6151</t>
  </si>
  <si>
    <t>2026-01-25T09:25:00Z</t>
  </si>
  <si>
    <t>2026-01-25T09:41:59Z</t>
  </si>
  <si>
    <t>2026-01-25T12:05:25Z</t>
  </si>
  <si>
    <t>2026-01-25T11:45:49.7554117Z</t>
  </si>
  <si>
    <t>fc9c24a1c97248e9b1e5975b2f0a3386</t>
  </si>
  <si>
    <t>2026-01-25T08:50:00Z</t>
  </si>
  <si>
    <t>2026-01-25T09:11:32Z</t>
  </si>
  <si>
    <t>2026-01-25T10:04:46Z</t>
  </si>
  <si>
    <t>2026-01-25T09:40:42.4086933Z</t>
  </si>
  <si>
    <t>cc9ce14c39d9478494429a0b0abe7741</t>
  </si>
  <si>
    <t>2026-01-25T08:30:00Z</t>
  </si>
  <si>
    <t>EXTRA FUEL IS FROM PREVIOUS FLT.
T/O DATA-RWY 15,TEMP 15C,WIND 130/06,Q1023,PACKS OFF,....RTOW 22844 KG.
DISP-EREZ Y.</t>
  </si>
  <si>
    <t>2026-01-25T08:32:16Z</t>
  </si>
  <si>
    <t>2026-01-25T09:15:31Z</t>
  </si>
  <si>
    <t>2026-01-25T09:17:33.9418617Z</t>
  </si>
  <si>
    <t>8daa1a79f7764730807e0c84689bdac0</t>
  </si>
  <si>
    <t>2026-01-25T08:05:00Z</t>
  </si>
  <si>
    <t>EXTRA FUEL IS FROM PREVIOUS FLT
T/O DATA-RWY 15,TEMP 15C,WIND 0,Q1020,PACKS OFF,....RTOW 22675 KG.
DISP-EREZ Y.</t>
  </si>
  <si>
    <t>2026-01-25T08:14:11Z</t>
  </si>
  <si>
    <t>2026-01-25T09:06:36Z</t>
  </si>
  <si>
    <t>2026-01-25T08:56:45.2506427Z</t>
  </si>
  <si>
    <t>43509ab404424465b8c77e29c1852d87</t>
  </si>
  <si>
    <t>2026-01-25T07:00:00Z</t>
  </si>
  <si>
    <t>EXTRA FUEL OF 100KG IS PER POLICY.
T/O DATA-RWY 15,TEMP 14C,WIND 0,Q1020,PACKS OFF,....RTOW 22774 KG.
DISP-EREZ Y.</t>
  </si>
  <si>
    <t>2026-01-25T07:05:20Z</t>
  </si>
  <si>
    <t>2026-01-25T08:57:00Z</t>
  </si>
  <si>
    <t>2026-01-25T07:56:48.009088Z</t>
  </si>
  <si>
    <t>bb9528e537da4d7782aec31cd7e0731b</t>
  </si>
  <si>
    <t>2026-01-25T05:45:00Z</t>
  </si>
  <si>
    <t>1.LGMK GIVEN AS ALT DUE WX(FG )AT LGTS AND LGIR MAIN RWY CLOSURE(SECONDERY RWY NOT IN SPS).
TAKEN ALL THAT INTO ACCOUNT 100KG MORE OF FUEL WAS ADDED.
2.EXTRA FUEL OF 100KG IS PER POLICY.
3.PAY ATTN ATC F/P WAS FILED FOR 0535Z,IF DLAY WILL BE NEEDED.
5.T/O DATA-RWY 15,TEMP 14C,WIND 0,Q1020,PACKS OFF,....RTOW 22774 KG.
DISP-EREZ Y.</t>
  </si>
  <si>
    <t>N0233A050 GALIM/N0232A050 IFR P68 MERVA/N0266A140 P68 APLON L609 RDS L995 RIPLI L995 VARIX VARIX1R</t>
  </si>
  <si>
    <t>2026-01-25T06:02:44Z</t>
  </si>
  <si>
    <t>2026-01-25T08:39:55Z</t>
  </si>
  <si>
    <t>2026-01-25T08:24:39.095583Z</t>
  </si>
  <si>
    <t>a826f7d33a18474d97a5980c7dcea3fd</t>
  </si>
  <si>
    <t>2026-03-23T17:05:00Z</t>
  </si>
  <si>
    <t>1. THIS FLIGHT WAS PREPARED BY NIMROD R.
2. EXTRA FUEL PLANNED FOR POSSIBLE SIRENS IN LLBG.</t>
  </si>
  <si>
    <t>N0275A160 SUVAS1F SUVAS DCT STEPA DCT APLON A28 BETID BETID1A</t>
  </si>
  <si>
    <t>2026-03-23T17:13:51Z</t>
  </si>
  <si>
    <t>2026-03-23T18:15:04Z</t>
  </si>
  <si>
    <t>2026-03-23T18:19:33.6608778Z</t>
  </si>
  <si>
    <t>0e5b00997c844ff9be14a1848cfcdb2e</t>
  </si>
  <si>
    <t>2026-03-23T13:20:00Z</t>
  </si>
  <si>
    <t>EXTRA FUEL IS FOR THE NEXT FLIGHT WITH 300 KG EXTRA FUEL.
DIS. BY NIMROD R.</t>
  </si>
  <si>
    <t>2026-03-23T13:40:08Z</t>
  </si>
  <si>
    <t>2026-03-23T16:07:53Z</t>
  </si>
  <si>
    <t>2026-03-23T15:50:51.3105358Z</t>
  </si>
  <si>
    <t>d8f4998878544558ab59d064408a0954</t>
  </si>
  <si>
    <t>2026-03-23T08:45:00Z</t>
  </si>
  <si>
    <t>EXTRA FUEL IS PER POLICY
ATTN TO PROXIMITY TO MTOW
DIS BY AYELET W</t>
  </si>
  <si>
    <t>N0275A160 SUVAS1E SUVAS N128 RDS L995 VARIX VARIX1Q</t>
  </si>
  <si>
    <t>2026-03-23T09:03:10Z</t>
  </si>
  <si>
    <t>2026-03-23T11:47:04Z</t>
  </si>
  <si>
    <t>2026-03-23T11:29:59.2501456Z</t>
  </si>
  <si>
    <t>268b462b73ea460993c21c66c824fb08</t>
  </si>
  <si>
    <t>2026-03-23T07:35:00Z</t>
  </si>
  <si>
    <t>TEST999</t>
  </si>
  <si>
    <t>PHA1W PHA M31 GENOS DCT TOSKA M978 PERIM L53 AKORO L53 KRK L995 TIGRA DCT ROBOT DCT LUXIL/N0282F190 M742 SOR/F180 M603 PNZ M729 MEDAL Q160 PODOX T246 MIRSA A3 RUBIT G7 MTG Y25 FJR DCT AFRIC AFRIC3N</t>
  </si>
  <si>
    <t>2026-03-23T13:58:07.79981Z</t>
  </si>
  <si>
    <t>47acf92368e8476cb08dfa2091a2df5b</t>
  </si>
  <si>
    <t>2026-03-23T06:30:00Z</t>
  </si>
  <si>
    <t>OFP REV 01 DUE TO CHG IN ZFW.
EXTRA FUEL DUE TO ENRTE WX+ POSS. WAIT AT LLBG 
DIS. BY AYELET W.</t>
  </si>
  <si>
    <t>N0280F150 EMEDA2B EMEDA M67 ANANE DCT IDAKU DCT PIKOG L609 ZUKKO</t>
  </si>
  <si>
    <t>2026-03-23T06:55:37Z</t>
  </si>
  <si>
    <t>2026-03-23T07:54:09Z</t>
  </si>
  <si>
    <t>2026-03-23T07:33:20.2248545Z</t>
  </si>
  <si>
    <t>7bbe427f03844557ac90f86fc19c3ab7</t>
  </si>
  <si>
    <t>2026-03-22T18:15:00Z</t>
  </si>
  <si>
    <t>OFP REV 01 - DUE TO CHG IN BLOCK FUEL.
EXTRA FUEL - FOR POSS TAXI HOLD DUE SECURITY REASON.
DISP-EREZ Y.</t>
  </si>
  <si>
    <t>2026-03-22T18:15:34Z</t>
  </si>
  <si>
    <t>2026-03-22T19:20:32Z</t>
  </si>
  <si>
    <t>2026-03-22T19:30:29.1254417Z</t>
  </si>
  <si>
    <t>219a0f73e7fd493480578d9ddc2568c5</t>
  </si>
  <si>
    <t>2026-03-22T14:30:00Z</t>
  </si>
  <si>
    <t>1.F/L 150 TILL VAXOS DUE EUROCONTROL LIMITATION,OPT F/L MIGHT BE APPROVED BY ATC UPON REQ.
2.EXTRA FUEL IS FOR THE NEXT FLT AND CAN BE USED,IF NEEDED FOR HOLDING DUE SECURITY REASON,FUELING AT LLBG IS AVAILABLE.
DISP-EREZ Y</t>
  </si>
  <si>
    <t>2026-03-22T14:31:28Z</t>
  </si>
  <si>
    <t>2026-03-22T16:55:00Z</t>
  </si>
  <si>
    <t>2026-03-22T16:56:15.1310062Z</t>
  </si>
  <si>
    <t>22e3b1d886894ca6a42dbc6d8a99ec5e</t>
  </si>
  <si>
    <t>2026-03-22T12:00:00Z</t>
  </si>
  <si>
    <t>EXTRA FUEL IS PER COMPANY POLICY
T/O DATA: RWY 15. DRY. 0K 15C 1011Q AC-OFF  RTOW-22600KG</t>
  </si>
  <si>
    <t>N0233A050 GALIM/N0232A050 IFR P68 MERVA/N0266A180 P68 APLON L609 RDS L995 VARIX VARIX1Q</t>
  </si>
  <si>
    <t>2026-03-22T14:41:24.22526Z</t>
  </si>
  <si>
    <t>096e94ebd3d84bcebcf7b4ef17738739</t>
  </si>
  <si>
    <t>2026-01-04T18:22:00Z</t>
  </si>
  <si>
    <t>FUEL   :   EXTRA FUEL TO COVER NEXT LEG-ATH.
DISP    :   UDI A,TRAINEE.SUPERVISED BY NIMROD R.</t>
  </si>
  <si>
    <t>EMEDA2B EMEDA B17 MERVA P68 GALIM/N0272A050 VFR</t>
  </si>
  <si>
    <t>2026-01-04T18:34:30Z</t>
  </si>
  <si>
    <t>2026-01-04T19:19:08Z</t>
  </si>
  <si>
    <t>2026-01-04T19:05:34.8004831Z</t>
  </si>
  <si>
    <t>67f6ba9835d04cac87b5866d938f88f2</t>
  </si>
  <si>
    <t>2026-01-04T17:20:00Z</t>
  </si>
  <si>
    <t>FUEL   :   EXTRA FUEL TO COVER NEXT LEG-ATH.
CTOT   :   PLS CHECK.
DISP    :   UDI A,TRAINEE.SUPERVISED BY NIMROD R.</t>
  </si>
  <si>
    <t>KEA1N KEA L995 RDS L609 ALKIS/N0271F170 L609 APLON P68 GALIM/N0271F050 VFR</t>
  </si>
  <si>
    <t>2026-01-04T17:37:42Z</t>
  </si>
  <si>
    <t>2026-01-04T20:06:21Z</t>
  </si>
  <si>
    <t>2026-01-04T19:47:28.9294122Z</t>
  </si>
  <si>
    <t>715e73b29d634981911da53440d0d381</t>
  </si>
  <si>
    <t>2026-01-04T16:55:00Z</t>
  </si>
  <si>
    <t>FUEL   :   EXTRA FUEL AS PER COMPANY POLICY.
RTOW  :   22856kg. RWY15,15005KT,DRY,18C,1022Q,NO PACKS.
DISP    :   UDI A,TRAINEE.SUPERVISED BY NIMROD R.</t>
  </si>
  <si>
    <t>GALIM/N0270F140 IFR P68 MERVA N131 EMEDA EMEDA1A</t>
  </si>
  <si>
    <t>2026-01-04T19:54:52Z</t>
  </si>
  <si>
    <t>2026-01-04T17:37:53Z</t>
  </si>
  <si>
    <t>2026-01-04T17:38:42.2880095Z</t>
  </si>
  <si>
    <t>03d6d94bb18a4483ac3363c7c251888f</t>
  </si>
  <si>
    <t>2026-01-04T14:50:00Z</t>
  </si>
  <si>
    <t xml:space="preserve">FUEL   :   EXTRA FUEL TO COVER NEXT LEG-LCA.
DISP    :   UDI A,TRAINEE.SUPERVISED BY NIMROD R. </t>
  </si>
  <si>
    <t>2026-01-04T15:09:13Z</t>
  </si>
  <si>
    <t>2026-01-04T15:54:59Z</t>
  </si>
  <si>
    <t>2026-01-04T15:33:16.1635798Z</t>
  </si>
  <si>
    <t>5c0b1d56c8224c3c8d950284b0aca6a1</t>
  </si>
  <si>
    <t>2026-01-04T14:40:00Z</t>
  </si>
  <si>
    <t>NURIT J10 TOMAL/N0268F080 J10 NAT/N0224F040 J15 ATLIT/N0224F040 VFR 3245N03456E 3248N03457E GALIM</t>
  </si>
  <si>
    <t>2026-01-04T14:58:37Z</t>
  </si>
  <si>
    <t>2026-01-04T15:57:07Z</t>
  </si>
  <si>
    <t>2026-01-04T15:29:56.3924477Z</t>
  </si>
  <si>
    <t>3231ce7636514fef957db8ae6d2b3119</t>
  </si>
  <si>
    <t>2026-01-04T13:00:00Z</t>
  </si>
  <si>
    <t>EXTRA FUEL IS PER POLICY.
T/O DATA-RWY 15,TEMP 17C,WIND 150/06,Q1027,PACKS OFF,....RTOW 22769 KG.
DISP-EREZ Y.</t>
  </si>
  <si>
    <t>2026-01-04T13:05:20Z</t>
  </si>
  <si>
    <t>2026-01-04T13:47:49Z</t>
  </si>
  <si>
    <t>2026-01-04T13:44:02.9045501Z</t>
  </si>
  <si>
    <t>0d090f5178a043a1befadf48e8884102</t>
  </si>
  <si>
    <t>2026-01-04T12:50:00Z</t>
  </si>
  <si>
    <t>GALIM/N0234A050 IFR Q28 ATLIT J15 NAT/N0269A090 J10 SIVAK/N0270A130 J10 NURIT NURIT1D</t>
  </si>
  <si>
    <t>2026-01-04T12:55:25Z</t>
  </si>
  <si>
    <t>2026-01-04T13:55:14Z</t>
  </si>
  <si>
    <t>2026-01-04T13:48:31.4760341Z</t>
  </si>
  <si>
    <t>1361f33ae8e7473da7a9001c26f4f30e</t>
  </si>
  <si>
    <t>2026-01-04T12:25:00Z</t>
  </si>
  <si>
    <t>1.F/L 150 TILL ALKIS DUE EUROCONTROL LIMITATION,OPT F/L MIGHT BE APPROVED BY ATC UPON REQ.
2.EXTRA FUEL IS FOR THE NEXT FLT.
DISP-EREZ Y.</t>
  </si>
  <si>
    <t>KEA1N KEA L995 RDS L609 ALKIS/N0281F190 L609 APLON P68 GALIM/F050</t>
  </si>
  <si>
    <t>2026-01-04T13:07:45Z</t>
  </si>
  <si>
    <t>2026-01-04T15:39:34Z</t>
  </si>
  <si>
    <t>2026-01-04T14:50:54.8708518Z</t>
  </si>
  <si>
    <t>371c04a1c9d743e6bb7d513a93a40d19</t>
  </si>
  <si>
    <t>2026-01-04T11:45:00Z</t>
  </si>
  <si>
    <t>1.F/L 160 ALKIS-NILAS DUE EUROCONTROL LIMITATION,MIGHT BE APPROVED BY ATC UPON REQ.
2.EXTRA FUEL IS PER POLICY.
3.T/O DATA-RWY 15,TEMP 17C,WIND 150/06,Q1027,PACKS OFF,....RTOW 22769 KG.
DISP-EREZ Y.</t>
  </si>
  <si>
    <t>N0234A050 GALIM/N0234A050 IFR P68 MERVA/N0270A180 P68 APLON L609 ALKIS/F160 L609 NILAS/F200 L609 RDS L995 VARIX VARIX1W</t>
  </si>
  <si>
    <t>2026-01-04T13:57:32Z</t>
  </si>
  <si>
    <t>2026-01-04T16:43:09Z</t>
  </si>
  <si>
    <t>2026-01-04T14:18:54.6164212Z</t>
  </si>
  <si>
    <t>850faa49cc9e4997bfa09ad488ce4ab0</t>
  </si>
  <si>
    <t>2026-01-04T11:10:00Z</t>
  </si>
  <si>
    <t>2026-01-04T11:18:06Z</t>
  </si>
  <si>
    <t>2026-01-04T12:01:16Z</t>
  </si>
  <si>
    <t>2026-01-04T11:53:08.4697485Z</t>
  </si>
  <si>
    <t>5f8a920e76db412f9d768d96b9e318a9</t>
  </si>
  <si>
    <t>2026-01-04T09:55:00Z</t>
  </si>
  <si>
    <t>ESERI1W ESERI M42 VELOX B17 MERVA P68 GALIM/N0271A050 VFR</t>
  </si>
  <si>
    <t>2026-01-04T10:21:27Z</t>
  </si>
  <si>
    <t>2026-01-04T11:23:07Z</t>
  </si>
  <si>
    <t>2026-01-04T10:46:03.1536112Z</t>
  </si>
  <si>
    <t>fa10c93ebd8b42c4a04f07fb24b5ec65</t>
  </si>
  <si>
    <t>2026-01-04T09:30:00Z</t>
  </si>
  <si>
    <t>N0234A050 GALIM/N0234A050 IFR P68 MERVA/N0272A140 N131 EMEDA EMEDA1A</t>
  </si>
  <si>
    <t>2026-01-04T09:30:18Z</t>
  </si>
  <si>
    <t>2026-01-04T10:11:34Z</t>
  </si>
  <si>
    <t>2026-01-04T10:14:44.768387Z</t>
  </si>
  <si>
    <t>5aa3f0345dcb4039bd0aef4080b5e8ea</t>
  </si>
  <si>
    <t>2026-01-04T08:50:00Z</t>
  </si>
  <si>
    <t>NURIT2H NURIT J10 TOMAL/N0273F080 J10 NAT/N0225F040 J15 ATLIT/N0225F040 VFR 3245N03456E 3248N03457E GALIM</t>
  </si>
  <si>
    <t>2026-01-04T08:55:28Z</t>
  </si>
  <si>
    <t>2026-01-04T09:45:34Z</t>
  </si>
  <si>
    <t>2026-01-04T09:39:06.3325062Z</t>
  </si>
  <si>
    <t>ce4856b720ef4334adaef4306d722d50</t>
  </si>
  <si>
    <t>2026-01-04T08:10:00Z</t>
  </si>
  <si>
    <t>2026-01-04T11:43:54.2871487Z</t>
  </si>
  <si>
    <t>c29ce8d646d845f6b34f74c04e235753</t>
  </si>
  <si>
    <t>2026-01-04T08:05:00Z</t>
  </si>
  <si>
    <t>1.A/C RLSD PER MEL 36-11-02-01(MAX F/L 170).
2.EXTRA FUEL IS FROM PREVIOUS FLT.
3.T/O DATA-RWY 15,TEMP 16C,WIND 140/06,Q1027,PACKS OFF,....RTOW 23000 KG.
DISP-EREZ Y.</t>
  </si>
  <si>
    <t>GALIM/N0267F140 IFR P68 MERVA N131 VELOX M42 ESERI</t>
  </si>
  <si>
    <t>2026-01-04T08:09:20Z</t>
  </si>
  <si>
    <t>2026-01-04T09:02:21Z</t>
  </si>
  <si>
    <t>2026-01-04T08:54:32.7012191Z</t>
  </si>
  <si>
    <t>42663908cefa43168d34a2eed66ad72e</t>
  </si>
  <si>
    <t>2026-01-04T07:40:00Z</t>
  </si>
  <si>
    <t>2026-01-04T08:04:51Z</t>
  </si>
  <si>
    <t>2026-01-04T08:48:36Z</t>
  </si>
  <si>
    <t>2026-01-04T08:22:16.394164Z</t>
  </si>
  <si>
    <t>fa9872c75cdc4014a642e282661946c6</t>
  </si>
  <si>
    <t>2026-01-04T07:00:00Z</t>
  </si>
  <si>
    <t>EXTRA FUEL IS FROM PREVIOUS FLT.
T/O DATA-RWY 15,TEMP 12C,WIND 140/05,Q1027,PACKS OFF,....RTOW 23000 KG.
DISP-EREZ Y.</t>
  </si>
  <si>
    <t>2026-01-04T07:05:30Z</t>
  </si>
  <si>
    <t>2026-01-04T08:02:22Z</t>
  </si>
  <si>
    <t>2026-01-04T07:57:43.2251092Z</t>
  </si>
  <si>
    <t>d6cca12274764211a98bf8d779f0895a</t>
  </si>
  <si>
    <t>2026-01-04T06:00:00Z</t>
  </si>
  <si>
    <t>2026-01-04T06:16:08Z</t>
  </si>
  <si>
    <t>2026-01-04T06:57:18Z</t>
  </si>
  <si>
    <t>2026-01-04T06:45:06.7069032Z</t>
  </si>
  <si>
    <t>97b39310ba0142f58bdaf8b2b8930438</t>
  </si>
  <si>
    <t>2026-01-04T05:45:00Z</t>
  </si>
  <si>
    <t>EXTRA FUEL IS PER POLICY.
T/O DATA-RWY 15,TEMP 12C,WIND 140/05,Q1027,PACKS OFF,....RTOW 23000 KG.
DISP-EREZ Y.</t>
  </si>
  <si>
    <t>N0233A050 GALIM/N0232A050 IFR P68 MERVA/N0266A180 P68 APLON L609 RDS L995 VARIX VARIX1W</t>
  </si>
  <si>
    <t>2026-01-04T06:50:09Z</t>
  </si>
  <si>
    <t>2026-01-04T09:25:30Z</t>
  </si>
  <si>
    <t>2026-01-04T08:19:09.9591181Z</t>
  </si>
  <si>
    <t>84f9b40c09924eb19bce5a8ccd442d9b</t>
  </si>
  <si>
    <t>2026-03-26T19:15:00Z</t>
  </si>
  <si>
    <t>1. THIS FLIGHT WAS PREPARED BY NIMROD R.
2. A/C IS FUELED WITH 1750 KG FROM PREVIOUS LEG.</t>
  </si>
  <si>
    <t>2026-03-26T19:17:23Z</t>
  </si>
  <si>
    <t>2026-03-26T20:17:19Z</t>
  </si>
  <si>
    <t>2026-03-26T20:31:45.2245476Z</t>
  </si>
  <si>
    <t>8b2897016f2c48c0b20b83338621bf29</t>
  </si>
  <si>
    <t>2026-03-26T16:30:00Z</t>
  </si>
  <si>
    <t>1. THIS FLIGHT WAS PREPARED BY NIMROD R.
2. NO EXTRA FUEL PLANNED DUE TO PROXIMITY TO MTOW.</t>
  </si>
  <si>
    <t>2026-03-26T16:50:13Z</t>
  </si>
  <si>
    <t>2026-03-26T17:39:01Z</t>
  </si>
  <si>
    <t>2026-03-26T17:32:03.9206845Z</t>
  </si>
  <si>
    <t>453b79fda4314ce78dcb70958939173d</t>
  </si>
  <si>
    <t>2026-02-06T10:40:00Z</t>
  </si>
  <si>
    <t>2026-02-06T10:56:01Z</t>
  </si>
  <si>
    <t>2026-02-06T11:37:55Z</t>
  </si>
  <si>
    <t>2026-02-06T11:20:47.4140462Z</t>
  </si>
  <si>
    <t>d791d25f14fb41328b496d96871c10e9</t>
  </si>
  <si>
    <t>2026-02-06T10:25:00Z</t>
  </si>
  <si>
    <t>OMENO3S OMENO Y505 NIKTI N127 RIKSO LAVTA N135 NESIL T39 LAMSA TOMBI A16 DASNI M601 LCA B17 MERVA P68 GALIM/N0274A050 VFR</t>
  </si>
  <si>
    <t>2026-02-06T10:35:29Z</t>
  </si>
  <si>
    <t>2026-02-06T13:43:42Z</t>
  </si>
  <si>
    <t>2026-02-06T13:27:47.9051851Z</t>
  </si>
  <si>
    <t>b6bcd892c298418ca119403a39a2ebd5</t>
  </si>
  <si>
    <t>2026-02-06T09:25:00Z</t>
  </si>
  <si>
    <t>1.F/L 150 TILL ALKIS IS DUE EUROCONTROL LIMITATION,OPT F/L MIGHT BE APPROVED UPON REQ BY ATC.
2.EXTRA FUEL IS FOR THE NEXT FLT.
DISP-EREZ Y.</t>
  </si>
  <si>
    <t>N0264F150 KEA1N KEA L52 VAXOS/N0273F190 M978 TOSKA M67 MAROS L609 APLON P68 GALIM/F150 VFR DCT</t>
  </si>
  <si>
    <t>2026-02-06T09:47:32Z</t>
  </si>
  <si>
    <t>2026-02-06T11:58:49Z</t>
  </si>
  <si>
    <t>2026-02-06T11:35:13.8227329Z</t>
  </si>
  <si>
    <t>f5f16001fb794159a22847897add51e1</t>
  </si>
  <si>
    <t>2026-02-06T09:00:00Z</t>
  </si>
  <si>
    <t>EXTRA FUEL IS FROM PREVIOUS FLT.
DISP-EREZ Y.</t>
  </si>
  <si>
    <t>2026-02-06T08:59:08Z</t>
  </si>
  <si>
    <t>2026-02-06T09:44:05Z</t>
  </si>
  <si>
    <t>2026-02-06T09:46:39.702354Z</t>
  </si>
  <si>
    <t>76793a9ec09f4ee4a72c2d4f6d916317</t>
  </si>
  <si>
    <t>2026-02-06T08:50:00Z</t>
  </si>
  <si>
    <t>NURIT2H NURIT J10 TOMAL/N0272F080 J10 NAT/N0224F040 J15 ATLIT/N0225F040 VFR 3245N03456E 3248N03457E GALIM</t>
  </si>
  <si>
    <t>2026-02-06T08:46:42Z</t>
  </si>
  <si>
    <t>2026-02-06T09:36:57Z</t>
  </si>
  <si>
    <t>2026-02-06T09:38:21.2655045Z</t>
  </si>
  <si>
    <t>9b1373a506c94053b365984358449d8c</t>
  </si>
  <si>
    <t>2026-02-06T07:00:00Z</t>
  </si>
  <si>
    <t>T/O DATA -RWY 15,TEMP 17C,WIND 0,Q1011,PACKS OFF,....RTOW 22500KG.
EXTRA FUEL - FROM PREVIOUS FLT.
DISP-EREZ Y.</t>
  </si>
  <si>
    <t>2026-02-06T06:54:54Z</t>
  </si>
  <si>
    <t>2026-02-06T07:47:53Z</t>
  </si>
  <si>
    <t>2026-02-06T07:58:06.9720777Z</t>
  </si>
  <si>
    <t>4854598425934ba89a4bb27fa9078f09</t>
  </si>
  <si>
    <t>2026-02-06T05:45:00Z</t>
  </si>
  <si>
    <t>1.F/L 140 DUE HEAD WIND ON HIGER LEVELS. 
2.T/O DATA -RWY 15,TEMP 17C,WIND 0,Q1011,PACKS OFF,....RTOW 22500KG.
3.EXTRA FUEL - 100 KG PER POLICY+ 100 KG DUE POSS ICING ON ROUTE(LOWER LVL).
4.ATC WAS FILED FOR 0525Z DUE POSS CTOT.
DISP-EREZ Y.</t>
  </si>
  <si>
    <t>GALIM/F050 IFR P68 MERVA/F140 P68 APLON L609 RDS L995 CODIC/N0266F120 L995 VARIX VARIX1W</t>
  </si>
  <si>
    <t>2026-02-06T06:03:45Z</t>
  </si>
  <si>
    <t>2026-02-06T08:51:18Z</t>
  </si>
  <si>
    <t>2026-02-06T08:28:13.9484154Z</t>
  </si>
  <si>
    <t>0bc212d04fef41f998b5cfec0d2e8670</t>
  </si>
  <si>
    <t>2026-02-06T05:40:00Z</t>
  </si>
  <si>
    <t>1.F/L 140 DUE HEAD WIND ON HIGER LEVELS. 
2.T/O DATA -RWY 15,TEMP 17C,WIND 0,Q1011,PACKS OFF,....RTOW 22500KG.
3.EXTRA FUEL - PER POLICY.
DISP-EREZ Y.</t>
  </si>
  <si>
    <t>N0234A050 GALIM/N0233A050 IFR P68 MERVA/N0273A160 P68 APLON L609 RDS/N0277A140 N129 PIROX DCT AKBUK G80 OKESA DCT RIKSO N128 PEREN L863 EVIVI Y94 VANET VANET6D</t>
  </si>
  <si>
    <t>2026-02-06T05:49:52Z</t>
  </si>
  <si>
    <t>2026-02-06T09:23:24Z</t>
  </si>
  <si>
    <t>2026-02-06T09:19:39.1493092Z</t>
  </si>
  <si>
    <t>93d0574bc1b64c02b8cc6d189b8ebba0</t>
  </si>
  <si>
    <t>2026-01-18T17:55:00Z</t>
  </si>
  <si>
    <t>FUEL    :   EXTRA FUEL TO COVER NEXT LEG-ETM.
DISP    :   UDI A,TRANEE.SUPERVISED BY NIMROD R.</t>
  </si>
  <si>
    <t>N0280F130 EMEDA2B EMEDA B17 MERVA P68 GALIM/N0279A050 VFR</t>
  </si>
  <si>
    <t>2026-01-18T18:08:00Z</t>
  </si>
  <si>
    <t>2026-01-18T18:47:38Z</t>
  </si>
  <si>
    <t>2026-01-18T18:32:55.434491Z</t>
  </si>
  <si>
    <t>2bcebf32224e4c18911998b7ab9f2ded</t>
  </si>
  <si>
    <t>2026-01-18T16:30:00Z</t>
  </si>
  <si>
    <t>FUEL    :   EXTRA FUEL (100kg) AS PER COMPANY POLICY + AREA WX.
RTOW  :   22629kg.SPS DATA - RWY15 WET,NO WIND,15C,1013Q,NO PACKS.
DISP    :   UDI A,TRANEE.SUPERVISED BY NIMROD R.</t>
  </si>
  <si>
    <t>2026-01-18T16:21:54Z</t>
  </si>
  <si>
    <t>2026-01-18T17:10:12Z</t>
  </si>
  <si>
    <t>2026-01-18T17:17:30.5512069Z</t>
  </si>
  <si>
    <t>15d3f44c749346e7977cc0313b2c0de5</t>
  </si>
  <si>
    <t>2026-01-18T15:25:00Z</t>
  </si>
  <si>
    <t>FUEL   :   EXTRA FUEL TO COVER NEXT LEG-SOF.
DISP    :   UDI A,TRAINEE.SUPERVISED BY NIMROD R.</t>
  </si>
  <si>
    <t>KEA1E KEA L995 RDS L609 ALKIS/F190 L609 APLON P68 MERVA/F190 P68 GALIM/N0273A050 VFR</t>
  </si>
  <si>
    <t>2026-01-18T15:37:56Z</t>
  </si>
  <si>
    <t>2026-01-18T17:51:55Z</t>
  </si>
  <si>
    <t>2026-01-18T17:36:16.6260167Z</t>
  </si>
  <si>
    <t>50b190b0338f4bb8adb55e4d8e2c4b62</t>
  </si>
  <si>
    <t>2026-01-18T14:40:00Z</t>
  </si>
  <si>
    <t>FUEL    :   EXTRA FUEL TO COVER NEXT LEG-LCA.
ICE       :  CHCKED.
DISP    :   UDI A,TRANEE.SUPERVISED BY LIAT N.</t>
  </si>
  <si>
    <t>N0279F130 EMEDA2B EMEDA B17 MERVA P68 GALIM/N0278A050 VFR</t>
  </si>
  <si>
    <t>2026-01-18T14:44:07Z</t>
  </si>
  <si>
    <t>2026-01-18T15:24:16Z</t>
  </si>
  <si>
    <t>2026-01-18T15:18:04.7356008Z</t>
  </si>
  <si>
    <t>8d4056012229485392dc3a36a55a62a2</t>
  </si>
  <si>
    <t>N0277F120 NURIT2H NURIT J10 TOMAL/N0276F080 J10 NAT/N0225F040 J15 ATLIT/N0225F040 VFR 3245N03456E DCT 3248N03457E DCT GALIM</t>
  </si>
  <si>
    <t>2026-01-18T14:38:52Z</t>
  </si>
  <si>
    <t>2026-01-18T15:35:56Z</t>
  </si>
  <si>
    <t>2026-01-18T15:31:33.3834498Z</t>
  </si>
  <si>
    <t>7ccb4f2553de4d038799fd3918caf69b</t>
  </si>
  <si>
    <t>2026-01-18T13:00:00Z</t>
  </si>
  <si>
    <t xml:space="preserve">AC IS FUELED WITH 1600KG FROM PREV FLT
SPS DATA: RWY 15 . WET. 190/05KTS. 15C AC- OFF      RTOW -22842KG
ATTN TO ENRTE ICING.
DISPTACHED BY AYELET W UNDER THE SUPER. OF LIAT N.
</t>
  </si>
  <si>
    <t>2026-01-18T12:52:50Z</t>
  </si>
  <si>
    <t>2026-01-18T13:39:20Z</t>
  </si>
  <si>
    <t>2026-01-18T13:46:46.0777445Z</t>
  </si>
  <si>
    <t>1d07668233d142c5b8bc826b4b1c02a9</t>
  </si>
  <si>
    <t>2026-01-18T12:50:00Z</t>
  </si>
  <si>
    <t>FUEL    :   REFULED LAST LEG.
RTOW  :  22679kg.SPS DATA - RWY15 WET,NO WIND,14C,1013Q,NO PACKS.
DISP    :   UDI A,TRANEE.SUPERVISED BY LIAT N.</t>
  </si>
  <si>
    <t>N0236A050 GALIM/N0235A050 IFR Q28 ATLIT J15 NAT/N0277A090 J10 SIVAK/N0279A130 J10 NURIT NURIT1D</t>
  </si>
  <si>
    <t>2026-01-18T12:46:55Z</t>
  </si>
  <si>
    <t>2026-01-18T13:39:03Z</t>
  </si>
  <si>
    <t>2026-01-18T13:45:39.9999031Z</t>
  </si>
  <si>
    <t>d241647bc5d64b61af52eda514a630a6</t>
  </si>
  <si>
    <t>2026-01-18T12:35:00Z</t>
  </si>
  <si>
    <t xml:space="preserve">EXTRA FUEL TO COVER NEXT FLT
DISPATCHED BY AYELET W UNDER THE SUPER. OF LIAT N
</t>
  </si>
  <si>
    <t>2026-01-18T12:37:41Z</t>
  </si>
  <si>
    <t>2026-01-18T13:32:22Z</t>
  </si>
  <si>
    <t>2026-01-18T13:26:09.1209816Z</t>
  </si>
  <si>
    <t>c0e8d2aba07d4959a33ac34b1b69a390</t>
  </si>
  <si>
    <t>2026-01-18T11:45:00Z</t>
  </si>
  <si>
    <t xml:space="preserve">FLT DISPATCHED WITH T.O ALT DUE TO POSS X WIND IN LLHA
SPS DATA - RWY 5. WET. 13C. 1014Q AC-OFF    RTOW - 22944KG
EXTRA FUEL AS PER COMPNAY POLICY
DISPATCHED BY AYELET W. UNDER THE SUPER. OF LIAT N
</t>
  </si>
  <si>
    <t>GALIM/N0235A050 IFR P68 MERVA/N0280A140 P68 APLON L609 RDS L995 VARIX VARIX1Q</t>
  </si>
  <si>
    <t>2026-01-18T11:47:38Z</t>
  </si>
  <si>
    <t>2026-01-18T14:35:32Z</t>
  </si>
  <si>
    <t>2026-01-18T14:31:02.5884509Z</t>
  </si>
  <si>
    <t>b125aa4ef60f464491ba8cd19e34429f</t>
  </si>
  <si>
    <t>2026-01-18T11:10:00Z</t>
  </si>
  <si>
    <t>1. THIS FLIGHT WAS PREPARED BY LIAT NAHON
2. FLIGHT DISPATCHED TO DEST BELOW MIN DUE TO X-WIND LIMIT
3. EXTRA FUEL TO COVER THE NEXT LEG
4. ATTN TO ICING ENRTE</t>
  </si>
  <si>
    <t>2026-01-18T11:17:03Z</t>
  </si>
  <si>
    <t>2026-01-18T12:00:37Z</t>
  </si>
  <si>
    <t>2026-01-18T11:48:17.1701876Z</t>
  </si>
  <si>
    <t>12bf8202a9174f08a97f17939aa3ae00</t>
  </si>
  <si>
    <t>2026-01-18T10:45:00Z</t>
  </si>
  <si>
    <t>FLT DISPATCHED WITH T.O ALT DUE TO POSS X WIND AT LLHA
EXTRA FUEL AS PER COMPANY POLICY
SPS DATA : RWY 15. WET. 190/05KTS. 13C 1014Q  AC-OFF    RTOW-22944KG
DISPATCHED BY AYELET W UNDER THE SUPER. OF LIAT N.</t>
  </si>
  <si>
    <t>2026-01-18T10:49:03Z</t>
  </si>
  <si>
    <t>2026-01-18T11:47:27Z</t>
  </si>
  <si>
    <t>2026-01-18T11:41:38.3919059Z</t>
  </si>
  <si>
    <t>9b5d4eb7f00c4b8f95ef577660f87868</t>
  </si>
  <si>
    <t>2026-01-18T10:40:00Z</t>
  </si>
  <si>
    <t xml:space="preserve">FLT DISPATCHED TO DES BELOW MIN. DUE TO X WIND IN LLHA
ATTN TO ENRTE ICING.
EXTRA FUEL FOR NEXT FLT
DIPATCHED BY AYELET W. UNDER THE SUPER. OF LIAT N
</t>
  </si>
  <si>
    <t>N0282F130 ESERI1D ESERI M42 VELOX B17 MERVA P68 GALIM/N0282A050 VFR</t>
  </si>
  <si>
    <t>2026-01-18T10:59:58Z</t>
  </si>
  <si>
    <t>2026-01-18T11:45:05Z</t>
  </si>
  <si>
    <t>2026-01-18T11:26:32.1205107Z</t>
  </si>
  <si>
    <t>c83e9518b0a844eda454a8f8c61af847</t>
  </si>
  <si>
    <t>2026-01-18T10:15:00Z</t>
  </si>
  <si>
    <t xml:space="preserve">2ND ALT DUE TO WX AT LLHA
EXTRA FUEL AS PER COMPANY POLICY.
DISPATCHED BY AYELET W UNER THE SUPER. OF LIAT N
</t>
  </si>
  <si>
    <t>KEA1E KEA L995 RDS L609 ALKIS/F190 L609 APLON P68 MERVA/N0232F190 P68 GALIM/N0266A050 VFR</t>
  </si>
  <si>
    <t>2026-01-18T10:30:21Z</t>
  </si>
  <si>
    <t>2026-01-18T12:44:41Z</t>
  </si>
  <si>
    <t>2026-01-18T12:28:55.2904439Z</t>
  </si>
  <si>
    <t>7360b0e9b410474d8beb7f5587c27d0d</t>
  </si>
  <si>
    <t>2026-01-18T09:30:00Z</t>
  </si>
  <si>
    <t xml:space="preserve">AC IS FUELED WITH 1520 FROM PREV LEG
T.O ALT DUE TO WX LLHA
ATTN TO ENRTE ICING.
SPS DATA - RWY 15. WET. 190/05. 13C. 1015Q AC-OFF    RTOW -22956KG
DISPATCHED BY AYELET W UNDER THE SUPER. OF LIAT N.
</t>
  </si>
  <si>
    <t>2026-01-18T09:32:54Z</t>
  </si>
  <si>
    <t>2026-01-18T10:17:51Z</t>
  </si>
  <si>
    <t>2026-01-18T10:16:24.218281Z</t>
  </si>
  <si>
    <t>86421766eef14af0ae939b1c4fd33214</t>
  </si>
  <si>
    <t>2026-01-18T09:00:00Z</t>
  </si>
  <si>
    <t>FLT DISPATCHED WITH T.O ALT DUE TO POSS. CROSS WIND AT LLHA
ATTN TO ENRTE ICING
EXTRA FUEL AS PER COMPNAY POLICY
SPS DATA- RWY 33. WET. OKTS. 13C. AC - OFF 1014Q     RTOW- 22444KG.
DISPATCHED BY AYELET W UNDER THE SUPER. OF LIAT N.</t>
  </si>
  <si>
    <t>N0236A050 GALIM/N0235A050 IFR P68 MERVA/N0282A140 N131 VELOX M42 ESERI</t>
  </si>
  <si>
    <t>2026-01-18T09:13:22Z</t>
  </si>
  <si>
    <t>2026-01-18T10:09:20Z</t>
  </si>
  <si>
    <t>2026-01-18T09:52:38.01261Z</t>
  </si>
  <si>
    <t>daa420e648a742f6b67363dff389c806</t>
  </si>
  <si>
    <t>2026-01-18T08:50:00Z</t>
  </si>
  <si>
    <t xml:space="preserve">EXTRA FUEL FOR NEXT FLT
2ND ALT DUE TO WX AT LLHA
DISPATCHED BY AYELET W UNDER THE SUPER. OF LIAT N
</t>
  </si>
  <si>
    <t>2026-01-18T08:44:55Z</t>
  </si>
  <si>
    <t>2026-01-18T09:50:31Z</t>
  </si>
  <si>
    <t>2026-01-18T09:40:03.9574751Z</t>
  </si>
  <si>
    <t>c8c1a48faa6e46cc87f4c00c47ec62e8</t>
  </si>
  <si>
    <t>2026-01-18T07:40:00Z</t>
  </si>
  <si>
    <t xml:space="preserve">FLT DISPATCHED WITH 2 ALT - DUE TO WX AT LLHA
ATTN TO ENRTE ICING
EXTRA FUEL FOR NEXT FLT
DISPATCHED BY AYELET W UNDER THE SUPER. OF LIAT N.
</t>
  </si>
  <si>
    <t>N0283F130 EMEDA2B EMEDA B17 MERVA P68 GALIM/N0282A050 VFR</t>
  </si>
  <si>
    <t>2026-01-18T07:42:47Z</t>
  </si>
  <si>
    <t>2026-01-18T08:35:19Z</t>
  </si>
  <si>
    <t>2026-01-18T08:18:25.1462403Z</t>
  </si>
  <si>
    <t>5cf6e6efe6364506a3aabe736e0dc1f9</t>
  </si>
  <si>
    <t>2026-01-18T07:00:00Z</t>
  </si>
  <si>
    <t xml:space="preserve">AC IS FUELED WITH 1930KG FROM PREV. LEG
SPS DATA - RWY 15. 190/05 KTS WET. 13C. 1014Q  AC- OFF     RTOW-22944KG
T.O ALT DUE TO CROSS WIND AT LLHA
DISPATCHED BY AYELET W. UNDER THE SUPER. OF LIAT N .
</t>
  </si>
  <si>
    <t>2026-01-18T07:03:01Z</t>
  </si>
  <si>
    <t>2026-01-18T08:02:14Z</t>
  </si>
  <si>
    <t>2026-01-18T07:57:23.0267324Z</t>
  </si>
  <si>
    <t>b9a3aeb130a74e098ea41c83f2dc9085</t>
  </si>
  <si>
    <t>2026-01-18T06:00:00Z</t>
  </si>
  <si>
    <t>A/C IS FUELED WITH 1530KG FROM PREV. LEG
ATTN TO ENRTE ICING.
SPS DATE: RWY 15. WET. 190/05KTS. 14C 1013Q  AC-OFF.       RTOW-22887KG
DISPATCHED BY AYELET W UNDER THE SUPER. OF LIAT N.</t>
  </si>
  <si>
    <t>2026-01-18T06:03:36Z</t>
  </si>
  <si>
    <t>2026-01-18T06:48:55Z</t>
  </si>
  <si>
    <t>2026-01-18T06:46:29.4112249Z</t>
  </si>
  <si>
    <t>914b3a2538e144c0963d3124b734c5fb</t>
  </si>
  <si>
    <t>2026-01-18T05:45:00Z</t>
  </si>
  <si>
    <t>1. THIS FLIGHT WAS PREPARED BY LIAT NAHON
2. LLHA RWY 15CWY, DRY, 230/10, 16C, 1012, AC OFF
    RTOW = 22815 KG
3. EXTRA FUEL AS PER COMPANY POLICY</t>
  </si>
  <si>
    <t>N0235A050 GALIM/N0235A050 IFR P68 MERVA/N0278A160 P68 APLON L609 RDS L995 VARIX VARIX1Q</t>
  </si>
  <si>
    <t>2026-01-18T05:59:07Z</t>
  </si>
  <si>
    <t>2026-01-18T08:52:48Z</t>
  </si>
  <si>
    <t>2026-01-18T08:33:08.8682144Z</t>
  </si>
  <si>
    <t>0e187e63c15549ee9286c5f9d8d79cb3</t>
  </si>
  <si>
    <t>2026-03-13T21:30:00Z</t>
  </si>
  <si>
    <t>EXTRA FUEL  DUE TO WX
DIS. BY AYELET W.</t>
  </si>
  <si>
    <t>KEA1H KEA L52 VAXOS M978 TOSKA BONEK BONEK1A</t>
  </si>
  <si>
    <t>2026-03-14T22:21:46Z</t>
  </si>
  <si>
    <t>2026-03-14T00:30:54Z</t>
  </si>
  <si>
    <t>2026-03-13T23:32:39.2212589Z</t>
  </si>
  <si>
    <t>137201c6c8c64390b7ad5d69db8fc3c0</t>
  </si>
  <si>
    <t>2026-03-13T20:45:00Z</t>
  </si>
  <si>
    <t>EXTRA FUEL TO POSS WAIT AT LLBG+ENROUTE WX.
DIS. BY AYELET W.</t>
  </si>
  <si>
    <t>SUVAS STEPA APLON A28 BETID BETID1A</t>
  </si>
  <si>
    <t>2026-03-13T21:06:55Z</t>
  </si>
  <si>
    <t>2026-03-13T22:04:31Z</t>
  </si>
  <si>
    <t>2026-03-13T21:57:06.4901054Z</t>
  </si>
  <si>
    <t>ed0f839ab7d9466db7c0337a0034a075</t>
  </si>
  <si>
    <t>2026-03-13T18:30:00Z</t>
  </si>
  <si>
    <t>OFP REV 01 - DUE TO CHG IN ZFW.
EXTRA FUEL FOR POSS WAIT AT LLBG
DIS.BY AYELET W.</t>
  </si>
  <si>
    <t>2026-03-13T19:09:56Z</t>
  </si>
  <si>
    <t>2026-03-13T20:08:01Z</t>
  </si>
  <si>
    <t>2026-03-13T19:33:38.8493744Z</t>
  </si>
  <si>
    <t>92e4ac1a289245eabf29f91903dffc52</t>
  </si>
  <si>
    <t>2026-03-13T18:10:00Z</t>
  </si>
  <si>
    <t>1.EXTRA FUEL OF 100 KG WAS VOIDED WITH LIOR YAVOR APPROVAL,DUE HIGH PAYLOAD.
2.DISPATCHED WITH NO ALT AS PER POLICY,ALSO DUE HIGH PAYLOAD,PLS STAY CONNECTED TO THE FUEL FOR POSS PAX NO SHOW AND ADDING MORE FUEL.
FOR NOW 2500KG REQUESTED.
DISP-EREZ Y.</t>
  </si>
  <si>
    <t>2026-03-13T18:23:14Z</t>
  </si>
  <si>
    <t>2026-03-13T21:15:31Z</t>
  </si>
  <si>
    <t>2026-03-13T20:58:10.9664711Z</t>
  </si>
  <si>
    <t>64d948aa4f844b018e091d9b07f55c11</t>
  </si>
  <si>
    <t>2026-03-13T17:15:00Z</t>
  </si>
  <si>
    <t>EXTRA FUEL CONSIST OF 100 KG PER POLICY+100 FOR POSS DELAY ON GROUND DUE SECURITY REASON.
DISP-EREZ Y.</t>
  </si>
  <si>
    <t>2026-03-13T17:25:24Z</t>
  </si>
  <si>
    <t>2026-03-13T18:25:34Z</t>
  </si>
  <si>
    <t>2026-03-13T18:30:56.1529141Z</t>
  </si>
  <si>
    <t>2079c54c31244252ae4dae1114380a1c</t>
  </si>
  <si>
    <t>2026-03-13T14:00:00Z</t>
  </si>
  <si>
    <t>**NEW OFP DUE HIGHER TOW BY MORE THEN 800 KG**
EXTRA FUEL CONSIST OF 100KG PER POLICY+200KG FOR POSS HOLD DUE SECURITY REASON.
DISP-EREZ Y.</t>
  </si>
  <si>
    <t>2026-03-13T14:22:52Z</t>
  </si>
  <si>
    <t>2026-03-13T16:57:12Z</t>
  </si>
  <si>
    <t>2026-03-13T16:29:15.2179634Z</t>
  </si>
  <si>
    <t>dcdc99ed01444a5ea6003d66d3d034fe</t>
  </si>
  <si>
    <t>2026-03-13T12:15:00Z</t>
  </si>
  <si>
    <t>EXTRA FUEL OF 100KG IS PER POLICY+ 200KG FOR POSS HOLD DUE SECURITY REASON..
DISP-EREZ Y.</t>
  </si>
  <si>
    <t>OMENO3S OMENO Y505 NIKTI N127 RIKSO/F210 OKESA G80 AKBUK PIROX N129 RDS L609 APLON PIKOG L609 ZUKKO</t>
  </si>
  <si>
    <t>2026-03-13T12:22:57Z</t>
  </si>
  <si>
    <t>2026-03-13T15:58:57Z</t>
  </si>
  <si>
    <t>2026-03-13T15:30:04.7195058Z</t>
  </si>
  <si>
    <t>c7786166fa6c4cb49eea147e67f4b48f</t>
  </si>
  <si>
    <t>2026-03-13T08:45:00Z</t>
  </si>
  <si>
    <t>1.FLT DISPATCHED WITH NO ALT AS PER COMPANY POLICY,DUE HIGH PAYLOAD,TRY AND LEAVE THE FUEL CONNECTED FOR THE POSS OF NO SHOW,AND ADDING FUEL,FOR NOW 2600KG OF FUEL WAS SET,SHOWING 64KG OF EXTRA FUEL.
DISP-EREZ Y.</t>
  </si>
  <si>
    <t>2026-03-13T08:59:35Z</t>
  </si>
  <si>
    <t>2026-03-13T11:54:07Z</t>
  </si>
  <si>
    <t>2026-03-13T11:37:50.4300445Z</t>
  </si>
  <si>
    <t>79720825560f4ba894da0c2a5a638331</t>
  </si>
  <si>
    <t>2026-03-13T06:15:00Z</t>
  </si>
  <si>
    <t>EXTRA FUEL WAS VOIDED AS PER LIOR YAVOR APPROVAL DUE EXPECTED HIGH PAYLOAD.
DISP-EREZ Y.</t>
  </si>
  <si>
    <t>2026-03-13T06:35:13Z</t>
  </si>
  <si>
    <t>2026-03-13T07:34:11Z</t>
  </si>
  <si>
    <t>2026-03-13T07:17:45.9888862Z</t>
  </si>
  <si>
    <t>9b13d91396dc45a29be79b65d89ea87b</t>
  </si>
  <si>
    <t>2026-01-14T17:55:00Z</t>
  </si>
  <si>
    <t xml:space="preserve">DISPATCHED BY AYELET W. UNDER THE SUPER. OF LIAT N
EXTRA FUEL TO COVER THE NEXT LEG.
</t>
  </si>
  <si>
    <t>2026-01-14T18:15:47Z</t>
  </si>
  <si>
    <t>2026-01-14T18:52:38Z</t>
  </si>
  <si>
    <t>2026-01-14T18:30:51.7332705Z</t>
  </si>
  <si>
    <t>8328521194984a8997c634eaa28f1bb7</t>
  </si>
  <si>
    <t>2026-01-14T17:40:00Z</t>
  </si>
  <si>
    <t>DISPATCHED BY AYELET W UNDER THE SUPER. OF LIAT N
EXTRA FUEL TO COVER THE NEXT LEG
LGAV LATEST AIRBORNE ---1945 LT 
LLHA CLS AT 22:00LT</t>
  </si>
  <si>
    <t>KEA1E KEA L995 RDS L609 ALKIS/F150 L609 APLON P68 MERVA/F150 P68 GALIM VFR</t>
  </si>
  <si>
    <t>2026-01-14T17:43:31Z</t>
  </si>
  <si>
    <t>2026-01-14T19:56:13Z</t>
  </si>
  <si>
    <t>2026-01-14T19:54:29.4510324Z</t>
  </si>
  <si>
    <t>328e6a7899f24f4da939074ce0628f9d</t>
  </si>
  <si>
    <t>2026-01-14T16:35:00Z</t>
  </si>
  <si>
    <t>1. THIS FLIGHT WAS PREPARED BY AYELET W. UNDER THE SUPER. OF LIAT N.
2. EXTRA FUEL TO COVER THE NEXT LEG.</t>
  </si>
  <si>
    <t>KEA1E KEA L995 RDS L609 ALKIS/F210 L609 APLON P68 MERVA/F190 P68 GALIM VFR</t>
  </si>
  <si>
    <t>2026-01-14T16:42:52Z</t>
  </si>
  <si>
    <t>2026-01-14T18:56:45Z</t>
  </si>
  <si>
    <t>2026-01-14T18:45:23.8319068Z</t>
  </si>
  <si>
    <t>0d01f161df014922a84950409fb6e20b</t>
  </si>
  <si>
    <t>2026-01-14T16:30:00Z</t>
  </si>
  <si>
    <t>DISPATCHED BY AYELET W UNDER THESUPER. OF LIAT N.
LLHA SPS DATA :RWY 33. WET. 300/06KTS. 15C. 1020QNH.   RTOW-22688KG
EXTRA FUEL AS PER COMPANY POLICY.</t>
  </si>
  <si>
    <t>2026-01-14T16:38:34Z</t>
  </si>
  <si>
    <t>2026-01-14T17:28:38Z</t>
  </si>
  <si>
    <t>2026-01-14T17:22:07.4174168Z</t>
  </si>
  <si>
    <t>684d9c77738d441f9f6c2f480340ce6d</t>
  </si>
  <si>
    <t>2026-01-14T14:40:00Z</t>
  </si>
  <si>
    <t xml:space="preserve">DISPATCHED BY AYELET UNDER THE SUPER. OF LIAT N
EXTRA FUEL TO COVER THE NEXT LEG.
</t>
  </si>
  <si>
    <t>N0262F120 NURIT2H NURIT J10 TOMAL/N0260F080 J10 NAT/N0222F040 J15 ATLIT/N0223F040 VFR 3245N03456E DCT 3248N03457E DCT GALIM</t>
  </si>
  <si>
    <t>2026-01-14T14:47:33Z</t>
  </si>
  <si>
    <t>2026-01-14T15:46:28Z</t>
  </si>
  <si>
    <t>2026-01-14T15:34:24.3464963Z</t>
  </si>
  <si>
    <t>a8e3a12b08694a84980a63e660426934</t>
  </si>
  <si>
    <t>2026-01-14T13:35:00Z</t>
  </si>
  <si>
    <t>1. THIS FLIGHT WAS PREPARED BY NIMROD R.
2. LLHA-RWY 33 RTOW 22610KG. SPS DATA: 300/06KTS, WET, 17C DEG, QNH 1021, Air Cond. OFF.
3. EXTRA FUEL PLANNED AS PER COMPANY POLICY.
4. DISPATCHED AT FL140 DUE TO FAVORABLE WINDS.</t>
  </si>
  <si>
    <t>2026-01-14T13:58:19Z</t>
  </si>
  <si>
    <t>2026-01-14T16:52:12Z</t>
  </si>
  <si>
    <t>2026-01-14T16:25:44.9360257Z</t>
  </si>
  <si>
    <t>6deaa93a14bb499bb6c355a0d88cdf17</t>
  </si>
  <si>
    <t>2026-01-14T12:50:00Z</t>
  </si>
  <si>
    <t>1. THIS FLIGHT WAS PREPARED BY UDI A,TRAINEE.SUPERVISED BY NIMROD R.
2. LLHA- RTOW 22492kg. SPS DATA:RWY33 300/05, WET, 18C DEG, QNH 1018Q, PACKS OFF.
3. EXTRA FUEL PLANNED AS PER COMPANY POLICY.</t>
  </si>
  <si>
    <t>2026-01-14T12:47:23Z</t>
  </si>
  <si>
    <t>2026-01-14T13:37:02Z</t>
  </si>
  <si>
    <t>2026-01-14T13:43:47.441637Z</t>
  </si>
  <si>
    <t>6b9cbad506894764ab220ed78e1cbdbf</t>
  </si>
  <si>
    <t>2026-01-14T12:35:00Z</t>
  </si>
  <si>
    <t>DISP   :   UDI A,TRAINEE.SUPERVISED BY NIMROD R.
FUEL  :   EXTRA FUEL TO COVER NEXT LEG-PFO.</t>
  </si>
  <si>
    <t>2026-01-14T12:33:00Z</t>
  </si>
  <si>
    <t>2026-01-14T13:16:49Z</t>
  </si>
  <si>
    <t>2026-01-14T13:18:44.7713482Z</t>
  </si>
  <si>
    <t>fca49a0755bc4384a3b6d28fd4dfd791</t>
  </si>
  <si>
    <t>2026-01-14T12:15:00Z</t>
  </si>
  <si>
    <t>DISP   :   UDI A,TRAINEE.SUPERVISED BY NIMROD R.
FUEL  :   EXTRA FUEL TO COVER NEXT LEG-ETM.
A T C  :   FILED FOR 11:45.</t>
  </si>
  <si>
    <t>OMENO3S OMENO Y505 NIKTI N127 LMO L618 MES N139 LURUS L995 RDS/F150 L995 ULFIT M978 TOSKA M67 MAROS L609 APLON P68 GALIM/N0279A050 VFR</t>
  </si>
  <si>
    <t>2026-01-14T12:35:08Z</t>
  </si>
  <si>
    <t>2026-01-14T15:35:24Z</t>
  </si>
  <si>
    <t>2026-01-14T15:11:52.8347002Z</t>
  </si>
  <si>
    <t>edf5d3dc14ca47d5b5bb55f081d34b3d</t>
  </si>
  <si>
    <t>2026-01-14T12:00:00Z</t>
  </si>
  <si>
    <t>DISPATCHED BY AYELET W
EXTRA FUEL TO COVER THE NEXT LEG.(LCLK)</t>
  </si>
  <si>
    <t>2026-01-14T14:58:20.5446192Z</t>
  </si>
  <si>
    <t>a22b1ae4f0f744fc8e709d8ca3b1569f</t>
  </si>
  <si>
    <t>2026-01-14T11:10:00Z</t>
  </si>
  <si>
    <t>1. THIS FLIGHT WAS PREPARED BY UDI A,TRINEE.SUPERVISED BY NIMROD R.
2. EXTRA FUEL TO COVER THE NEXT LEG-ETM.</t>
  </si>
  <si>
    <t>2026-01-14T11:05:31Z</t>
  </si>
  <si>
    <t>2026-01-14T11:44:53Z</t>
  </si>
  <si>
    <t>2026-01-14T11:45:06.3911907Z</t>
  </si>
  <si>
    <t>7754da8526bd438293330d690c1c4437</t>
  </si>
  <si>
    <t>2026-01-14T10:47:00Z</t>
  </si>
  <si>
    <t>1. THIS FLIGHT WAS PREPARED BY UDI A,TRINEE.SUPERVISED BY NIMROD R.
2. EXTRA FUEL TO COVER THE NEXT LEG-ATH.
3. ATC FILED FOR 10:10.
.</t>
  </si>
  <si>
    <t>KEA1E KEA L995 RDS L609 ALKIS/F190 L609 APLON P68 GALIM/N0276A050 VFR</t>
  </si>
  <si>
    <t>2026-01-14T10:58:27Z</t>
  </si>
  <si>
    <t>2026-01-14T13:10:11Z</t>
  </si>
  <si>
    <t>2026-01-14T12:57:57.104846Z</t>
  </si>
  <si>
    <t>d11ff9bedc754e619341088781c8be04</t>
  </si>
  <si>
    <t>2026-01-14T10:45:00Z</t>
  </si>
  <si>
    <t>1. THIS FLIGHT WAS PREPARED BY UDI A,TRAINEE.SUPERVISED BY NIMROD R.
2. LLHA-RWY33 RTOW 22492kg. SPS DATA: 300/05, WET, 18C DEG, QNH 1018Q, PACKS OFF.
3. EXTRA FUEL PLANNED AS PER COMPANY POLICY.
4. FL100 CHOSEN,TO REDUSE HEAD-WIND .</t>
  </si>
  <si>
    <t>2026-01-14T10:53:06Z</t>
  </si>
  <si>
    <t>2026-01-14T11:47:21Z</t>
  </si>
  <si>
    <t>2026-01-14T11:41:19.1611383Z</t>
  </si>
  <si>
    <t>881d9faf4f4640e0ab3d7fdacf80563c</t>
  </si>
  <si>
    <t>2026-01-14T09:30:00Z</t>
  </si>
  <si>
    <t>1. THIS FLIGHT WAS PREPARED BY NIMROD R.
2. LLHA-RWY 33 RTOW 22610KG. SPS DATA: 300/06KTS, DRY, 17C DEG, QNH 1021, Air Cond. OFF.
3. EXTRA FUEL PLANNED AS PER COMPANY POLICY.</t>
  </si>
  <si>
    <t>2026-01-14T09:26:09Z</t>
  </si>
  <si>
    <t>2026-01-14T10:16:15Z</t>
  </si>
  <si>
    <t>2026-01-14T10:21:34.666336Z</t>
  </si>
  <si>
    <t>8a17f554f035418ca6269ed503f622e4</t>
  </si>
  <si>
    <t>2026-01-14T09:05:00Z</t>
  </si>
  <si>
    <t>1. THIS FLIGHT WAS PREPARED BY UDI A,TRAINEE.SUPERVISED BY NIMROD R.
2. EXTRA FUEL TO COVER THE NEXT LEG-PFO.</t>
  </si>
  <si>
    <t>NURIT2H NURIT J10 TOMAL/N0275F080 J10 NAT/N0225F040 J15 ATLIT/N0226F040 VFR HOTRM DAROM GALIM</t>
  </si>
  <si>
    <t>2026-01-14T09:06:08Z</t>
  </si>
  <si>
    <t>2026-01-14T10:04:47Z</t>
  </si>
  <si>
    <t>2026-01-14T09:58:44.1787558Z</t>
  </si>
  <si>
    <t>bbc2dcde77e849e0ad2345289ee52bb4</t>
  </si>
  <si>
    <t>2026-01-14T09:00:00Z</t>
  </si>
  <si>
    <t>GALIM/F050 IFR P68 MERVA/F160 P68 APLON L609 MAROS M67 TOSKA M978 VAXOS N128 RDS/F200 N128 OKESA DCT RIKSO N128 PEREN L863 EVIVI Y94 VANET VANET5H</t>
  </si>
  <si>
    <t>2026-01-14T13:04:37.8817986Z</t>
  </si>
  <si>
    <t>85d8506b238a4cfa8945bc7bbdb78708</t>
  </si>
  <si>
    <t>2026-01-14T07:40:00Z</t>
  </si>
  <si>
    <t>1. THIS FLIGHT WAS PREPARED BY UDI A,TRAINEE.SUPERVISED BY NIMROD R.
2. EXTRA FUEL TO COVER THE NEXT LEG-LCA.</t>
  </si>
  <si>
    <t>2026-01-14T07:55:57Z</t>
  </si>
  <si>
    <t>2026-01-14T08:33:22Z</t>
  </si>
  <si>
    <t>2026-01-14T08:16:19.7688282Z</t>
  </si>
  <si>
    <t>f8f3c882e3a14645876306e417f318ce</t>
  </si>
  <si>
    <t>2026-01-14T07:30:00Z</t>
  </si>
  <si>
    <t>1. THIS FLIGHT WAS PREPARED BY UDI A,TRAINEE.SUPERVISED BY NIMROD R.
2. LLHA-RWY33 RTOW 22662KG. SPS DATA: NO WIND, WET, 18C DEG, QNH 1018Q, PACKS OFF.
3. EXTRA FUEL PLANNED AS PER COMPANY POLICY AND ENROUTE WX.</t>
  </si>
  <si>
    <t>GALIM/F050 IFR P68 MERVA/F140 P68 APLON L609 MAROS M67 TOSKA M978 VAXOS N128 OKESA DCT RIKSO N128 PEREN L863 EVIVI Y94 VANET VANET5H</t>
  </si>
  <si>
    <t>2026-01-14T07:43:23Z</t>
  </si>
  <si>
    <t>2026-01-14T11:30:43Z</t>
  </si>
  <si>
    <t>2026-01-14T11:22:18.8066112Z</t>
  </si>
  <si>
    <t>be8ecddf099d40aa9cd9034a7d5933e1</t>
  </si>
  <si>
    <t>2026-01-14T07:25:00Z</t>
  </si>
  <si>
    <t>1. THIS FLIGHT WAS PREPARED BY UDI A,TRAINEE.SUPERVISED BY NIMROD R.
2. LLHA-RWY33 RTOW 22662KG. SPS DATA: NO WIND, WET, 18C DEG, QNH 1018Q, PACKS OFF.
3. EXTRA FUEL PLANNED AS PER COMPANY POLICY.</t>
  </si>
  <si>
    <t>2026-01-14T07:33:07Z</t>
  </si>
  <si>
    <t>2026-01-14T08:23:03Z</t>
  </si>
  <si>
    <t>2026-01-14T08:20:14.4653664Z</t>
  </si>
  <si>
    <t>14dd25d0d2c94ff38f59395ff892a93b</t>
  </si>
  <si>
    <t>2026-01-14T06:50:00Z</t>
  </si>
  <si>
    <t>2026-01-14T07:10:27Z</t>
  </si>
  <si>
    <t>2026-01-14T10:07:53Z</t>
  </si>
  <si>
    <t>2026-01-14T09:46:45.8035664Z</t>
  </si>
  <si>
    <t>acd531a83d7d46dd912da65bcb71c797</t>
  </si>
  <si>
    <t>2026-01-14T06:00:00Z</t>
  </si>
  <si>
    <t>2026-01-14T06:15:54Z</t>
  </si>
  <si>
    <t>2026-01-14T07:05:40Z</t>
  </si>
  <si>
    <t>2026-01-14T06:50:45.5758192Z</t>
  </si>
  <si>
    <t>f05e6dfefc1c4eca9b112909079f8ca5</t>
  </si>
  <si>
    <t>2026-01-14T05:25:00Z</t>
  </si>
  <si>
    <t>1. THIS FLIGHT WAS PREPARED BY NIMROD R.
2. A/C IS FUELED WITH 1470 KG FROM PREVIOUS LEG.</t>
  </si>
  <si>
    <t>2026-01-14T05:50:19Z</t>
  </si>
  <si>
    <t>2026-01-14T06:13:30Z</t>
  </si>
  <si>
    <t>2026-01-14T05:41:48.421355Z</t>
  </si>
  <si>
    <t>123677cfc43b495ea6be93e4f31d6f01</t>
  </si>
  <si>
    <t>1. THIS FLIGHT WAS PREPARED BY NIMROD R.
2. A/C IS FUELED WITH 1410 KG FROM PREVIOUS LEG.</t>
  </si>
  <si>
    <t>2026-01-14T05:33:58Z</t>
  </si>
  <si>
    <t>2026-01-14T06:00:37Z</t>
  </si>
  <si>
    <t>2026-01-14T05:41:48.752114Z</t>
  </si>
  <si>
    <t>4b678bf440784b9b94be25fdc08b38a7</t>
  </si>
  <si>
    <t>2026-02-04T17:45:00Z</t>
  </si>
  <si>
    <t>2026-02-04T17:58:24Z</t>
  </si>
  <si>
    <t>2026-02-04T18:39:28Z</t>
  </si>
  <si>
    <t>2026-02-04T18:24:58.6477603Z</t>
  </si>
  <si>
    <t>8f22a7d5112b4c70a14287e7541687e6</t>
  </si>
  <si>
    <t>2026-02-04T16:30:00Z</t>
  </si>
  <si>
    <t>EXTRA FUEL IS FROM PREVIOUS FLT.
T/O DATA-RWY 15,TEMP 17C,WIND 0,Q1020....RTOW 22625 KG.
DISP-EREZ Y.</t>
  </si>
  <si>
    <t>N0235A050 GALIM/N0234A050 IFR P68 MERVA/N0269A140 N131 EMEDA EMEDA1A</t>
  </si>
  <si>
    <t>2026-02-04T16:31:16Z</t>
  </si>
  <si>
    <t>2026-02-04T17:16:51Z</t>
  </si>
  <si>
    <t>2026-02-04T17:15:57.9672359Z</t>
  </si>
  <si>
    <t>0a4237a538ea4f7d8bdc28cde4edfe93</t>
  </si>
  <si>
    <t>2026-02-04T14:40:00Z</t>
  </si>
  <si>
    <t>N0270F120 NURIT2H NURIT J10 TOMAL/N0270F080 J10 NAT/N0225F040 J15 ATLIT/N0225F040 VFR 3245N03456E DCT 3248N03457E DCT GALIM</t>
  </si>
  <si>
    <t>2026-02-04T14:49:04Z</t>
  </si>
  <si>
    <t>2026-02-04T15:43:42Z</t>
  </si>
  <si>
    <t>2026-02-04T15:31:06.0196538Z</t>
  </si>
  <si>
    <t>40a6b347a55547149d534d7d0db44e31</t>
  </si>
  <si>
    <t>2026-02-04T13:55:00Z</t>
  </si>
  <si>
    <t>1.F/L 150 BETWEEN NILAS-ALKIS DUE EURO CONTROL LIMITATION,MIGHT BE APPROVED BY ATC UPON REQ.
2.EXTRA FUEL IS FOR THE NEXT FLT.
DISP-EREZ Y.</t>
  </si>
  <si>
    <t>KEA2F KEA L995 RDS/F170 L609 NILAS/F150 L609 ALKIS/F170 L609 APLON P68 MERVA P68 GALIM/N0274A050 VFR</t>
  </si>
  <si>
    <t>2026-02-04T14:29:58Z</t>
  </si>
  <si>
    <t>2026-02-04T16:54:19Z</t>
  </si>
  <si>
    <t>2026-02-04T16:15:33.6002294Z</t>
  </si>
  <si>
    <t>ceef676849954c75ba4986b93db126f1</t>
  </si>
  <si>
    <t>2026-02-04T12:50:00Z</t>
  </si>
  <si>
    <t>EXTRA FUEL IS FROM PREVIOUS FLT.
T/O DATA-RWY 33,TEMP 19C,WIND 300/04,Q1021....RTOW 22439 KG.
DISP-EREZ Y.</t>
  </si>
  <si>
    <t>2026-02-04T12:54:22Z</t>
  </si>
  <si>
    <t>2026-02-04T13:50:28Z</t>
  </si>
  <si>
    <t>2026-02-04T13:47:24.4868982Z</t>
  </si>
  <si>
    <t>508256357ade48d1990e45e51c0c6ee2</t>
  </si>
  <si>
    <t>2026-02-04T12:35:00Z</t>
  </si>
  <si>
    <t>EXTRA FUEL IS FOR THE FLT.
DISP-EREZ Y.</t>
  </si>
  <si>
    <t>2026-02-04T12:35:19Z</t>
  </si>
  <si>
    <t>2026-02-04T13:24:10Z</t>
  </si>
  <si>
    <t>2026-02-04T13:23:33.2348142Z</t>
  </si>
  <si>
    <t>ee2b25243d2f48979447691c32296711</t>
  </si>
  <si>
    <t>2026-02-04T12:25:00Z</t>
  </si>
  <si>
    <t>1.F/L 150 RDS-ULIFT DUE EUROCONTROL LIMITATION.
2.EXTRA FUEL IS FOR THE NEXT FLT.
DISP-EREZ Y.</t>
  </si>
  <si>
    <t>2026-02-04T12:27:03Z</t>
  </si>
  <si>
    <t>2026-02-04T15:46:52Z</t>
  </si>
  <si>
    <t>2026-02-04T15:42:28.6698685Z</t>
  </si>
  <si>
    <t>44b90139f13d4839926661eac7763b56</t>
  </si>
  <si>
    <t>2026-02-04T10:45:00Z</t>
  </si>
  <si>
    <t>EXTRA FUEL IS PER POLICY.
T/O DATA-RWY 33,TEMP 20C,WIND 270/05,Q1021....RTOW 22318 KG.
DISP-EREZ Y.</t>
  </si>
  <si>
    <t>2026-02-04T10:56:00Z</t>
  </si>
  <si>
    <t>2026-02-04T11:46:04Z</t>
  </si>
  <si>
    <t>2026-02-04T11:37:38.4641527Z</t>
  </si>
  <si>
    <t>d2b7fa5e99674435a5de168b16fdc902</t>
  </si>
  <si>
    <t>2026-02-04T10:15:00Z</t>
  </si>
  <si>
    <t>1.PAY ATTN-ATC F/P WAS FILED FOR 0955Z DUE POSS CTOT.
2.EXTRA FUEL IS PER POLICY.
3.T/O DATA-RWY 33,TEMP 20C,WIND 270/05,Q1021....RTOW 22700 KG(WITH RTO).
DISP-EREZ Y.</t>
  </si>
  <si>
    <t>2026-02-04T10:30:36Z</t>
  </si>
  <si>
    <t>2026-02-04T13:13:40Z</t>
  </si>
  <si>
    <t>2026-02-04T12:56:46.4308383Z</t>
  </si>
  <si>
    <t>4510a424040d44a1b1afe36b383f213b</t>
  </si>
  <si>
    <t>2026-02-04T08:50:00Z</t>
  </si>
  <si>
    <t>2026-02-04T08:53:50Z</t>
  </si>
  <si>
    <t>2026-02-04T09:50:17Z</t>
  </si>
  <si>
    <t>2026-02-04T09:41:04.897802Z</t>
  </si>
  <si>
    <t>a460daf031c54068a0a351848e510950</t>
  </si>
  <si>
    <t>2026-02-04T08:40:00Z</t>
  </si>
  <si>
    <t>2026-02-04T09:08:26Z</t>
  </si>
  <si>
    <t>2026-02-04T09:46:10Z</t>
  </si>
  <si>
    <t>2026-02-04T09:19:00.3878647Z</t>
  </si>
  <si>
    <t>25c33b65383248959869873835303df6</t>
  </si>
  <si>
    <t>2026-02-04T07:40:00Z</t>
  </si>
  <si>
    <t>EXTRA FUEL PER POLICY.
T/O DATA -RWY 33,TEMP 16C,WIND 0,Q1020,PACKS OFF,....RTOW 22376 KG
DISP-EREZ Y.</t>
  </si>
  <si>
    <t>N0235A050 DCT GALIM IFR P68 MERVA/F180 P68 APLON L609 RDS N129 PIROX DCT AKBUK G80 OKESA DCT RIKSO N128 PEREN L863 EVIVI Y94 VANET VANET6D</t>
  </si>
  <si>
    <t>2026-02-04T07:49:09Z</t>
  </si>
  <si>
    <t>2026-02-04T11:24:07Z</t>
  </si>
  <si>
    <t>2026-02-04T11:13:57.1645361Z</t>
  </si>
  <si>
    <t>99d30df6eef34fcbb3e9407bf320ed5c</t>
  </si>
  <si>
    <t>2026-02-04T07:00:00Z</t>
  </si>
  <si>
    <t>EXTRA FUEL FROM PREVIOUS FLT.
T/O DATA -RWY 33,TEMP 16C,WIND 0,Q1020,PACKS OFF,....RTOW 22376 KG
DISP-EREZ Y.</t>
  </si>
  <si>
    <t>2026-02-04T07:09:03Z</t>
  </si>
  <si>
    <t>2026-02-04T08:03:28Z</t>
  </si>
  <si>
    <t>2026-02-04T07:56:08.6102535Z</t>
  </si>
  <si>
    <t>e8ef4ec0d9ba4c86946a1e2ba362e2a5</t>
  </si>
  <si>
    <t>2026-02-04T07:16:48Z</t>
  </si>
  <si>
    <t>2026-02-04T08:02:23Z</t>
  </si>
  <si>
    <t>2026-02-04T07:49:25.8578724Z</t>
  </si>
  <si>
    <t>7d5bad463b34439ba83594f0b885cd62</t>
  </si>
  <si>
    <t>2026-01-19T18:20:00Z</t>
  </si>
  <si>
    <t>EXTRA FUEL FOR NEXT FLT
DIS. BY AYELETW UNDER THE SUPER. OF NIMROD R.</t>
  </si>
  <si>
    <t>2026-01-19T18:43:17Z</t>
  </si>
  <si>
    <t>2026-01-19T19:21:01Z</t>
  </si>
  <si>
    <t>2026-01-19T18:58:02.463422Z</t>
  </si>
  <si>
    <t>d7bec95a2f7145afbf11e1e2635e5f8e</t>
  </si>
  <si>
    <t>2026-01-19T17:08:00Z</t>
  </si>
  <si>
    <t>EXTRA FUEL FOR THE NEXT FLT
DISP. BY AYELET W UNDER THE SUPER. OF NIMROD R</t>
  </si>
  <si>
    <t>N0268F190 KEA1E KEA L52 VAXOS M978 TOSKA M67 MAROS L609 APLON P68 GALIM/N0263A050 VFR</t>
  </si>
  <si>
    <t>2026-01-19T17:24:42Z</t>
  </si>
  <si>
    <t>2026-01-19T19:34:52Z</t>
  </si>
  <si>
    <t>2026-01-19T19:14:36.3250375Z</t>
  </si>
  <si>
    <t>2207fe2f499e41d08313655319eaf62e</t>
  </si>
  <si>
    <t>2026-01-19T16:55:00Z</t>
  </si>
  <si>
    <t>EXTRA FUEL AS PER COMPNAY POLICY
SPS DATA RWY 33. DRY. 360/06KTS. 14C 1020Q. AC- OFF     RTOW 22756KG
DIS. BY AYELET W UNDER THE SUPER. OF NIMROD R.</t>
  </si>
  <si>
    <t>2026-01-19T17:08:28Z</t>
  </si>
  <si>
    <t>2026-01-19T17:54:45Z</t>
  </si>
  <si>
    <t>2026-01-19T17:44:03.8178329Z</t>
  </si>
  <si>
    <t>d00966c027324b76a007cc7f17830ba5</t>
  </si>
  <si>
    <t>2026-01-19T15:35:00Z</t>
  </si>
  <si>
    <t xml:space="preserve">OFP REV01 - DUE TO MAIN.  
EXTRA FUEL IS FOR THE NEXT FLT.
DIS. BY AYELET W UNDER THE SUPER. OF NIMROD R.
</t>
  </si>
  <si>
    <t>2026-01-19T15:50:46Z</t>
  </si>
  <si>
    <t>2026-01-19T16:44:01Z</t>
  </si>
  <si>
    <t>2026-01-19T16:26:34.6202113Z</t>
  </si>
  <si>
    <t>ce269d6922b74bec933f6c1b9fb382c0</t>
  </si>
  <si>
    <t>2026-01-19T15:30:00Z</t>
  </si>
  <si>
    <t>EXTRA FUEL FOR NEXT FLT
DISPATCHED BY AYELET W UNDER THE SUPER OF NIMROD R.</t>
  </si>
  <si>
    <t>2026-01-19T15:34:00Z</t>
  </si>
  <si>
    <t>2026-01-19T16:29:28Z</t>
  </si>
  <si>
    <t>2026-01-19T16:22:45.8187235Z</t>
  </si>
  <si>
    <t>b9e73a8c15274bbbbe79024b06510b2f</t>
  </si>
  <si>
    <t>2026-01-19T12:55:00Z</t>
  </si>
  <si>
    <t>**NEW OFP DUE A/C CHANGE(MAINT ON IHA),ATC WAS FILED FOR 1230Z.**
1.FOR UNDERSTANDING WHY F/L 100 WAS CHOSEN FOR DISPATCHING THIS FLT,I WILL REFER YOU TO, MAX CRUISE (PLAN) IN THE FLT BRIEF.
THERE YOU CAN SEE THAT EVEN F/L 080 CAN BE CHOSEN AT CERTAIN STAGES OF THE FLT(SEE MSA) WITH BETTER FLYING TIME.
2.ALT LGTS GIVEN DUE CLOSURE OF THE MAIN RWY AT LGIR.
3.PAY ATTN-ATC F/P WAS FOR 1125Z DUE POSS CTOT(IF DLAY IS NEEDED).-SEE ABOVE
4.DUE LOW NUMBER OF PAX THERE WAS A NEED TO ADD 250KG OF BALLAST WEIGHTS.
5.T/O DATA-RWY 33,TEMP 16C,WIND 030/2KT,Q1019,PACKS OFF,....RTOW 22431KG.
DISP-EREZ Y.</t>
  </si>
  <si>
    <t>N0233A050 GALIM/N0232A050 IFR P68 MERVA/F100 P68 APLON L609 RDS L995 VARIX VARIX1Q</t>
  </si>
  <si>
    <t>2026-01-19T13:09:33Z</t>
  </si>
  <si>
    <t>2026-01-19T16:04:38Z</t>
  </si>
  <si>
    <t>2026-01-19T15:37:55.4337351Z</t>
  </si>
  <si>
    <t>05645426241f4dbdb3c27000773be374</t>
  </si>
  <si>
    <t>2026-01-19T12:50:00Z</t>
  </si>
  <si>
    <t>EXTRA FUEL IS PER POLICY.
T/O DATA-RWY 33,TEMP 16C,WIND 030/2KT,Q1019,PACKS OFF,....RTOW 22431KG.
DISP-EREZ Y.</t>
  </si>
  <si>
    <t>N0235A050 GALIM/N0234A050 IFR Q28 ATLIT J15 NAT/N0276A090 J10 SIVAK/N0275A130 J10 NURIT NURIT1D</t>
  </si>
  <si>
    <t>2026-01-19T13:11:51Z</t>
  </si>
  <si>
    <t>2026-01-19T14:04:32Z</t>
  </si>
  <si>
    <t>2026-01-19T13:45:15.1938071Z</t>
  </si>
  <si>
    <t>c55e948f2eea449aaaeccf843a9831d2</t>
  </si>
  <si>
    <t>2026-01-19T12:00:00Z</t>
  </si>
  <si>
    <t>1.DO NOT PREDICT DEICING WILL BE NEEDED..
2.EXTRA FUEL FOR SECURITY REASON IN ORDER TO LAND AT ABOUT 1500KG.
3.T/O DATA -RWY 09,TEMP -2C,WIND 0,Q1032,PACKS OFF...WITH FLUIDS METHOD 1 ....RTOW 23000 KG .
DISP-EREZ Y.</t>
  </si>
  <si>
    <t>OMENO3S OMENO Y505 NIKTI N127 LMO L618 MES N139 LURUS L995 ULFIT M978 TOSKA M67 MAROS/F210 L609 APLON P68 MERVA/F190 P68 GALIM/N0275A050 VFR</t>
  </si>
  <si>
    <t>2026-01-19T12:18:18Z</t>
  </si>
  <si>
    <t>2026-01-19T15:13:00Z</t>
  </si>
  <si>
    <t>2026-01-19T14:52:06.9767042Z</t>
  </si>
  <si>
    <t>ceb60e6ba2674efea5ea45751bd357d9</t>
  </si>
  <si>
    <t>2026-01-19T11:10:00Z</t>
  </si>
  <si>
    <t>EXTRA FUEL IS FOR SECURITY REASON(ABOUT 1500 AT LANDING).
DISP-EREZ Y.</t>
  </si>
  <si>
    <t>2026-01-19T11:17:47Z</t>
  </si>
  <si>
    <t>2026-01-19T11:57:33Z</t>
  </si>
  <si>
    <t>2026-01-19T11:46:48.5480458Z</t>
  </si>
  <si>
    <t>2ac0d90d96c641bd82af2d4bc74b7b02</t>
  </si>
  <si>
    <t>2026-01-19T09:30:00Z</t>
  </si>
  <si>
    <t>GALIM/N0234A050 IFR P68 MERVA/N0280A140 N131 EMEDA EMEDA1A</t>
  </si>
  <si>
    <t>2026-01-19T09:22:56Z</t>
  </si>
  <si>
    <t>2026-01-19T10:07:54Z</t>
  </si>
  <si>
    <t>2026-01-19T10:18:23.9550926Z</t>
  </si>
  <si>
    <t>90f34b2ec302417a8e5a622c2eb10494</t>
  </si>
  <si>
    <t>2026-01-19T09:25:00Z</t>
  </si>
  <si>
    <t>KEA1E KEA L52 VAXOS M978 TOSKA M67 MAROS/F210 L609 APLON P68 MERVA/F190 P68 GALIM/N0263A050 VFR</t>
  </si>
  <si>
    <t>2026-01-19T09:43:56Z</t>
  </si>
  <si>
    <t>2026-01-19T11:54:57Z</t>
  </si>
  <si>
    <t>2026-01-19T11:32:08.6749711Z</t>
  </si>
  <si>
    <t>631afd2f5ffe44198fb43e761f6687cb</t>
  </si>
  <si>
    <t>2026-01-19T08:00:00Z</t>
  </si>
  <si>
    <t>EXTRA FUEL IS PER POLICY.
T/O DATA -RWY 33,TEMP 14C,WIND 0,Q1018,PACKS OFF,.....RTOW 22448 KG.
DISP EREZ Y.</t>
  </si>
  <si>
    <t>GALIM/N0234A050 IFR Q28 ATLIT J15 NAT/N0276A090 J10 SIVAK/N0276A130 J10 NURIT NURIT1D</t>
  </si>
  <si>
    <t>2026-01-19T08:06:39Z</t>
  </si>
  <si>
    <t>2026-01-19T09:01:34Z</t>
  </si>
  <si>
    <t>2026-01-19T08:55:16.1743414Z</t>
  </si>
  <si>
    <t>1a846596f64e4ec78cecf1d0638423aa</t>
  </si>
  <si>
    <t>2026-01-19T07:40:00Z</t>
  </si>
  <si>
    <t>EXTRA FUEL IS IN ORDER TO ARRIVE AT LLHA AT ABOUT 1500KG FOR SECURITY REASON.
DISP-EREZ Y.</t>
  </si>
  <si>
    <t>2026-01-19T07:49:30Z</t>
  </si>
  <si>
    <t>2026-01-19T08:28:37Z</t>
  </si>
  <si>
    <t>2026-01-19T08:17:08.921727Z</t>
  </si>
  <si>
    <t>cef28bbf4326459793a4f4af7943f924</t>
  </si>
  <si>
    <t>2026-01-19T07:15:00Z</t>
  </si>
  <si>
    <t>1.FLT DISPATCHED AT F/L 140 DUE LONGER F/T AT F/L 160 WITH MINOR DIFFERENCE IN FUEL BURN-F/L 160 03.54 F/T AND 39H WIND(40KG LESS FUEL).
2.EXTRA FUEL OF 200 KG IS PER SOF POLICY.
3.T/O DATA -RWY 33,TEMP 14C,WIND 0,Q1018,PACKS OFF,.....RTOW 22448 KG.
DISP EREZ Y.</t>
  </si>
  <si>
    <t>N0235A050 GALIM/N0234A050 IFR P68 MERVA/N0274A140 P68 APLON L609 RDS N129 PIROX DCT AKBUK G80 OKESA DCT RIKSO N128 PEREN L863 EVIVI Y94 VANET VANET5H</t>
  </si>
  <si>
    <t>2026-01-19T07:19:56Z</t>
  </si>
  <si>
    <t>2026-01-19T11:07:50Z</t>
  </si>
  <si>
    <t>2026-01-19T11:02:01.1274085Z</t>
  </si>
  <si>
    <t>50506f7a59d34f50851b2015a5873da0</t>
  </si>
  <si>
    <t>2026-01-19T06:00:00Z</t>
  </si>
  <si>
    <t>1.FLT DISPATCHED AT F/L 100 DUE LONGER F/T AT 140 (49 MIN),WITH THE SAME DEST FUEL.
2.EXTRA FUEL IS FROM PREVIOUS FLT.
3..T/O DATA -RWY 33,TEMP 11C,WIND 0,Q1018,PACKS OFF,.....RTOW 22597 KG.
DISP EREZ Y.</t>
  </si>
  <si>
    <t>GALIM/N0234A050 IFR P68 MERVA/N0278A100 N131 EMEDA EMEDA1A</t>
  </si>
  <si>
    <t>2026-01-19T08:04:50Z</t>
  </si>
  <si>
    <t>2026-01-19T09:49:00Z</t>
  </si>
  <si>
    <t>2026-01-19T06:47:04.3626761Z</t>
  </si>
  <si>
    <t>f1e7926064a1433099a0da59dcefb7c2</t>
  </si>
  <si>
    <t>2026-01-19T05:25:00Z</t>
  </si>
  <si>
    <t>1.FLT DISPATCHED AT F/L 120 DUE MUCH LONGER F/T AT HIGER LEVELS-F/L 160 02.59,F/L 180 03.04 AND F/L 140 02.53, DEST DUEL IS DIFF IS MINOR.
2.ALT LGTS DUE CLOSURE OF MAIN RWY IN LGIR.
3.EXTRA FUEL IS PER POLICY.
4.T/O DATA -RWY 33,TEMP 11C,WIND 0,Q1018,PACKS OFF,.....RTOW 22597 KG.
DISP EREZ Y.</t>
  </si>
  <si>
    <t>2026-01-19T06:01:37Z</t>
  </si>
  <si>
    <t>2026-01-19T08:51:41Z</t>
  </si>
  <si>
    <t>2026-01-19T08:12:50.2958692Z</t>
  </si>
  <si>
    <t>c1d98ca36a8d48649c86635df0bdacf9</t>
  </si>
  <si>
    <t>2026-01-12T18:30:00Z</t>
  </si>
  <si>
    <t>NEW OFP WITH DEST LLBG DUE DETERIORATION WX AT LLBG
A/C RLSD WITH MEL 61-21-02
DISP-EREZ Y.</t>
  </si>
  <si>
    <t>N0275F190 KEA2T KEA L52 VAXOS N134 VANZA DCT PIKOG/N0275F180 DCT</t>
  </si>
  <si>
    <t>2026-01-12T20:46:34.6901779Z</t>
  </si>
  <si>
    <t>e05a6832b2b14b19b44afe18abebdd22</t>
  </si>
  <si>
    <t>2026-01-12T17:55:00Z</t>
  </si>
  <si>
    <t>THIS FLT WILL LAND AT LLBG DUE WX AT LLHA.
DISP-EREZ Y.</t>
  </si>
  <si>
    <t>EMEDA TUZIB L189 ZUKKO/N0276F150</t>
  </si>
  <si>
    <t>2026-01-12T18:31:37Z</t>
  </si>
  <si>
    <t>2026-01-12T19:26:40Z</t>
  </si>
  <si>
    <t>2026-01-12T18:45:36.1088188Z</t>
  </si>
  <si>
    <t>bfd110aee46e48719477d3b07567ae85</t>
  </si>
  <si>
    <t>2026-01-12T16:30:00Z</t>
  </si>
  <si>
    <t>1.EXTRA FUEL IS DUE FUEL ON BOARD THE A/C.
2.T/O DATA -RWY 15,TEMP 17C,WIND 0,Q1010,PACKS OFF,....RTOW 22486 KG.
DISP-EREZ Y.</t>
  </si>
  <si>
    <t>2026-01-12T17:21:52Z</t>
  </si>
  <si>
    <t>2026-01-12T17:16:02.5490963Z</t>
  </si>
  <si>
    <t>9f2ec6be144043ef8e7d244d2da14daf</t>
  </si>
  <si>
    <t>2026-01-12T14:40:00Z</t>
  </si>
  <si>
    <t>BACK TO DEST LLHA.
EXTRA FUEL IS FOR THE NEXT FLT(LCA)
DISP-EREZ Y.</t>
  </si>
  <si>
    <t>2026-01-12T14:57:22Z</t>
  </si>
  <si>
    <t>2026-01-12T15:26:52.1062859Z</t>
  </si>
  <si>
    <t>b77533511a744742a7a94c1aa9437e5b</t>
  </si>
  <si>
    <t>2026-01-12T12:50:00Z</t>
  </si>
  <si>
    <t>1. THIS FLIGHT WAS PREPARED BY NIMROD R.
2. LLHA-RWY 15 RTOW 22778KG. SPS DATA: 210/10KTS, WET, 18C DEG, QNH 1013, Air Cond. OFF.
3. A/C IS FUELED WITH 1850 KG FROM PREVIOUS LEG.</t>
  </si>
  <si>
    <t>GALIM/N0229A050 IFR Q28 ATLIT J15 NAT/N0256A090 J10 SIVAK/N0258A130 J10 NURIT NURIT1D</t>
  </si>
  <si>
    <t>2026-01-12T12:58:10Z</t>
  </si>
  <si>
    <t>2026-01-12T11:55:06Z</t>
  </si>
  <si>
    <t>2026-01-12T13:50:00.9990041Z</t>
  </si>
  <si>
    <t>31d1a50199f0440a95f728716896a3d7</t>
  </si>
  <si>
    <t>2026-01-12T12:01:00Z</t>
  </si>
  <si>
    <t>1. THIS FLIGHT WAS PREPARED BY NIMROD R.
2. LLHA-RWY 15 RTOW 22778KG. SPS DATA: 210/10KTS, WET, 18C DEG, QNH 1013, Air Cond. OFF.
3. EXTRA FUEL PLANNED DUE TO WX AT ORIGIN AND ENROUTE.
4. DISPATCHED AT FL160 UNTIL NILAS DUE TO CLOSURE ENROUTE.</t>
  </si>
  <si>
    <t>N0233A050 GALIM/N0232A050 IFR P68 MERVA/N0266A160 P68 APLON L609 NILAS/F180 L609 RDS L995 VARIX VARIX1Q</t>
  </si>
  <si>
    <t>2026-01-12T12:15:43Z</t>
  </si>
  <si>
    <t>2026-01-12T15:32:07Z</t>
  </si>
  <si>
    <t>2026-01-12T14:44:19.302405Z</t>
  </si>
  <si>
    <t>67cb15097254463592481aaa7fff041b</t>
  </si>
  <si>
    <t>2026-01-12T12:00:00Z</t>
  </si>
  <si>
    <t>N0277F190 OMENO3S OMENO Y505 NIKTI N127 RIKSO DCT LAVTA N135 NESIL T39 LAMSA DCT TOMBI A16 DASNI M601 LCA B17 MERVA P68 GALIM/N0264A050 VFR</t>
  </si>
  <si>
    <t>2026-01-12T12:29:52Z</t>
  </si>
  <si>
    <t>2026-01-12T16:28:34Z</t>
  </si>
  <si>
    <t>2026-01-12T15:08:23.9038237Z</t>
  </si>
  <si>
    <t>e34324136760414197fcf1fcf4a6b423</t>
  </si>
  <si>
    <t>2026-01-12T11:10:00Z</t>
  </si>
  <si>
    <t>2026-01-12T11:11:41Z</t>
  </si>
  <si>
    <t>2026-01-12T12:06:22Z</t>
  </si>
  <si>
    <t>2026-01-12T11:51:21.0841906Z</t>
  </si>
  <si>
    <t>cc379bc94c834433a4d05ce9dd36d0ea</t>
  </si>
  <si>
    <t>2026-01-12T09:50:00Z</t>
  </si>
  <si>
    <t>2026-01-12T09:54:23Z</t>
  </si>
  <si>
    <t>2026-01-12T11:21:10Z</t>
  </si>
  <si>
    <t>2026-01-12T10:37:23.6076497Z</t>
  </si>
  <si>
    <t>71635b6dd67b4ab19e757c369e7d0234</t>
  </si>
  <si>
    <t>2026-01-12T09:30:00Z</t>
  </si>
  <si>
    <t>1. THIS FLIGHT WAS PREPARED BY NIMROD R.
2. LLHA-RWY 15 RTOW 22753KG. SPS DATA: 210/09KTS, WET, 18C DEG, QNH 1013, Air Cond. OFF.
3. EXTRA FUEL PLANNED DUE TO WX AT ORIGIN AND ENROUTE.</t>
  </si>
  <si>
    <t>2026-01-12T09:20:50Z</t>
  </si>
  <si>
    <t>2026-01-12T10:13:56Z</t>
  </si>
  <si>
    <t>2026-01-12T10:15:18.2714348Z</t>
  </si>
  <si>
    <t>e3b4d3a3d7e34fe0b78d00c07ee23e34</t>
  </si>
  <si>
    <t>2026-01-12T09:25:00Z</t>
  </si>
  <si>
    <t>1. THIS FLIGHT WAS PREPARED BY NIMROD R.
2. EXTRA FUEL TO COVER THE NEXT LEG.
3. DISPATCHED AT INITIAL FL150 DUE TO ALT RESTRICTION ENROUTE.</t>
  </si>
  <si>
    <t>N0269F150 KEA1E KEA L995 RDS L609 ALKIS/F190 L609 APLON P68 GALIM/N0269A050 VFR</t>
  </si>
  <si>
    <t>2026-01-12T09:58:29Z</t>
  </si>
  <si>
    <t>2026-01-12T13:13:58Z</t>
  </si>
  <si>
    <t>2026-01-12T11:41:14.2138777Z</t>
  </si>
  <si>
    <t>e4774c5f384c4b0098ea34c60e78c0d2</t>
  </si>
  <si>
    <t>2026-01-12T08:00:00Z</t>
  </si>
  <si>
    <t>1. THIS FLIGHT WAS PREPARED BY NIMROD R.
2. LLHA-RWY 15 RTOW 22868KG. SPS DATA: 210/10KTS, DRY, 16C DEG, QNH 1013, Air Cond. OFF.
3. EXTRA FUEL PLANNED DUE TO WX AT ORIGIN AND ENROUTE.</t>
  </si>
  <si>
    <t>2026-01-12T07:58:55Z</t>
  </si>
  <si>
    <t>2026-01-12T08:56:25Z</t>
  </si>
  <si>
    <t>2026-01-12T09:00:20.8648926Z</t>
  </si>
  <si>
    <t>52ec09d29ab84b8c98296c19e040ed2e</t>
  </si>
  <si>
    <t>2026-01-12T07:40:00Z</t>
  </si>
  <si>
    <t>1. THIS FLIGHT WAS PREPARED BY NIMROD R.
2. EXTRA FUEL TO COVER THE NEXT LEG WITH 300 KG EXTRA.
3. NEW OFP REV. 01 ISSUED DUE TO DECREASE OF ZFW.</t>
  </si>
  <si>
    <t>2026-01-12T07:50:41Z</t>
  </si>
  <si>
    <t>2026-01-12T08:36:05Z</t>
  </si>
  <si>
    <t>2026-01-12T08:21:05.8024407Z</t>
  </si>
  <si>
    <t>3b9397ebdc6b4a2e93dad25c83f071bf</t>
  </si>
  <si>
    <t>2026-01-12T07:15:00Z</t>
  </si>
  <si>
    <t>1. THIS FLIGHT WAS PREPARED BY NIMROD R.
2. LLHA-RWY 15 RTOW 22913KG. SPS DATA: 210/10KTS, DRY, 15C DEG, QNH 1013, Air Cond. OFF.
3. EXTRA FUEL PLANNED DUE TO WX AT ORIGIN AND ENROUTE.</t>
  </si>
  <si>
    <t>GALIM/F050 IFR P68 MERVA/F180 P68 APLON L609 MAROS M67 TOSKA M978 VAXOS N128 OKESA RIKSO N128 PEREN/F180 L863 EVIVI Y94 VANET VANET5H</t>
  </si>
  <si>
    <t>2026-01-12T07:14:09Z</t>
  </si>
  <si>
    <t>2026-01-12T11:02:02Z</t>
  </si>
  <si>
    <t>2026-01-12T10:56:34.0345926Z</t>
  </si>
  <si>
    <t>15cba8a83d7c43aaa1c47cde5528b68e</t>
  </si>
  <si>
    <t>2026-01-12T06:00:00Z</t>
  </si>
  <si>
    <t>1. THIS FLIGHT WAS PREPARED BY NIMROD R.
2. LLHA-RWY 15 RTOW 22840KG. SPS DATA: 150/03KTS, DRY, 14C DEG, QNH 1013, Air Cond. OFF.
3. A/C IS FUELED WITH 1680 KG FROM PREVIOUS LEG.</t>
  </si>
  <si>
    <t>2026-01-12T06:06:54Z</t>
  </si>
  <si>
    <t>2026-01-12T06:56:20Z</t>
  </si>
  <si>
    <t>2026-01-12T06:45:37.9724991Z</t>
  </si>
  <si>
    <t>5689ff46e21e425b9f06965cc306f471</t>
  </si>
  <si>
    <t>2026-01-12T05:45:00Z</t>
  </si>
  <si>
    <t>1. THIS FLIGHT WAS PREPARED BY NIMROD R.
2. LLHA-RWY 15 RTOW 22840KG. SPS DATA: 150/03KTS, DRY, 14C DEG, QNH 1013, Air Cond. OFF.
3. EXTRA FUEL PLANNED DUE TO WX AD ORIGIN AND ENROUTE.</t>
  </si>
  <si>
    <t>2026-01-12T06:00:59Z</t>
  </si>
  <si>
    <t>2026-01-12T08:50:38Z</t>
  </si>
  <si>
    <t>2026-01-12T08:29:46.8920609Z</t>
  </si>
  <si>
    <t>6013ea33427b490b8fce0a70ebca6df6</t>
  </si>
  <si>
    <t>2026-01-15T17:55:00Z</t>
  </si>
  <si>
    <t>2026-01-15T18:07:13Z</t>
  </si>
  <si>
    <t>2026-01-15T18:48:34Z</t>
  </si>
  <si>
    <t>2026-01-15T18:33:49.2588706Z</t>
  </si>
  <si>
    <t>fc6345188eef40c2aa196a037b5b416d</t>
  </si>
  <si>
    <t>2026-01-15T16:30:00Z</t>
  </si>
  <si>
    <t>1. THIS FLIGHT WAS PREPARED BY NIMROD R.
2. LLHA-RWY 33 RTOW 22542KG. SPS DATA: 350/03KTS, DRY, 17C DEG, QNH 1023, Air Cond. OFF.
3. EXTRA FUEL PLANNED AS PER COMPANY POLICY.</t>
  </si>
  <si>
    <t>GALIM/N0275A140 IFR P68 MERVA N131 EMEDA EMEDA1A</t>
  </si>
  <si>
    <t>2026-01-15T16:31:53Z</t>
  </si>
  <si>
    <t>2026-01-15T17:21:06Z</t>
  </si>
  <si>
    <t>2026-01-15T17:17:13.3560599Z</t>
  </si>
  <si>
    <t>1e20cf070a4b4bf4b30b43c5ae7c4809</t>
  </si>
  <si>
    <t>2026-01-15T15:25:00Z</t>
  </si>
  <si>
    <t>KEA1E KEA L995 RDS L609 APLON P68 GALIM/N0277A050 VFR</t>
  </si>
  <si>
    <t>2026-01-15T15:39:26Z</t>
  </si>
  <si>
    <t>2026-01-15T17:57:44Z</t>
  </si>
  <si>
    <t>2026-01-15T17:44:26.7265194Z</t>
  </si>
  <si>
    <t>9cead14f354b40e4bfb40ca56fc966c8</t>
  </si>
  <si>
    <t>2026-01-15T14:40:00Z</t>
  </si>
  <si>
    <t>2026-01-15T15:05:10Z</t>
  </si>
  <si>
    <t>2026-01-15T15:45:25Z</t>
  </si>
  <si>
    <t>2026-01-15T15:17:38.3000591Z</t>
  </si>
  <si>
    <t>6372e2a52f4f45f98ff9850c6241d040</t>
  </si>
  <si>
    <t>N0277F120 NURIT J10 TOMAL/N0276F080 J10 NAT/N0277F040 J15 ATLIT VFR HOTRM DAROM GALIM</t>
  </si>
  <si>
    <t>2026-01-15T14:40:19Z</t>
  </si>
  <si>
    <t>2026-01-15T15:36:27Z</t>
  </si>
  <si>
    <t>2026-01-15T15:32:56.619679Z</t>
  </si>
  <si>
    <t>eabcfc2c3c7549a7ab7f638f7813f7ce</t>
  </si>
  <si>
    <t>2026-01-15T13:25:00Z</t>
  </si>
  <si>
    <t>EXTRA FUEL IS FROM PREVIOUS FLT.
T/O DATA-RWY 33,TEMP 18C,WIND 0,Q1025,PACKS OFF,....RTOW 22345 KG.
DISP-EREZ Y.</t>
  </si>
  <si>
    <t>N0275A050 GALIM/N0274A140 IFR P68 MERVA N131 EMEDA EMEDA1A</t>
  </si>
  <si>
    <t>2026-01-15T13:30:35Z</t>
  </si>
  <si>
    <t>2026-01-15T14:19:29Z</t>
  </si>
  <si>
    <t>2026-01-15T14:12:42.6713844Z</t>
  </si>
  <si>
    <t>14dc3ed91ab04d0486f65de318a6a180</t>
  </si>
  <si>
    <t>2026-01-15T12:50:00Z</t>
  </si>
  <si>
    <t>1. EXTRA FUEL AS PER COMNPANY POLICY 
2. LLHA SPS DATA  RWY 33. DRY. 350/03KTS. 16C 1023Q AC OFF.        RTOW  22592KG
3.DISPATCHED BY AYELET W . UNDER THE SUPER. OF EREZ Y.</t>
  </si>
  <si>
    <t>2026-01-15T12:47:34Z</t>
  </si>
  <si>
    <t>2026-01-15T13:40:41Z</t>
  </si>
  <si>
    <t>2026-01-15T13:44:13.6295198Z</t>
  </si>
  <si>
    <t>ddc7d90f3d514a189ad8da0f9ac447ac</t>
  </si>
  <si>
    <t>2026-01-15T12:35:00Z</t>
  </si>
  <si>
    <t>2026-01-15T12:40:53Z</t>
  </si>
  <si>
    <t>2026-01-15T13:38:17Z</t>
  </si>
  <si>
    <t>2026-01-15T13:26:34.6787005Z</t>
  </si>
  <si>
    <t>5847769c7c544abbb1a90f83a1d1c580</t>
  </si>
  <si>
    <t>2026-01-15T11:45:00Z</t>
  </si>
  <si>
    <t>NEW OFP DUE UPDATED T/O WGT BY MORE THEN 800KG
1.FLYING TIME AT F/L 200 IS 02.51 WITH FUEL REQ OF 1851 KG,AT F/L 160,FLYING TIME IS 02.47 AND FUEL REQ OF 1971 KG.
2.EXTRA FUEL IS PER POLICY.
3.T/O DATA-RWY 33,TEMP 18C,WIND 0,Q1025,PACKS OFF,....RTOW 22345 KG.
DISP-EREZ Y.</t>
  </si>
  <si>
    <t>GALIM/N0234A050 IFR P68 MERVA/N0273A180 P68 APLON L609 RDS L995 VARIX VARIX1Q</t>
  </si>
  <si>
    <t>2026-01-15T11:54:56Z</t>
  </si>
  <si>
    <t>2026-01-15T14:46:59Z</t>
  </si>
  <si>
    <t>2026-01-15T14:35:24.0617226Z</t>
  </si>
  <si>
    <t>df2688556dfa4d17935f84666e0af289</t>
  </si>
  <si>
    <t>2026-01-15T11:10:00Z</t>
  </si>
  <si>
    <t>2026-01-15T11:12:12Z</t>
  </si>
  <si>
    <t>2026-01-15T11:51:07Z</t>
  </si>
  <si>
    <t>2026-01-15T11:47:37.7620257Z</t>
  </si>
  <si>
    <t>dea783f4f82b483a948a2c3cfbfd471d</t>
  </si>
  <si>
    <t>2026-01-15T10:45:00Z</t>
  </si>
  <si>
    <t>1.EXTRA FUEL PER COMPANY POLICY
2.SPS DATA - RWY 33. DRY. 350/03KTS. 16C. 1025Q AC-OFF     RTOW-22671KG
3.LLHA- POSS DELAY DUE TO W.I.P
4.DISPATCHED BY AYELET W UNDER THE SUPER. OF EREZ Y.</t>
  </si>
  <si>
    <t>2026-01-15T11:04:29Z</t>
  </si>
  <si>
    <t>2026-01-15T11:58:00Z</t>
  </si>
  <si>
    <t>2026-01-15T11:39:22.9680232Z</t>
  </si>
  <si>
    <t>55f18de4ccb94b1ebae1374c1e4fbeab</t>
  </si>
  <si>
    <t>2026-01-15T09:55:00Z</t>
  </si>
  <si>
    <t>EXTRA FUEL FOR NEXT FLT.
DISPATCHED BY AYELET W UNDER THE SUPER. OF EREZY.</t>
  </si>
  <si>
    <t>ESERI1D ESERI M42 VELOX B17 MERVA P68 GALIM/N0280A050 VFR</t>
  </si>
  <si>
    <t>2026-01-15T10:11:00Z</t>
  </si>
  <si>
    <t>2026-01-15T10:57:20Z</t>
  </si>
  <si>
    <t>2026-01-15T10:41:13.6564292Z</t>
  </si>
  <si>
    <t>cce92e85adc04fc6b7ac8b2d615d7b29</t>
  </si>
  <si>
    <t>2026-01-15T09:30:00Z</t>
  </si>
  <si>
    <t>EXTRA FUEL IS PER POLICY.
T/O DATA-RWY 33,TEMP 18C,WIND 0,Q1025,PACKS OFF,....RTOW 22345 KG.
DISP-EREZ Y.</t>
  </si>
  <si>
    <t>2026-01-15T09:26:23Z</t>
  </si>
  <si>
    <t>2026-01-15T10:13:29Z</t>
  </si>
  <si>
    <t>2026-01-15T10:18:37.914941Z</t>
  </si>
  <si>
    <t>400d1d191ea342b682b61ece912dd05d</t>
  </si>
  <si>
    <t>2026-01-15T09:25:00Z</t>
  </si>
  <si>
    <t>KEA2F KEA L995 RDS L609 ALKIS/F210 L609 APLON P68 MERVA/F190 P68 GALIM/N0280A050 VFR</t>
  </si>
  <si>
    <t>2026-01-15T09:58:04Z</t>
  </si>
  <si>
    <t>2026-01-15T12:16:45Z</t>
  </si>
  <si>
    <t>2026-01-15T11:37:38.1803534Z</t>
  </si>
  <si>
    <t>691182074d2245a3b52e389cb359ffbb</t>
  </si>
  <si>
    <t>2026-01-15T08:50:00Z</t>
  </si>
  <si>
    <t xml:space="preserve">EXTRA FUEL TO COVER THE NEXT LEG
LLHA-POSS DELAY DUE TO NOTAM.
DISPATCHED BY AYELET W UNDER THE SUPER. OF EREZ Y.
</t>
  </si>
  <si>
    <t>2026-01-15T09:10:34Z</t>
  </si>
  <si>
    <t>2026-01-15T10:06:16Z</t>
  </si>
  <si>
    <t>2026-01-15T09:42:44.8427481Z</t>
  </si>
  <si>
    <t>a72eb83eb8954b7d9e6487ecba822900</t>
  </si>
  <si>
    <t>2026-01-15T08:05:00Z</t>
  </si>
  <si>
    <t>1. A/C IS FUELED WITH 2220KG FROM PREV. LEG
2. LLHA SPS DATA - RWY-15. DRY. 8C. 0KTS. 1023Q   RTOW-23000KG
3. LLHA - POSS DLY- DUE TO NOTAM
4. DISPATCHED BY AYELET W UNDER THE SUPER. OF EREZ Y.</t>
  </si>
  <si>
    <t>GALIM/N0277A140 IFR P68 MERVA N131 VELOX M42 ESERI/N0279A140 VFR</t>
  </si>
  <si>
    <t>2026-01-15T08:09:29Z</t>
  </si>
  <si>
    <t>2026-01-15T09:01:53Z</t>
  </si>
  <si>
    <t>2026-01-15T08:58:48.7300906Z</t>
  </si>
  <si>
    <t>428ed060e03c402bad1ee40660c01cbf</t>
  </si>
  <si>
    <t>2026-01-15T07:40:00Z</t>
  </si>
  <si>
    <t>2026-01-15T07:45:32Z</t>
  </si>
  <si>
    <t>2026-01-15T08:24:40Z</t>
  </si>
  <si>
    <t>2026-01-15T08:17:13.6539533Z</t>
  </si>
  <si>
    <t>cdd0f304126e4d16a240c035438141c6</t>
  </si>
  <si>
    <t>2026-01-15T07:00:00Z</t>
  </si>
  <si>
    <t>EXTRA FUEL IS PER POLICY
T/O DATA-RWY 15,TEMP 9C,WIND 0,Q1023,PACKS OFF,....RTOW 23000KG.
DISP-EREZ Y.</t>
  </si>
  <si>
    <t>GALIM/N0234A050 IFR Q28 ATLIT J15 NAT/N0272A090 J10 SIVAK/N0272A130 J10 NURIT NURIT1D</t>
  </si>
  <si>
    <t>2026-01-15T07:20:26Z</t>
  </si>
  <si>
    <t>2026-01-15T08:10:03Z</t>
  </si>
  <si>
    <t>2026-01-15T07:55:39.2905436Z</t>
  </si>
  <si>
    <t>c4d6212ed89944d09a5a6362ddda873d</t>
  </si>
  <si>
    <t>2026-01-15T06:00:00Z</t>
  </si>
  <si>
    <t>1. A/C IS FUELED WITH 1610KG FROM PREV. LEG
2. LLHA SPS DATA - RWY-15. DRY. 7C. 0KTS. 1023Q   RTOW-23000KG
3. LLHA - POSS DLY- DUE TO NOTAM
4. DISPATCHED BY AYELET W UNDER THE SUPER. OF EREZ Y.</t>
  </si>
  <si>
    <t>2026-01-15T06:11:20Z</t>
  </si>
  <si>
    <t>2026-01-15T06:57:03Z</t>
  </si>
  <si>
    <t>2026-01-15T06:48:53.1538041Z</t>
  </si>
  <si>
    <t>1c59c660c43846d78371772982ed2663</t>
  </si>
  <si>
    <t>2026-01-15T05:45:00Z</t>
  </si>
  <si>
    <t>GALIM/N0233A050 IFR P68 MERVA/N0271A180 P68 APLON L609 RDS L995 VARIX VARIX1W</t>
  </si>
  <si>
    <t>2026-01-15T05:57:03Z</t>
  </si>
  <si>
    <t>2026-01-15T08:47:52Z</t>
  </si>
  <si>
    <t>2026-01-15T08:35:25.3116596Z</t>
  </si>
  <si>
    <t>11053a6112d044188ba93c55c584a7aa</t>
  </si>
  <si>
    <t>2026-01-02T12:35:00Z</t>
  </si>
  <si>
    <t>1. THIS FLIGHT WAS PREPARED BY LIAT NAHON
2. EXTRA FUEL TO COVER THE NEXT LEG
SHABBAT SHALOM</t>
  </si>
  <si>
    <t>2026-01-02T12:30:34Z</t>
  </si>
  <si>
    <t>2026-01-02T13:21:08Z</t>
  </si>
  <si>
    <t>2026-01-02T13:21:56.4987115Z</t>
  </si>
  <si>
    <t>6bccc18862fd4177ad3251e9907f4704</t>
  </si>
  <si>
    <t>2026-01-02T11:10:00Z</t>
  </si>
  <si>
    <t>2026-01-02T11:16:40Z</t>
  </si>
  <si>
    <t>2026-01-02T11:59:01Z</t>
  </si>
  <si>
    <t>2026-01-02T11:49:03.8751952Z</t>
  </si>
  <si>
    <t>4155420dd9d14a68a0ce0c452c19d347</t>
  </si>
  <si>
    <t>2026-01-02T10:45:00Z</t>
  </si>
  <si>
    <t>1. THIS FLIGHT WAS PREPARED BY LIAT NAHON
2. LLHA RWY 33, WET, 310/05, 17C, 1020, AC OFF
    RTOW = 22581 KG
3. EXTRA FUEL AS PER COMPANY POLICY</t>
  </si>
  <si>
    <t>2026-01-02T10:39:11Z</t>
  </si>
  <si>
    <t>2026-01-02T11:32:28Z</t>
  </si>
  <si>
    <t>2026-01-02T11:37:02.0316868Z</t>
  </si>
  <si>
    <t>94d7efa4af5947dfab6fb94693d2bcd6</t>
  </si>
  <si>
    <t>2026-01-02T09:30:00Z</t>
  </si>
  <si>
    <t>1. THIS FLIGHT WAS PREPARED BY LIAT NAHON
2. LLHA RWY 33, WET, 260/05, 18C, 1020, AC OFF
    RTOW = 22404 KG
3. EXTRA FUEL AS PER COMPANY POLICY</t>
  </si>
  <si>
    <t>2026-01-02T09:31:22Z</t>
  </si>
  <si>
    <t>2026-01-02T10:16:23Z</t>
  </si>
  <si>
    <t>2026-01-02T10:17:22.7513491Z</t>
  </si>
  <si>
    <t>5ba4b385a1b74f2f90f65ab31a00de36</t>
  </si>
  <si>
    <t>2026-01-02T09:25:00Z</t>
  </si>
  <si>
    <t>KEA1N KEA L995 RDS L609 ALKIS/N0285F170 L609 APLON P68 GALIM/N0285F170 VFR</t>
  </si>
  <si>
    <t>2026-01-02T09:43:47Z</t>
  </si>
  <si>
    <t>2026-01-02T12:01:41Z</t>
  </si>
  <si>
    <t>2026-01-02T11:40:53.934089Z</t>
  </si>
  <si>
    <t>8caac39c84d544a49dc6a1cfd35e4276</t>
  </si>
  <si>
    <t>2026-01-02T08:50:00Z</t>
  </si>
  <si>
    <t>2026-01-02T08:53:52Z</t>
  </si>
  <si>
    <t>2026-01-02T09:47:16Z</t>
  </si>
  <si>
    <t>2026-01-02T09:40:36.037122Z</t>
  </si>
  <si>
    <t>ed9499d99d25459ba54be685cd371457</t>
  </si>
  <si>
    <t>2026-01-02T07:40:00Z</t>
  </si>
  <si>
    <t>2026-01-02T07:52:04Z</t>
  </si>
  <si>
    <t>2026-01-02T08:34:03Z</t>
  </si>
  <si>
    <t>2026-01-02T08:18:14.8633231Z</t>
  </si>
  <si>
    <t>929cb3482700463e8feddaea196f57f7</t>
  </si>
  <si>
    <t>2026-01-02T07:00:00Z</t>
  </si>
  <si>
    <t>1. THIS FLIGHT WAS PREPARED BY LIAT NAHON
2. LLHA RWY 33, WET, 260/04, 15C, 1017, AC OFF
    RTOW = 22447 KG
3. EXTRA FUEL DUE TO REMAINING FOB</t>
  </si>
  <si>
    <t>2026-01-02T07:07:51Z</t>
  </si>
  <si>
    <t>2026-01-02T07:57:34Z</t>
  </si>
  <si>
    <t>2026-01-02T07:57:43.4053496Z</t>
  </si>
  <si>
    <t>8286c879f2f040859bd160dd2fd41a35</t>
  </si>
  <si>
    <t>2026-01-02T06:00:00Z</t>
  </si>
  <si>
    <t>2026-01-02T06:06:47Z</t>
  </si>
  <si>
    <t>2026-01-02T06:53:32Z</t>
  </si>
  <si>
    <t>2026-01-02T06:47:56.3824414Z</t>
  </si>
  <si>
    <t>3afa86352dbb48868ce60760a888d1ca</t>
  </si>
  <si>
    <t>2026-01-02T05:45:00Z</t>
  </si>
  <si>
    <t>1. THIS FLIGHT WAS PREPARED BY LIAT NAHON
2. LLHA RWY 33, WET, 260/04, 15C, 1017, AC OFF
    RTOW = 22447 KG
3. EXTRA FUEL AS PER COMPANY POLICY</t>
  </si>
  <si>
    <t>GALIM/N0234A180 IFR P68 MERVA P68 APLON L609 RDS L995 VARIX VARIX1W</t>
  </si>
  <si>
    <t>2026-01-02T05:50:45Z</t>
  </si>
  <si>
    <t>2026-01-02T08:32:02Z</t>
  </si>
  <si>
    <t>2026-01-02T08:29:36.0920461Z</t>
  </si>
  <si>
    <t>987f3d24d4ad4c4399298aa8a160dbf7</t>
  </si>
  <si>
    <t>2026-01-29T18:05:00Z</t>
  </si>
  <si>
    <t>2026-01-29T18:19:52Z</t>
  </si>
  <si>
    <t>2026-01-29T19:01:08Z</t>
  </si>
  <si>
    <t>2026-01-29T18:45:26.8455936Z</t>
  </si>
  <si>
    <t>8285536e3a1f4c77adfe43b3a426e689</t>
  </si>
  <si>
    <t>2026-01-29T16:33:00Z</t>
  </si>
  <si>
    <t>1. THIS FLIGT WAS PREPARED BY NIMROD R.
2. LLHA-RWY 15 RTOW 22705KG. SPS DATA: 140/03KTS, DRY, 18C DEG, QNH 1017, Air Cond. OFF.
3. A/C IS FUELED WITH 1560 KG FROM PREVIOUS LEG.</t>
  </si>
  <si>
    <t>2026-01-29T16:36:04Z</t>
  </si>
  <si>
    <t>2026-01-29T17:25:33Z</t>
  </si>
  <si>
    <t>2026-01-29T17:19:11.5012008Z</t>
  </si>
  <si>
    <t>69af0450742e44b18d95892dd35089c4</t>
  </si>
  <si>
    <t>2026-01-29T14:55:00Z</t>
  </si>
  <si>
    <t>2026-01-29T14:57:56Z</t>
  </si>
  <si>
    <t>2026-01-29T15:51:17Z</t>
  </si>
  <si>
    <t>2026-01-29T15:46:01.660473Z</t>
  </si>
  <si>
    <t>18764ecca42f4e7dbda4b5cda484ffaf</t>
  </si>
  <si>
    <t>2026-01-29T13:35:00Z</t>
  </si>
  <si>
    <t>2026-01-29T13:42:06Z</t>
  </si>
  <si>
    <t>2026-01-29T14:37:07Z</t>
  </si>
  <si>
    <t>2026-01-29T14:26:18.6597572Z</t>
  </si>
  <si>
    <t>6d0a66b52ec849df872971e3715a126b</t>
  </si>
  <si>
    <t>2026-01-29T13:10:00Z</t>
  </si>
  <si>
    <t>1. THIS FLIGT WAS PREPARED BY NIMROD R.
2. LLHA-RWY 15 RTOW 22705KG. SPS DATA: 140/03KTS, DRY, 18C DEG, QNH 1017, Air Cond. OFF.
3. EXTRA FUEL PLANNED AS PER COMPANY POLICY.</t>
  </si>
  <si>
    <t>2026-01-29T13:11:40Z</t>
  </si>
  <si>
    <t>2026-01-29T14:04:48Z</t>
  </si>
  <si>
    <t>2026-01-29T14:07:06.2851418Z</t>
  </si>
  <si>
    <t>49245d721e1b451a9ebca862c6b743d7</t>
  </si>
  <si>
    <t>2026-01-29T12:25:00Z</t>
  </si>
  <si>
    <t>KEA1N KEA L995 RDS L609 ALKIS/F210 L609 APLON P68 MERVA/F190 P68 GALIM/N0280A050 VFR</t>
  </si>
  <si>
    <t>2026-01-29T12:37:17Z</t>
  </si>
  <si>
    <t>2026-01-29T14:50:56Z</t>
  </si>
  <si>
    <t>2026-01-29T14:37:36.9411725Z</t>
  </si>
  <si>
    <t>043c6bac4ad54f3683d90d8b26f20528</t>
  </si>
  <si>
    <t>2026-01-29T11:10:00Z</t>
  </si>
  <si>
    <t>2026-01-29T11:45:01Z</t>
  </si>
  <si>
    <t>2026-01-29T12:28:05Z</t>
  </si>
  <si>
    <t>2026-01-29T11:49:13.0171453Z</t>
  </si>
  <si>
    <t>4e07b22a6ca7447aae4b0f2c0472c3f7</t>
  </si>
  <si>
    <t>2026-01-29T10:45:00Z</t>
  </si>
  <si>
    <t>EXTRA FUEL IS PER POLICY.
T/O DATA-RWY 15,TEMP 15C,WIND 0,Q1018,PACKS OFF,....RTOW 22612 KG.
DISP-EREZ Y.</t>
  </si>
  <si>
    <t>2026-01-29T11:40:50Z</t>
  </si>
  <si>
    <t>2026-01-29T12:33:18Z</t>
  </si>
  <si>
    <t>2026-01-29T11:41:41.8990262Z</t>
  </si>
  <si>
    <t>540323b83cdc436a827690ad43dac71b</t>
  </si>
  <si>
    <t>2026-01-29T09:55:00Z</t>
  </si>
  <si>
    <t>2026-01-29T09:50:41Z</t>
  </si>
  <si>
    <t>2026-01-29T10:36:43Z</t>
  </si>
  <si>
    <t>2026-01-29T10:40:51.0437911Z</t>
  </si>
  <si>
    <t>3df05bdd68bf4d76a3e5b7264d6db686</t>
  </si>
  <si>
    <t>2026-01-29T09:30:00Z</t>
  </si>
  <si>
    <t xml:space="preserve">EXTRA FUEL IS PER COMPANY POLICY
T/O DATA- RWY-15. 0KT DRY. 17C Q-1019  AC-OFF.    RTOW-22612KG
DIS. BY AYELET W UNDER THE SUPER. OF EREZ Y.
</t>
  </si>
  <si>
    <t>2026-01-29T09:40:17Z</t>
  </si>
  <si>
    <t>2026-01-29T10:23:48Z</t>
  </si>
  <si>
    <t>2026-01-29T10:18:22.560653Z</t>
  </si>
  <si>
    <t>4bbcfe854d604bcbaae3b5a6ee34c01b</t>
  </si>
  <si>
    <t>2026-01-29T08:50:00Z</t>
  </si>
  <si>
    <t>EXTRA FUEL IS THE NEXT FLT.
DISP-EREZ</t>
  </si>
  <si>
    <t>2026-01-29T09:02:10Z</t>
  </si>
  <si>
    <t>2026-01-29T10:32:54Z</t>
  </si>
  <si>
    <t>2026-01-29T09:41:50.2153093Z</t>
  </si>
  <si>
    <t>6eb50430a49e4a2bb7cb998e161d6a78</t>
  </si>
  <si>
    <t>2026-01-29T08:45:00Z</t>
  </si>
  <si>
    <t>1.FOR REASON FLYING AT F/L 140 CHK MAX CRUISE (PLAN) AT THE BRIEF.
2.PAY ATTN-ATC WAS FILED FOR 0825Z DUE POSS CTOT.
3.EXTRA FUEL OF 100KG IS PER POLICY,100 KG MORE WAS ADDED DUE POSS TSRA AND CB'S AT DEST,MIGHT CAUSE DELAY.
4.T/O DATA-RWY 15,TEMP 15C,WIND 0,Q1018,PACKS OFF,....RTOW 22698 KG.
DISP-EREZ Y.</t>
  </si>
  <si>
    <t>2026-01-29T09:02:38Z</t>
  </si>
  <si>
    <t>2026-01-29T11:47:17Z</t>
  </si>
  <si>
    <t>2026-01-29T11:28:52.7983559Z</t>
  </si>
  <si>
    <t>5d75783961c24be7bd40b7725b1a2127</t>
  </si>
  <si>
    <t>2026-01-29T08:05:00Z</t>
  </si>
  <si>
    <t>EXTRA FUEL IS FROM PREVIOUS FLT.
T/O DATA-RWY 15,TEMP 15C,WIND 0,Q1018,PACKS OFF,....RTOW 22698 KG.
DISP-EREZ Y.</t>
  </si>
  <si>
    <t>GALIM/N0235A050 IFR P68 MERVA/N0276A140 N131 VELOX M42 ESERI</t>
  </si>
  <si>
    <t>2026-01-29T08:12:47Z</t>
  </si>
  <si>
    <t>2026-01-29T09:06:02Z</t>
  </si>
  <si>
    <t>2026-01-29T08:59:27.5160438Z</t>
  </si>
  <si>
    <t>d93e261b1c7f4ecf9b793086b6cf735a</t>
  </si>
  <si>
    <t>2026-01-29T07:40:00Z</t>
  </si>
  <si>
    <t>DIS BY AYELET W UNDER THE SUPER. OF EREZ Y
EXTRA FUEL FOR NEXT LEG.</t>
  </si>
  <si>
    <t>2026-01-29T07:50:39Z</t>
  </si>
  <si>
    <t>2026-01-29T08:27:51Z</t>
  </si>
  <si>
    <t>2026-01-29T08:17:57.991805Z</t>
  </si>
  <si>
    <t>bf90c932bc204c64b493eb953ba87b4e</t>
  </si>
  <si>
    <t>2026-01-29T07:00:00Z</t>
  </si>
  <si>
    <t>EXTRA FUEL IS FROM PREVIOUS FLT.
T/O DATA-RWY 15,TEMP 13C,WIND 0,Q1018,PACKS OFF,....RTOW 22796 KG.
DISP-EREZ Y.</t>
  </si>
  <si>
    <t>2026-01-29T07:10:31Z</t>
  </si>
  <si>
    <t>2026-01-29T08:06:13Z</t>
  </si>
  <si>
    <t>2026-01-29T07:55:31.3564987Z</t>
  </si>
  <si>
    <t>7b8a9e134dde4d6cb5d577266351b60f</t>
  </si>
  <si>
    <t>2026-01-29T06:00:00Z</t>
  </si>
  <si>
    <t>2026-01-29T06:06:45Z</t>
  </si>
  <si>
    <t>2026-01-29T06:53:42Z</t>
  </si>
  <si>
    <t>2026-01-29T06:49:15.2471922Z</t>
  </si>
  <si>
    <t>c75db022b51a444ba45c7cfd96cf0498</t>
  </si>
  <si>
    <t>2026-03-18T20:45:00Z</t>
  </si>
  <si>
    <t>1. THIS FLIGHT WAS PREPARED BY NIMROD R.
2. EXTRA FOR IN CASE OF SIRENS ALERT.
3. NEW OFP REV. 01 ISSUED DUE TO INCREASE OF ZFW, AND UPDATED BLOCK FUEL.</t>
  </si>
  <si>
    <t>SUVAS1E SUVAS STEPA APLON A28 BETID BETID1A</t>
  </si>
  <si>
    <t>2026-03-18T20:53:03Z</t>
  </si>
  <si>
    <t>2026-03-18T22:00:02Z</t>
  </si>
  <si>
    <t>2026-03-18T21:57:05.5386647Z</t>
  </si>
  <si>
    <t>5e15f02cb04c4a7898763d157265add7</t>
  </si>
  <si>
    <t>2026-03-18T17:00:00Z</t>
  </si>
  <si>
    <t>KEA2J KEA L52 VAXOS N134 VANZA PIKOG L609 ZUKKO</t>
  </si>
  <si>
    <t>2026-03-18T16:54:55Z</t>
  </si>
  <si>
    <t>2026-03-18T19:43:55Z</t>
  </si>
  <si>
    <t>2026-03-18T19:38:34.700007Z</t>
  </si>
  <si>
    <t>1f646634f64542a5b14516941f91660a</t>
  </si>
  <si>
    <t>2026-03-18T14:15:00Z</t>
  </si>
  <si>
    <t>EXTRA FUEL FOR POSS WAIT AT LLBG +ENRTE WX
DIS. BY AYELET W.</t>
  </si>
  <si>
    <t>2026-03-18T15:29:27Z</t>
  </si>
  <si>
    <t>2026-03-18T16:25:22Z</t>
  </si>
  <si>
    <t>2026-03-18T15:25:55.6363071Z</t>
  </si>
  <si>
    <t>5bd875455fd34811ab6041e8808c8616</t>
  </si>
  <si>
    <t>2026-03-18T12:00:00Z</t>
  </si>
  <si>
    <t>EXTRA FUEL IS FOR THE NEXT LEG +ENRTE WX
DIS. BY AYELET W.</t>
  </si>
  <si>
    <t>2026-03-18T12:51:13Z</t>
  </si>
  <si>
    <t>2026-03-18T14:13:53Z</t>
  </si>
  <si>
    <t>2026-03-18T13:06:00.9628266Z</t>
  </si>
  <si>
    <t>c0039facd4864c349db99bf13aa0c12e</t>
  </si>
  <si>
    <t>2026-03-18T10:45:00Z</t>
  </si>
  <si>
    <t>EXTRA FUEL TO POSS WAIT AT LLBG+ENRTE WX
ATTN TO PROXIMITY TO MTOW
DIS. BY AYELET W</t>
  </si>
  <si>
    <t>2026-03-18T11:40:16Z</t>
  </si>
  <si>
    <t>2026-03-18T14:18:28Z</t>
  </si>
  <si>
    <t>2026-03-18T13:20:31.3291682Z</t>
  </si>
  <si>
    <t>3cccba5250764784b47906d9cb2443aa</t>
  </si>
  <si>
    <t>2026-03-18T08:30:00Z</t>
  </si>
  <si>
    <t xml:space="preserve">OFP REV 02 - DUE CHG IN BLOCK FUEL
EXTRA FUEL IS FOR THE NEXT LEG+WX
DIS BY AYELET W.
</t>
  </si>
  <si>
    <t>2026-03-18T09:36:55Z</t>
  </si>
  <si>
    <t>2026-03-18T10:35:31Z</t>
  </si>
  <si>
    <t>2026-03-18T09:40:13.9761824Z</t>
  </si>
  <si>
    <t>4a8d99bdcf8042ecbf03250894af109c</t>
  </si>
  <si>
    <t>2026-01-17T18:20:00Z</t>
  </si>
  <si>
    <t>EXTRA FUEL IS FOR SECURITY REASON-TO REMAIN IN LLHA WITH ABOUT 1500 KG OF FUEL.
DISP-EREZ Y</t>
  </si>
  <si>
    <t>NURIT2H NURIT J10 TOMAL/N0276F080 J10 NAT/N0225F040 J15 ATLIT/N0225F040 VFR 3245N03456E 3248N03457E GALIM</t>
  </si>
  <si>
    <t>2026-01-17T18:30:38Z</t>
  </si>
  <si>
    <t>2026-01-17T19:24:08Z</t>
  </si>
  <si>
    <t>2026-01-17T19:10:59.9083046Z</t>
  </si>
  <si>
    <t>4b29733bb505451995ffce2b66c09adc</t>
  </si>
  <si>
    <t>2026-01-17T17:00:00Z</t>
  </si>
  <si>
    <t>2026-01-17T17:07:08Z</t>
  </si>
  <si>
    <t>2026-01-17T17:48:08Z</t>
  </si>
  <si>
    <t>2026-01-17T17:39:57.0660347Z</t>
  </si>
  <si>
    <t>d160a885b37042b0a27e4af49e4d9337</t>
  </si>
  <si>
    <t>2026-01-17T16:30:00Z</t>
  </si>
  <si>
    <t>EXTRA FUEL IS FROM PREVIOUS FLT.
T/O DATA-RWY 33,TEMP 18C,WIND 0,Q1015, PACKS OFF.... RTOW 22207 KG.
DISP-EREZ Y.</t>
  </si>
  <si>
    <t>GALIM/N0235A050 IFR Q28 ATLIT J15 NAT/N0277A090 J10 SIVAK/N0279A130 J10 NURIT NURIT1D</t>
  </si>
  <si>
    <t>2026-01-17T16:28:29Z</t>
  </si>
  <si>
    <t>2026-01-17T17:18:44Z</t>
  </si>
  <si>
    <t>2026-01-17T17:27:14.8627779Z</t>
  </si>
  <si>
    <t>2a82e8c44e914eae8afcb9ac4603f800</t>
  </si>
  <si>
    <t>2026-01-17T15:20:00Z</t>
  </si>
  <si>
    <t>2026-01-17T15:25:39Z</t>
  </si>
  <si>
    <t>2026-01-17T16:15:44Z</t>
  </si>
  <si>
    <t>2026-01-17T16:06:30.1027451Z</t>
  </si>
  <si>
    <t>468aceced781458d909d1e795841bb04</t>
  </si>
  <si>
    <t>2026-01-17T15:00:00Z</t>
  </si>
  <si>
    <t>EXTRA FUEL IS IN ORDER TO ARRIVE AT LLHA WITH ABOUT 1500KG OF FUEL FOR SECURITY REASON.
DISP-EREZ Y.</t>
  </si>
  <si>
    <t>N0278F190 KEA1E KEA L995 RDS L609 ALKIS/F210 L609 APLON P68 MERVA/N0233F190 P68 GALIM/N0272A050 VFR</t>
  </si>
  <si>
    <t>2026-01-17T15:13:09Z</t>
  </si>
  <si>
    <t>2026-01-17T17:34:17Z</t>
  </si>
  <si>
    <t>2026-01-17T17:18:57.1832611Z</t>
  </si>
  <si>
    <t>b988514a34a948188438215ed367e9cc</t>
  </si>
  <si>
    <t>2026-01-17T14:55:00Z</t>
  </si>
  <si>
    <t>2026-01-17T14:50:54Z</t>
  </si>
  <si>
    <t>2026-01-17T15:39:11Z</t>
  </si>
  <si>
    <t>2026-01-17T15:41:48.2835606Z</t>
  </si>
  <si>
    <t>6e49dd8c3b15446ab525952453b8f64a</t>
  </si>
  <si>
    <t>2026-01-17T13:45:00Z</t>
  </si>
  <si>
    <t>EXTRA FUEL FUEL IS FOR SECURITY REASON(ABOUT 1500KG AT LANDING).
DISP-EREZ Y.</t>
  </si>
  <si>
    <t>2026-01-17T13:55:00Z</t>
  </si>
  <si>
    <t>2026-01-17T14:38:07Z</t>
  </si>
  <si>
    <t>2026-01-17T14:24:48.7006149Z</t>
  </si>
  <si>
    <t>da44e8e8ee1e4e60aca2b39719f9ce87</t>
  </si>
  <si>
    <t>2026-01-17T13:05:00Z</t>
  </si>
  <si>
    <t>EXTRA FUEL IS FROM PREVIOUS FLT.
T/O DATA-RWY 33,TEMP 18C,WIND 0,Q1017, PACKS OFF.... RTOW 22235 KG.
DISP-EREZ Y.</t>
  </si>
  <si>
    <t>2026-01-17T13:01:52Z</t>
  </si>
  <si>
    <t>2026-01-17T13:57:29.0829058Z</t>
  </si>
  <si>
    <t>b74a1993d96d449c913913986c13df17</t>
  </si>
  <si>
    <t>2026-01-17T12:05:00Z</t>
  </si>
  <si>
    <t>1.EXTRA FUEL IS FROM PREVIOUS FLT.
2.T/O DATA-RWY 15,TEMP 18C,WIND 0,Q1017, PACKS OFF.... RTOW 22535 KG.
DISP-EREZ Y.</t>
  </si>
  <si>
    <t>2026-01-17T12:00:04Z</t>
  </si>
  <si>
    <t>2026-01-17T12:43:39Z</t>
  </si>
  <si>
    <t>2026-01-17T12:52:24.1120751Z</t>
  </si>
  <si>
    <t>d13bdfa3afbe4165850e3521b6d14bc5</t>
  </si>
  <si>
    <t>2026-01-17T11:20:00Z</t>
  </si>
  <si>
    <t>1.FLYING AT F/L 180 ADDS 3MIN TO THE F/T.
2.EXTRA FUEL IS PER POLICY.
3.T/O DATA-RWY 15,TEMP 18C,WIND 0,Q1017, PACKS OFF.... RTOW 22535 KG.
DISP-EREZ Y.</t>
  </si>
  <si>
    <t>GALIM/N0235A050 IFR P68 MERVA/N0278A160 P68 APLON L609 RDS L995 VARIX VARIX1Q</t>
  </si>
  <si>
    <t>2026-01-17T11:18:35Z</t>
  </si>
  <si>
    <t>2026-01-17T14:08:04Z</t>
  </si>
  <si>
    <t>2026-01-17T14:04:43.8700588Z</t>
  </si>
  <si>
    <t>c3a43d77b100483da0bf0c99f8679505</t>
  </si>
  <si>
    <t>2026-03-19T18:30:00Z</t>
  </si>
  <si>
    <t xml:space="preserve">EXTRA FUEL CONSISTS OF 100KG PER POLICY AND 100KG FOR POSS TAXI HOLD DUE SECURITY REASON.
DISP-EREZ Y. </t>
  </si>
  <si>
    <t>2026-03-19T19:40:42Z</t>
  </si>
  <si>
    <t>2026-03-19T20:48:11Z</t>
  </si>
  <si>
    <t>2026-03-19T19:46:10.2720734Z</t>
  </si>
  <si>
    <t>ddf81add2bd64143a5b1efd51b3f584e</t>
  </si>
  <si>
    <t>2026-03-19T15:43:00Z</t>
  </si>
  <si>
    <t>**NEW OFP DUE CHG OF ZFW BY MORE THEN 800KG**
AC IS FUELED FROM PREV. FLIGHT
DISP-EREZ Y.</t>
  </si>
  <si>
    <t>2026-03-19T16:21:09Z</t>
  </si>
  <si>
    <t>2026-03-19T17:23:35Z</t>
  </si>
  <si>
    <t>2026-03-19T17:01:19.945169Z</t>
  </si>
  <si>
    <t>f85571dfac98489b8d12fa2f55ff5f56</t>
  </si>
  <si>
    <t>2026-03-19T14:45:00Z</t>
  </si>
  <si>
    <t>EXTRA FUEL TO COVER THE NEXT LEG(CAN BE USED FOR HOLDING IF NEEDED).
DISP-EREZ Y.</t>
  </si>
  <si>
    <t>2026-03-19T16:02:31Z</t>
  </si>
  <si>
    <t>2026-03-19T18:26:56Z</t>
  </si>
  <si>
    <t>2026-03-19T17:12:09.0438536Z</t>
  </si>
  <si>
    <t>94f0befe7a174232a491588a10a59f4c</t>
  </si>
  <si>
    <t>2026-03-19T12:30:00Z</t>
  </si>
  <si>
    <t>EXTRA FUEL FOR THE NEXT LEG.
DIS. BY AYELET W.</t>
  </si>
  <si>
    <t>2026-03-19T13:27:47Z</t>
  </si>
  <si>
    <t>2026-03-19T15:15:30Z</t>
  </si>
  <si>
    <t>2026-03-19T13:30:51.4200614Z</t>
  </si>
  <si>
    <t>7aee704dc21d4223b1c55dacd8d6f162</t>
  </si>
  <si>
    <t>2026-03-19T10:45:00Z</t>
  </si>
  <si>
    <t>AC IS FULED FROM PREV.FLIGHT
ATTN TO PROXIMITY TO MTOW
DIS. BY AYELET W.</t>
  </si>
  <si>
    <t>2026-03-19T11:58:51Z</t>
  </si>
  <si>
    <t>2026-03-19T14:48:18Z</t>
  </si>
  <si>
    <t>2026-03-19T13:33:46.2814328Z</t>
  </si>
  <si>
    <t>ad3c43adb90848dda425cc5feee5e7ed</t>
  </si>
  <si>
    <t>2026-03-19T08:30:00Z</t>
  </si>
  <si>
    <t>EXTRA FUEl TO COVER THE NEXT LEG
DIS. BY AYELET W</t>
  </si>
  <si>
    <t>2026-03-19T09:17:55Z</t>
  </si>
  <si>
    <t>2026-03-19T10:20:27Z</t>
  </si>
  <si>
    <t>2026-03-19T09:37:41.6549735Z</t>
  </si>
  <si>
    <t>key</t>
  </si>
  <si>
    <t>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</si>
</sst>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6" formatCode="yyyy\-mm\-dd;@"/>
  </numFmts>
  <fonts count="2" x14ac:knownFonts="1">
    <font>
      <sz val="11"/>
      <color indexed="8"/>
      <name val="Calibri"/>
    </font>
    <font>
      <sz val="11"/>
      <color indexed="8"/>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s>
  <borders count="1">
    <border>
      <left/>
      <right/>
      <top/>
      <bottom/>
      <diagonal/>
    </border>
  </borders>
  <cellStyleXfs count="1">
    <xf numFmtId="0" fontId="0" fillId="0" borderId="0" applyFill="0" applyProtection="0"/>
  </cellStyleXfs>
  <cellXfs count="22">
    <xf numFmtId="0" fontId="0" fillId="0" borderId="0" xfId="0" applyFill="1" applyProtection="1"/>
    <xf numFmtId="0" fontId="1" fillId="0" borderId="0" xfId="0" applyFont="1" applyFill="1" applyProtection="1"/>
    <xf numFmtId="0" fontId="1" fillId="0" borderId="0" xfId="0" applyFont="1" applyFill="1" applyAlignment="1" applyProtection="1">
      <alignment wrapText="1"/>
    </xf>
    <xf numFmtId="164" fontId="1" fillId="0" borderId="0" xfId="0" applyNumberFormat="1" applyFont="1" applyFill="1" applyProtection="1"/>
    <xf numFmtId="20" fontId="1" fillId="0" borderId="0" xfId="0" applyNumberFormat="1" applyFont="1" applyFill="1" applyProtection="1"/>
    <xf numFmtId="164" fontId="1" fillId="2" borderId="0" xfId="0" applyNumberFormat="1" applyFont="1" applyFill="1" applyProtection="1"/>
    <xf numFmtId="0" fontId="1" fillId="2" borderId="0" xfId="0" applyFont="1" applyFill="1" applyProtection="1"/>
    <xf numFmtId="0" fontId="0" fillId="2" borderId="0" xfId="0" applyFill="1" applyProtection="1"/>
    <xf numFmtId="0" fontId="1" fillId="3" borderId="0" xfId="0" applyFont="1" applyFill="1" applyProtection="1"/>
    <xf numFmtId="0" fontId="0" fillId="3" borderId="0" xfId="0" applyFill="1" applyProtection="1"/>
    <xf numFmtId="0" fontId="1" fillId="4" borderId="0" xfId="0" applyFont="1" applyFill="1" applyAlignment="1" applyProtection="1">
      <alignment wrapText="1"/>
    </xf>
    <xf numFmtId="0" fontId="1" fillId="4" borderId="0" xfId="0" applyFont="1" applyFill="1" applyProtection="1"/>
    <xf numFmtId="0" fontId="0" fillId="4" borderId="0" xfId="0" applyFill="1" applyProtection="1"/>
    <xf numFmtId="20" fontId="1" fillId="4" borderId="0" xfId="0" applyNumberFormat="1" applyFont="1" applyFill="1" applyProtection="1"/>
    <xf numFmtId="0" fontId="0" fillId="0" borderId="0" xfId="0"/>
    <xf numFmtId="11" fontId="0" fillId="0" borderId="0" xfId="0" applyNumberFormat="1"/>
    <xf numFmtId="0" fontId="0" fillId="0" borderId="0" xfId="0" applyAlignment="1"/>
    <xf numFmtId="0" fontId="0" fillId="0" borderId="0" xfId="0" applyFill="1" applyAlignment="1" applyProtection="1"/>
    <xf numFmtId="166" fontId="1" fillId="0" borderId="0" xfId="0" applyNumberFormat="1" applyFont="1" applyFill="1" applyProtection="1"/>
    <xf numFmtId="0" fontId="1" fillId="0" borderId="0" xfId="0" applyFont="1"/>
    <xf numFmtId="49" fontId="1" fillId="0" borderId="0" xfId="0" applyNumberFormat="1" applyFont="1" applyFill="1" applyProtection="1"/>
    <xf numFmtId="49" fontId="0" fillId="0" borderId="0" xfId="0" applyNumberFormat="1"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6745-FC50-4749-A509-674B7A1649A8}">
  <dimension ref="A1:AM978"/>
  <sheetViews>
    <sheetView showRuler="0" topLeftCell="A183" zoomScaleNormal="100" workbookViewId="0">
      <selection activeCell="B202" sqref="B202"/>
    </sheetView>
  </sheetViews>
  <sheetFormatPr defaultRowHeight="14.4" x14ac:dyDescent="0.3"/>
  <cols>
    <col min="1" max="1" width="32.33203125" style="21" customWidth="1"/>
    <col min="2" max="2" width="32.33203125" customWidth="1"/>
    <col min="3" max="3" width="10.44140625" bestFit="1" customWidth="1"/>
    <col min="9" max="10" width="8.88671875" customWidth="1"/>
    <col min="12" max="15" width="0" hidden="1" customWidth="1"/>
    <col min="17" max="18" width="0" hidden="1" customWidth="1"/>
    <col min="19" max="19" width="9.33203125" bestFit="1" customWidth="1"/>
    <col min="20" max="20" width="9.33203125" hidden="1" customWidth="1"/>
    <col min="21" max="23" width="9.33203125" style="12" bestFit="1" customWidth="1"/>
    <col min="24" max="24" width="9.33203125" style="9" customWidth="1"/>
    <col min="25" max="25" width="8.88671875" customWidth="1"/>
    <col min="26" max="27" width="9.33203125" style="12" bestFit="1" customWidth="1"/>
    <col min="28" max="31" width="9.33203125" customWidth="1"/>
    <col min="32" max="32" width="8.88671875" customWidth="1"/>
    <col min="33" max="39" width="9.33203125" customWidth="1"/>
    <col min="40" max="40" width="8.88671875" customWidth="1"/>
  </cols>
  <sheetData>
    <row r="1" spans="1:39" ht="86.4" x14ac:dyDescent="0.3">
      <c r="A1" s="20" t="s">
        <v>6496</v>
      </c>
      <c r="B1" s="1" t="s">
        <v>6497</v>
      </c>
      <c r="C1" s="1" t="s">
        <v>0</v>
      </c>
      <c r="D1" s="1" t="s">
        <v>1</v>
      </c>
      <c r="E1" s="2" t="s">
        <v>2</v>
      </c>
      <c r="F1" s="2" t="s">
        <v>3</v>
      </c>
      <c r="G1" s="1" t="s">
        <v>4</v>
      </c>
      <c r="H1" s="1" t="s">
        <v>5</v>
      </c>
      <c r="I1" s="2" t="s">
        <v>6</v>
      </c>
      <c r="J1" s="1" t="s">
        <v>7</v>
      </c>
      <c r="K1" s="2" t="s">
        <v>8</v>
      </c>
      <c r="L1" s="2" t="s">
        <v>9</v>
      </c>
      <c r="M1" s="2" t="s">
        <v>10</v>
      </c>
      <c r="N1" s="2" t="s">
        <v>11</v>
      </c>
      <c r="O1" s="1" t="s">
        <v>12</v>
      </c>
      <c r="P1" s="2" t="s">
        <v>13</v>
      </c>
      <c r="Q1" s="2" t="s">
        <v>14</v>
      </c>
      <c r="R1" s="2" t="s">
        <v>15</v>
      </c>
      <c r="S1" s="2" t="s">
        <v>16</v>
      </c>
      <c r="T1" s="2" t="s">
        <v>17</v>
      </c>
      <c r="U1" s="11" t="s">
        <v>18</v>
      </c>
      <c r="V1" s="10" t="s">
        <v>19</v>
      </c>
      <c r="W1" s="10" t="s">
        <v>20</v>
      </c>
      <c r="X1" s="8" t="s">
        <v>21</v>
      </c>
      <c r="Y1" s="1" t="s">
        <v>22</v>
      </c>
      <c r="Z1" s="10" t="s">
        <v>23</v>
      </c>
      <c r="AA1" s="11" t="s">
        <v>24</v>
      </c>
      <c r="AB1" s="1" t="s">
        <v>25</v>
      </c>
      <c r="AC1" s="2" t="s">
        <v>26</v>
      </c>
      <c r="AD1" s="2" t="s">
        <v>27</v>
      </c>
      <c r="AE1" s="2" t="s">
        <v>28</v>
      </c>
      <c r="AF1" s="2" t="s">
        <v>29</v>
      </c>
      <c r="AG1" s="2" t="s">
        <v>30</v>
      </c>
      <c r="AH1" s="2" t="s">
        <v>31</v>
      </c>
      <c r="AI1" s="1" t="s">
        <v>32</v>
      </c>
      <c r="AJ1" s="1" t="s">
        <v>33</v>
      </c>
      <c r="AK1" s="1" t="s">
        <v>34</v>
      </c>
      <c r="AL1" s="1" t="s">
        <v>35</v>
      </c>
      <c r="AM1" s="1" t="s">
        <v>36</v>
      </c>
    </row>
    <row r="2" spans="1:39" x14ac:dyDescent="0.3">
      <c r="A2" s="21" t="str">
        <f>CONCATENATE(D2,K2,TEXT(C2,"YYYY-MM-DD"))</f>
        <v>HFA703LLHA2026-01-04</v>
      </c>
      <c r="B2" t="str">
        <f>VLOOKUP(A2,Sheet1!A2:B1344,1,FALSE)</f>
        <v>HFA703LLHA2026-01-04</v>
      </c>
      <c r="C2" s="3">
        <v>46026</v>
      </c>
      <c r="D2" s="1" t="s">
        <v>37</v>
      </c>
      <c r="E2" s="1" t="s">
        <v>38</v>
      </c>
      <c r="F2" s="1"/>
      <c r="G2" s="1" t="s">
        <v>39</v>
      </c>
      <c r="H2" s="1" t="s">
        <v>40</v>
      </c>
      <c r="I2" s="1" t="s">
        <v>41</v>
      </c>
      <c r="J2" s="1" t="s">
        <v>42</v>
      </c>
      <c r="K2" s="1" t="s">
        <v>43</v>
      </c>
      <c r="L2" s="1" t="s">
        <v>44</v>
      </c>
      <c r="M2" s="1" t="s">
        <v>45</v>
      </c>
      <c r="N2" s="1" t="s">
        <v>46</v>
      </c>
      <c r="O2" s="1" t="s">
        <v>47</v>
      </c>
      <c r="P2" s="1" t="s">
        <v>48</v>
      </c>
      <c r="Q2" s="1" t="s">
        <v>49</v>
      </c>
      <c r="R2" s="1" t="s">
        <v>50</v>
      </c>
      <c r="S2" s="1">
        <v>1157</v>
      </c>
      <c r="T2" s="1">
        <v>0</v>
      </c>
      <c r="U2" s="4">
        <v>0.12013888888888888</v>
      </c>
      <c r="V2" s="1">
        <v>2100</v>
      </c>
      <c r="W2" s="1">
        <v>1000</v>
      </c>
      <c r="X2" s="1">
        <v>3100</v>
      </c>
      <c r="Y2" s="1" t="s">
        <v>51</v>
      </c>
      <c r="Z2" s="1">
        <v>1370</v>
      </c>
      <c r="AA2" s="1">
        <v>1730</v>
      </c>
      <c r="AB2" s="1">
        <v>0</v>
      </c>
      <c r="AC2" s="1">
        <v>0</v>
      </c>
      <c r="AD2" s="1">
        <v>0</v>
      </c>
      <c r="AE2" s="1">
        <v>0</v>
      </c>
      <c r="AF2" s="1"/>
      <c r="AG2" s="1">
        <v>0</v>
      </c>
      <c r="AH2" s="1">
        <v>0</v>
      </c>
      <c r="AI2" s="1">
        <v>0</v>
      </c>
      <c r="AJ2" s="1">
        <v>0</v>
      </c>
      <c r="AK2" s="1">
        <v>5.4668000000000001</v>
      </c>
      <c r="AL2" s="1">
        <v>5.4668000000000001</v>
      </c>
      <c r="AM2" s="1">
        <v>5.4668000000000001</v>
      </c>
    </row>
    <row r="3" spans="1:39" x14ac:dyDescent="0.3">
      <c r="A3" s="21" t="str">
        <f t="shared" ref="A3:A66" si="0">CONCATENATE(D3,K3,TEXT(C3,"YYYY-MM-DD"))</f>
        <v>HFA704LGAV2026-01-04</v>
      </c>
      <c r="B3" t="str">
        <f>VLOOKUP(A3,Sheet1!A3:B1345,1,FALSE)</f>
        <v>HFA704LGAV2026-01-04</v>
      </c>
      <c r="C3" s="3">
        <v>46026</v>
      </c>
      <c r="D3" s="1" t="s">
        <v>52</v>
      </c>
      <c r="E3" s="1" t="s">
        <v>38</v>
      </c>
      <c r="F3" s="1"/>
      <c r="G3" s="1" t="s">
        <v>39</v>
      </c>
      <c r="H3" s="1" t="s">
        <v>40</v>
      </c>
      <c r="I3" s="1" t="s">
        <v>46</v>
      </c>
      <c r="J3" s="1" t="s">
        <v>47</v>
      </c>
      <c r="K3" s="1" t="s">
        <v>48</v>
      </c>
      <c r="L3" s="1" t="s">
        <v>49</v>
      </c>
      <c r="M3" s="1" t="s">
        <v>50</v>
      </c>
      <c r="N3" s="1" t="s">
        <v>41</v>
      </c>
      <c r="O3" s="1" t="s">
        <v>42</v>
      </c>
      <c r="P3" s="1" t="s">
        <v>43</v>
      </c>
      <c r="Q3" s="1" t="s">
        <v>44</v>
      </c>
      <c r="R3" s="1" t="s">
        <v>45</v>
      </c>
      <c r="S3" s="1">
        <v>1157</v>
      </c>
      <c r="T3" s="1">
        <v>0</v>
      </c>
      <c r="U3" s="4">
        <v>0.1111111111111111</v>
      </c>
      <c r="V3" s="1">
        <v>1370</v>
      </c>
      <c r="W3" s="1">
        <v>1730</v>
      </c>
      <c r="X3" s="1">
        <v>3100</v>
      </c>
      <c r="Y3" s="1" t="s">
        <v>51</v>
      </c>
      <c r="Z3" s="1">
        <v>1440</v>
      </c>
      <c r="AA3" s="1">
        <v>1660</v>
      </c>
      <c r="AB3" s="1">
        <v>0</v>
      </c>
      <c r="AC3" s="1">
        <v>0</v>
      </c>
      <c r="AD3" s="1">
        <v>0</v>
      </c>
      <c r="AE3" s="1">
        <v>0</v>
      </c>
      <c r="AF3" s="1"/>
      <c r="AG3" s="1">
        <v>0</v>
      </c>
      <c r="AH3" s="1">
        <v>0</v>
      </c>
      <c r="AI3" s="1">
        <v>0</v>
      </c>
      <c r="AJ3" s="1">
        <v>0</v>
      </c>
      <c r="AK3" s="1">
        <v>5.2455999999999996</v>
      </c>
      <c r="AL3" s="1">
        <v>5.2455999999999996</v>
      </c>
      <c r="AM3" s="1">
        <v>5.2455999999999996</v>
      </c>
    </row>
    <row r="4" spans="1:39" x14ac:dyDescent="0.3">
      <c r="A4" s="21" t="str">
        <f t="shared" si="0"/>
        <v>HFA701LLHA2026-01-07</v>
      </c>
      <c r="B4" t="str">
        <f>VLOOKUP(A4,Sheet1!A4:B1346,1,FALSE)</f>
        <v>HFA701LLHA2026-01-07</v>
      </c>
      <c r="C4" s="3">
        <v>46029</v>
      </c>
      <c r="D4" s="1" t="s">
        <v>53</v>
      </c>
      <c r="E4" s="1" t="s">
        <v>38</v>
      </c>
      <c r="F4" s="1" t="s">
        <v>54</v>
      </c>
      <c r="G4" s="1" t="s">
        <v>39</v>
      </c>
      <c r="H4" s="1" t="s">
        <v>40</v>
      </c>
      <c r="I4" s="1" t="s">
        <v>41</v>
      </c>
      <c r="J4" s="1" t="s">
        <v>42</v>
      </c>
      <c r="K4" s="1" t="s">
        <v>43</v>
      </c>
      <c r="L4" s="1" t="s">
        <v>44</v>
      </c>
      <c r="M4" s="1" t="s">
        <v>45</v>
      </c>
      <c r="N4" s="1" t="s">
        <v>41</v>
      </c>
      <c r="O4" s="1" t="s">
        <v>42</v>
      </c>
      <c r="P4" s="1" t="s">
        <v>43</v>
      </c>
      <c r="Q4" s="1" t="s">
        <v>44</v>
      </c>
      <c r="R4" s="1" t="s">
        <v>45</v>
      </c>
      <c r="S4" s="1">
        <v>0</v>
      </c>
      <c r="T4" s="1">
        <v>0</v>
      </c>
      <c r="U4" s="4">
        <v>4.9999999999999996E-2</v>
      </c>
      <c r="V4" s="1">
        <v>1440</v>
      </c>
      <c r="W4" s="1">
        <v>1760</v>
      </c>
      <c r="X4" s="1">
        <v>3200</v>
      </c>
      <c r="Y4" s="1" t="s">
        <v>51</v>
      </c>
      <c r="Z4" s="1">
        <v>2580</v>
      </c>
      <c r="AA4" s="1">
        <v>620</v>
      </c>
      <c r="AB4" s="1">
        <v>0</v>
      </c>
      <c r="AC4" s="1">
        <v>0</v>
      </c>
      <c r="AD4" s="1">
        <v>0</v>
      </c>
      <c r="AE4" s="1">
        <v>0</v>
      </c>
      <c r="AF4" s="1"/>
      <c r="AG4" s="1">
        <v>0</v>
      </c>
      <c r="AH4" s="1">
        <v>0</v>
      </c>
      <c r="AI4" s="1">
        <v>0</v>
      </c>
      <c r="AJ4" s="1">
        <v>0</v>
      </c>
      <c r="AK4" s="1">
        <v>1.9592000000000001</v>
      </c>
      <c r="AL4" s="1">
        <v>1.9592000000000001</v>
      </c>
      <c r="AM4" s="1">
        <v>1.9592000000000001</v>
      </c>
    </row>
    <row r="5" spans="1:39" x14ac:dyDescent="0.3">
      <c r="A5" s="21" t="str">
        <f t="shared" si="0"/>
        <v>HFA701ALLHA2026-01-07</v>
      </c>
      <c r="B5" t="str">
        <f>VLOOKUP(A5,Sheet1!A5:B1347,1,FALSE)</f>
        <v>HFA701ALLHA2026-01-07</v>
      </c>
      <c r="C5" s="3">
        <v>46029</v>
      </c>
      <c r="D5" s="1" t="s">
        <v>55</v>
      </c>
      <c r="E5" s="1" t="s">
        <v>38</v>
      </c>
      <c r="F5" s="1"/>
      <c r="G5" s="1" t="s">
        <v>39</v>
      </c>
      <c r="H5" s="1" t="s">
        <v>40</v>
      </c>
      <c r="I5" s="1" t="s">
        <v>41</v>
      </c>
      <c r="J5" s="1" t="s">
        <v>42</v>
      </c>
      <c r="K5" s="1" t="s">
        <v>43</v>
      </c>
      <c r="L5" s="1" t="s">
        <v>44</v>
      </c>
      <c r="M5" s="1" t="s">
        <v>45</v>
      </c>
      <c r="N5" s="1" t="s">
        <v>46</v>
      </c>
      <c r="O5" s="1" t="s">
        <v>47</v>
      </c>
      <c r="P5" s="1" t="s">
        <v>48</v>
      </c>
      <c r="Q5" s="1" t="s">
        <v>49</v>
      </c>
      <c r="R5" s="1" t="s">
        <v>50</v>
      </c>
      <c r="S5" s="1">
        <v>1157</v>
      </c>
      <c r="T5" s="1">
        <v>1158</v>
      </c>
      <c r="U5" s="4">
        <v>0.13402777777777777</v>
      </c>
      <c r="V5" s="1">
        <v>2580</v>
      </c>
      <c r="W5" s="1">
        <v>620</v>
      </c>
      <c r="X5" s="1">
        <v>3200</v>
      </c>
      <c r="Y5" s="1" t="s">
        <v>51</v>
      </c>
      <c r="Z5" s="1">
        <v>1090</v>
      </c>
      <c r="AA5" s="1">
        <v>2110</v>
      </c>
      <c r="AB5" s="1">
        <v>0</v>
      </c>
      <c r="AC5" s="1">
        <v>0</v>
      </c>
      <c r="AD5" s="1">
        <v>0</v>
      </c>
      <c r="AE5" s="1">
        <v>0</v>
      </c>
      <c r="AF5" s="1"/>
      <c r="AG5" s="1">
        <v>0</v>
      </c>
      <c r="AH5" s="1">
        <v>0</v>
      </c>
      <c r="AI5" s="1">
        <v>0</v>
      </c>
      <c r="AJ5" s="1">
        <v>0</v>
      </c>
      <c r="AK5" s="1">
        <v>6.6676000000000002</v>
      </c>
      <c r="AL5" s="1">
        <v>6.6676000000000002</v>
      </c>
      <c r="AM5" s="1">
        <v>6.6676000000000002</v>
      </c>
    </row>
    <row r="6" spans="1:39" x14ac:dyDescent="0.3">
      <c r="A6" s="21" t="str">
        <f t="shared" si="0"/>
        <v>HFA702LGAV2026-01-07</v>
      </c>
      <c r="B6" t="str">
        <f>VLOOKUP(A6,Sheet1!A6:B1348,1,FALSE)</f>
        <v>HFA702LGAV2026-01-07</v>
      </c>
      <c r="C6" s="3">
        <v>46029</v>
      </c>
      <c r="D6" s="1" t="s">
        <v>56</v>
      </c>
      <c r="E6" s="1" t="s">
        <v>38</v>
      </c>
      <c r="F6" s="1"/>
      <c r="G6" s="1" t="s">
        <v>39</v>
      </c>
      <c r="H6" s="1" t="s">
        <v>40</v>
      </c>
      <c r="I6" s="1" t="s">
        <v>46</v>
      </c>
      <c r="J6" s="1" t="s">
        <v>47</v>
      </c>
      <c r="K6" s="1" t="s">
        <v>48</v>
      </c>
      <c r="L6" s="1" t="s">
        <v>49</v>
      </c>
      <c r="M6" s="1" t="s">
        <v>50</v>
      </c>
      <c r="N6" s="1" t="s">
        <v>41</v>
      </c>
      <c r="O6" s="1" t="s">
        <v>42</v>
      </c>
      <c r="P6" s="1" t="s">
        <v>43</v>
      </c>
      <c r="Q6" s="1" t="s">
        <v>44</v>
      </c>
      <c r="R6" s="1" t="s">
        <v>45</v>
      </c>
      <c r="S6" s="1">
        <v>1157</v>
      </c>
      <c r="T6" s="1">
        <v>0</v>
      </c>
      <c r="U6" s="4">
        <v>0.1048611111111111</v>
      </c>
      <c r="V6" s="1">
        <v>1090</v>
      </c>
      <c r="W6" s="1">
        <v>2110</v>
      </c>
      <c r="X6" s="1">
        <v>3200</v>
      </c>
      <c r="Y6" s="1" t="s">
        <v>51</v>
      </c>
      <c r="Z6" s="1">
        <v>1810</v>
      </c>
      <c r="AA6" s="1">
        <v>1390</v>
      </c>
      <c r="AB6" s="1">
        <v>0</v>
      </c>
      <c r="AC6" s="1">
        <v>0</v>
      </c>
      <c r="AD6" s="1">
        <v>0</v>
      </c>
      <c r="AE6" s="1">
        <v>0</v>
      </c>
      <c r="AF6" s="1"/>
      <c r="AG6" s="1">
        <v>0</v>
      </c>
      <c r="AH6" s="1">
        <v>0</v>
      </c>
      <c r="AI6" s="1">
        <v>0</v>
      </c>
      <c r="AJ6" s="1">
        <v>0</v>
      </c>
      <c r="AK6" s="1">
        <v>4.3924000000000003</v>
      </c>
      <c r="AL6" s="1">
        <v>4.3924000000000003</v>
      </c>
      <c r="AM6" s="1">
        <v>4.3924000000000003</v>
      </c>
    </row>
    <row r="7" spans="1:39" x14ac:dyDescent="0.3">
      <c r="A7" s="21" t="str">
        <f t="shared" si="0"/>
        <v>HFA601LLHA2026-01-08</v>
      </c>
      <c r="B7" t="str">
        <f>VLOOKUP(A7,Sheet1!A7:B1349,1,FALSE)</f>
        <v>HFA601LLHA2026-01-08</v>
      </c>
      <c r="C7" s="3">
        <v>46030</v>
      </c>
      <c r="D7" s="1" t="s">
        <v>57</v>
      </c>
      <c r="E7" s="1" t="s">
        <v>38</v>
      </c>
      <c r="F7" s="1" t="s">
        <v>54</v>
      </c>
      <c r="G7" s="1" t="s">
        <v>39</v>
      </c>
      <c r="H7" s="1" t="s">
        <v>40</v>
      </c>
      <c r="I7" s="1" t="s">
        <v>41</v>
      </c>
      <c r="J7" s="1" t="s">
        <v>42</v>
      </c>
      <c r="K7" s="1" t="s">
        <v>43</v>
      </c>
      <c r="L7" s="1" t="s">
        <v>44</v>
      </c>
      <c r="M7" s="1" t="s">
        <v>45</v>
      </c>
      <c r="N7" s="1" t="s">
        <v>41</v>
      </c>
      <c r="O7" s="1" t="s">
        <v>58</v>
      </c>
      <c r="P7" s="1" t="s">
        <v>59</v>
      </c>
      <c r="Q7" s="1" t="s">
        <v>60</v>
      </c>
      <c r="R7" s="1" t="s">
        <v>45</v>
      </c>
      <c r="S7" s="1">
        <v>342</v>
      </c>
      <c r="T7" s="1">
        <v>0</v>
      </c>
      <c r="U7" s="4">
        <v>4.8611111111111105E-2</v>
      </c>
      <c r="V7" s="1">
        <v>1810</v>
      </c>
      <c r="W7" s="1">
        <v>0</v>
      </c>
      <c r="X7" s="1">
        <v>1810</v>
      </c>
      <c r="Y7" s="1" t="s">
        <v>51</v>
      </c>
      <c r="Z7" s="1">
        <v>1040</v>
      </c>
      <c r="AA7" s="1">
        <v>770</v>
      </c>
      <c r="AB7" s="1">
        <v>0</v>
      </c>
      <c r="AC7" s="1">
        <v>0</v>
      </c>
      <c r="AD7" s="1">
        <v>0</v>
      </c>
      <c r="AE7" s="1">
        <v>0</v>
      </c>
      <c r="AF7" s="1"/>
      <c r="AG7" s="1">
        <v>0</v>
      </c>
      <c r="AH7" s="1">
        <v>0</v>
      </c>
      <c r="AI7" s="1">
        <v>0</v>
      </c>
      <c r="AJ7" s="1">
        <v>0</v>
      </c>
      <c r="AK7" s="1">
        <v>2.4331999999999998</v>
      </c>
      <c r="AL7" s="1">
        <v>2.4331999999999998</v>
      </c>
      <c r="AM7" s="1">
        <v>2.4331999999999998</v>
      </c>
    </row>
    <row r="8" spans="1:39" x14ac:dyDescent="0.3">
      <c r="A8" s="21" t="str">
        <f t="shared" si="0"/>
        <v>HFA602LLER2026-01-08</v>
      </c>
      <c r="B8" t="str">
        <f>VLOOKUP(A8,Sheet1!A8:B1350,1,FALSE)</f>
        <v>HFA602LLER2026-01-08</v>
      </c>
      <c r="C8" s="3">
        <v>46030</v>
      </c>
      <c r="D8" s="1" t="s">
        <v>61</v>
      </c>
      <c r="E8" s="1" t="s">
        <v>38</v>
      </c>
      <c r="F8" s="1" t="s">
        <v>54</v>
      </c>
      <c r="G8" s="1" t="s">
        <v>39</v>
      </c>
      <c r="H8" s="1" t="s">
        <v>40</v>
      </c>
      <c r="I8" s="1" t="s">
        <v>41</v>
      </c>
      <c r="J8" s="1" t="s">
        <v>58</v>
      </c>
      <c r="K8" s="1" t="s">
        <v>59</v>
      </c>
      <c r="L8" s="1" t="s">
        <v>60</v>
      </c>
      <c r="M8" s="1" t="s">
        <v>45</v>
      </c>
      <c r="N8" s="1" t="s">
        <v>41</v>
      </c>
      <c r="O8" s="1" t="s">
        <v>42</v>
      </c>
      <c r="P8" s="1" t="s">
        <v>43</v>
      </c>
      <c r="Q8" s="1" t="s">
        <v>44</v>
      </c>
      <c r="R8" s="1" t="s">
        <v>45</v>
      </c>
      <c r="S8" s="1">
        <v>342</v>
      </c>
      <c r="T8" s="1">
        <v>0</v>
      </c>
      <c r="U8" s="4">
        <v>4.1666666666666664E-2</v>
      </c>
      <c r="V8" s="1">
        <v>1040</v>
      </c>
      <c r="W8" s="1">
        <v>1560</v>
      </c>
      <c r="X8" s="1">
        <v>2600</v>
      </c>
      <c r="Y8" s="1" t="s">
        <v>51</v>
      </c>
      <c r="Z8" s="1">
        <v>2000</v>
      </c>
      <c r="AA8" s="1">
        <v>600</v>
      </c>
      <c r="AB8" s="1">
        <v>0</v>
      </c>
      <c r="AC8" s="1">
        <v>0</v>
      </c>
      <c r="AD8" s="1">
        <v>0</v>
      </c>
      <c r="AE8" s="1">
        <v>0</v>
      </c>
      <c r="AF8" s="1"/>
      <c r="AG8" s="1">
        <v>0</v>
      </c>
      <c r="AH8" s="1">
        <v>0</v>
      </c>
      <c r="AI8" s="1">
        <v>0</v>
      </c>
      <c r="AJ8" s="1">
        <v>0</v>
      </c>
      <c r="AK8" s="1">
        <v>1.8959999999999999</v>
      </c>
      <c r="AL8" s="1">
        <v>1.8959999999999999</v>
      </c>
      <c r="AM8" s="1">
        <v>1.8959999999999999</v>
      </c>
    </row>
    <row r="9" spans="1:39" x14ac:dyDescent="0.3">
      <c r="A9" s="21" t="str">
        <f t="shared" si="0"/>
        <v>HFA703LLHA2026-01-08</v>
      </c>
      <c r="B9" t="str">
        <f>VLOOKUP(A9,Sheet1!A9:B1351,1,FALSE)</f>
        <v>HFA703LLHA2026-01-08</v>
      </c>
      <c r="C9" s="3">
        <v>46030</v>
      </c>
      <c r="D9" s="1" t="s">
        <v>37</v>
      </c>
      <c r="E9" s="1" t="s">
        <v>38</v>
      </c>
      <c r="F9" s="1"/>
      <c r="G9" s="1" t="s">
        <v>39</v>
      </c>
      <c r="H9" s="1" t="s">
        <v>40</v>
      </c>
      <c r="I9" s="1" t="s">
        <v>41</v>
      </c>
      <c r="J9" s="1" t="s">
        <v>42</v>
      </c>
      <c r="K9" s="1" t="s">
        <v>43</v>
      </c>
      <c r="L9" s="1" t="s">
        <v>44</v>
      </c>
      <c r="M9" s="1" t="s">
        <v>45</v>
      </c>
      <c r="N9" s="1" t="s">
        <v>46</v>
      </c>
      <c r="O9" s="1" t="s">
        <v>47</v>
      </c>
      <c r="P9" s="1" t="s">
        <v>48</v>
      </c>
      <c r="Q9" s="1" t="s">
        <v>49</v>
      </c>
      <c r="R9" s="1" t="s">
        <v>50</v>
      </c>
      <c r="S9" s="1">
        <v>1157</v>
      </c>
      <c r="T9" s="1">
        <v>0</v>
      </c>
      <c r="U9" s="4">
        <v>0.12847222222222221</v>
      </c>
      <c r="V9" s="1">
        <v>2000</v>
      </c>
      <c r="W9" s="1">
        <v>1100</v>
      </c>
      <c r="X9" s="1">
        <v>3100</v>
      </c>
      <c r="Y9" s="1" t="s">
        <v>51</v>
      </c>
      <c r="Z9" s="1">
        <v>1050</v>
      </c>
      <c r="AA9" s="1">
        <v>2050</v>
      </c>
      <c r="AB9" s="1">
        <v>0</v>
      </c>
      <c r="AC9" s="1">
        <v>0</v>
      </c>
      <c r="AD9" s="1">
        <v>0</v>
      </c>
      <c r="AE9" s="1">
        <v>0</v>
      </c>
      <c r="AF9" s="1"/>
      <c r="AG9" s="1">
        <v>0</v>
      </c>
      <c r="AH9" s="1">
        <v>0</v>
      </c>
      <c r="AI9" s="1">
        <v>0</v>
      </c>
      <c r="AJ9" s="1">
        <v>0</v>
      </c>
      <c r="AK9" s="1">
        <v>6.4779999999999998</v>
      </c>
      <c r="AL9" s="1">
        <v>6.4779999999999998</v>
      </c>
      <c r="AM9" s="1">
        <v>6.4779999999999998</v>
      </c>
    </row>
    <row r="10" spans="1:39" x14ac:dyDescent="0.3">
      <c r="A10" s="21" t="str">
        <f t="shared" si="0"/>
        <v>HFA704LGAV2026-01-08</v>
      </c>
      <c r="B10" t="str">
        <f>VLOOKUP(A10,Sheet1!A10:B1352,1,FALSE)</f>
        <v>HFA704LGAV2026-01-08</v>
      </c>
      <c r="C10" s="3">
        <v>46030</v>
      </c>
      <c r="D10" s="1" t="s">
        <v>52</v>
      </c>
      <c r="E10" s="1" t="s">
        <v>38</v>
      </c>
      <c r="F10" s="1"/>
      <c r="G10" s="1" t="s">
        <v>39</v>
      </c>
      <c r="H10" s="1" t="s">
        <v>40</v>
      </c>
      <c r="I10" s="1" t="s">
        <v>46</v>
      </c>
      <c r="J10" s="1" t="s">
        <v>47</v>
      </c>
      <c r="K10" s="1" t="s">
        <v>48</v>
      </c>
      <c r="L10" s="1" t="s">
        <v>49</v>
      </c>
      <c r="M10" s="1" t="s">
        <v>50</v>
      </c>
      <c r="N10" s="1" t="s">
        <v>41</v>
      </c>
      <c r="O10" s="1" t="s">
        <v>42</v>
      </c>
      <c r="P10" s="1" t="s">
        <v>43</v>
      </c>
      <c r="Q10" s="1" t="s">
        <v>44</v>
      </c>
      <c r="R10" s="1" t="s">
        <v>45</v>
      </c>
      <c r="S10" s="1">
        <v>1157</v>
      </c>
      <c r="T10" s="1">
        <v>0</v>
      </c>
      <c r="U10" s="4">
        <v>0.10763888888888888</v>
      </c>
      <c r="V10" s="1">
        <v>1050</v>
      </c>
      <c r="W10" s="1">
        <v>2250</v>
      </c>
      <c r="X10" s="1">
        <v>3300</v>
      </c>
      <c r="Y10" s="1" t="s">
        <v>51</v>
      </c>
      <c r="Z10" s="1">
        <v>1770</v>
      </c>
      <c r="AA10" s="1">
        <v>1530</v>
      </c>
      <c r="AB10" s="1">
        <v>0</v>
      </c>
      <c r="AC10" s="1">
        <v>0</v>
      </c>
      <c r="AD10" s="1">
        <v>0</v>
      </c>
      <c r="AE10" s="1">
        <v>0</v>
      </c>
      <c r="AF10" s="1"/>
      <c r="AG10" s="1">
        <v>0</v>
      </c>
      <c r="AH10" s="1">
        <v>0</v>
      </c>
      <c r="AI10" s="1">
        <v>0</v>
      </c>
      <c r="AJ10" s="1">
        <v>0</v>
      </c>
      <c r="AK10" s="1">
        <v>4.8348000000000004</v>
      </c>
      <c r="AL10" s="1">
        <v>4.8348000000000004</v>
      </c>
      <c r="AM10" s="1">
        <v>4.8348000000000004</v>
      </c>
    </row>
    <row r="11" spans="1:39" x14ac:dyDescent="0.3">
      <c r="A11" s="21" t="str">
        <f t="shared" si="0"/>
        <v>HFA701LLHA2026-01-09</v>
      </c>
      <c r="B11" t="str">
        <f>VLOOKUP(A11,Sheet1!A11:B1353,1,FALSE)</f>
        <v>HFA701LLHA2026-01-09</v>
      </c>
      <c r="C11" s="3">
        <v>46031</v>
      </c>
      <c r="D11" s="1" t="s">
        <v>53</v>
      </c>
      <c r="E11" s="1" t="s">
        <v>38</v>
      </c>
      <c r="F11" s="1"/>
      <c r="G11" s="1" t="s">
        <v>39</v>
      </c>
      <c r="H11" s="1" t="s">
        <v>40</v>
      </c>
      <c r="I11" s="1" t="s">
        <v>41</v>
      </c>
      <c r="J11" s="1" t="s">
        <v>42</v>
      </c>
      <c r="K11" s="1" t="s">
        <v>43</v>
      </c>
      <c r="L11" s="1" t="s">
        <v>44</v>
      </c>
      <c r="M11" s="1" t="s">
        <v>45</v>
      </c>
      <c r="N11" s="1" t="s">
        <v>46</v>
      </c>
      <c r="O11" s="1" t="s">
        <v>47</v>
      </c>
      <c r="P11" s="1" t="s">
        <v>48</v>
      </c>
      <c r="Q11" s="1" t="s">
        <v>49</v>
      </c>
      <c r="R11" s="1" t="s">
        <v>50</v>
      </c>
      <c r="S11" s="1">
        <v>1157</v>
      </c>
      <c r="T11" s="1">
        <v>0</v>
      </c>
      <c r="U11" s="4">
        <v>0.13958333333333334</v>
      </c>
      <c r="V11" s="1">
        <v>1770</v>
      </c>
      <c r="W11" s="1">
        <v>1630</v>
      </c>
      <c r="X11" s="1">
        <v>3400</v>
      </c>
      <c r="Y11" s="1" t="s">
        <v>51</v>
      </c>
      <c r="Z11" s="1">
        <v>1290</v>
      </c>
      <c r="AA11" s="1">
        <v>2110</v>
      </c>
      <c r="AB11" s="1">
        <v>0</v>
      </c>
      <c r="AC11" s="1">
        <v>0</v>
      </c>
      <c r="AD11" s="1">
        <v>0</v>
      </c>
      <c r="AE11" s="1">
        <v>0</v>
      </c>
      <c r="AF11" s="1"/>
      <c r="AG11" s="1">
        <v>0</v>
      </c>
      <c r="AH11" s="1">
        <v>0</v>
      </c>
      <c r="AI11" s="1">
        <v>0</v>
      </c>
      <c r="AJ11" s="1">
        <v>0</v>
      </c>
      <c r="AK11" s="1">
        <v>6.6676000000000002</v>
      </c>
      <c r="AL11" s="1">
        <v>6.6676000000000002</v>
      </c>
      <c r="AM11" s="1">
        <v>6.6676000000000002</v>
      </c>
    </row>
    <row r="12" spans="1:39" x14ac:dyDescent="0.3">
      <c r="A12" s="21" t="str">
        <f t="shared" si="0"/>
        <v>HFA702LGAV2026-01-09</v>
      </c>
      <c r="B12" t="str">
        <f>VLOOKUP(A12,Sheet1!A12:B1354,1,FALSE)</f>
        <v>HFA702LGAV2026-01-09</v>
      </c>
      <c r="C12" s="3">
        <v>46031</v>
      </c>
      <c r="D12" s="1" t="s">
        <v>56</v>
      </c>
      <c r="E12" s="1" t="s">
        <v>38</v>
      </c>
      <c r="F12" s="1"/>
      <c r="G12" s="1" t="s">
        <v>39</v>
      </c>
      <c r="H12" s="1" t="s">
        <v>40</v>
      </c>
      <c r="I12" s="1" t="s">
        <v>46</v>
      </c>
      <c r="J12" s="1" t="s">
        <v>47</v>
      </c>
      <c r="K12" s="1" t="s">
        <v>48</v>
      </c>
      <c r="L12" s="1" t="s">
        <v>49</v>
      </c>
      <c r="M12" s="1" t="s">
        <v>50</v>
      </c>
      <c r="N12" s="1" t="s">
        <v>41</v>
      </c>
      <c r="O12" s="1" t="s">
        <v>42</v>
      </c>
      <c r="P12" s="1" t="s">
        <v>43</v>
      </c>
      <c r="Q12" s="1" t="s">
        <v>44</v>
      </c>
      <c r="R12" s="1" t="s">
        <v>45</v>
      </c>
      <c r="S12" s="1">
        <v>1157</v>
      </c>
      <c r="T12" s="1">
        <v>0</v>
      </c>
      <c r="U12" s="4">
        <v>9.7916666666666666E-2</v>
      </c>
      <c r="V12" s="1">
        <v>1290</v>
      </c>
      <c r="W12" s="1">
        <v>2210</v>
      </c>
      <c r="X12" s="1">
        <v>3500</v>
      </c>
      <c r="Y12" s="1" t="s">
        <v>51</v>
      </c>
      <c r="Z12" s="1">
        <v>2240</v>
      </c>
      <c r="AA12" s="1">
        <v>1260</v>
      </c>
      <c r="AB12" s="1">
        <v>0</v>
      </c>
      <c r="AC12" s="1">
        <v>0</v>
      </c>
      <c r="AD12" s="1">
        <v>0</v>
      </c>
      <c r="AE12" s="1">
        <v>0</v>
      </c>
      <c r="AF12" s="1"/>
      <c r="AG12" s="1">
        <v>0</v>
      </c>
      <c r="AH12" s="1">
        <v>0</v>
      </c>
      <c r="AI12" s="1">
        <v>0</v>
      </c>
      <c r="AJ12" s="1">
        <v>0</v>
      </c>
      <c r="AK12" s="1">
        <v>3.9815999999999998</v>
      </c>
      <c r="AL12" s="1">
        <v>3.9815999999999998</v>
      </c>
      <c r="AM12" s="1">
        <v>3.9815999999999998</v>
      </c>
    </row>
    <row r="13" spans="1:39" x14ac:dyDescent="0.3">
      <c r="A13" s="21" t="str">
        <f t="shared" si="0"/>
        <v>HFA703LLHA2026-01-10</v>
      </c>
      <c r="B13" t="str">
        <f>VLOOKUP(A13,Sheet1!A13:B1355,1,FALSE)</f>
        <v>HFA703LLHA2026-01-10</v>
      </c>
      <c r="C13" s="3">
        <v>46032</v>
      </c>
      <c r="D13" s="1" t="s">
        <v>37</v>
      </c>
      <c r="E13" s="1" t="s">
        <v>38</v>
      </c>
      <c r="F13" s="1"/>
      <c r="G13" s="1" t="s">
        <v>39</v>
      </c>
      <c r="H13" s="1" t="s">
        <v>40</v>
      </c>
      <c r="I13" s="1" t="s">
        <v>41</v>
      </c>
      <c r="J13" s="1" t="s">
        <v>42</v>
      </c>
      <c r="K13" s="1" t="s">
        <v>43</v>
      </c>
      <c r="L13" s="1" t="s">
        <v>44</v>
      </c>
      <c r="M13" s="1" t="s">
        <v>45</v>
      </c>
      <c r="N13" s="1" t="s">
        <v>46</v>
      </c>
      <c r="O13" s="1" t="s">
        <v>47</v>
      </c>
      <c r="P13" s="1" t="s">
        <v>48</v>
      </c>
      <c r="Q13" s="1" t="s">
        <v>49</v>
      </c>
      <c r="R13" s="1" t="s">
        <v>50</v>
      </c>
      <c r="S13" s="1">
        <v>1157</v>
      </c>
      <c r="T13" s="1">
        <v>0</v>
      </c>
      <c r="U13" s="4">
        <v>0.12222222222222222</v>
      </c>
      <c r="V13" s="1">
        <v>2240</v>
      </c>
      <c r="W13" s="1">
        <v>960</v>
      </c>
      <c r="X13" s="1">
        <v>3200</v>
      </c>
      <c r="Y13" s="1" t="s">
        <v>51</v>
      </c>
      <c r="Z13" s="1">
        <v>1180</v>
      </c>
      <c r="AA13" s="1">
        <v>2020</v>
      </c>
      <c r="AB13" s="1">
        <v>0</v>
      </c>
      <c r="AC13" s="1">
        <v>0</v>
      </c>
      <c r="AD13" s="1">
        <v>0</v>
      </c>
      <c r="AE13" s="1">
        <v>0</v>
      </c>
      <c r="AF13" s="1"/>
      <c r="AG13" s="1">
        <v>0</v>
      </c>
      <c r="AH13" s="1">
        <v>0</v>
      </c>
      <c r="AI13" s="1">
        <v>0</v>
      </c>
      <c r="AJ13" s="1">
        <v>0</v>
      </c>
      <c r="AK13" s="1">
        <v>6.3832000000000004</v>
      </c>
      <c r="AL13" s="1">
        <v>6.3832000000000004</v>
      </c>
      <c r="AM13" s="1">
        <v>6.3832000000000004</v>
      </c>
    </row>
    <row r="14" spans="1:39" x14ac:dyDescent="0.3">
      <c r="A14" s="21" t="str">
        <f t="shared" si="0"/>
        <v>HFA704LGAV2026-01-10</v>
      </c>
      <c r="B14" t="str">
        <f>VLOOKUP(A14,Sheet1!A14:B1356,1,FALSE)</f>
        <v>HFA704LGAV2026-01-10</v>
      </c>
      <c r="C14" s="3">
        <v>46032</v>
      </c>
      <c r="D14" s="1" t="s">
        <v>52</v>
      </c>
      <c r="E14" s="1" t="s">
        <v>38</v>
      </c>
      <c r="F14" s="1"/>
      <c r="G14" s="1" t="s">
        <v>39</v>
      </c>
      <c r="H14" s="1" t="s">
        <v>40</v>
      </c>
      <c r="I14" s="1" t="s">
        <v>46</v>
      </c>
      <c r="J14" s="1" t="s">
        <v>47</v>
      </c>
      <c r="K14" s="1" t="s">
        <v>48</v>
      </c>
      <c r="L14" s="1" t="s">
        <v>49</v>
      </c>
      <c r="M14" s="1" t="s">
        <v>50</v>
      </c>
      <c r="N14" s="1" t="s">
        <v>41</v>
      </c>
      <c r="O14" s="1" t="s">
        <v>42</v>
      </c>
      <c r="P14" s="1" t="s">
        <v>43</v>
      </c>
      <c r="Q14" s="1" t="s">
        <v>44</v>
      </c>
      <c r="R14" s="1" t="s">
        <v>45</v>
      </c>
      <c r="S14" s="1">
        <v>1157</v>
      </c>
      <c r="T14" s="1">
        <v>0</v>
      </c>
      <c r="U14" s="4">
        <v>9.9999999999999992E-2</v>
      </c>
      <c r="V14" s="1">
        <v>1180</v>
      </c>
      <c r="W14" s="1">
        <v>1720</v>
      </c>
      <c r="X14" s="1">
        <v>2900</v>
      </c>
      <c r="Y14" s="1" t="s">
        <v>51</v>
      </c>
      <c r="Z14" s="1">
        <v>1360</v>
      </c>
      <c r="AA14" s="1">
        <v>1540</v>
      </c>
      <c r="AB14" s="1">
        <v>0</v>
      </c>
      <c r="AC14" s="1">
        <v>0</v>
      </c>
      <c r="AD14" s="1">
        <v>0</v>
      </c>
      <c r="AE14" s="1">
        <v>0</v>
      </c>
      <c r="AF14" s="1"/>
      <c r="AG14" s="1">
        <v>0</v>
      </c>
      <c r="AH14" s="1">
        <v>0</v>
      </c>
      <c r="AI14" s="1">
        <v>0</v>
      </c>
      <c r="AJ14" s="1">
        <v>0</v>
      </c>
      <c r="AK14" s="1">
        <v>4.8663999999999996</v>
      </c>
      <c r="AL14" s="1">
        <v>4.8663999999999996</v>
      </c>
      <c r="AM14" s="1">
        <v>4.8663999999999996</v>
      </c>
    </row>
    <row r="15" spans="1:39" x14ac:dyDescent="0.3">
      <c r="A15" s="21" t="str">
        <f t="shared" si="0"/>
        <v>HFA701LLHA2026-01-11</v>
      </c>
      <c r="B15" t="str">
        <f>VLOOKUP(A15,Sheet1!A15:B1357,1,FALSE)</f>
        <v>HFA701LLHA2026-01-11</v>
      </c>
      <c r="C15" s="3">
        <v>46033</v>
      </c>
      <c r="D15" s="1" t="s">
        <v>53</v>
      </c>
      <c r="E15" s="1" t="s">
        <v>38</v>
      </c>
      <c r="F15" s="1"/>
      <c r="G15" s="1" t="s">
        <v>39</v>
      </c>
      <c r="H15" s="1" t="s">
        <v>40</v>
      </c>
      <c r="I15" s="1" t="s">
        <v>41</v>
      </c>
      <c r="J15" s="1" t="s">
        <v>42</v>
      </c>
      <c r="K15" s="1" t="s">
        <v>43</v>
      </c>
      <c r="L15" s="1" t="s">
        <v>44</v>
      </c>
      <c r="M15" s="1" t="s">
        <v>45</v>
      </c>
      <c r="N15" s="1" t="s">
        <v>46</v>
      </c>
      <c r="O15" s="1" t="s">
        <v>47</v>
      </c>
      <c r="P15" s="1" t="s">
        <v>48</v>
      </c>
      <c r="Q15" s="1" t="s">
        <v>49</v>
      </c>
      <c r="R15" s="1" t="s">
        <v>50</v>
      </c>
      <c r="S15" s="1">
        <v>1157</v>
      </c>
      <c r="T15" s="1">
        <v>0</v>
      </c>
      <c r="U15" s="4">
        <v>0.12569444444444444</v>
      </c>
      <c r="V15" s="1">
        <v>1360</v>
      </c>
      <c r="W15" s="1">
        <v>1740</v>
      </c>
      <c r="X15" s="1">
        <v>3100</v>
      </c>
      <c r="Y15" s="1" t="s">
        <v>51</v>
      </c>
      <c r="Z15" s="1">
        <v>1270</v>
      </c>
      <c r="AA15" s="1">
        <v>1830</v>
      </c>
      <c r="AB15" s="1">
        <v>0</v>
      </c>
      <c r="AC15" s="1">
        <v>0</v>
      </c>
      <c r="AD15" s="1">
        <v>0</v>
      </c>
      <c r="AE15" s="1">
        <v>0</v>
      </c>
      <c r="AF15" s="1"/>
      <c r="AG15" s="1">
        <v>0</v>
      </c>
      <c r="AH15" s="1">
        <v>0</v>
      </c>
      <c r="AI15" s="1">
        <v>0</v>
      </c>
      <c r="AJ15" s="1">
        <v>0</v>
      </c>
      <c r="AK15" s="1">
        <v>5.7827999999999999</v>
      </c>
      <c r="AL15" s="1">
        <v>5.7827999999999999</v>
      </c>
      <c r="AM15" s="1">
        <v>5.7827999999999999</v>
      </c>
    </row>
    <row r="16" spans="1:39" x14ac:dyDescent="0.3">
      <c r="A16" s="21" t="str">
        <f t="shared" si="0"/>
        <v>HFA702LGAV2026-01-11</v>
      </c>
      <c r="B16" t="str">
        <f>VLOOKUP(A16,Sheet1!A16:B1358,1,FALSE)</f>
        <v>HFA702LGAV2026-01-11</v>
      </c>
      <c r="C16" s="3">
        <v>46033</v>
      </c>
      <c r="D16" s="1" t="s">
        <v>56</v>
      </c>
      <c r="E16" s="1" t="s">
        <v>38</v>
      </c>
      <c r="F16" s="1"/>
      <c r="G16" s="1" t="s">
        <v>39</v>
      </c>
      <c r="H16" s="1" t="s">
        <v>40</v>
      </c>
      <c r="I16" s="1" t="s">
        <v>46</v>
      </c>
      <c r="J16" s="1" t="s">
        <v>47</v>
      </c>
      <c r="K16" s="1" t="s">
        <v>48</v>
      </c>
      <c r="L16" s="1" t="s">
        <v>49</v>
      </c>
      <c r="M16" s="1" t="s">
        <v>50</v>
      </c>
      <c r="N16" s="1" t="s">
        <v>41</v>
      </c>
      <c r="O16" s="1" t="s">
        <v>42</v>
      </c>
      <c r="P16" s="1" t="s">
        <v>43</v>
      </c>
      <c r="Q16" s="1" t="s">
        <v>44</v>
      </c>
      <c r="R16" s="1" t="s">
        <v>45</v>
      </c>
      <c r="S16" s="1">
        <v>1157</v>
      </c>
      <c r="T16" s="1">
        <v>0</v>
      </c>
      <c r="U16" s="4">
        <v>0.10277777777777777</v>
      </c>
      <c r="V16" s="1">
        <v>1270</v>
      </c>
      <c r="W16" s="1">
        <v>1630</v>
      </c>
      <c r="X16" s="1">
        <v>2900</v>
      </c>
      <c r="Y16" s="1" t="s">
        <v>51</v>
      </c>
      <c r="Z16" s="1">
        <v>1330</v>
      </c>
      <c r="AA16" s="1">
        <v>1570</v>
      </c>
      <c r="AB16" s="1">
        <v>0</v>
      </c>
      <c r="AC16" s="1">
        <v>0</v>
      </c>
      <c r="AD16" s="1">
        <v>0</v>
      </c>
      <c r="AE16" s="1">
        <v>0</v>
      </c>
      <c r="AF16" s="1"/>
      <c r="AG16" s="1">
        <v>0</v>
      </c>
      <c r="AH16" s="1">
        <v>0</v>
      </c>
      <c r="AI16" s="1">
        <v>0</v>
      </c>
      <c r="AJ16" s="1">
        <v>0</v>
      </c>
      <c r="AK16" s="1">
        <v>4.9611999999999998</v>
      </c>
      <c r="AL16" s="1">
        <v>4.9611999999999998</v>
      </c>
      <c r="AM16" s="1">
        <v>4.9611999999999998</v>
      </c>
    </row>
    <row r="17" spans="1:39" x14ac:dyDescent="0.3">
      <c r="A17" s="21" t="str">
        <f t="shared" si="0"/>
        <v>HFA605LLHA2026-01-11</v>
      </c>
      <c r="B17" t="str">
        <f>VLOOKUP(A17,Sheet1!A17:B1359,1,FALSE)</f>
        <v>HFA605LLHA2026-01-11</v>
      </c>
      <c r="C17" s="3">
        <v>46033</v>
      </c>
      <c r="D17" s="1" t="s">
        <v>62</v>
      </c>
      <c r="E17" s="1" t="s">
        <v>38</v>
      </c>
      <c r="F17" s="1" t="s">
        <v>54</v>
      </c>
      <c r="G17" s="1" t="s">
        <v>39</v>
      </c>
      <c r="H17" s="1" t="s">
        <v>40</v>
      </c>
      <c r="I17" s="1" t="s">
        <v>41</v>
      </c>
      <c r="J17" s="1" t="s">
        <v>42</v>
      </c>
      <c r="K17" s="1" t="s">
        <v>43</v>
      </c>
      <c r="L17" s="1" t="s">
        <v>44</v>
      </c>
      <c r="M17" s="1" t="s">
        <v>45</v>
      </c>
      <c r="N17" s="1" t="s">
        <v>41</v>
      </c>
      <c r="O17" s="1" t="s">
        <v>58</v>
      </c>
      <c r="P17" s="1" t="s">
        <v>59</v>
      </c>
      <c r="Q17" s="1" t="s">
        <v>60</v>
      </c>
      <c r="R17" s="1" t="s">
        <v>45</v>
      </c>
      <c r="S17" s="1">
        <v>342</v>
      </c>
      <c r="T17" s="1">
        <v>0</v>
      </c>
      <c r="U17" s="4">
        <v>4.3055555555555555E-2</v>
      </c>
      <c r="V17" s="1">
        <v>1330</v>
      </c>
      <c r="W17" s="1">
        <v>380</v>
      </c>
      <c r="X17" s="1">
        <v>1710</v>
      </c>
      <c r="Y17" s="1" t="s">
        <v>51</v>
      </c>
      <c r="Z17" s="1">
        <v>950</v>
      </c>
      <c r="AA17" s="1">
        <v>760</v>
      </c>
      <c r="AB17" s="1">
        <v>0</v>
      </c>
      <c r="AC17" s="1">
        <v>0</v>
      </c>
      <c r="AD17" s="1">
        <v>0</v>
      </c>
      <c r="AE17" s="1">
        <v>0</v>
      </c>
      <c r="AF17" s="1"/>
      <c r="AG17" s="1">
        <v>0</v>
      </c>
      <c r="AH17" s="1">
        <v>0</v>
      </c>
      <c r="AI17" s="1">
        <v>0</v>
      </c>
      <c r="AJ17" s="1">
        <v>0</v>
      </c>
      <c r="AK17" s="1">
        <v>2.4016000000000002</v>
      </c>
      <c r="AL17" s="1">
        <v>2.4016000000000002</v>
      </c>
      <c r="AM17" s="1">
        <v>2.4016000000000002</v>
      </c>
    </row>
    <row r="18" spans="1:39" x14ac:dyDescent="0.3">
      <c r="A18" s="21" t="str">
        <f t="shared" si="0"/>
        <v>HFA606LLER2026-01-11</v>
      </c>
      <c r="B18" t="str">
        <f>VLOOKUP(A18,Sheet1!A18:B1360,1,FALSE)</f>
        <v>HFA606LLER2026-01-11</v>
      </c>
      <c r="C18" s="3">
        <v>46033</v>
      </c>
      <c r="D18" s="1" t="s">
        <v>63</v>
      </c>
      <c r="E18" s="1" t="s">
        <v>38</v>
      </c>
      <c r="F18" s="1" t="s">
        <v>54</v>
      </c>
      <c r="G18" s="1" t="s">
        <v>39</v>
      </c>
      <c r="H18" s="1" t="s">
        <v>40</v>
      </c>
      <c r="I18" s="1" t="s">
        <v>41</v>
      </c>
      <c r="J18" s="1" t="s">
        <v>58</v>
      </c>
      <c r="K18" s="1" t="s">
        <v>59</v>
      </c>
      <c r="L18" s="1" t="s">
        <v>60</v>
      </c>
      <c r="M18" s="1" t="s">
        <v>45</v>
      </c>
      <c r="N18" s="1" t="s">
        <v>41</v>
      </c>
      <c r="O18" s="1" t="s">
        <v>42</v>
      </c>
      <c r="P18" s="1" t="s">
        <v>43</v>
      </c>
      <c r="Q18" s="1" t="s">
        <v>44</v>
      </c>
      <c r="R18" s="1" t="s">
        <v>45</v>
      </c>
      <c r="S18" s="1">
        <v>342</v>
      </c>
      <c r="T18" s="1">
        <v>0</v>
      </c>
      <c r="U18" s="4">
        <v>4.027777777777778E-2</v>
      </c>
      <c r="V18" s="1">
        <v>950</v>
      </c>
      <c r="W18" s="1">
        <v>1750</v>
      </c>
      <c r="X18" s="1">
        <v>2700</v>
      </c>
      <c r="Y18" s="1" t="s">
        <v>51</v>
      </c>
      <c r="Z18" s="1">
        <v>2060</v>
      </c>
      <c r="AA18" s="1">
        <v>640</v>
      </c>
      <c r="AB18" s="1">
        <v>0</v>
      </c>
      <c r="AC18" s="1">
        <v>0</v>
      </c>
      <c r="AD18" s="1">
        <v>0</v>
      </c>
      <c r="AE18" s="1">
        <v>0</v>
      </c>
      <c r="AF18" s="1"/>
      <c r="AG18" s="1">
        <v>0</v>
      </c>
      <c r="AH18" s="1">
        <v>0</v>
      </c>
      <c r="AI18" s="1">
        <v>0</v>
      </c>
      <c r="AJ18" s="1">
        <v>0</v>
      </c>
      <c r="AK18" s="1">
        <v>2.0224000000000002</v>
      </c>
      <c r="AL18" s="1">
        <v>2.0224000000000002</v>
      </c>
      <c r="AM18" s="1">
        <v>2.0224000000000002</v>
      </c>
    </row>
    <row r="19" spans="1:39" x14ac:dyDescent="0.3">
      <c r="A19" s="21" t="str">
        <f t="shared" si="0"/>
        <v>HFA601LLHA2026-01-12</v>
      </c>
      <c r="B19" t="str">
        <f>VLOOKUP(A19,Sheet1!A19:B1361,1,FALSE)</f>
        <v>HFA601LLHA2026-01-12</v>
      </c>
      <c r="C19" s="3">
        <v>46034</v>
      </c>
      <c r="D19" s="1" t="s">
        <v>57</v>
      </c>
      <c r="E19" s="1" t="s">
        <v>38</v>
      </c>
      <c r="F19" s="1" t="s">
        <v>54</v>
      </c>
      <c r="G19" s="1" t="s">
        <v>39</v>
      </c>
      <c r="H19" s="1" t="s">
        <v>40</v>
      </c>
      <c r="I19" s="1" t="s">
        <v>41</v>
      </c>
      <c r="J19" s="1" t="s">
        <v>42</v>
      </c>
      <c r="K19" s="1" t="s">
        <v>43</v>
      </c>
      <c r="L19" s="1" t="s">
        <v>44</v>
      </c>
      <c r="M19" s="1" t="s">
        <v>45</v>
      </c>
      <c r="N19" s="1" t="s">
        <v>41</v>
      </c>
      <c r="O19" s="1" t="s">
        <v>58</v>
      </c>
      <c r="P19" s="1" t="s">
        <v>59</v>
      </c>
      <c r="Q19" s="1" t="s">
        <v>60</v>
      </c>
      <c r="R19" s="1" t="s">
        <v>45</v>
      </c>
      <c r="S19" s="1">
        <v>342</v>
      </c>
      <c r="T19" s="1">
        <v>0</v>
      </c>
      <c r="U19" s="4">
        <v>4.7916666666666663E-2</v>
      </c>
      <c r="V19" s="1">
        <v>2060</v>
      </c>
      <c r="W19" s="1">
        <v>140</v>
      </c>
      <c r="X19" s="1">
        <v>2200</v>
      </c>
      <c r="Y19" s="1" t="s">
        <v>51</v>
      </c>
      <c r="Z19" s="1">
        <v>1520</v>
      </c>
      <c r="AA19" s="1">
        <v>680</v>
      </c>
      <c r="AB19" s="1">
        <v>0</v>
      </c>
      <c r="AC19" s="1">
        <v>0</v>
      </c>
      <c r="AD19" s="1">
        <v>0</v>
      </c>
      <c r="AE19" s="1">
        <v>0</v>
      </c>
      <c r="AF19" s="1"/>
      <c r="AG19" s="1">
        <v>0</v>
      </c>
      <c r="AH19" s="1">
        <v>0</v>
      </c>
      <c r="AI19" s="1">
        <v>0</v>
      </c>
      <c r="AJ19" s="1">
        <v>0</v>
      </c>
      <c r="AK19" s="1">
        <v>2.1488</v>
      </c>
      <c r="AL19" s="1">
        <v>2.1488</v>
      </c>
      <c r="AM19" s="1">
        <v>2.1488</v>
      </c>
    </row>
    <row r="20" spans="1:39" x14ac:dyDescent="0.3">
      <c r="A20" s="21" t="str">
        <f t="shared" si="0"/>
        <v>HFA602LLER2026-01-12</v>
      </c>
      <c r="B20" t="str">
        <f>VLOOKUP(A20,Sheet1!A20:B1362,1,FALSE)</f>
        <v>HFA602LLER2026-01-12</v>
      </c>
      <c r="C20" s="3">
        <v>46034</v>
      </c>
      <c r="D20" s="1" t="s">
        <v>61</v>
      </c>
      <c r="E20" s="1" t="s">
        <v>38</v>
      </c>
      <c r="F20" s="1" t="s">
        <v>54</v>
      </c>
      <c r="G20" s="1" t="s">
        <v>39</v>
      </c>
      <c r="H20" s="1" t="s">
        <v>40</v>
      </c>
      <c r="I20" s="1" t="s">
        <v>41</v>
      </c>
      <c r="J20" s="1" t="s">
        <v>58</v>
      </c>
      <c r="K20" s="1" t="s">
        <v>59</v>
      </c>
      <c r="L20" s="1" t="s">
        <v>60</v>
      </c>
      <c r="M20" s="1" t="s">
        <v>45</v>
      </c>
      <c r="N20" s="1" t="s">
        <v>41</v>
      </c>
      <c r="O20" s="1" t="s">
        <v>42</v>
      </c>
      <c r="P20" s="1" t="s">
        <v>43</v>
      </c>
      <c r="Q20" s="1" t="s">
        <v>44</v>
      </c>
      <c r="R20" s="1" t="s">
        <v>45</v>
      </c>
      <c r="S20" s="1">
        <v>342</v>
      </c>
      <c r="T20" s="1">
        <v>0</v>
      </c>
      <c r="U20" s="4">
        <v>6.5972222222222224E-2</v>
      </c>
      <c r="V20" s="1">
        <v>1520</v>
      </c>
      <c r="W20" s="1">
        <v>880</v>
      </c>
      <c r="X20" s="1">
        <v>2400</v>
      </c>
      <c r="Y20" s="1" t="s">
        <v>51</v>
      </c>
      <c r="Z20" s="1">
        <v>1490</v>
      </c>
      <c r="AA20" s="1">
        <v>910</v>
      </c>
      <c r="AB20" s="1">
        <v>0</v>
      </c>
      <c r="AC20" s="1">
        <v>0</v>
      </c>
      <c r="AD20" s="1">
        <v>0</v>
      </c>
      <c r="AE20" s="1">
        <v>0</v>
      </c>
      <c r="AF20" s="1"/>
      <c r="AG20" s="1">
        <v>0</v>
      </c>
      <c r="AH20" s="1">
        <v>0</v>
      </c>
      <c r="AI20" s="1">
        <v>0</v>
      </c>
      <c r="AJ20" s="1">
        <v>0</v>
      </c>
      <c r="AK20" s="1">
        <v>2.8755999999999999</v>
      </c>
      <c r="AL20" s="1">
        <v>2.8755999999999999</v>
      </c>
      <c r="AM20" s="1">
        <v>2.8755999999999999</v>
      </c>
    </row>
    <row r="21" spans="1:39" x14ac:dyDescent="0.3">
      <c r="A21" s="21" t="str">
        <f t="shared" si="0"/>
        <v>HFA703LLHA2026-01-12</v>
      </c>
      <c r="B21" t="str">
        <f>VLOOKUP(A21,Sheet1!A21:B1363,1,FALSE)</f>
        <v>HFA703LLHA2026-01-12</v>
      </c>
      <c r="C21" s="3">
        <v>46034</v>
      </c>
      <c r="D21" s="1" t="s">
        <v>37</v>
      </c>
      <c r="E21" s="1" t="s">
        <v>38</v>
      </c>
      <c r="F21" s="1"/>
      <c r="G21" s="1" t="s">
        <v>39</v>
      </c>
      <c r="H21" s="1" t="s">
        <v>40</v>
      </c>
      <c r="I21" s="1" t="s">
        <v>41</v>
      </c>
      <c r="J21" s="1" t="s">
        <v>42</v>
      </c>
      <c r="K21" s="1" t="s">
        <v>43</v>
      </c>
      <c r="L21" s="1" t="s">
        <v>44</v>
      </c>
      <c r="M21" s="1" t="s">
        <v>45</v>
      </c>
      <c r="N21" s="1" t="s">
        <v>46</v>
      </c>
      <c r="O21" s="1" t="s">
        <v>47</v>
      </c>
      <c r="P21" s="1" t="s">
        <v>48</v>
      </c>
      <c r="Q21" s="1" t="s">
        <v>49</v>
      </c>
      <c r="R21" s="1" t="s">
        <v>50</v>
      </c>
      <c r="S21" s="1">
        <v>1157</v>
      </c>
      <c r="T21" s="1">
        <v>0</v>
      </c>
      <c r="U21" s="4">
        <v>0.1451388888888889</v>
      </c>
      <c r="V21" s="1">
        <v>1490</v>
      </c>
      <c r="W21" s="1">
        <v>1810</v>
      </c>
      <c r="X21" s="1">
        <v>3300</v>
      </c>
      <c r="Y21" s="1" t="s">
        <v>51</v>
      </c>
      <c r="Z21" s="1">
        <v>1630</v>
      </c>
      <c r="AA21" s="1">
        <v>1670</v>
      </c>
      <c r="AB21" s="1">
        <v>0</v>
      </c>
      <c r="AC21" s="1">
        <v>0</v>
      </c>
      <c r="AD21" s="1">
        <v>0</v>
      </c>
      <c r="AE21" s="1">
        <v>0</v>
      </c>
      <c r="AF21" s="1"/>
      <c r="AG21" s="1">
        <v>0</v>
      </c>
      <c r="AH21" s="1">
        <v>0</v>
      </c>
      <c r="AI21" s="1">
        <v>0</v>
      </c>
      <c r="AJ21" s="1">
        <v>0</v>
      </c>
      <c r="AK21" s="1">
        <v>5.2771999999999997</v>
      </c>
      <c r="AL21" s="1">
        <v>5.2771999999999997</v>
      </c>
      <c r="AM21" s="1">
        <v>5.2771999999999997</v>
      </c>
    </row>
    <row r="22" spans="1:39" x14ac:dyDescent="0.3">
      <c r="A22" s="21" t="str">
        <f t="shared" si="0"/>
        <v>HFA202LGAV2026-01-14</v>
      </c>
      <c r="B22" t="str">
        <f>VLOOKUP(A22,Sheet1!A22:B1364,1,FALSE)</f>
        <v>HFA202LGAV2026-01-14</v>
      </c>
      <c r="C22" s="3">
        <v>46036</v>
      </c>
      <c r="D22" s="1" t="s">
        <v>64</v>
      </c>
      <c r="E22" s="1" t="s">
        <v>65</v>
      </c>
      <c r="F22" s="1"/>
      <c r="G22" s="1" t="s">
        <v>39</v>
      </c>
      <c r="H22" s="1" t="s">
        <v>40</v>
      </c>
      <c r="I22" s="1" t="s">
        <v>46</v>
      </c>
      <c r="J22" s="1" t="s">
        <v>47</v>
      </c>
      <c r="K22" s="1" t="s">
        <v>48</v>
      </c>
      <c r="L22" s="1" t="s">
        <v>49</v>
      </c>
      <c r="M22" s="1" t="s">
        <v>50</v>
      </c>
      <c r="N22" s="1" t="s">
        <v>41</v>
      </c>
      <c r="O22" s="1" t="s">
        <v>42</v>
      </c>
      <c r="P22" s="1" t="s">
        <v>43</v>
      </c>
      <c r="Q22" s="1" t="s">
        <v>44</v>
      </c>
      <c r="R22" s="1" t="s">
        <v>45</v>
      </c>
      <c r="S22" s="1">
        <v>1157</v>
      </c>
      <c r="T22" s="1">
        <v>1158</v>
      </c>
      <c r="U22" s="4">
        <v>0.10069444444444445</v>
      </c>
      <c r="V22" s="1">
        <v>1630</v>
      </c>
      <c r="W22" s="1">
        <v>1770</v>
      </c>
      <c r="X22" s="1">
        <v>3400</v>
      </c>
      <c r="Y22" s="1" t="s">
        <v>51</v>
      </c>
      <c r="Z22" s="1">
        <v>2220</v>
      </c>
      <c r="AA22" s="1">
        <v>1180</v>
      </c>
      <c r="AB22" s="1">
        <v>0</v>
      </c>
      <c r="AC22" s="1">
        <v>0</v>
      </c>
      <c r="AD22" s="1">
        <v>0</v>
      </c>
      <c r="AE22" s="1">
        <v>0</v>
      </c>
      <c r="AF22" s="1"/>
      <c r="AG22" s="1">
        <v>0</v>
      </c>
      <c r="AH22" s="1">
        <v>0</v>
      </c>
      <c r="AI22" s="1">
        <v>0</v>
      </c>
      <c r="AJ22" s="1">
        <v>0</v>
      </c>
      <c r="AK22" s="1">
        <v>3.7288000000000001</v>
      </c>
      <c r="AL22" s="1">
        <v>3.7288000000000001</v>
      </c>
      <c r="AM22" s="1">
        <v>3.7288000000000001</v>
      </c>
    </row>
    <row r="23" spans="1:39" x14ac:dyDescent="0.3">
      <c r="A23" s="21" t="str">
        <f t="shared" si="0"/>
        <v>HFA851LLHA2026-01-15</v>
      </c>
      <c r="B23" t="str">
        <f>VLOOKUP(A23,Sheet1!A23:B1365,1,FALSE)</f>
        <v>HFA851LLHA2026-01-15</v>
      </c>
      <c r="C23" s="3">
        <v>46037</v>
      </c>
      <c r="D23" s="1" t="s">
        <v>66</v>
      </c>
      <c r="E23" s="1" t="s">
        <v>38</v>
      </c>
      <c r="F23" s="1"/>
      <c r="G23" s="1" t="s">
        <v>39</v>
      </c>
      <c r="H23" s="1" t="s">
        <v>40</v>
      </c>
      <c r="I23" s="1" t="s">
        <v>41</v>
      </c>
      <c r="J23" s="1" t="s">
        <v>42</v>
      </c>
      <c r="K23" s="1" t="s">
        <v>43</v>
      </c>
      <c r="L23" s="1" t="s">
        <v>44</v>
      </c>
      <c r="M23" s="1" t="s">
        <v>45</v>
      </c>
      <c r="N23" s="1" t="s">
        <v>67</v>
      </c>
      <c r="O23" s="1" t="s">
        <v>68</v>
      </c>
      <c r="P23" s="1" t="s">
        <v>69</v>
      </c>
      <c r="Q23" s="1" t="s">
        <v>70</v>
      </c>
      <c r="R23" s="1" t="s">
        <v>50</v>
      </c>
      <c r="S23" s="1">
        <v>318</v>
      </c>
      <c r="T23" s="1">
        <v>0</v>
      </c>
      <c r="U23" s="4">
        <v>4.2361111111111106E-2</v>
      </c>
      <c r="V23" s="1">
        <v>2220</v>
      </c>
      <c r="W23" s="1">
        <v>0</v>
      </c>
      <c r="X23" s="1">
        <v>2220</v>
      </c>
      <c r="Y23" s="1" t="s">
        <v>51</v>
      </c>
      <c r="Z23" s="1">
        <v>1630</v>
      </c>
      <c r="AA23" s="1">
        <v>590</v>
      </c>
      <c r="AB23" s="1">
        <v>0</v>
      </c>
      <c r="AC23" s="1">
        <v>0</v>
      </c>
      <c r="AD23" s="1">
        <v>0</v>
      </c>
      <c r="AE23" s="1">
        <v>0</v>
      </c>
      <c r="AF23" s="1"/>
      <c r="AG23" s="1">
        <v>0</v>
      </c>
      <c r="AH23" s="1">
        <v>0</v>
      </c>
      <c r="AI23" s="1">
        <v>0</v>
      </c>
      <c r="AJ23" s="1">
        <v>0</v>
      </c>
      <c r="AK23" s="1">
        <v>1.8644000000000001</v>
      </c>
      <c r="AL23" s="1">
        <v>1.8644000000000001</v>
      </c>
      <c r="AM23" s="1">
        <v>1.8644000000000001</v>
      </c>
    </row>
    <row r="24" spans="1:39" x14ac:dyDescent="0.3">
      <c r="A24" s="21" t="str">
        <f t="shared" si="0"/>
        <v>HFA852LCPH2026-01-15</v>
      </c>
      <c r="B24" t="str">
        <f>VLOOKUP(A24,Sheet1!A24:B1366,1,FALSE)</f>
        <v>HFA852LCPH2026-01-15</v>
      </c>
      <c r="C24" s="3">
        <v>46037</v>
      </c>
      <c r="D24" s="1" t="s">
        <v>71</v>
      </c>
      <c r="E24" s="1" t="s">
        <v>38</v>
      </c>
      <c r="F24" s="1"/>
      <c r="G24" s="1" t="s">
        <v>39</v>
      </c>
      <c r="H24" s="1" t="s">
        <v>40</v>
      </c>
      <c r="I24" s="1" t="s">
        <v>67</v>
      </c>
      <c r="J24" s="1" t="s">
        <v>68</v>
      </c>
      <c r="K24" s="1" t="s">
        <v>69</v>
      </c>
      <c r="L24" s="1" t="s">
        <v>70</v>
      </c>
      <c r="M24" s="1" t="s">
        <v>50</v>
      </c>
      <c r="N24" s="1" t="s">
        <v>41</v>
      </c>
      <c r="O24" s="1" t="s">
        <v>42</v>
      </c>
      <c r="P24" s="1" t="s">
        <v>43</v>
      </c>
      <c r="Q24" s="1" t="s">
        <v>44</v>
      </c>
      <c r="R24" s="1" t="s">
        <v>45</v>
      </c>
      <c r="S24" s="1">
        <v>318</v>
      </c>
      <c r="T24" s="1">
        <v>0</v>
      </c>
      <c r="U24" s="4">
        <v>3.888888888888889E-2</v>
      </c>
      <c r="V24" s="1">
        <v>1630</v>
      </c>
      <c r="W24" s="1">
        <v>870</v>
      </c>
      <c r="X24" s="1">
        <v>2500</v>
      </c>
      <c r="Y24" s="1" t="s">
        <v>51</v>
      </c>
      <c r="Z24" s="1">
        <v>1960</v>
      </c>
      <c r="AA24" s="1">
        <v>540</v>
      </c>
      <c r="AB24" s="1">
        <v>0</v>
      </c>
      <c r="AC24" s="1">
        <v>0</v>
      </c>
      <c r="AD24" s="1">
        <v>0</v>
      </c>
      <c r="AE24" s="1">
        <v>0</v>
      </c>
      <c r="AF24" s="1"/>
      <c r="AG24" s="1">
        <v>0</v>
      </c>
      <c r="AH24" s="1">
        <v>0</v>
      </c>
      <c r="AI24" s="1">
        <v>0</v>
      </c>
      <c r="AJ24" s="1">
        <v>0</v>
      </c>
      <c r="AK24" s="1">
        <v>1.7063999999999999</v>
      </c>
      <c r="AL24" s="1">
        <v>1.7063999999999999</v>
      </c>
      <c r="AM24" s="1">
        <v>1.7063999999999999</v>
      </c>
    </row>
    <row r="25" spans="1:39" x14ac:dyDescent="0.3">
      <c r="A25" s="21" t="str">
        <f t="shared" si="0"/>
        <v>HFA703LLHA2026-01-15</v>
      </c>
      <c r="B25" t="str">
        <f>VLOOKUP(A25,Sheet1!A25:B1367,1,FALSE)</f>
        <v>HFA703LLHA2026-01-15</v>
      </c>
      <c r="C25" s="3">
        <v>46037</v>
      </c>
      <c r="D25" s="1" t="s">
        <v>37</v>
      </c>
      <c r="E25" s="1" t="s">
        <v>38</v>
      </c>
      <c r="F25" s="1"/>
      <c r="G25" s="1" t="s">
        <v>39</v>
      </c>
      <c r="H25" s="1" t="s">
        <v>40</v>
      </c>
      <c r="I25" s="1" t="s">
        <v>41</v>
      </c>
      <c r="J25" s="1" t="s">
        <v>42</v>
      </c>
      <c r="K25" s="1" t="s">
        <v>43</v>
      </c>
      <c r="L25" s="1" t="s">
        <v>44</v>
      </c>
      <c r="M25" s="1" t="s">
        <v>45</v>
      </c>
      <c r="N25" s="1" t="s">
        <v>46</v>
      </c>
      <c r="O25" s="1" t="s">
        <v>47</v>
      </c>
      <c r="P25" s="1" t="s">
        <v>48</v>
      </c>
      <c r="Q25" s="1" t="s">
        <v>49</v>
      </c>
      <c r="R25" s="1" t="s">
        <v>50</v>
      </c>
      <c r="S25" s="1">
        <v>1157</v>
      </c>
      <c r="T25" s="1">
        <v>0</v>
      </c>
      <c r="U25" s="4">
        <v>0.12777777777777777</v>
      </c>
      <c r="V25" s="1">
        <v>1960</v>
      </c>
      <c r="W25" s="1">
        <v>1140</v>
      </c>
      <c r="X25" s="1">
        <v>3100</v>
      </c>
      <c r="Y25" s="1" t="s">
        <v>51</v>
      </c>
      <c r="Z25" s="1">
        <v>1190</v>
      </c>
      <c r="AA25" s="1">
        <v>1910</v>
      </c>
      <c r="AB25" s="1">
        <v>0</v>
      </c>
      <c r="AC25" s="1">
        <v>0</v>
      </c>
      <c r="AD25" s="1">
        <v>0</v>
      </c>
      <c r="AE25" s="1">
        <v>0</v>
      </c>
      <c r="AF25" s="1"/>
      <c r="AG25" s="1">
        <v>0</v>
      </c>
      <c r="AH25" s="1">
        <v>0</v>
      </c>
      <c r="AI25" s="1">
        <v>0</v>
      </c>
      <c r="AJ25" s="1">
        <v>0</v>
      </c>
      <c r="AK25" s="1">
        <v>6.0355999999999996</v>
      </c>
      <c r="AL25" s="1">
        <v>6.0355999999999996</v>
      </c>
      <c r="AM25" s="1">
        <v>6.0355999999999996</v>
      </c>
    </row>
    <row r="26" spans="1:39" x14ac:dyDescent="0.3">
      <c r="A26" s="21" t="str">
        <f t="shared" si="0"/>
        <v>HFA704LGAV2026-01-15</v>
      </c>
      <c r="B26" t="str">
        <f>VLOOKUP(A26,Sheet1!A26:B1368,1,FALSE)</f>
        <v>HFA704LGAV2026-01-15</v>
      </c>
      <c r="C26" s="3">
        <v>46037</v>
      </c>
      <c r="D26" s="1" t="s">
        <v>52</v>
      </c>
      <c r="E26" s="1" t="s">
        <v>38</v>
      </c>
      <c r="F26" s="1"/>
      <c r="G26" s="1" t="s">
        <v>39</v>
      </c>
      <c r="H26" s="1" t="s">
        <v>40</v>
      </c>
      <c r="I26" s="1" t="s">
        <v>46</v>
      </c>
      <c r="J26" s="1" t="s">
        <v>47</v>
      </c>
      <c r="K26" s="1" t="s">
        <v>48</v>
      </c>
      <c r="L26" s="1" t="s">
        <v>49</v>
      </c>
      <c r="M26" s="1" t="s">
        <v>50</v>
      </c>
      <c r="N26" s="1" t="s">
        <v>41</v>
      </c>
      <c r="O26" s="1" t="s">
        <v>42</v>
      </c>
      <c r="P26" s="1" t="s">
        <v>43</v>
      </c>
      <c r="Q26" s="1" t="s">
        <v>44</v>
      </c>
      <c r="R26" s="1" t="s">
        <v>45</v>
      </c>
      <c r="S26" s="1">
        <v>1157</v>
      </c>
      <c r="T26" s="1">
        <v>0</v>
      </c>
      <c r="U26" s="4">
        <v>0.1048611111111111</v>
      </c>
      <c r="V26" s="1">
        <v>1190</v>
      </c>
      <c r="W26" s="1">
        <v>2310</v>
      </c>
      <c r="X26" s="1">
        <v>3500</v>
      </c>
      <c r="Y26" s="1" t="s">
        <v>51</v>
      </c>
      <c r="Z26" s="1">
        <v>2070</v>
      </c>
      <c r="AA26" s="1">
        <v>1430</v>
      </c>
      <c r="AB26" s="1">
        <v>0</v>
      </c>
      <c r="AC26" s="1">
        <v>0</v>
      </c>
      <c r="AD26" s="1">
        <v>0</v>
      </c>
      <c r="AE26" s="1">
        <v>0</v>
      </c>
      <c r="AF26" s="1"/>
      <c r="AG26" s="1">
        <v>0</v>
      </c>
      <c r="AH26" s="1">
        <v>0</v>
      </c>
      <c r="AI26" s="1">
        <v>0</v>
      </c>
      <c r="AJ26" s="1">
        <v>0</v>
      </c>
      <c r="AK26" s="1">
        <v>4.5187999999999997</v>
      </c>
      <c r="AL26" s="1">
        <v>4.5187999999999997</v>
      </c>
      <c r="AM26" s="1">
        <v>4.5187999999999997</v>
      </c>
    </row>
    <row r="27" spans="1:39" x14ac:dyDescent="0.3">
      <c r="A27" s="21" t="str">
        <f t="shared" si="0"/>
        <v>HFA701LLHA2026-01-16</v>
      </c>
      <c r="B27" t="str">
        <f>VLOOKUP(A27,Sheet1!A27:B1369,1,FALSE)</f>
        <v>HFA701LLHA2026-01-16</v>
      </c>
      <c r="C27" s="3">
        <v>46038</v>
      </c>
      <c r="D27" s="1" t="s">
        <v>53</v>
      </c>
      <c r="E27" s="1" t="s">
        <v>38</v>
      </c>
      <c r="F27" s="1"/>
      <c r="G27" s="1" t="s">
        <v>39</v>
      </c>
      <c r="H27" s="1" t="s">
        <v>40</v>
      </c>
      <c r="I27" s="1" t="s">
        <v>41</v>
      </c>
      <c r="J27" s="1" t="s">
        <v>42</v>
      </c>
      <c r="K27" s="1" t="s">
        <v>43</v>
      </c>
      <c r="L27" s="1" t="s">
        <v>44</v>
      </c>
      <c r="M27" s="1" t="s">
        <v>45</v>
      </c>
      <c r="N27" s="1" t="s">
        <v>46</v>
      </c>
      <c r="O27" s="1" t="s">
        <v>47</v>
      </c>
      <c r="P27" s="1" t="s">
        <v>48</v>
      </c>
      <c r="Q27" s="1" t="s">
        <v>49</v>
      </c>
      <c r="R27" s="1" t="s">
        <v>50</v>
      </c>
      <c r="S27" s="1">
        <v>1157</v>
      </c>
      <c r="T27" s="1">
        <v>0</v>
      </c>
      <c r="U27" s="4">
        <v>0.12361111111111112</v>
      </c>
      <c r="V27" s="1">
        <v>2070</v>
      </c>
      <c r="W27" s="1">
        <v>1130</v>
      </c>
      <c r="X27" s="1">
        <v>3200</v>
      </c>
      <c r="Y27" s="1" t="s">
        <v>51</v>
      </c>
      <c r="Z27" s="1">
        <v>1370</v>
      </c>
      <c r="AA27" s="1">
        <v>1830</v>
      </c>
      <c r="AB27" s="1">
        <v>0</v>
      </c>
      <c r="AC27" s="1">
        <v>0</v>
      </c>
      <c r="AD27" s="1">
        <v>0</v>
      </c>
      <c r="AE27" s="1">
        <v>0</v>
      </c>
      <c r="AF27" s="1"/>
      <c r="AG27" s="1">
        <v>0</v>
      </c>
      <c r="AH27" s="1">
        <v>0</v>
      </c>
      <c r="AI27" s="1">
        <v>0</v>
      </c>
      <c r="AJ27" s="1">
        <v>0</v>
      </c>
      <c r="AK27" s="1">
        <v>5.7827999999999999</v>
      </c>
      <c r="AL27" s="1">
        <v>5.7827999999999999</v>
      </c>
      <c r="AM27" s="1">
        <v>5.7827999999999999</v>
      </c>
    </row>
    <row r="28" spans="1:39" x14ac:dyDescent="0.3">
      <c r="A28" s="21" t="str">
        <f t="shared" si="0"/>
        <v>HFA702LGAV2026-01-16</v>
      </c>
      <c r="B28" t="str">
        <f>VLOOKUP(A28,Sheet1!A28:B1370,1,FALSE)</f>
        <v>HFA702LGAV2026-01-16</v>
      </c>
      <c r="C28" s="3">
        <v>46038</v>
      </c>
      <c r="D28" s="1" t="s">
        <v>56</v>
      </c>
      <c r="E28" s="1" t="s">
        <v>38</v>
      </c>
      <c r="F28" s="1"/>
      <c r="G28" s="1" t="s">
        <v>39</v>
      </c>
      <c r="H28" s="1" t="s">
        <v>40</v>
      </c>
      <c r="I28" s="1" t="s">
        <v>46</v>
      </c>
      <c r="J28" s="1" t="s">
        <v>47</v>
      </c>
      <c r="K28" s="1" t="s">
        <v>48</v>
      </c>
      <c r="L28" s="1" t="s">
        <v>49</v>
      </c>
      <c r="M28" s="1" t="s">
        <v>50</v>
      </c>
      <c r="N28" s="1" t="s">
        <v>41</v>
      </c>
      <c r="O28" s="1" t="s">
        <v>42</v>
      </c>
      <c r="P28" s="1" t="s">
        <v>43</v>
      </c>
      <c r="Q28" s="1" t="s">
        <v>44</v>
      </c>
      <c r="R28" s="1" t="s">
        <v>45</v>
      </c>
      <c r="S28" s="1">
        <v>1157</v>
      </c>
      <c r="T28" s="1">
        <v>0</v>
      </c>
      <c r="U28" s="4">
        <v>0.10208333333333333</v>
      </c>
      <c r="V28" s="1">
        <v>1370</v>
      </c>
      <c r="W28" s="1">
        <v>2030</v>
      </c>
      <c r="X28" s="1">
        <v>3400</v>
      </c>
      <c r="Y28" s="1" t="s">
        <v>51</v>
      </c>
      <c r="Z28" s="1">
        <v>2080</v>
      </c>
      <c r="AA28" s="1">
        <v>1320</v>
      </c>
      <c r="AB28" s="1">
        <v>0</v>
      </c>
      <c r="AC28" s="1">
        <v>0</v>
      </c>
      <c r="AD28" s="1">
        <v>0</v>
      </c>
      <c r="AE28" s="1">
        <v>0</v>
      </c>
      <c r="AF28" s="1"/>
      <c r="AG28" s="1">
        <v>0</v>
      </c>
      <c r="AH28" s="1">
        <v>0</v>
      </c>
      <c r="AI28" s="1">
        <v>0</v>
      </c>
      <c r="AJ28" s="1">
        <v>0</v>
      </c>
      <c r="AK28" s="1">
        <v>4.1711999999999998</v>
      </c>
      <c r="AL28" s="1">
        <v>4.1711999999999998</v>
      </c>
      <c r="AM28" s="1">
        <v>4.1711999999999998</v>
      </c>
    </row>
    <row r="29" spans="1:39" x14ac:dyDescent="0.3">
      <c r="A29" s="21" t="str">
        <f t="shared" si="0"/>
        <v>HFA701LLHA2026-01-18</v>
      </c>
      <c r="B29" t="str">
        <f>VLOOKUP(A29,Sheet1!A29:B1371,1,FALSE)</f>
        <v>HFA701LLHA2026-01-18</v>
      </c>
      <c r="C29" s="3">
        <v>46040</v>
      </c>
      <c r="D29" s="1" t="s">
        <v>53</v>
      </c>
      <c r="E29" s="1" t="s">
        <v>38</v>
      </c>
      <c r="F29" s="1"/>
      <c r="G29" s="1" t="s">
        <v>39</v>
      </c>
      <c r="H29" s="1" t="s">
        <v>40</v>
      </c>
      <c r="I29" s="1" t="s">
        <v>41</v>
      </c>
      <c r="J29" s="1" t="s">
        <v>42</v>
      </c>
      <c r="K29" s="1" t="s">
        <v>43</v>
      </c>
      <c r="L29" s="1" t="s">
        <v>44</v>
      </c>
      <c r="M29" s="1" t="s">
        <v>45</v>
      </c>
      <c r="N29" s="1" t="s">
        <v>46</v>
      </c>
      <c r="O29" s="1" t="s">
        <v>47</v>
      </c>
      <c r="P29" s="1" t="s">
        <v>48</v>
      </c>
      <c r="Q29" s="1" t="s">
        <v>49</v>
      </c>
      <c r="R29" s="1" t="s">
        <v>50</v>
      </c>
      <c r="S29" s="1">
        <v>1157</v>
      </c>
      <c r="T29" s="1">
        <v>0</v>
      </c>
      <c r="U29" s="4">
        <v>0.12777777777777777</v>
      </c>
      <c r="V29" s="1">
        <v>2080</v>
      </c>
      <c r="W29" s="1">
        <v>1120</v>
      </c>
      <c r="X29" s="1">
        <v>3200</v>
      </c>
      <c r="Y29" s="1" t="s">
        <v>51</v>
      </c>
      <c r="Z29" s="1">
        <v>1340</v>
      </c>
      <c r="AA29" s="1">
        <v>1860</v>
      </c>
      <c r="AB29" s="1">
        <v>0</v>
      </c>
      <c r="AC29" s="1">
        <v>0</v>
      </c>
      <c r="AD29" s="1">
        <v>0</v>
      </c>
      <c r="AE29" s="1">
        <v>0</v>
      </c>
      <c r="AF29" s="1"/>
      <c r="AG29" s="1">
        <v>0</v>
      </c>
      <c r="AH29" s="1">
        <v>0</v>
      </c>
      <c r="AI29" s="1">
        <v>0</v>
      </c>
      <c r="AJ29" s="1">
        <v>0</v>
      </c>
      <c r="AK29" s="1">
        <v>5.8776000000000002</v>
      </c>
      <c r="AL29" s="1">
        <v>5.8776000000000002</v>
      </c>
      <c r="AM29" s="1">
        <v>5.8776000000000002</v>
      </c>
    </row>
    <row r="30" spans="1:39" x14ac:dyDescent="0.3">
      <c r="A30" s="21" t="str">
        <f t="shared" si="0"/>
        <v>HFA702LGAV2026-01-18</v>
      </c>
      <c r="B30" t="str">
        <f>VLOOKUP(A30,Sheet1!A30:B1372,1,FALSE)</f>
        <v>HFA702LGAV2026-01-18</v>
      </c>
      <c r="C30" s="3">
        <v>46040</v>
      </c>
      <c r="D30" s="1" t="s">
        <v>56</v>
      </c>
      <c r="E30" s="1" t="s">
        <v>38</v>
      </c>
      <c r="F30" s="1"/>
      <c r="G30" s="1" t="s">
        <v>39</v>
      </c>
      <c r="H30" s="1" t="s">
        <v>40</v>
      </c>
      <c r="I30" s="1" t="s">
        <v>46</v>
      </c>
      <c r="J30" s="1" t="s">
        <v>47</v>
      </c>
      <c r="K30" s="1" t="s">
        <v>48</v>
      </c>
      <c r="L30" s="1" t="s">
        <v>49</v>
      </c>
      <c r="M30" s="1" t="s">
        <v>50</v>
      </c>
      <c r="N30" s="1" t="s">
        <v>41</v>
      </c>
      <c r="O30" s="1" t="s">
        <v>42</v>
      </c>
      <c r="P30" s="1" t="s">
        <v>43</v>
      </c>
      <c r="Q30" s="1" t="s">
        <v>44</v>
      </c>
      <c r="R30" s="1" t="s">
        <v>45</v>
      </c>
      <c r="S30" s="1">
        <v>1157</v>
      </c>
      <c r="T30" s="1">
        <v>0</v>
      </c>
      <c r="U30" s="4">
        <v>0.10763888888888888</v>
      </c>
      <c r="V30" s="1">
        <v>1340</v>
      </c>
      <c r="W30" s="1">
        <v>1560</v>
      </c>
      <c r="X30" s="1">
        <v>2900</v>
      </c>
      <c r="Y30" s="1" t="s">
        <v>51</v>
      </c>
      <c r="Z30" s="1">
        <v>1410</v>
      </c>
      <c r="AA30" s="1">
        <v>1490</v>
      </c>
      <c r="AB30" s="1">
        <v>0</v>
      </c>
      <c r="AC30" s="1">
        <v>0</v>
      </c>
      <c r="AD30" s="1">
        <v>0</v>
      </c>
      <c r="AE30" s="1">
        <v>0</v>
      </c>
      <c r="AF30" s="1"/>
      <c r="AG30" s="1">
        <v>0</v>
      </c>
      <c r="AH30" s="1">
        <v>0</v>
      </c>
      <c r="AI30" s="1">
        <v>0</v>
      </c>
      <c r="AJ30" s="1">
        <v>0</v>
      </c>
      <c r="AK30" s="1">
        <v>4.7084000000000001</v>
      </c>
      <c r="AL30" s="1">
        <v>4.7084000000000001</v>
      </c>
      <c r="AM30" s="1">
        <v>4.7084000000000001</v>
      </c>
    </row>
    <row r="31" spans="1:39" x14ac:dyDescent="0.3">
      <c r="A31" s="21" t="str">
        <f t="shared" si="0"/>
        <v>HFA601LLHA2026-01-19</v>
      </c>
      <c r="B31" t="str">
        <f>VLOOKUP(A31,Sheet1!A31:B1373,1,FALSE)</f>
        <v>HFA601LLHA2026-01-19</v>
      </c>
      <c r="C31" s="3">
        <v>46041</v>
      </c>
      <c r="D31" s="1" t="s">
        <v>57</v>
      </c>
      <c r="E31" s="1" t="s">
        <v>38</v>
      </c>
      <c r="F31" s="1" t="s">
        <v>54</v>
      </c>
      <c r="G31" s="1" t="s">
        <v>39</v>
      </c>
      <c r="H31" s="1" t="s">
        <v>40</v>
      </c>
      <c r="I31" s="1" t="s">
        <v>41</v>
      </c>
      <c r="J31" s="1" t="s">
        <v>42</v>
      </c>
      <c r="K31" s="1" t="s">
        <v>43</v>
      </c>
      <c r="L31" s="1" t="s">
        <v>44</v>
      </c>
      <c r="M31" s="1" t="s">
        <v>45</v>
      </c>
      <c r="N31" s="1" t="s">
        <v>41</v>
      </c>
      <c r="O31" s="1" t="s">
        <v>58</v>
      </c>
      <c r="P31" s="1" t="s">
        <v>59</v>
      </c>
      <c r="Q31" s="1" t="s">
        <v>60</v>
      </c>
      <c r="R31" s="1" t="s">
        <v>45</v>
      </c>
      <c r="S31" s="1">
        <v>342</v>
      </c>
      <c r="T31" s="1">
        <v>0</v>
      </c>
      <c r="U31" s="4">
        <v>4.4444444444444439E-2</v>
      </c>
      <c r="V31" s="1">
        <v>1410</v>
      </c>
      <c r="W31" s="1">
        <v>390</v>
      </c>
      <c r="X31" s="1">
        <v>1800</v>
      </c>
      <c r="Y31" s="1" t="s">
        <v>51</v>
      </c>
      <c r="Z31" s="1">
        <v>1150</v>
      </c>
      <c r="AA31" s="1">
        <v>650</v>
      </c>
      <c r="AB31" s="1">
        <v>0</v>
      </c>
      <c r="AC31" s="1">
        <v>0</v>
      </c>
      <c r="AD31" s="1">
        <v>0</v>
      </c>
      <c r="AE31" s="1">
        <v>0</v>
      </c>
      <c r="AF31" s="1"/>
      <c r="AG31" s="1">
        <v>0</v>
      </c>
      <c r="AH31" s="1">
        <v>0</v>
      </c>
      <c r="AI31" s="1">
        <v>0</v>
      </c>
      <c r="AJ31" s="1">
        <v>0</v>
      </c>
      <c r="AK31" s="1">
        <v>2.0539999999999998</v>
      </c>
      <c r="AL31" s="1">
        <v>2.0539999999999998</v>
      </c>
      <c r="AM31" s="1">
        <v>2.0539999999999998</v>
      </c>
    </row>
    <row r="32" spans="1:39" x14ac:dyDescent="0.3">
      <c r="A32" s="21" t="str">
        <f t="shared" si="0"/>
        <v>HFA602LLER2026-01-19</v>
      </c>
      <c r="B32" t="str">
        <f>VLOOKUP(A32,Sheet1!A32:B1374,1,FALSE)</f>
        <v>HFA602LLER2026-01-19</v>
      </c>
      <c r="C32" s="3">
        <v>46041</v>
      </c>
      <c r="D32" s="1" t="s">
        <v>61</v>
      </c>
      <c r="E32" s="1" t="s">
        <v>38</v>
      </c>
      <c r="F32" s="1" t="s">
        <v>54</v>
      </c>
      <c r="G32" s="1" t="s">
        <v>39</v>
      </c>
      <c r="H32" s="1" t="s">
        <v>40</v>
      </c>
      <c r="I32" s="1" t="s">
        <v>41</v>
      </c>
      <c r="J32" s="1" t="s">
        <v>58</v>
      </c>
      <c r="K32" s="1" t="s">
        <v>59</v>
      </c>
      <c r="L32" s="1" t="s">
        <v>60</v>
      </c>
      <c r="M32" s="1" t="s">
        <v>45</v>
      </c>
      <c r="N32" s="1" t="s">
        <v>41</v>
      </c>
      <c r="O32" s="1" t="s">
        <v>42</v>
      </c>
      <c r="P32" s="1" t="s">
        <v>43</v>
      </c>
      <c r="Q32" s="1" t="s">
        <v>44</v>
      </c>
      <c r="R32" s="1" t="s">
        <v>45</v>
      </c>
      <c r="S32" s="1">
        <v>342</v>
      </c>
      <c r="T32" s="1">
        <v>0</v>
      </c>
      <c r="U32" s="4">
        <v>4.2361111111111106E-2</v>
      </c>
      <c r="V32" s="1">
        <v>1150</v>
      </c>
      <c r="W32" s="1">
        <v>1350</v>
      </c>
      <c r="X32" s="1">
        <v>2500</v>
      </c>
      <c r="Y32" s="1" t="s">
        <v>51</v>
      </c>
      <c r="Z32" s="1">
        <v>1790</v>
      </c>
      <c r="AA32" s="1">
        <v>710</v>
      </c>
      <c r="AB32" s="1">
        <v>0</v>
      </c>
      <c r="AC32" s="1">
        <v>0</v>
      </c>
      <c r="AD32" s="1">
        <v>0</v>
      </c>
      <c r="AE32" s="1">
        <v>0</v>
      </c>
      <c r="AF32" s="1"/>
      <c r="AG32" s="1">
        <v>0</v>
      </c>
      <c r="AH32" s="1">
        <v>0</v>
      </c>
      <c r="AI32" s="1">
        <v>0</v>
      </c>
      <c r="AJ32" s="1">
        <v>0</v>
      </c>
      <c r="AK32" s="1">
        <v>2.2435999999999998</v>
      </c>
      <c r="AL32" s="1">
        <v>2.2435999999999998</v>
      </c>
      <c r="AM32" s="1">
        <v>2.2435999999999998</v>
      </c>
    </row>
    <row r="33" spans="1:39" x14ac:dyDescent="0.3">
      <c r="A33" s="21" t="str">
        <f t="shared" si="0"/>
        <v>HFA701LLHA2026-01-21</v>
      </c>
      <c r="B33" t="str">
        <f>VLOOKUP(A33,Sheet1!A33:B1375,1,FALSE)</f>
        <v>HFA701LLHA2026-01-21</v>
      </c>
      <c r="C33" s="3">
        <v>46043</v>
      </c>
      <c r="D33" s="1" t="s">
        <v>53</v>
      </c>
      <c r="E33" s="1" t="s">
        <v>38</v>
      </c>
      <c r="F33" s="1"/>
      <c r="G33" s="1" t="s">
        <v>39</v>
      </c>
      <c r="H33" s="1" t="s">
        <v>40</v>
      </c>
      <c r="I33" s="1" t="s">
        <v>41</v>
      </c>
      <c r="J33" s="1" t="s">
        <v>42</v>
      </c>
      <c r="K33" s="1" t="s">
        <v>43</v>
      </c>
      <c r="L33" s="1" t="s">
        <v>44</v>
      </c>
      <c r="M33" s="1" t="s">
        <v>45</v>
      </c>
      <c r="N33" s="1" t="s">
        <v>46</v>
      </c>
      <c r="O33" s="1" t="s">
        <v>47</v>
      </c>
      <c r="P33" s="1" t="s">
        <v>48</v>
      </c>
      <c r="Q33" s="1" t="s">
        <v>49</v>
      </c>
      <c r="R33" s="1" t="s">
        <v>50</v>
      </c>
      <c r="S33" s="1">
        <v>1157</v>
      </c>
      <c r="T33" s="1">
        <v>0</v>
      </c>
      <c r="U33" s="4">
        <v>0.11666666666666667</v>
      </c>
      <c r="V33" s="1">
        <v>1790</v>
      </c>
      <c r="W33" s="1">
        <v>1910</v>
      </c>
      <c r="X33" s="1">
        <v>3700</v>
      </c>
      <c r="Y33" s="1" t="s">
        <v>51</v>
      </c>
      <c r="Z33" s="1">
        <v>1810</v>
      </c>
      <c r="AA33" s="1">
        <v>1890</v>
      </c>
      <c r="AB33" s="1">
        <v>0</v>
      </c>
      <c r="AC33" s="1">
        <v>0</v>
      </c>
      <c r="AD33" s="1">
        <v>0</v>
      </c>
      <c r="AE33" s="1">
        <v>0</v>
      </c>
      <c r="AF33" s="1"/>
      <c r="AG33" s="1">
        <v>0</v>
      </c>
      <c r="AH33" s="1">
        <v>0</v>
      </c>
      <c r="AI33" s="1">
        <v>0</v>
      </c>
      <c r="AJ33" s="1">
        <v>0</v>
      </c>
      <c r="AK33" s="1">
        <v>5.9724000000000004</v>
      </c>
      <c r="AL33" s="1">
        <v>5.9724000000000004</v>
      </c>
      <c r="AM33" s="1">
        <v>5.9724000000000004</v>
      </c>
    </row>
    <row r="34" spans="1:39" x14ac:dyDescent="0.3">
      <c r="A34" s="21" t="str">
        <f t="shared" si="0"/>
        <v>HFA702LGAV2026-01-21</v>
      </c>
      <c r="B34" t="str">
        <f>VLOOKUP(A34,Sheet1!A34:B1376,1,FALSE)</f>
        <v>HFA702LGAV2026-01-21</v>
      </c>
      <c r="C34" s="3">
        <v>46043</v>
      </c>
      <c r="D34" s="1" t="s">
        <v>56</v>
      </c>
      <c r="E34" s="1" t="s">
        <v>38</v>
      </c>
      <c r="F34" s="1"/>
      <c r="G34" s="1" t="s">
        <v>39</v>
      </c>
      <c r="H34" s="1" t="s">
        <v>40</v>
      </c>
      <c r="I34" s="1" t="s">
        <v>46</v>
      </c>
      <c r="J34" s="1" t="s">
        <v>47</v>
      </c>
      <c r="K34" s="1" t="s">
        <v>48</v>
      </c>
      <c r="L34" s="1" t="s">
        <v>49</v>
      </c>
      <c r="M34" s="1" t="s">
        <v>50</v>
      </c>
      <c r="N34" s="1" t="s">
        <v>41</v>
      </c>
      <c r="O34" s="1" t="s">
        <v>42</v>
      </c>
      <c r="P34" s="1" t="s">
        <v>43</v>
      </c>
      <c r="Q34" s="1" t="s">
        <v>44</v>
      </c>
      <c r="R34" s="1" t="s">
        <v>45</v>
      </c>
      <c r="S34" s="1">
        <v>1157</v>
      </c>
      <c r="T34" s="1">
        <v>0</v>
      </c>
      <c r="U34" s="4">
        <v>0.10277777777777777</v>
      </c>
      <c r="V34" s="1">
        <v>1810</v>
      </c>
      <c r="W34" s="1">
        <v>2690</v>
      </c>
      <c r="X34" s="1">
        <v>4500</v>
      </c>
      <c r="Y34" s="1" t="s">
        <v>51</v>
      </c>
      <c r="Z34" s="1">
        <v>2950</v>
      </c>
      <c r="AA34" s="1">
        <v>1550</v>
      </c>
      <c r="AB34" s="1">
        <v>0</v>
      </c>
      <c r="AC34" s="1">
        <v>0</v>
      </c>
      <c r="AD34" s="1">
        <v>0</v>
      </c>
      <c r="AE34" s="1">
        <v>0</v>
      </c>
      <c r="AF34" s="1"/>
      <c r="AG34" s="1">
        <v>0</v>
      </c>
      <c r="AH34" s="1">
        <v>0</v>
      </c>
      <c r="AI34" s="1">
        <v>0</v>
      </c>
      <c r="AJ34" s="1">
        <v>0</v>
      </c>
      <c r="AK34" s="1">
        <v>4.8979999999999997</v>
      </c>
      <c r="AL34" s="1">
        <v>4.8979999999999997</v>
      </c>
      <c r="AM34" s="1">
        <v>4.8979999999999997</v>
      </c>
    </row>
    <row r="35" spans="1:39" x14ac:dyDescent="0.3">
      <c r="A35" s="21" t="str">
        <f t="shared" si="0"/>
        <v>HFA703LLHA2026-01-21</v>
      </c>
      <c r="B35" t="str">
        <f>VLOOKUP(A35,Sheet1!A35:B1377,1,FALSE)</f>
        <v>HFA703LLHA2026-01-21</v>
      </c>
      <c r="C35" s="3">
        <v>46043</v>
      </c>
      <c r="D35" s="1" t="s">
        <v>37</v>
      </c>
      <c r="E35" s="1" t="s">
        <v>38</v>
      </c>
      <c r="F35" s="1"/>
      <c r="G35" s="1" t="s">
        <v>39</v>
      </c>
      <c r="H35" s="1" t="s">
        <v>40</v>
      </c>
      <c r="I35" s="1" t="s">
        <v>41</v>
      </c>
      <c r="J35" s="1" t="s">
        <v>42</v>
      </c>
      <c r="K35" s="1" t="s">
        <v>43</v>
      </c>
      <c r="L35" s="1" t="s">
        <v>44</v>
      </c>
      <c r="M35" s="1" t="s">
        <v>45</v>
      </c>
      <c r="N35" s="1" t="s">
        <v>46</v>
      </c>
      <c r="O35" s="1" t="s">
        <v>47</v>
      </c>
      <c r="P35" s="1" t="s">
        <v>48</v>
      </c>
      <c r="Q35" s="1" t="s">
        <v>49</v>
      </c>
      <c r="R35" s="1" t="s">
        <v>50</v>
      </c>
      <c r="S35" s="1">
        <v>1157</v>
      </c>
      <c r="T35" s="1">
        <v>0</v>
      </c>
      <c r="U35" s="4">
        <v>0.12708333333333333</v>
      </c>
      <c r="V35" s="1">
        <v>2950</v>
      </c>
      <c r="W35" s="1">
        <v>750</v>
      </c>
      <c r="X35" s="1">
        <v>3700</v>
      </c>
      <c r="Y35" s="1" t="s">
        <v>51</v>
      </c>
      <c r="Z35" s="1">
        <v>1770</v>
      </c>
      <c r="AA35" s="1">
        <v>1930</v>
      </c>
      <c r="AB35" s="1">
        <v>0</v>
      </c>
      <c r="AC35" s="1">
        <v>0</v>
      </c>
      <c r="AD35" s="1">
        <v>0</v>
      </c>
      <c r="AE35" s="1">
        <v>0</v>
      </c>
      <c r="AF35" s="1"/>
      <c r="AG35" s="1">
        <v>0</v>
      </c>
      <c r="AH35" s="1">
        <v>0</v>
      </c>
      <c r="AI35" s="1">
        <v>0</v>
      </c>
      <c r="AJ35" s="1">
        <v>0</v>
      </c>
      <c r="AK35" s="1">
        <v>6.0987999999999998</v>
      </c>
      <c r="AL35" s="1">
        <v>6.0987999999999998</v>
      </c>
      <c r="AM35" s="1">
        <v>6.0987999999999998</v>
      </c>
    </row>
    <row r="36" spans="1:39" x14ac:dyDescent="0.3">
      <c r="A36" s="21" t="str">
        <f t="shared" si="0"/>
        <v>HFA704LGAV2026-01-21</v>
      </c>
      <c r="B36" t="str">
        <f>VLOOKUP(A36,Sheet1!A36:B1378,1,FALSE)</f>
        <v>HFA704LGAV2026-01-21</v>
      </c>
      <c r="C36" s="3">
        <v>46043</v>
      </c>
      <c r="D36" s="1" t="s">
        <v>52</v>
      </c>
      <c r="E36" s="1" t="s">
        <v>38</v>
      </c>
      <c r="F36" s="1"/>
      <c r="G36" s="1" t="s">
        <v>39</v>
      </c>
      <c r="H36" s="1" t="s">
        <v>40</v>
      </c>
      <c r="I36" s="1" t="s">
        <v>46</v>
      </c>
      <c r="J36" s="1" t="s">
        <v>47</v>
      </c>
      <c r="K36" s="1" t="s">
        <v>48</v>
      </c>
      <c r="L36" s="1" t="s">
        <v>49</v>
      </c>
      <c r="M36" s="1" t="s">
        <v>50</v>
      </c>
      <c r="N36" s="1" t="s">
        <v>41</v>
      </c>
      <c r="O36" s="1" t="s">
        <v>42</v>
      </c>
      <c r="P36" s="1" t="s">
        <v>43</v>
      </c>
      <c r="Q36" s="1" t="s">
        <v>44</v>
      </c>
      <c r="R36" s="1" t="s">
        <v>45</v>
      </c>
      <c r="S36" s="1">
        <v>1157</v>
      </c>
      <c r="T36" s="1">
        <v>0</v>
      </c>
      <c r="U36" s="4">
        <v>0.10555555555555556</v>
      </c>
      <c r="V36" s="1">
        <v>1770</v>
      </c>
      <c r="W36" s="1">
        <v>1530</v>
      </c>
      <c r="X36" s="1">
        <v>3300</v>
      </c>
      <c r="Y36" s="1" t="s">
        <v>51</v>
      </c>
      <c r="Z36" s="1">
        <v>1750</v>
      </c>
      <c r="AA36" s="1">
        <v>1550</v>
      </c>
      <c r="AB36" s="1">
        <v>0</v>
      </c>
      <c r="AC36" s="1">
        <v>0</v>
      </c>
      <c r="AD36" s="1">
        <v>0</v>
      </c>
      <c r="AE36" s="1">
        <v>0</v>
      </c>
      <c r="AF36" s="1"/>
      <c r="AG36" s="1">
        <v>0</v>
      </c>
      <c r="AH36" s="1">
        <v>0</v>
      </c>
      <c r="AI36" s="1">
        <v>0</v>
      </c>
      <c r="AJ36" s="1">
        <v>0</v>
      </c>
      <c r="AK36" s="1">
        <v>4.8979999999999997</v>
      </c>
      <c r="AL36" s="1">
        <v>4.8979999999999997</v>
      </c>
      <c r="AM36" s="1">
        <v>4.8979999999999997</v>
      </c>
    </row>
    <row r="37" spans="1:39" x14ac:dyDescent="0.3">
      <c r="A37" s="21" t="str">
        <f t="shared" si="0"/>
        <v>HFA703LLHA2026-01-22</v>
      </c>
      <c r="B37" t="str">
        <f>VLOOKUP(A37,Sheet1!A37:B1379,1,FALSE)</f>
        <v>HFA703LLHA2026-01-22</v>
      </c>
      <c r="C37" s="3">
        <v>46044</v>
      </c>
      <c r="D37" s="1" t="s">
        <v>37</v>
      </c>
      <c r="E37" s="1" t="s">
        <v>38</v>
      </c>
      <c r="F37" s="1"/>
      <c r="G37" s="1" t="s">
        <v>39</v>
      </c>
      <c r="H37" s="1" t="s">
        <v>40</v>
      </c>
      <c r="I37" s="1" t="s">
        <v>41</v>
      </c>
      <c r="J37" s="1" t="s">
        <v>42</v>
      </c>
      <c r="K37" s="1" t="s">
        <v>43</v>
      </c>
      <c r="L37" s="1" t="s">
        <v>44</v>
      </c>
      <c r="M37" s="1" t="s">
        <v>45</v>
      </c>
      <c r="N37" s="1" t="s">
        <v>46</v>
      </c>
      <c r="O37" s="1" t="s">
        <v>47</v>
      </c>
      <c r="P37" s="1" t="s">
        <v>48</v>
      </c>
      <c r="Q37" s="1" t="s">
        <v>49</v>
      </c>
      <c r="R37" s="1" t="s">
        <v>50</v>
      </c>
      <c r="S37" s="1">
        <v>1157</v>
      </c>
      <c r="T37" s="1">
        <v>0</v>
      </c>
      <c r="U37" s="4">
        <v>0.12430555555555556</v>
      </c>
      <c r="V37" s="1">
        <v>1750</v>
      </c>
      <c r="W37" s="1">
        <v>1550</v>
      </c>
      <c r="X37" s="1">
        <v>3300</v>
      </c>
      <c r="Y37" s="1" t="s">
        <v>51</v>
      </c>
      <c r="Z37" s="1">
        <v>1500</v>
      </c>
      <c r="AA37" s="1">
        <v>1800</v>
      </c>
      <c r="AB37" s="1">
        <v>0</v>
      </c>
      <c r="AC37" s="1">
        <v>0</v>
      </c>
      <c r="AD37" s="1">
        <v>0</v>
      </c>
      <c r="AE37" s="1">
        <v>0</v>
      </c>
      <c r="AF37" s="1"/>
      <c r="AG37" s="1">
        <v>0</v>
      </c>
      <c r="AH37" s="1">
        <v>0</v>
      </c>
      <c r="AI37" s="1">
        <v>0</v>
      </c>
      <c r="AJ37" s="1">
        <v>0</v>
      </c>
      <c r="AK37" s="1">
        <v>5.6879999999999997</v>
      </c>
      <c r="AL37" s="1">
        <v>5.6879999999999997</v>
      </c>
      <c r="AM37" s="1">
        <v>5.6879999999999997</v>
      </c>
    </row>
    <row r="38" spans="1:39" x14ac:dyDescent="0.3">
      <c r="A38" s="21" t="str">
        <f t="shared" si="0"/>
        <v>HFA704LGAV2026-01-22</v>
      </c>
      <c r="B38" t="str">
        <f>VLOOKUP(A38,Sheet1!A38:B1380,1,FALSE)</f>
        <v>HFA704LGAV2026-01-22</v>
      </c>
      <c r="C38" s="3">
        <v>46044</v>
      </c>
      <c r="D38" s="1" t="s">
        <v>52</v>
      </c>
      <c r="E38" s="1" t="s">
        <v>38</v>
      </c>
      <c r="F38" s="1"/>
      <c r="G38" s="1" t="s">
        <v>39</v>
      </c>
      <c r="H38" s="1" t="s">
        <v>40</v>
      </c>
      <c r="I38" s="1" t="s">
        <v>46</v>
      </c>
      <c r="J38" s="1" t="s">
        <v>47</v>
      </c>
      <c r="K38" s="1" t="s">
        <v>48</v>
      </c>
      <c r="L38" s="1" t="s">
        <v>49</v>
      </c>
      <c r="M38" s="1" t="s">
        <v>50</v>
      </c>
      <c r="N38" s="1" t="s">
        <v>41</v>
      </c>
      <c r="O38" s="1" t="s">
        <v>42</v>
      </c>
      <c r="P38" s="1" t="s">
        <v>43</v>
      </c>
      <c r="Q38" s="1" t="s">
        <v>44</v>
      </c>
      <c r="R38" s="1" t="s">
        <v>45</v>
      </c>
      <c r="S38" s="1">
        <v>1157</v>
      </c>
      <c r="T38" s="1">
        <v>0</v>
      </c>
      <c r="U38" s="4">
        <v>0.11319444444444444</v>
      </c>
      <c r="V38" s="1">
        <v>1500</v>
      </c>
      <c r="W38" s="1">
        <v>1800</v>
      </c>
      <c r="X38" s="1">
        <v>3300</v>
      </c>
      <c r="Y38" s="1" t="s">
        <v>51</v>
      </c>
      <c r="Z38" s="1">
        <v>1930</v>
      </c>
      <c r="AA38" s="1">
        <v>1370</v>
      </c>
      <c r="AB38" s="1">
        <v>0</v>
      </c>
      <c r="AC38" s="1">
        <v>0</v>
      </c>
      <c r="AD38" s="1">
        <v>0</v>
      </c>
      <c r="AE38" s="1">
        <v>0</v>
      </c>
      <c r="AF38" s="1"/>
      <c r="AG38" s="1">
        <v>0</v>
      </c>
      <c r="AH38" s="1">
        <v>0</v>
      </c>
      <c r="AI38" s="1">
        <v>0</v>
      </c>
      <c r="AJ38" s="1">
        <v>0</v>
      </c>
      <c r="AK38" s="1">
        <v>4.3292000000000002</v>
      </c>
      <c r="AL38" s="1">
        <v>4.3292000000000002</v>
      </c>
      <c r="AM38" s="1">
        <v>4.3292000000000002</v>
      </c>
    </row>
    <row r="39" spans="1:39" x14ac:dyDescent="0.3">
      <c r="A39" s="21" t="str">
        <f t="shared" si="0"/>
        <v>HFA701LLHA2026-01-23</v>
      </c>
      <c r="B39" t="str">
        <f>VLOOKUP(A39,Sheet1!A39:B1381,1,FALSE)</f>
        <v>HFA701LLHA2026-01-23</v>
      </c>
      <c r="C39" s="3">
        <v>46045</v>
      </c>
      <c r="D39" s="1" t="s">
        <v>53</v>
      </c>
      <c r="E39" s="1" t="s">
        <v>38</v>
      </c>
      <c r="F39" s="1"/>
      <c r="G39" s="1" t="s">
        <v>39</v>
      </c>
      <c r="H39" s="1" t="s">
        <v>40</v>
      </c>
      <c r="I39" s="1" t="s">
        <v>41</v>
      </c>
      <c r="J39" s="1" t="s">
        <v>42</v>
      </c>
      <c r="K39" s="1" t="s">
        <v>43</v>
      </c>
      <c r="L39" s="1" t="s">
        <v>44</v>
      </c>
      <c r="M39" s="1" t="s">
        <v>45</v>
      </c>
      <c r="N39" s="1" t="s">
        <v>46</v>
      </c>
      <c r="O39" s="1" t="s">
        <v>47</v>
      </c>
      <c r="P39" s="1" t="s">
        <v>48</v>
      </c>
      <c r="Q39" s="1" t="s">
        <v>49</v>
      </c>
      <c r="R39" s="1" t="s">
        <v>50</v>
      </c>
      <c r="S39" s="1">
        <v>1157</v>
      </c>
      <c r="T39" s="1">
        <v>0</v>
      </c>
      <c r="U39" s="4">
        <v>0.12430555555555556</v>
      </c>
      <c r="V39" s="1">
        <v>1930</v>
      </c>
      <c r="W39" s="1">
        <v>1270</v>
      </c>
      <c r="X39" s="1">
        <v>3200</v>
      </c>
      <c r="Y39" s="1" t="s">
        <v>51</v>
      </c>
      <c r="Z39" s="1">
        <v>1420</v>
      </c>
      <c r="AA39" s="1">
        <v>1780</v>
      </c>
      <c r="AB39" s="1">
        <v>0</v>
      </c>
      <c r="AC39" s="1">
        <v>0</v>
      </c>
      <c r="AD39" s="1">
        <v>0</v>
      </c>
      <c r="AE39" s="1">
        <v>0</v>
      </c>
      <c r="AF39" s="1"/>
      <c r="AG39" s="1">
        <v>0</v>
      </c>
      <c r="AH39" s="1">
        <v>0</v>
      </c>
      <c r="AI39" s="1">
        <v>0</v>
      </c>
      <c r="AJ39" s="1">
        <v>0</v>
      </c>
      <c r="AK39" s="1">
        <v>5.6247999999999996</v>
      </c>
      <c r="AL39" s="1">
        <v>5.6247999999999996</v>
      </c>
      <c r="AM39" s="1">
        <v>5.6247999999999996</v>
      </c>
    </row>
    <row r="40" spans="1:39" x14ac:dyDescent="0.3">
      <c r="A40" s="21" t="str">
        <f t="shared" si="0"/>
        <v>HFA702LGAV2026-01-23</v>
      </c>
      <c r="B40" t="str">
        <f>VLOOKUP(A40,Sheet1!A40:B1382,1,FALSE)</f>
        <v>HFA702LGAV2026-01-23</v>
      </c>
      <c r="C40" s="3">
        <v>46045</v>
      </c>
      <c r="D40" s="1" t="s">
        <v>56</v>
      </c>
      <c r="E40" s="1" t="s">
        <v>38</v>
      </c>
      <c r="F40" s="1"/>
      <c r="G40" s="1" t="s">
        <v>39</v>
      </c>
      <c r="H40" s="1" t="s">
        <v>40</v>
      </c>
      <c r="I40" s="1" t="s">
        <v>46</v>
      </c>
      <c r="J40" s="1" t="s">
        <v>47</v>
      </c>
      <c r="K40" s="1" t="s">
        <v>48</v>
      </c>
      <c r="L40" s="1" t="s">
        <v>49</v>
      </c>
      <c r="M40" s="1" t="s">
        <v>50</v>
      </c>
      <c r="N40" s="1" t="s">
        <v>41</v>
      </c>
      <c r="O40" s="1" t="s">
        <v>42</v>
      </c>
      <c r="P40" s="1" t="s">
        <v>43</v>
      </c>
      <c r="Q40" s="1" t="s">
        <v>44</v>
      </c>
      <c r="R40" s="1" t="s">
        <v>45</v>
      </c>
      <c r="S40" s="1">
        <v>1157</v>
      </c>
      <c r="T40" s="1">
        <v>0</v>
      </c>
      <c r="U40" s="4">
        <v>0.10347222222222222</v>
      </c>
      <c r="V40" s="1">
        <v>1420</v>
      </c>
      <c r="W40" s="1">
        <v>1780</v>
      </c>
      <c r="X40" s="1">
        <v>3200</v>
      </c>
      <c r="Y40" s="1" t="s">
        <v>51</v>
      </c>
      <c r="Z40" s="1">
        <v>1910</v>
      </c>
      <c r="AA40" s="1">
        <v>1290</v>
      </c>
      <c r="AB40" s="1">
        <v>0</v>
      </c>
      <c r="AC40" s="1">
        <v>0</v>
      </c>
      <c r="AD40" s="1">
        <v>0</v>
      </c>
      <c r="AE40" s="1">
        <v>0</v>
      </c>
      <c r="AF40" s="1"/>
      <c r="AG40" s="1">
        <v>0</v>
      </c>
      <c r="AH40" s="1">
        <v>0</v>
      </c>
      <c r="AI40" s="1">
        <v>0</v>
      </c>
      <c r="AJ40" s="1">
        <v>0</v>
      </c>
      <c r="AK40" s="1">
        <v>4.0763999999999996</v>
      </c>
      <c r="AL40" s="1">
        <v>4.0763999999999996</v>
      </c>
      <c r="AM40" s="1">
        <v>4.0763999999999996</v>
      </c>
    </row>
    <row r="41" spans="1:39" x14ac:dyDescent="0.3">
      <c r="A41" s="21" t="str">
        <f t="shared" si="0"/>
        <v>HFA703LLHA2026-01-24</v>
      </c>
      <c r="B41" t="str">
        <f>VLOOKUP(A41,Sheet1!A41:B1383,1,FALSE)</f>
        <v>HFA703LLHA2026-01-24</v>
      </c>
      <c r="C41" s="3">
        <v>46046</v>
      </c>
      <c r="D41" s="1" t="s">
        <v>37</v>
      </c>
      <c r="E41" s="1" t="s">
        <v>38</v>
      </c>
      <c r="F41" s="1"/>
      <c r="G41" s="1" t="s">
        <v>39</v>
      </c>
      <c r="H41" s="1" t="s">
        <v>40</v>
      </c>
      <c r="I41" s="1" t="s">
        <v>41</v>
      </c>
      <c r="J41" s="1" t="s">
        <v>42</v>
      </c>
      <c r="K41" s="1" t="s">
        <v>43</v>
      </c>
      <c r="L41" s="1" t="s">
        <v>44</v>
      </c>
      <c r="M41" s="1" t="s">
        <v>45</v>
      </c>
      <c r="N41" s="1" t="s">
        <v>46</v>
      </c>
      <c r="O41" s="1" t="s">
        <v>47</v>
      </c>
      <c r="P41" s="1" t="s">
        <v>48</v>
      </c>
      <c r="Q41" s="1" t="s">
        <v>49</v>
      </c>
      <c r="R41" s="1" t="s">
        <v>50</v>
      </c>
      <c r="S41" s="1">
        <v>1157</v>
      </c>
      <c r="T41" s="1">
        <v>0</v>
      </c>
      <c r="U41" s="4">
        <v>0.11666666666666667</v>
      </c>
      <c r="V41" s="1">
        <v>1910</v>
      </c>
      <c r="W41" s="1">
        <v>1590</v>
      </c>
      <c r="X41" s="1">
        <v>3500</v>
      </c>
      <c r="Y41" s="1" t="s">
        <v>51</v>
      </c>
      <c r="Z41" s="1">
        <v>1680</v>
      </c>
      <c r="AA41" s="1">
        <v>1820</v>
      </c>
      <c r="AB41" s="1">
        <v>0</v>
      </c>
      <c r="AC41" s="1">
        <v>0</v>
      </c>
      <c r="AD41" s="1">
        <v>0</v>
      </c>
      <c r="AE41" s="1">
        <v>0</v>
      </c>
      <c r="AF41" s="1"/>
      <c r="AG41" s="1">
        <v>0</v>
      </c>
      <c r="AH41" s="1">
        <v>0</v>
      </c>
      <c r="AI41" s="1">
        <v>0</v>
      </c>
      <c r="AJ41" s="1">
        <v>0</v>
      </c>
      <c r="AK41" s="1">
        <v>5.7511999999999999</v>
      </c>
      <c r="AL41" s="1">
        <v>5.7511999999999999</v>
      </c>
      <c r="AM41" s="1">
        <v>5.7511999999999999</v>
      </c>
    </row>
    <row r="42" spans="1:39" x14ac:dyDescent="0.3">
      <c r="A42" s="21" t="str">
        <f t="shared" si="0"/>
        <v>HFA704LGAV2026-01-24</v>
      </c>
      <c r="B42" t="str">
        <f>VLOOKUP(A42,Sheet1!A42:B1384,1,FALSE)</f>
        <v>HFA704LGAV2026-01-24</v>
      </c>
      <c r="C42" s="3">
        <v>46046</v>
      </c>
      <c r="D42" s="1" t="s">
        <v>52</v>
      </c>
      <c r="E42" s="1" t="s">
        <v>38</v>
      </c>
      <c r="F42" s="1"/>
      <c r="G42" s="1" t="s">
        <v>39</v>
      </c>
      <c r="H42" s="1" t="s">
        <v>40</v>
      </c>
      <c r="I42" s="1" t="s">
        <v>46</v>
      </c>
      <c r="J42" s="1" t="s">
        <v>47</v>
      </c>
      <c r="K42" s="1" t="s">
        <v>48</v>
      </c>
      <c r="L42" s="1" t="s">
        <v>49</v>
      </c>
      <c r="M42" s="1" t="s">
        <v>50</v>
      </c>
      <c r="N42" s="1" t="s">
        <v>41</v>
      </c>
      <c r="O42" s="1" t="s">
        <v>42</v>
      </c>
      <c r="P42" s="1" t="s">
        <v>43</v>
      </c>
      <c r="Q42" s="1" t="s">
        <v>44</v>
      </c>
      <c r="R42" s="1" t="s">
        <v>45</v>
      </c>
      <c r="S42" s="1">
        <v>1157</v>
      </c>
      <c r="T42" s="1">
        <v>0</v>
      </c>
      <c r="U42" s="4">
        <v>0.1048611111111111</v>
      </c>
      <c r="V42" s="1">
        <v>1680</v>
      </c>
      <c r="W42" s="1">
        <v>1420</v>
      </c>
      <c r="X42" s="1">
        <v>3100</v>
      </c>
      <c r="Y42" s="1" t="s">
        <v>51</v>
      </c>
      <c r="Z42" s="1">
        <v>1650</v>
      </c>
      <c r="AA42" s="1">
        <v>1450</v>
      </c>
      <c r="AB42" s="1">
        <v>0</v>
      </c>
      <c r="AC42" s="1">
        <v>0</v>
      </c>
      <c r="AD42" s="1">
        <v>0</v>
      </c>
      <c r="AE42" s="1">
        <v>0</v>
      </c>
      <c r="AF42" s="1"/>
      <c r="AG42" s="1">
        <v>0</v>
      </c>
      <c r="AH42" s="1">
        <v>0</v>
      </c>
      <c r="AI42" s="1">
        <v>0</v>
      </c>
      <c r="AJ42" s="1">
        <v>0</v>
      </c>
      <c r="AK42" s="1">
        <v>4.5819999999999999</v>
      </c>
      <c r="AL42" s="1">
        <v>4.5819999999999999</v>
      </c>
      <c r="AM42" s="1">
        <v>4.5819999999999999</v>
      </c>
    </row>
    <row r="43" spans="1:39" x14ac:dyDescent="0.3">
      <c r="A43" s="21" t="str">
        <f t="shared" si="0"/>
        <v>HFA851LLHA2026-01-25</v>
      </c>
      <c r="B43" t="str">
        <f>VLOOKUP(A43,Sheet1!A43:B1385,1,FALSE)</f>
        <v>HFA851LLHA2026-01-25</v>
      </c>
      <c r="C43" s="3">
        <v>46047</v>
      </c>
      <c r="D43" s="1" t="s">
        <v>66</v>
      </c>
      <c r="E43" s="1" t="s">
        <v>38</v>
      </c>
      <c r="F43" s="1"/>
      <c r="G43" s="1" t="s">
        <v>39</v>
      </c>
      <c r="H43" s="1" t="s">
        <v>40</v>
      </c>
      <c r="I43" s="1" t="s">
        <v>41</v>
      </c>
      <c r="J43" s="1" t="s">
        <v>42</v>
      </c>
      <c r="K43" s="1" t="s">
        <v>43</v>
      </c>
      <c r="L43" s="1" t="s">
        <v>44</v>
      </c>
      <c r="M43" s="1" t="s">
        <v>45</v>
      </c>
      <c r="N43" s="1" t="s">
        <v>67</v>
      </c>
      <c r="O43" s="1" t="s">
        <v>68</v>
      </c>
      <c r="P43" s="1" t="s">
        <v>69</v>
      </c>
      <c r="Q43" s="1" t="s">
        <v>70</v>
      </c>
      <c r="R43" s="1" t="s">
        <v>50</v>
      </c>
      <c r="S43" s="1">
        <v>318</v>
      </c>
      <c r="T43" s="1">
        <v>0</v>
      </c>
      <c r="U43" s="4">
        <v>4.0972222222222222E-2</v>
      </c>
      <c r="V43" s="1">
        <v>1650</v>
      </c>
      <c r="W43" s="1">
        <v>-20</v>
      </c>
      <c r="X43" s="1">
        <v>1630</v>
      </c>
      <c r="Y43" s="1" t="s">
        <v>51</v>
      </c>
      <c r="Z43" s="1">
        <v>940</v>
      </c>
      <c r="AA43" s="1">
        <v>690</v>
      </c>
      <c r="AB43" s="1">
        <v>0</v>
      </c>
      <c r="AC43" s="1">
        <v>0</v>
      </c>
      <c r="AD43" s="1">
        <v>0</v>
      </c>
      <c r="AE43" s="1">
        <v>0</v>
      </c>
      <c r="AF43" s="1"/>
      <c r="AG43" s="1">
        <v>0</v>
      </c>
      <c r="AH43" s="1">
        <v>0</v>
      </c>
      <c r="AI43" s="1">
        <v>0</v>
      </c>
      <c r="AJ43" s="1">
        <v>0</v>
      </c>
      <c r="AK43" s="1">
        <v>2.1804000000000001</v>
      </c>
      <c r="AL43" s="1">
        <v>2.1804000000000001</v>
      </c>
      <c r="AM43" s="1">
        <v>2.1804000000000001</v>
      </c>
    </row>
    <row r="44" spans="1:39" x14ac:dyDescent="0.3">
      <c r="A44" s="21" t="str">
        <f t="shared" si="0"/>
        <v>HFA852LCPH2026-01-25</v>
      </c>
      <c r="B44" t="str">
        <f>VLOOKUP(A44,Sheet1!A44:B1386,1,FALSE)</f>
        <v>HFA852LCPH2026-01-25</v>
      </c>
      <c r="C44" s="3">
        <v>46047</v>
      </c>
      <c r="D44" s="1" t="s">
        <v>71</v>
      </c>
      <c r="E44" s="1" t="s">
        <v>38</v>
      </c>
      <c r="F44" s="1"/>
      <c r="G44" s="1" t="s">
        <v>39</v>
      </c>
      <c r="H44" s="1" t="s">
        <v>40</v>
      </c>
      <c r="I44" s="1" t="s">
        <v>67</v>
      </c>
      <c r="J44" s="1" t="s">
        <v>68</v>
      </c>
      <c r="K44" s="1" t="s">
        <v>69</v>
      </c>
      <c r="L44" s="1" t="s">
        <v>70</v>
      </c>
      <c r="M44" s="1" t="s">
        <v>50</v>
      </c>
      <c r="N44" s="1" t="s">
        <v>41</v>
      </c>
      <c r="O44" s="1" t="s">
        <v>42</v>
      </c>
      <c r="P44" s="1" t="s">
        <v>43</v>
      </c>
      <c r="Q44" s="1" t="s">
        <v>44</v>
      </c>
      <c r="R44" s="1" t="s">
        <v>45</v>
      </c>
      <c r="S44" s="1">
        <v>318</v>
      </c>
      <c r="T44" s="1">
        <v>0</v>
      </c>
      <c r="U44" s="4">
        <v>4.3749999999999997E-2</v>
      </c>
      <c r="V44" s="1">
        <v>940</v>
      </c>
      <c r="W44" s="1">
        <v>1360</v>
      </c>
      <c r="X44" s="1">
        <v>2300</v>
      </c>
      <c r="Y44" s="1" t="s">
        <v>51</v>
      </c>
      <c r="Z44" s="1">
        <v>1700</v>
      </c>
      <c r="AA44" s="1">
        <v>600</v>
      </c>
      <c r="AB44" s="1">
        <v>0</v>
      </c>
      <c r="AC44" s="1">
        <v>0</v>
      </c>
      <c r="AD44" s="1">
        <v>0</v>
      </c>
      <c r="AE44" s="1">
        <v>0</v>
      </c>
      <c r="AF44" s="1"/>
      <c r="AG44" s="1">
        <v>0</v>
      </c>
      <c r="AH44" s="1">
        <v>0</v>
      </c>
      <c r="AI44" s="1">
        <v>0</v>
      </c>
      <c r="AJ44" s="1">
        <v>0</v>
      </c>
      <c r="AK44" s="1">
        <v>1.8959999999999999</v>
      </c>
      <c r="AL44" s="1">
        <v>1.8959999999999999</v>
      </c>
      <c r="AM44" s="1">
        <v>1.8959999999999999</v>
      </c>
    </row>
    <row r="45" spans="1:39" x14ac:dyDescent="0.3">
      <c r="A45" s="21" t="str">
        <f t="shared" si="0"/>
        <v>HFA703LLHA2026-01-25</v>
      </c>
      <c r="B45" t="str">
        <f>VLOOKUP(A45,Sheet1!A45:B1387,1,FALSE)</f>
        <v>HFA703LLHA2026-01-25</v>
      </c>
      <c r="C45" s="3">
        <v>46047</v>
      </c>
      <c r="D45" s="1" t="s">
        <v>37</v>
      </c>
      <c r="E45" s="1" t="s">
        <v>38</v>
      </c>
      <c r="F45" s="1"/>
      <c r="G45" s="1" t="s">
        <v>39</v>
      </c>
      <c r="H45" s="1" t="s">
        <v>40</v>
      </c>
      <c r="I45" s="1" t="s">
        <v>41</v>
      </c>
      <c r="J45" s="1" t="s">
        <v>42</v>
      </c>
      <c r="K45" s="1" t="s">
        <v>43</v>
      </c>
      <c r="L45" s="1" t="s">
        <v>44</v>
      </c>
      <c r="M45" s="1" t="s">
        <v>45</v>
      </c>
      <c r="N45" s="1" t="s">
        <v>46</v>
      </c>
      <c r="O45" s="1" t="s">
        <v>47</v>
      </c>
      <c r="P45" s="1" t="s">
        <v>48</v>
      </c>
      <c r="Q45" s="1" t="s">
        <v>49</v>
      </c>
      <c r="R45" s="1" t="s">
        <v>50</v>
      </c>
      <c r="S45" s="1">
        <v>1157</v>
      </c>
      <c r="T45" s="1">
        <v>0</v>
      </c>
      <c r="U45" s="4">
        <v>0.11736111111111111</v>
      </c>
      <c r="V45" s="1">
        <v>1700</v>
      </c>
      <c r="W45" s="1">
        <v>1300</v>
      </c>
      <c r="X45" s="1">
        <v>3000</v>
      </c>
      <c r="Y45" s="1" t="s">
        <v>51</v>
      </c>
      <c r="Z45" s="1">
        <v>1220</v>
      </c>
      <c r="AA45" s="1">
        <v>1780</v>
      </c>
      <c r="AB45" s="1">
        <v>0</v>
      </c>
      <c r="AC45" s="1">
        <v>0</v>
      </c>
      <c r="AD45" s="1">
        <v>0</v>
      </c>
      <c r="AE45" s="1">
        <v>0</v>
      </c>
      <c r="AF45" s="1"/>
      <c r="AG45" s="1">
        <v>0</v>
      </c>
      <c r="AH45" s="1">
        <v>0</v>
      </c>
      <c r="AI45" s="1">
        <v>0</v>
      </c>
      <c r="AJ45" s="1">
        <v>0</v>
      </c>
      <c r="AK45" s="1">
        <v>5.6247999999999996</v>
      </c>
      <c r="AL45" s="1">
        <v>5.6247999999999996</v>
      </c>
      <c r="AM45" s="1">
        <v>5.6247999999999996</v>
      </c>
    </row>
    <row r="46" spans="1:39" x14ac:dyDescent="0.3">
      <c r="A46" s="21" t="str">
        <f t="shared" si="0"/>
        <v>HFA704LGAV2026-01-25</v>
      </c>
      <c r="B46" t="str">
        <f>VLOOKUP(A46,Sheet1!A46:B1388,1,FALSE)</f>
        <v>HFA704LGAV2026-01-25</v>
      </c>
      <c r="C46" s="3">
        <v>46047</v>
      </c>
      <c r="D46" s="1" t="s">
        <v>52</v>
      </c>
      <c r="E46" s="1" t="s">
        <v>38</v>
      </c>
      <c r="F46" s="1"/>
      <c r="G46" s="1" t="s">
        <v>39</v>
      </c>
      <c r="H46" s="1" t="s">
        <v>40</v>
      </c>
      <c r="I46" s="1" t="s">
        <v>46</v>
      </c>
      <c r="J46" s="1" t="s">
        <v>47</v>
      </c>
      <c r="K46" s="1" t="s">
        <v>48</v>
      </c>
      <c r="L46" s="1" t="s">
        <v>49</v>
      </c>
      <c r="M46" s="1" t="s">
        <v>50</v>
      </c>
      <c r="N46" s="1" t="s">
        <v>41</v>
      </c>
      <c r="O46" s="1" t="s">
        <v>42</v>
      </c>
      <c r="P46" s="1" t="s">
        <v>43</v>
      </c>
      <c r="Q46" s="1" t="s">
        <v>44</v>
      </c>
      <c r="R46" s="1" t="s">
        <v>45</v>
      </c>
      <c r="S46" s="1">
        <v>1157</v>
      </c>
      <c r="T46" s="1">
        <v>0</v>
      </c>
      <c r="U46" s="4">
        <v>0.10972222222222222</v>
      </c>
      <c r="V46" s="1">
        <v>1220</v>
      </c>
      <c r="W46" s="1">
        <v>1780</v>
      </c>
      <c r="X46" s="1">
        <v>3000</v>
      </c>
      <c r="Y46" s="1" t="s">
        <v>51</v>
      </c>
      <c r="Z46" s="1">
        <v>1460</v>
      </c>
      <c r="AA46" s="1">
        <v>1540</v>
      </c>
      <c r="AB46" s="1">
        <v>0</v>
      </c>
      <c r="AC46" s="1">
        <v>0</v>
      </c>
      <c r="AD46" s="1">
        <v>0</v>
      </c>
      <c r="AE46" s="1">
        <v>0</v>
      </c>
      <c r="AF46" s="1"/>
      <c r="AG46" s="1">
        <v>0</v>
      </c>
      <c r="AH46" s="1">
        <v>0</v>
      </c>
      <c r="AI46" s="1">
        <v>0</v>
      </c>
      <c r="AJ46" s="1">
        <v>0</v>
      </c>
      <c r="AK46" s="1">
        <v>4.8663999999999996</v>
      </c>
      <c r="AL46" s="1">
        <v>4.8663999999999996</v>
      </c>
      <c r="AM46" s="1">
        <v>4.8663999999999996</v>
      </c>
    </row>
    <row r="47" spans="1:39" x14ac:dyDescent="0.3">
      <c r="A47" s="21" t="str">
        <f t="shared" si="0"/>
        <v>HFA703LLHA2026-01-26</v>
      </c>
      <c r="B47" t="str">
        <f>VLOOKUP(A47,Sheet1!A47:B1389,1,FALSE)</f>
        <v>HFA703LLHA2026-01-26</v>
      </c>
      <c r="C47" s="3">
        <v>46048</v>
      </c>
      <c r="D47" s="1" t="s">
        <v>37</v>
      </c>
      <c r="E47" s="1" t="s">
        <v>38</v>
      </c>
      <c r="F47" s="1"/>
      <c r="G47" s="1" t="s">
        <v>39</v>
      </c>
      <c r="H47" s="1" t="s">
        <v>40</v>
      </c>
      <c r="I47" s="1" t="s">
        <v>41</v>
      </c>
      <c r="J47" s="1" t="s">
        <v>42</v>
      </c>
      <c r="K47" s="1" t="s">
        <v>43</v>
      </c>
      <c r="L47" s="1" t="s">
        <v>44</v>
      </c>
      <c r="M47" s="1" t="s">
        <v>45</v>
      </c>
      <c r="N47" s="1" t="s">
        <v>46</v>
      </c>
      <c r="O47" s="1" t="s">
        <v>47</v>
      </c>
      <c r="P47" s="1" t="s">
        <v>48</v>
      </c>
      <c r="Q47" s="1" t="s">
        <v>49</v>
      </c>
      <c r="R47" s="1" t="s">
        <v>50</v>
      </c>
      <c r="S47" s="1">
        <v>1157</v>
      </c>
      <c r="T47" s="1">
        <v>0</v>
      </c>
      <c r="U47" s="4">
        <v>0.10902777777777778</v>
      </c>
      <c r="V47" s="1">
        <v>1460</v>
      </c>
      <c r="W47" s="1">
        <v>1740</v>
      </c>
      <c r="X47" s="1">
        <v>3200</v>
      </c>
      <c r="Y47" s="1" t="s">
        <v>51</v>
      </c>
      <c r="Z47" s="1">
        <v>1490</v>
      </c>
      <c r="AA47" s="1">
        <v>1710</v>
      </c>
      <c r="AB47" s="1">
        <v>0</v>
      </c>
      <c r="AC47" s="1">
        <v>0</v>
      </c>
      <c r="AD47" s="1">
        <v>0</v>
      </c>
      <c r="AE47" s="1">
        <v>0</v>
      </c>
      <c r="AF47" s="1"/>
      <c r="AG47" s="1">
        <v>0</v>
      </c>
      <c r="AH47" s="1">
        <v>0</v>
      </c>
      <c r="AI47" s="1">
        <v>0</v>
      </c>
      <c r="AJ47" s="1">
        <v>0</v>
      </c>
      <c r="AK47" s="1">
        <v>5.4036</v>
      </c>
      <c r="AL47" s="1">
        <v>5.4036</v>
      </c>
      <c r="AM47" s="1">
        <v>5.4036</v>
      </c>
    </row>
    <row r="48" spans="1:39" x14ac:dyDescent="0.3">
      <c r="A48" s="21" t="str">
        <f t="shared" si="0"/>
        <v>HFA704LGAV2026-01-26</v>
      </c>
      <c r="B48" t="str">
        <f>VLOOKUP(A48,Sheet1!A48:B1390,1,FALSE)</f>
        <v>HFA704LGAV2026-01-26</v>
      </c>
      <c r="C48" s="3">
        <v>46048</v>
      </c>
      <c r="D48" s="1" t="s">
        <v>52</v>
      </c>
      <c r="E48" s="1" t="s">
        <v>38</v>
      </c>
      <c r="F48" s="1"/>
      <c r="G48" s="1" t="s">
        <v>39</v>
      </c>
      <c r="H48" s="1" t="s">
        <v>40</v>
      </c>
      <c r="I48" s="1" t="s">
        <v>46</v>
      </c>
      <c r="J48" s="1" t="s">
        <v>47</v>
      </c>
      <c r="K48" s="1" t="s">
        <v>48</v>
      </c>
      <c r="L48" s="1" t="s">
        <v>49</v>
      </c>
      <c r="M48" s="1" t="s">
        <v>50</v>
      </c>
      <c r="N48" s="1" t="s">
        <v>41</v>
      </c>
      <c r="O48" s="1" t="s">
        <v>42</v>
      </c>
      <c r="P48" s="1" t="s">
        <v>43</v>
      </c>
      <c r="Q48" s="1" t="s">
        <v>44</v>
      </c>
      <c r="R48" s="1" t="s">
        <v>45</v>
      </c>
      <c r="S48" s="1">
        <v>1157</v>
      </c>
      <c r="T48" s="1">
        <v>0</v>
      </c>
      <c r="U48" s="4">
        <v>0.1111111111111111</v>
      </c>
      <c r="V48" s="1">
        <v>1490</v>
      </c>
      <c r="W48" s="1">
        <v>1810</v>
      </c>
      <c r="X48" s="1">
        <v>3300</v>
      </c>
      <c r="Y48" s="1" t="s">
        <v>51</v>
      </c>
      <c r="Z48" s="1">
        <v>1770</v>
      </c>
      <c r="AA48" s="1">
        <v>1530</v>
      </c>
      <c r="AB48" s="1">
        <v>0</v>
      </c>
      <c r="AC48" s="1">
        <v>0</v>
      </c>
      <c r="AD48" s="1">
        <v>0</v>
      </c>
      <c r="AE48" s="1">
        <v>0</v>
      </c>
      <c r="AF48" s="1"/>
      <c r="AG48" s="1">
        <v>0</v>
      </c>
      <c r="AH48" s="1">
        <v>0</v>
      </c>
      <c r="AI48" s="1">
        <v>0</v>
      </c>
      <c r="AJ48" s="1">
        <v>0</v>
      </c>
      <c r="AK48" s="1">
        <v>4.8348000000000004</v>
      </c>
      <c r="AL48" s="1">
        <v>4.8348000000000004</v>
      </c>
      <c r="AM48" s="1">
        <v>4.8348000000000004</v>
      </c>
    </row>
    <row r="49" spans="1:39" x14ac:dyDescent="0.3">
      <c r="A49" s="21" t="str">
        <f t="shared" si="0"/>
        <v>HFA701LLHA2026-01-28</v>
      </c>
      <c r="B49" t="str">
        <f>VLOOKUP(A49,Sheet1!A49:B1391,1,FALSE)</f>
        <v>HFA701LLHA2026-01-28</v>
      </c>
      <c r="C49" s="3">
        <v>46050</v>
      </c>
      <c r="D49" s="1" t="s">
        <v>53</v>
      </c>
      <c r="E49" s="1" t="s">
        <v>38</v>
      </c>
      <c r="F49" s="1"/>
      <c r="G49" s="1" t="s">
        <v>39</v>
      </c>
      <c r="H49" s="1" t="s">
        <v>40</v>
      </c>
      <c r="I49" s="1" t="s">
        <v>41</v>
      </c>
      <c r="J49" s="1" t="s">
        <v>42</v>
      </c>
      <c r="K49" s="1" t="s">
        <v>43</v>
      </c>
      <c r="L49" s="1" t="s">
        <v>44</v>
      </c>
      <c r="M49" s="1" t="s">
        <v>45</v>
      </c>
      <c r="N49" s="1" t="s">
        <v>46</v>
      </c>
      <c r="O49" s="1" t="s">
        <v>47</v>
      </c>
      <c r="P49" s="1" t="s">
        <v>48</v>
      </c>
      <c r="Q49" s="1" t="s">
        <v>49</v>
      </c>
      <c r="R49" s="1" t="s">
        <v>50</v>
      </c>
      <c r="S49" s="1">
        <v>1157</v>
      </c>
      <c r="T49" s="1">
        <v>0</v>
      </c>
      <c r="U49" s="4">
        <v>0.12430555555555556</v>
      </c>
      <c r="V49" s="1">
        <v>1770</v>
      </c>
      <c r="W49" s="1">
        <v>1330</v>
      </c>
      <c r="X49" s="1">
        <v>3100</v>
      </c>
      <c r="Y49" s="1" t="s">
        <v>51</v>
      </c>
      <c r="Z49" s="1">
        <v>1060</v>
      </c>
      <c r="AA49" s="1">
        <v>2040</v>
      </c>
      <c r="AB49" s="1">
        <v>0</v>
      </c>
      <c r="AC49" s="1">
        <v>0</v>
      </c>
      <c r="AD49" s="1">
        <v>0</v>
      </c>
      <c r="AE49" s="1">
        <v>0</v>
      </c>
      <c r="AF49" s="1"/>
      <c r="AG49" s="1">
        <v>0</v>
      </c>
      <c r="AH49" s="1">
        <v>0</v>
      </c>
      <c r="AI49" s="1">
        <v>0</v>
      </c>
      <c r="AJ49" s="1">
        <v>0</v>
      </c>
      <c r="AK49" s="1">
        <v>6.4463999999999997</v>
      </c>
      <c r="AL49" s="1">
        <v>6.4463999999999997</v>
      </c>
      <c r="AM49" s="1">
        <v>6.4463999999999997</v>
      </c>
    </row>
    <row r="50" spans="1:39" x14ac:dyDescent="0.3">
      <c r="A50" s="21" t="str">
        <f t="shared" si="0"/>
        <v>HFA702LGAV2026-01-28</v>
      </c>
      <c r="B50" t="str">
        <f>VLOOKUP(A50,Sheet1!A50:B1392,1,FALSE)</f>
        <v>HFA702LGAV2026-01-28</v>
      </c>
      <c r="C50" s="3">
        <v>46050</v>
      </c>
      <c r="D50" s="1" t="s">
        <v>56</v>
      </c>
      <c r="E50" s="1" t="s">
        <v>38</v>
      </c>
      <c r="F50" s="1"/>
      <c r="G50" s="1" t="s">
        <v>39</v>
      </c>
      <c r="H50" s="1" t="s">
        <v>40</v>
      </c>
      <c r="I50" s="1" t="s">
        <v>46</v>
      </c>
      <c r="J50" s="1" t="s">
        <v>47</v>
      </c>
      <c r="K50" s="1" t="s">
        <v>48</v>
      </c>
      <c r="L50" s="1" t="s">
        <v>49</v>
      </c>
      <c r="M50" s="1" t="s">
        <v>50</v>
      </c>
      <c r="N50" s="1" t="s">
        <v>41</v>
      </c>
      <c r="O50" s="1" t="s">
        <v>42</v>
      </c>
      <c r="P50" s="1" t="s">
        <v>43</v>
      </c>
      <c r="Q50" s="1" t="s">
        <v>44</v>
      </c>
      <c r="R50" s="1" t="s">
        <v>45</v>
      </c>
      <c r="S50" s="1">
        <v>1157</v>
      </c>
      <c r="T50" s="1">
        <v>0</v>
      </c>
      <c r="U50" s="4">
        <v>0.10138888888888889</v>
      </c>
      <c r="V50" s="1">
        <v>1060</v>
      </c>
      <c r="W50" s="1">
        <v>2140</v>
      </c>
      <c r="X50" s="1">
        <v>3200</v>
      </c>
      <c r="Y50" s="1" t="s">
        <v>51</v>
      </c>
      <c r="Z50" s="1">
        <v>1810</v>
      </c>
      <c r="AA50" s="1">
        <v>1390</v>
      </c>
      <c r="AB50" s="1">
        <v>0</v>
      </c>
      <c r="AC50" s="1">
        <v>0</v>
      </c>
      <c r="AD50" s="1">
        <v>0</v>
      </c>
      <c r="AE50" s="1">
        <v>0</v>
      </c>
      <c r="AF50" s="1"/>
      <c r="AG50" s="1">
        <v>0</v>
      </c>
      <c r="AH50" s="1">
        <v>0</v>
      </c>
      <c r="AI50" s="1">
        <v>0</v>
      </c>
      <c r="AJ50" s="1">
        <v>0</v>
      </c>
      <c r="AK50" s="1">
        <v>4.3924000000000003</v>
      </c>
      <c r="AL50" s="1">
        <v>4.3924000000000003</v>
      </c>
      <c r="AM50" s="1">
        <v>4.3924000000000003</v>
      </c>
    </row>
    <row r="51" spans="1:39" x14ac:dyDescent="0.3">
      <c r="A51" s="21" t="str">
        <f t="shared" si="0"/>
        <v>HFA601LLHA2026-01-29</v>
      </c>
      <c r="B51" t="str">
        <f>VLOOKUP(A51,Sheet1!A51:B1393,1,FALSE)</f>
        <v>HFA601LLHA2026-01-29</v>
      </c>
      <c r="C51" s="3">
        <v>46051</v>
      </c>
      <c r="D51" s="1" t="s">
        <v>57</v>
      </c>
      <c r="E51" s="1" t="s">
        <v>38</v>
      </c>
      <c r="F51" s="1" t="s">
        <v>54</v>
      </c>
      <c r="G51" s="1" t="s">
        <v>39</v>
      </c>
      <c r="H51" s="1" t="s">
        <v>40</v>
      </c>
      <c r="I51" s="1" t="s">
        <v>41</v>
      </c>
      <c r="J51" s="1" t="s">
        <v>42</v>
      </c>
      <c r="K51" s="1" t="s">
        <v>43</v>
      </c>
      <c r="L51" s="1" t="s">
        <v>44</v>
      </c>
      <c r="M51" s="1" t="s">
        <v>45</v>
      </c>
      <c r="N51" s="1" t="s">
        <v>41</v>
      </c>
      <c r="O51" s="1" t="s">
        <v>58</v>
      </c>
      <c r="P51" s="1" t="s">
        <v>59</v>
      </c>
      <c r="Q51" s="1" t="s">
        <v>60</v>
      </c>
      <c r="R51" s="1" t="s">
        <v>45</v>
      </c>
      <c r="S51" s="1">
        <v>342</v>
      </c>
      <c r="T51" s="1">
        <v>0</v>
      </c>
      <c r="U51" s="4">
        <v>4.4444444444444439E-2</v>
      </c>
      <c r="V51" s="1">
        <v>1810</v>
      </c>
      <c r="W51" s="1">
        <v>-10</v>
      </c>
      <c r="X51" s="1">
        <v>1800</v>
      </c>
      <c r="Y51" s="1" t="s">
        <v>51</v>
      </c>
      <c r="Z51" s="1">
        <v>1110</v>
      </c>
      <c r="AA51" s="1">
        <v>690</v>
      </c>
      <c r="AB51" s="1">
        <v>0</v>
      </c>
      <c r="AC51" s="1">
        <v>0</v>
      </c>
      <c r="AD51" s="1">
        <v>0</v>
      </c>
      <c r="AE51" s="1">
        <v>0</v>
      </c>
      <c r="AF51" s="1"/>
      <c r="AG51" s="1">
        <v>0</v>
      </c>
      <c r="AH51" s="1">
        <v>0</v>
      </c>
      <c r="AI51" s="1">
        <v>0</v>
      </c>
      <c r="AJ51" s="1">
        <v>0</v>
      </c>
      <c r="AK51" s="1">
        <v>2.1804000000000001</v>
      </c>
      <c r="AL51" s="1">
        <v>2.1804000000000001</v>
      </c>
      <c r="AM51" s="1">
        <v>2.1804000000000001</v>
      </c>
    </row>
    <row r="52" spans="1:39" x14ac:dyDescent="0.3">
      <c r="A52" s="21" t="str">
        <f t="shared" si="0"/>
        <v>HFA602LLER2026-01-29</v>
      </c>
      <c r="B52" t="str">
        <f>VLOOKUP(A52,Sheet1!A52:B1394,1,FALSE)</f>
        <v>HFA602LLER2026-01-29</v>
      </c>
      <c r="C52" s="3">
        <v>46051</v>
      </c>
      <c r="D52" s="1" t="s">
        <v>61</v>
      </c>
      <c r="E52" s="1" t="s">
        <v>38</v>
      </c>
      <c r="F52" s="1" t="s">
        <v>54</v>
      </c>
      <c r="G52" s="1" t="s">
        <v>39</v>
      </c>
      <c r="H52" s="1" t="s">
        <v>40</v>
      </c>
      <c r="I52" s="1" t="s">
        <v>41</v>
      </c>
      <c r="J52" s="1" t="s">
        <v>58</v>
      </c>
      <c r="K52" s="1" t="s">
        <v>59</v>
      </c>
      <c r="L52" s="1" t="s">
        <v>60</v>
      </c>
      <c r="M52" s="1" t="s">
        <v>45</v>
      </c>
      <c r="N52" s="1" t="s">
        <v>41</v>
      </c>
      <c r="O52" s="1" t="s">
        <v>42</v>
      </c>
      <c r="P52" s="1" t="s">
        <v>43</v>
      </c>
      <c r="Q52" s="1" t="s">
        <v>44</v>
      </c>
      <c r="R52" s="1" t="s">
        <v>45</v>
      </c>
      <c r="S52" s="1">
        <v>342</v>
      </c>
      <c r="T52" s="1">
        <v>0</v>
      </c>
      <c r="U52" s="4">
        <v>6.8750000000000006E-2</v>
      </c>
      <c r="V52" s="1">
        <v>1110</v>
      </c>
      <c r="W52" s="1">
        <v>1390</v>
      </c>
      <c r="X52" s="1">
        <v>2500</v>
      </c>
      <c r="Y52" s="1" t="s">
        <v>51</v>
      </c>
      <c r="Z52" s="1">
        <v>1520</v>
      </c>
      <c r="AA52" s="1">
        <v>980</v>
      </c>
      <c r="AB52" s="1">
        <v>0</v>
      </c>
      <c r="AC52" s="1">
        <v>0</v>
      </c>
      <c r="AD52" s="1">
        <v>0</v>
      </c>
      <c r="AE52" s="1">
        <v>0</v>
      </c>
      <c r="AF52" s="1"/>
      <c r="AG52" s="1">
        <v>0</v>
      </c>
      <c r="AH52" s="1">
        <v>0</v>
      </c>
      <c r="AI52" s="1">
        <v>0</v>
      </c>
      <c r="AJ52" s="1">
        <v>0</v>
      </c>
      <c r="AK52" s="1">
        <v>3.0968</v>
      </c>
      <c r="AL52" s="1">
        <v>3.0968</v>
      </c>
      <c r="AM52" s="1">
        <v>3.0968</v>
      </c>
    </row>
    <row r="53" spans="1:39" x14ac:dyDescent="0.3">
      <c r="A53" s="21" t="str">
        <f t="shared" si="0"/>
        <v>HFA603LLHA2026-01-29</v>
      </c>
      <c r="B53" t="str">
        <f>VLOOKUP(A53,Sheet1!A53:B1395,1,FALSE)</f>
        <v>HFA603LLHA2026-01-29</v>
      </c>
      <c r="C53" s="3">
        <v>46051</v>
      </c>
      <c r="D53" s="1" t="s">
        <v>72</v>
      </c>
      <c r="E53" s="1" t="s">
        <v>38</v>
      </c>
      <c r="F53" s="1" t="s">
        <v>54</v>
      </c>
      <c r="G53" s="1" t="s">
        <v>39</v>
      </c>
      <c r="H53" s="1" t="s">
        <v>40</v>
      </c>
      <c r="I53" s="1" t="s">
        <v>41</v>
      </c>
      <c r="J53" s="1" t="s">
        <v>42</v>
      </c>
      <c r="K53" s="1" t="s">
        <v>43</v>
      </c>
      <c r="L53" s="1" t="s">
        <v>44</v>
      </c>
      <c r="M53" s="1" t="s">
        <v>45</v>
      </c>
      <c r="N53" s="1" t="s">
        <v>41</v>
      </c>
      <c r="O53" s="1" t="s">
        <v>58</v>
      </c>
      <c r="P53" s="1" t="s">
        <v>59</v>
      </c>
      <c r="Q53" s="1" t="s">
        <v>60</v>
      </c>
      <c r="R53" s="1" t="s">
        <v>45</v>
      </c>
      <c r="S53" s="1">
        <v>342</v>
      </c>
      <c r="T53" s="1">
        <v>0</v>
      </c>
      <c r="U53" s="4">
        <v>4.3749999999999997E-2</v>
      </c>
      <c r="V53" s="1">
        <v>1520</v>
      </c>
      <c r="W53" s="1">
        <v>380</v>
      </c>
      <c r="X53" s="1">
        <v>1900</v>
      </c>
      <c r="Y53" s="1" t="s">
        <v>51</v>
      </c>
      <c r="Z53" s="1">
        <v>1170</v>
      </c>
      <c r="AA53" s="1">
        <v>730</v>
      </c>
      <c r="AB53" s="1">
        <v>0</v>
      </c>
      <c r="AC53" s="1">
        <v>0</v>
      </c>
      <c r="AD53" s="1">
        <v>0</v>
      </c>
      <c r="AE53" s="1">
        <v>0</v>
      </c>
      <c r="AF53" s="1"/>
      <c r="AG53" s="1">
        <v>0</v>
      </c>
      <c r="AH53" s="1">
        <v>0</v>
      </c>
      <c r="AI53" s="1">
        <v>0</v>
      </c>
      <c r="AJ53" s="1">
        <v>0</v>
      </c>
      <c r="AK53" s="1">
        <v>2.3068</v>
      </c>
      <c r="AL53" s="1">
        <v>2.3068</v>
      </c>
      <c r="AM53" s="1">
        <v>2.3068</v>
      </c>
    </row>
    <row r="54" spans="1:39" x14ac:dyDescent="0.3">
      <c r="A54" s="21" t="str">
        <f t="shared" si="0"/>
        <v>HFA604LLER2026-01-29</v>
      </c>
      <c r="B54" t="str">
        <f>VLOOKUP(A54,Sheet1!A54:B1396,1,FALSE)</f>
        <v>HFA604LLER2026-01-29</v>
      </c>
      <c r="C54" s="3">
        <v>46051</v>
      </c>
      <c r="D54" s="1" t="s">
        <v>73</v>
      </c>
      <c r="E54" s="1" t="s">
        <v>38</v>
      </c>
      <c r="F54" s="1" t="s">
        <v>54</v>
      </c>
      <c r="G54" s="1" t="s">
        <v>39</v>
      </c>
      <c r="H54" s="1" t="s">
        <v>40</v>
      </c>
      <c r="I54" s="1" t="s">
        <v>41</v>
      </c>
      <c r="J54" s="1" t="s">
        <v>58</v>
      </c>
      <c r="K54" s="1" t="s">
        <v>59</v>
      </c>
      <c r="L54" s="1" t="s">
        <v>60</v>
      </c>
      <c r="M54" s="1" t="s">
        <v>45</v>
      </c>
      <c r="N54" s="1" t="s">
        <v>41</v>
      </c>
      <c r="O54" s="1" t="s">
        <v>42</v>
      </c>
      <c r="P54" s="1" t="s">
        <v>43</v>
      </c>
      <c r="Q54" s="1" t="s">
        <v>44</v>
      </c>
      <c r="R54" s="1" t="s">
        <v>45</v>
      </c>
      <c r="S54" s="1">
        <v>342</v>
      </c>
      <c r="T54" s="1">
        <v>0</v>
      </c>
      <c r="U54" s="4">
        <v>4.583333333333333E-2</v>
      </c>
      <c r="V54" s="1">
        <v>1170</v>
      </c>
      <c r="W54" s="1">
        <v>1230</v>
      </c>
      <c r="X54" s="1">
        <v>2400</v>
      </c>
      <c r="Y54" s="1" t="s">
        <v>51</v>
      </c>
      <c r="Z54" s="1">
        <v>1530</v>
      </c>
      <c r="AA54" s="1">
        <v>870</v>
      </c>
      <c r="AB54" s="1">
        <v>0</v>
      </c>
      <c r="AC54" s="1">
        <v>0</v>
      </c>
      <c r="AD54" s="1">
        <v>0</v>
      </c>
      <c r="AE54" s="1">
        <v>0</v>
      </c>
      <c r="AF54" s="1"/>
      <c r="AG54" s="1">
        <v>0</v>
      </c>
      <c r="AH54" s="1">
        <v>0</v>
      </c>
      <c r="AI54" s="1">
        <v>0</v>
      </c>
      <c r="AJ54" s="1">
        <v>0</v>
      </c>
      <c r="AK54" s="1">
        <v>2.7492000000000001</v>
      </c>
      <c r="AL54" s="1">
        <v>2.7492000000000001</v>
      </c>
      <c r="AM54" s="1">
        <v>2.7492000000000001</v>
      </c>
    </row>
    <row r="55" spans="1:39" x14ac:dyDescent="0.3">
      <c r="A55" s="21" t="str">
        <f t="shared" si="0"/>
        <v>HFA701LLHA2026-01-30</v>
      </c>
      <c r="B55" t="str">
        <f>VLOOKUP(A55,Sheet1!A55:B1397,1,FALSE)</f>
        <v>HFA701LLHA2026-01-30</v>
      </c>
      <c r="C55" s="3">
        <v>46052</v>
      </c>
      <c r="D55" s="1" t="s">
        <v>53</v>
      </c>
      <c r="E55" s="1" t="s">
        <v>38</v>
      </c>
      <c r="F55" s="1"/>
      <c r="G55" s="1" t="s">
        <v>39</v>
      </c>
      <c r="H55" s="1" t="s">
        <v>40</v>
      </c>
      <c r="I55" s="1" t="s">
        <v>41</v>
      </c>
      <c r="J55" s="1" t="s">
        <v>42</v>
      </c>
      <c r="K55" s="1" t="s">
        <v>43</v>
      </c>
      <c r="L55" s="1" t="s">
        <v>44</v>
      </c>
      <c r="M55" s="1" t="s">
        <v>45</v>
      </c>
      <c r="N55" s="1" t="s">
        <v>46</v>
      </c>
      <c r="O55" s="1" t="s">
        <v>47</v>
      </c>
      <c r="P55" s="1" t="s">
        <v>48</v>
      </c>
      <c r="Q55" s="1" t="s">
        <v>49</v>
      </c>
      <c r="R55" s="1" t="s">
        <v>50</v>
      </c>
      <c r="S55" s="1">
        <v>1157</v>
      </c>
      <c r="T55" s="1">
        <v>0</v>
      </c>
      <c r="U55" s="4">
        <v>0.12916666666666668</v>
      </c>
      <c r="V55" s="1">
        <v>1530</v>
      </c>
      <c r="W55" s="1">
        <v>1870</v>
      </c>
      <c r="X55" s="1">
        <v>3400</v>
      </c>
      <c r="Y55" s="1" t="s">
        <v>51</v>
      </c>
      <c r="Z55" s="1">
        <v>1370</v>
      </c>
      <c r="AA55" s="1">
        <v>2030</v>
      </c>
      <c r="AB55" s="1">
        <v>0</v>
      </c>
      <c r="AC55" s="1">
        <v>0</v>
      </c>
      <c r="AD55" s="1">
        <v>0</v>
      </c>
      <c r="AE55" s="1">
        <v>0</v>
      </c>
      <c r="AF55" s="1"/>
      <c r="AG55" s="1">
        <v>0</v>
      </c>
      <c r="AH55" s="1">
        <v>0</v>
      </c>
      <c r="AI55" s="1">
        <v>0</v>
      </c>
      <c r="AJ55" s="1">
        <v>0</v>
      </c>
      <c r="AK55" s="1">
        <v>6.4147999999999996</v>
      </c>
      <c r="AL55" s="1">
        <v>6.4147999999999996</v>
      </c>
      <c r="AM55" s="1">
        <v>6.4147999999999996</v>
      </c>
    </row>
    <row r="56" spans="1:39" x14ac:dyDescent="0.3">
      <c r="A56" s="21" t="str">
        <f t="shared" si="0"/>
        <v>HFA702LGAV2026-01-30</v>
      </c>
      <c r="B56" t="str">
        <f>VLOOKUP(A56,Sheet1!A56:B1398,1,FALSE)</f>
        <v>HFA702LGAV2026-01-30</v>
      </c>
      <c r="C56" s="3">
        <v>46052</v>
      </c>
      <c r="D56" s="1" t="s">
        <v>56</v>
      </c>
      <c r="E56" s="1" t="s">
        <v>38</v>
      </c>
      <c r="F56" s="1"/>
      <c r="G56" s="1" t="s">
        <v>39</v>
      </c>
      <c r="H56" s="1" t="s">
        <v>40</v>
      </c>
      <c r="I56" s="1" t="s">
        <v>46</v>
      </c>
      <c r="J56" s="1" t="s">
        <v>47</v>
      </c>
      <c r="K56" s="1" t="s">
        <v>48</v>
      </c>
      <c r="L56" s="1" t="s">
        <v>49</v>
      </c>
      <c r="M56" s="1" t="s">
        <v>50</v>
      </c>
      <c r="N56" s="1" t="s">
        <v>41</v>
      </c>
      <c r="O56" s="1" t="s">
        <v>42</v>
      </c>
      <c r="P56" s="1" t="s">
        <v>43</v>
      </c>
      <c r="Q56" s="1" t="s">
        <v>44</v>
      </c>
      <c r="R56" s="1" t="s">
        <v>45</v>
      </c>
      <c r="S56" s="1">
        <v>1157</v>
      </c>
      <c r="T56" s="1">
        <v>0</v>
      </c>
      <c r="U56" s="4">
        <v>9.6527777777777768E-2</v>
      </c>
      <c r="V56" s="1">
        <v>1370</v>
      </c>
      <c r="W56" s="1">
        <v>2130</v>
      </c>
      <c r="X56" s="1">
        <v>3500</v>
      </c>
      <c r="Y56" s="1" t="s">
        <v>51</v>
      </c>
      <c r="Z56" s="1">
        <v>2200</v>
      </c>
      <c r="AA56" s="1">
        <v>1300</v>
      </c>
      <c r="AB56" s="1">
        <v>0</v>
      </c>
      <c r="AC56" s="1">
        <v>0</v>
      </c>
      <c r="AD56" s="1">
        <v>0</v>
      </c>
      <c r="AE56" s="1">
        <v>0</v>
      </c>
      <c r="AF56" s="1"/>
      <c r="AG56" s="1">
        <v>0</v>
      </c>
      <c r="AH56" s="1">
        <v>0</v>
      </c>
      <c r="AI56" s="1">
        <v>0</v>
      </c>
      <c r="AJ56" s="1">
        <v>0</v>
      </c>
      <c r="AK56" s="1">
        <v>4.1079999999999997</v>
      </c>
      <c r="AL56" s="1">
        <v>4.1079999999999997</v>
      </c>
      <c r="AM56" s="1">
        <v>4.1079999999999997</v>
      </c>
    </row>
    <row r="57" spans="1:39" x14ac:dyDescent="0.3">
      <c r="A57" s="21" t="str">
        <f t="shared" si="0"/>
        <v>HFA703LLHA2026-01-31</v>
      </c>
      <c r="B57" t="str">
        <f>VLOOKUP(A57,Sheet1!A57:B1399,1,FALSE)</f>
        <v>HFA703LLHA2026-01-31</v>
      </c>
      <c r="C57" s="3">
        <v>46053</v>
      </c>
      <c r="D57" s="1" t="s">
        <v>37</v>
      </c>
      <c r="E57" s="1" t="s">
        <v>38</v>
      </c>
      <c r="F57" s="1"/>
      <c r="G57" s="1" t="s">
        <v>39</v>
      </c>
      <c r="H57" s="1" t="s">
        <v>40</v>
      </c>
      <c r="I57" s="1" t="s">
        <v>41</v>
      </c>
      <c r="J57" s="1" t="s">
        <v>42</v>
      </c>
      <c r="K57" s="1" t="s">
        <v>43</v>
      </c>
      <c r="L57" s="1" t="s">
        <v>44</v>
      </c>
      <c r="M57" s="1" t="s">
        <v>45</v>
      </c>
      <c r="N57" s="1" t="s">
        <v>46</v>
      </c>
      <c r="O57" s="1" t="s">
        <v>47</v>
      </c>
      <c r="P57" s="1" t="s">
        <v>48</v>
      </c>
      <c r="Q57" s="1" t="s">
        <v>49</v>
      </c>
      <c r="R57" s="1" t="s">
        <v>50</v>
      </c>
      <c r="S57" s="1">
        <v>1157</v>
      </c>
      <c r="T57" s="1">
        <v>0</v>
      </c>
      <c r="U57" s="4">
        <v>0.12361111111111112</v>
      </c>
      <c r="V57" s="1">
        <v>2200</v>
      </c>
      <c r="W57" s="1">
        <v>1000</v>
      </c>
      <c r="X57" s="1">
        <v>3200</v>
      </c>
      <c r="Y57" s="1" t="s">
        <v>51</v>
      </c>
      <c r="Z57" s="1">
        <v>1200</v>
      </c>
      <c r="AA57" s="1">
        <v>2000</v>
      </c>
      <c r="AB57" s="1">
        <v>0</v>
      </c>
      <c r="AC57" s="1">
        <v>0</v>
      </c>
      <c r="AD57" s="1">
        <v>0</v>
      </c>
      <c r="AE57" s="1">
        <v>0</v>
      </c>
      <c r="AF57" s="1"/>
      <c r="AG57" s="1">
        <v>0</v>
      </c>
      <c r="AH57" s="1">
        <v>0</v>
      </c>
      <c r="AI57" s="1">
        <v>0</v>
      </c>
      <c r="AJ57" s="1">
        <v>0</v>
      </c>
      <c r="AK57" s="1">
        <v>6.32</v>
      </c>
      <c r="AL57" s="1">
        <v>6.32</v>
      </c>
      <c r="AM57" s="1">
        <v>6.32</v>
      </c>
    </row>
    <row r="58" spans="1:39" x14ac:dyDescent="0.3">
      <c r="A58" s="21" t="str">
        <f t="shared" si="0"/>
        <v>HFA704LGAV2026-01-31</v>
      </c>
      <c r="B58" t="str">
        <f>VLOOKUP(A58,Sheet1!A58:B1400,1,FALSE)</f>
        <v>HFA704LGAV2026-01-31</v>
      </c>
      <c r="C58" s="3">
        <v>46053</v>
      </c>
      <c r="D58" s="1" t="s">
        <v>52</v>
      </c>
      <c r="E58" s="1" t="s">
        <v>38</v>
      </c>
      <c r="F58" s="1"/>
      <c r="G58" s="1" t="s">
        <v>39</v>
      </c>
      <c r="H58" s="1" t="s">
        <v>40</v>
      </c>
      <c r="I58" s="1" t="s">
        <v>46</v>
      </c>
      <c r="J58" s="1" t="s">
        <v>47</v>
      </c>
      <c r="K58" s="1" t="s">
        <v>48</v>
      </c>
      <c r="L58" s="1" t="s">
        <v>49</v>
      </c>
      <c r="M58" s="1" t="s">
        <v>50</v>
      </c>
      <c r="N58" s="1" t="s">
        <v>41</v>
      </c>
      <c r="O58" s="1" t="s">
        <v>42</v>
      </c>
      <c r="P58" s="1" t="s">
        <v>43</v>
      </c>
      <c r="Q58" s="1" t="s">
        <v>44</v>
      </c>
      <c r="R58" s="1" t="s">
        <v>45</v>
      </c>
      <c r="S58" s="1">
        <v>1157</v>
      </c>
      <c r="T58" s="1">
        <v>0</v>
      </c>
      <c r="U58" s="4">
        <v>9.9999999999999992E-2</v>
      </c>
      <c r="V58" s="1">
        <v>1200</v>
      </c>
      <c r="W58" s="1">
        <v>2400</v>
      </c>
      <c r="X58" s="1">
        <v>3600</v>
      </c>
      <c r="Y58" s="1" t="s">
        <v>51</v>
      </c>
      <c r="Z58" s="1">
        <v>2230</v>
      </c>
      <c r="AA58" s="1">
        <v>1370</v>
      </c>
      <c r="AB58" s="1">
        <v>0</v>
      </c>
      <c r="AC58" s="1">
        <v>0</v>
      </c>
      <c r="AD58" s="1">
        <v>0</v>
      </c>
      <c r="AE58" s="1">
        <v>0</v>
      </c>
      <c r="AF58" s="1"/>
      <c r="AG58" s="1">
        <v>0</v>
      </c>
      <c r="AH58" s="1">
        <v>0</v>
      </c>
      <c r="AI58" s="1">
        <v>0</v>
      </c>
      <c r="AJ58" s="1">
        <v>0</v>
      </c>
      <c r="AK58" s="1">
        <v>4.3292000000000002</v>
      </c>
      <c r="AL58" s="1">
        <v>4.3292000000000002</v>
      </c>
      <c r="AM58" s="1">
        <v>4.3292000000000002</v>
      </c>
    </row>
    <row r="59" spans="1:39" x14ac:dyDescent="0.3">
      <c r="A59" s="21" t="str">
        <f t="shared" si="0"/>
        <v>HFA703LLHA2026-02-02</v>
      </c>
      <c r="B59" t="str">
        <f>VLOOKUP(A59,Sheet1!A59:B1401,1,FALSE)</f>
        <v>HFA703LLHA2026-02-02</v>
      </c>
      <c r="C59" s="3">
        <v>46055</v>
      </c>
      <c r="D59" s="1" t="s">
        <v>37</v>
      </c>
      <c r="E59" s="1" t="s">
        <v>38</v>
      </c>
      <c r="F59" s="1"/>
      <c r="G59" s="1" t="s">
        <v>39</v>
      </c>
      <c r="H59" s="1" t="s">
        <v>40</v>
      </c>
      <c r="I59" s="1" t="s">
        <v>41</v>
      </c>
      <c r="J59" s="1" t="s">
        <v>42</v>
      </c>
      <c r="K59" s="1" t="s">
        <v>43</v>
      </c>
      <c r="L59" s="1" t="s">
        <v>44</v>
      </c>
      <c r="M59" s="1" t="s">
        <v>45</v>
      </c>
      <c r="N59" s="1" t="s">
        <v>46</v>
      </c>
      <c r="O59" s="1" t="s">
        <v>47</v>
      </c>
      <c r="P59" s="1" t="s">
        <v>48</v>
      </c>
      <c r="Q59" s="1" t="s">
        <v>49</v>
      </c>
      <c r="R59" s="1" t="s">
        <v>50</v>
      </c>
      <c r="S59" s="1">
        <v>1157</v>
      </c>
      <c r="T59" s="1">
        <v>0</v>
      </c>
      <c r="U59" s="4">
        <v>0.12152777777777778</v>
      </c>
      <c r="V59" s="1">
        <v>2230</v>
      </c>
      <c r="W59" s="1">
        <v>1070</v>
      </c>
      <c r="X59" s="1">
        <v>3300</v>
      </c>
      <c r="Y59" s="1" t="s">
        <v>51</v>
      </c>
      <c r="Z59" s="1">
        <v>1440</v>
      </c>
      <c r="AA59" s="1">
        <v>1860</v>
      </c>
      <c r="AB59" s="1">
        <v>0</v>
      </c>
      <c r="AC59" s="1">
        <v>0</v>
      </c>
      <c r="AD59" s="1">
        <v>0</v>
      </c>
      <c r="AE59" s="1">
        <v>0</v>
      </c>
      <c r="AF59" s="1"/>
      <c r="AG59" s="1">
        <v>0</v>
      </c>
      <c r="AH59" s="1">
        <v>0</v>
      </c>
      <c r="AI59" s="1">
        <v>0</v>
      </c>
      <c r="AJ59" s="1">
        <v>0</v>
      </c>
      <c r="AK59" s="1">
        <v>5.8776000000000002</v>
      </c>
      <c r="AL59" s="1">
        <v>5.8776000000000002</v>
      </c>
      <c r="AM59" s="1">
        <v>5.8776000000000002</v>
      </c>
    </row>
    <row r="60" spans="1:39" x14ac:dyDescent="0.3">
      <c r="A60" s="21" t="str">
        <f t="shared" si="0"/>
        <v>HFA704LGAV2026-02-02</v>
      </c>
      <c r="B60" t="str">
        <f>VLOOKUP(A60,Sheet1!A60:B1402,1,FALSE)</f>
        <v>HFA704LGAV2026-02-02</v>
      </c>
      <c r="C60" s="3">
        <v>46055</v>
      </c>
      <c r="D60" s="1" t="s">
        <v>52</v>
      </c>
      <c r="E60" s="1" t="s">
        <v>38</v>
      </c>
      <c r="F60" s="1"/>
      <c r="G60" s="1" t="s">
        <v>39</v>
      </c>
      <c r="H60" s="1" t="s">
        <v>40</v>
      </c>
      <c r="I60" s="1" t="s">
        <v>46</v>
      </c>
      <c r="J60" s="1" t="s">
        <v>47</v>
      </c>
      <c r="K60" s="1" t="s">
        <v>48</v>
      </c>
      <c r="L60" s="1" t="s">
        <v>49</v>
      </c>
      <c r="M60" s="1" t="s">
        <v>50</v>
      </c>
      <c r="N60" s="1" t="s">
        <v>41</v>
      </c>
      <c r="O60" s="1" t="s">
        <v>42</v>
      </c>
      <c r="P60" s="1" t="s">
        <v>43</v>
      </c>
      <c r="Q60" s="1" t="s">
        <v>44</v>
      </c>
      <c r="R60" s="1" t="s">
        <v>45</v>
      </c>
      <c r="S60" s="1">
        <v>1157</v>
      </c>
      <c r="T60" s="1">
        <v>0</v>
      </c>
      <c r="U60" s="4">
        <v>0.12569444444444444</v>
      </c>
      <c r="V60" s="1">
        <v>1440</v>
      </c>
      <c r="W60" s="1">
        <v>1860</v>
      </c>
      <c r="X60" s="1">
        <v>3300</v>
      </c>
      <c r="Y60" s="1" t="s">
        <v>51</v>
      </c>
      <c r="Z60" s="1">
        <v>1440</v>
      </c>
      <c r="AA60" s="1">
        <v>1860</v>
      </c>
      <c r="AB60" s="1">
        <v>0</v>
      </c>
      <c r="AC60" s="1">
        <v>0</v>
      </c>
      <c r="AD60" s="1">
        <v>0</v>
      </c>
      <c r="AE60" s="1">
        <v>0</v>
      </c>
      <c r="AF60" s="1"/>
      <c r="AG60" s="1">
        <v>0</v>
      </c>
      <c r="AH60" s="1">
        <v>0</v>
      </c>
      <c r="AI60" s="1">
        <v>0</v>
      </c>
      <c r="AJ60" s="1">
        <v>0</v>
      </c>
      <c r="AK60" s="1">
        <v>5.8776000000000002</v>
      </c>
      <c r="AL60" s="1">
        <v>5.8776000000000002</v>
      </c>
      <c r="AM60" s="1">
        <v>5.8776000000000002</v>
      </c>
    </row>
    <row r="61" spans="1:39" x14ac:dyDescent="0.3">
      <c r="A61" s="21" t="str">
        <f t="shared" si="0"/>
        <v>HFA703LLHA2026-02-04</v>
      </c>
      <c r="B61" t="str">
        <f>VLOOKUP(A61,Sheet1!A61:B1403,1,FALSE)</f>
        <v>HFA703LLHA2026-02-04</v>
      </c>
      <c r="C61" s="3">
        <v>46057</v>
      </c>
      <c r="D61" s="1" t="s">
        <v>37</v>
      </c>
      <c r="E61" s="1" t="s">
        <v>38</v>
      </c>
      <c r="F61" s="1"/>
      <c r="G61" s="1" t="s">
        <v>39</v>
      </c>
      <c r="H61" s="1" t="s">
        <v>40</v>
      </c>
      <c r="I61" s="1" t="s">
        <v>41</v>
      </c>
      <c r="J61" s="1" t="s">
        <v>42</v>
      </c>
      <c r="K61" s="1" t="s">
        <v>43</v>
      </c>
      <c r="L61" s="1" t="s">
        <v>44</v>
      </c>
      <c r="M61" s="1" t="s">
        <v>45</v>
      </c>
      <c r="N61" s="1" t="s">
        <v>46</v>
      </c>
      <c r="O61" s="1" t="s">
        <v>47</v>
      </c>
      <c r="P61" s="1" t="s">
        <v>48</v>
      </c>
      <c r="Q61" s="1" t="s">
        <v>49</v>
      </c>
      <c r="R61" s="1" t="s">
        <v>50</v>
      </c>
      <c r="S61" s="1">
        <v>1157</v>
      </c>
      <c r="T61" s="1">
        <v>0</v>
      </c>
      <c r="U61" s="4">
        <v>0.12361111111111112</v>
      </c>
      <c r="V61" s="1">
        <v>1440</v>
      </c>
      <c r="W61" s="1">
        <v>1660</v>
      </c>
      <c r="X61" s="1">
        <v>3100</v>
      </c>
      <c r="Y61" s="1" t="s">
        <v>51</v>
      </c>
      <c r="Z61" s="1">
        <v>1220</v>
      </c>
      <c r="AA61" s="1">
        <v>1880</v>
      </c>
      <c r="AB61" s="1">
        <v>0</v>
      </c>
      <c r="AC61" s="1">
        <v>0</v>
      </c>
      <c r="AD61" s="1">
        <v>0</v>
      </c>
      <c r="AE61" s="1">
        <v>0</v>
      </c>
      <c r="AF61" s="1"/>
      <c r="AG61" s="1">
        <v>0</v>
      </c>
      <c r="AH61" s="1">
        <v>0</v>
      </c>
      <c r="AI61" s="1">
        <v>0</v>
      </c>
      <c r="AJ61" s="1">
        <v>0</v>
      </c>
      <c r="AK61" s="1">
        <v>5.9408000000000003</v>
      </c>
      <c r="AL61" s="1">
        <v>5.9408000000000003</v>
      </c>
      <c r="AM61" s="1">
        <v>5.9408000000000003</v>
      </c>
    </row>
    <row r="62" spans="1:39" x14ac:dyDescent="0.3">
      <c r="A62" s="21" t="str">
        <f t="shared" si="0"/>
        <v>HFA704LGAV2026-02-04</v>
      </c>
      <c r="B62" t="str">
        <f>VLOOKUP(A62,Sheet1!A62:B1404,1,FALSE)</f>
        <v>HFA704LGAV2026-02-04</v>
      </c>
      <c r="C62" s="3">
        <v>46057</v>
      </c>
      <c r="D62" s="1" t="s">
        <v>52</v>
      </c>
      <c r="E62" s="1" t="s">
        <v>38</v>
      </c>
      <c r="F62" s="1"/>
      <c r="G62" s="1" t="s">
        <v>39</v>
      </c>
      <c r="H62" s="1" t="s">
        <v>40</v>
      </c>
      <c r="I62" s="1" t="s">
        <v>46</v>
      </c>
      <c r="J62" s="1" t="s">
        <v>47</v>
      </c>
      <c r="K62" s="1" t="s">
        <v>48</v>
      </c>
      <c r="L62" s="1" t="s">
        <v>49</v>
      </c>
      <c r="M62" s="1" t="s">
        <v>50</v>
      </c>
      <c r="N62" s="1" t="s">
        <v>41</v>
      </c>
      <c r="O62" s="1" t="s">
        <v>42</v>
      </c>
      <c r="P62" s="1" t="s">
        <v>43</v>
      </c>
      <c r="Q62" s="1" t="s">
        <v>44</v>
      </c>
      <c r="R62" s="1" t="s">
        <v>45</v>
      </c>
      <c r="S62" s="1">
        <v>1157</v>
      </c>
      <c r="T62" s="1">
        <v>0</v>
      </c>
      <c r="U62" s="4">
        <v>0.10763888888888888</v>
      </c>
      <c r="V62" s="1">
        <v>1220</v>
      </c>
      <c r="W62" s="1">
        <v>2180</v>
      </c>
      <c r="X62" s="1">
        <v>3400</v>
      </c>
      <c r="Y62" s="1" t="s">
        <v>51</v>
      </c>
      <c r="Z62" s="1">
        <v>1930</v>
      </c>
      <c r="AA62" s="1">
        <v>1470</v>
      </c>
      <c r="AB62" s="1">
        <v>0</v>
      </c>
      <c r="AC62" s="1">
        <v>0</v>
      </c>
      <c r="AD62" s="1">
        <v>0</v>
      </c>
      <c r="AE62" s="1">
        <v>0</v>
      </c>
      <c r="AF62" s="1"/>
      <c r="AG62" s="1">
        <v>0</v>
      </c>
      <c r="AH62" s="1">
        <v>0</v>
      </c>
      <c r="AI62" s="1">
        <v>0</v>
      </c>
      <c r="AJ62" s="1">
        <v>0</v>
      </c>
      <c r="AK62" s="1">
        <v>4.6452</v>
      </c>
      <c r="AL62" s="1">
        <v>4.6452</v>
      </c>
      <c r="AM62" s="1">
        <v>4.6452</v>
      </c>
    </row>
    <row r="63" spans="1:39" x14ac:dyDescent="0.3">
      <c r="A63" s="21" t="str">
        <f t="shared" si="0"/>
        <v>HFA701LLHA2026-02-05</v>
      </c>
      <c r="B63" t="str">
        <f>VLOOKUP(A63,Sheet1!A63:B1405,1,FALSE)</f>
        <v>HFA701LLHA2026-02-05</v>
      </c>
      <c r="C63" s="3">
        <v>46058</v>
      </c>
      <c r="D63" s="1" t="s">
        <v>53</v>
      </c>
      <c r="E63" s="1" t="s">
        <v>38</v>
      </c>
      <c r="F63" s="1"/>
      <c r="G63" s="1" t="s">
        <v>39</v>
      </c>
      <c r="H63" s="1" t="s">
        <v>40</v>
      </c>
      <c r="I63" s="1" t="s">
        <v>41</v>
      </c>
      <c r="J63" s="1" t="s">
        <v>42</v>
      </c>
      <c r="K63" s="1" t="s">
        <v>43</v>
      </c>
      <c r="L63" s="1" t="s">
        <v>44</v>
      </c>
      <c r="M63" s="1" t="s">
        <v>45</v>
      </c>
      <c r="N63" s="1" t="s">
        <v>46</v>
      </c>
      <c r="O63" s="1" t="s">
        <v>47</v>
      </c>
      <c r="P63" s="1" t="s">
        <v>48</v>
      </c>
      <c r="Q63" s="1" t="s">
        <v>49</v>
      </c>
      <c r="R63" s="1" t="s">
        <v>50</v>
      </c>
      <c r="S63" s="1">
        <v>1157</v>
      </c>
      <c r="T63" s="1">
        <v>0</v>
      </c>
      <c r="U63" s="4">
        <v>0.12638888888888888</v>
      </c>
      <c r="V63" s="1">
        <v>1930</v>
      </c>
      <c r="W63" s="1">
        <v>1270</v>
      </c>
      <c r="X63" s="1">
        <v>3200</v>
      </c>
      <c r="Y63" s="1" t="s">
        <v>51</v>
      </c>
      <c r="Z63" s="1">
        <v>1240</v>
      </c>
      <c r="AA63" s="1">
        <v>1960</v>
      </c>
      <c r="AB63" s="1">
        <v>0</v>
      </c>
      <c r="AC63" s="1">
        <v>0</v>
      </c>
      <c r="AD63" s="1">
        <v>0</v>
      </c>
      <c r="AE63" s="1">
        <v>0</v>
      </c>
      <c r="AF63" s="1"/>
      <c r="AG63" s="1">
        <v>0</v>
      </c>
      <c r="AH63" s="1">
        <v>0</v>
      </c>
      <c r="AI63" s="1">
        <v>0</v>
      </c>
      <c r="AJ63" s="1">
        <v>0</v>
      </c>
      <c r="AK63" s="1">
        <v>6.1936</v>
      </c>
      <c r="AL63" s="1">
        <v>6.1936</v>
      </c>
      <c r="AM63" s="1">
        <v>6.1936</v>
      </c>
    </row>
    <row r="64" spans="1:39" x14ac:dyDescent="0.3">
      <c r="A64" s="21" t="str">
        <f t="shared" si="0"/>
        <v>HFA702LGAV2026-02-05</v>
      </c>
      <c r="B64" t="str">
        <f>VLOOKUP(A64,Sheet1!A64:B1406,1,FALSE)</f>
        <v>HFA702LGAV2026-02-05</v>
      </c>
      <c r="C64" s="3">
        <v>46058</v>
      </c>
      <c r="D64" s="1" t="s">
        <v>56</v>
      </c>
      <c r="E64" s="1" t="s">
        <v>38</v>
      </c>
      <c r="F64" s="1"/>
      <c r="G64" s="1" t="s">
        <v>39</v>
      </c>
      <c r="H64" s="1" t="s">
        <v>40</v>
      </c>
      <c r="I64" s="1" t="s">
        <v>46</v>
      </c>
      <c r="J64" s="1" t="s">
        <v>47</v>
      </c>
      <c r="K64" s="1" t="s">
        <v>48</v>
      </c>
      <c r="L64" s="1" t="s">
        <v>49</v>
      </c>
      <c r="M64" s="1" t="s">
        <v>50</v>
      </c>
      <c r="N64" s="1" t="s">
        <v>41</v>
      </c>
      <c r="O64" s="1" t="s">
        <v>42</v>
      </c>
      <c r="P64" s="1" t="s">
        <v>43</v>
      </c>
      <c r="Q64" s="1" t="s">
        <v>44</v>
      </c>
      <c r="R64" s="1" t="s">
        <v>45</v>
      </c>
      <c r="S64" s="1">
        <v>1157</v>
      </c>
      <c r="T64" s="1">
        <v>0</v>
      </c>
      <c r="U64" s="4">
        <v>0.10902777777777778</v>
      </c>
      <c r="V64" s="1">
        <v>1240</v>
      </c>
      <c r="W64" s="1">
        <v>1960</v>
      </c>
      <c r="X64" s="1">
        <v>3200</v>
      </c>
      <c r="Y64" s="1" t="s">
        <v>51</v>
      </c>
      <c r="Z64" s="1">
        <v>1560</v>
      </c>
      <c r="AA64" s="1">
        <v>1640</v>
      </c>
      <c r="AB64" s="1">
        <v>0</v>
      </c>
      <c r="AC64" s="1">
        <v>0</v>
      </c>
      <c r="AD64" s="1">
        <v>0</v>
      </c>
      <c r="AE64" s="1">
        <v>0</v>
      </c>
      <c r="AF64" s="1"/>
      <c r="AG64" s="1">
        <v>0</v>
      </c>
      <c r="AH64" s="1">
        <v>0</v>
      </c>
      <c r="AI64" s="1">
        <v>0</v>
      </c>
      <c r="AJ64" s="1">
        <v>0</v>
      </c>
      <c r="AK64" s="1">
        <v>5.1824000000000003</v>
      </c>
      <c r="AL64" s="1">
        <v>5.1824000000000003</v>
      </c>
      <c r="AM64" s="1">
        <v>5.1824000000000003</v>
      </c>
    </row>
    <row r="65" spans="1:39" x14ac:dyDescent="0.3">
      <c r="A65" s="21" t="str">
        <f t="shared" si="0"/>
        <v>HFA701LLHA2026-02-06</v>
      </c>
      <c r="B65" t="str">
        <f>VLOOKUP(A65,Sheet1!A65:B1407,1,FALSE)</f>
        <v>HFA701LLHA2026-02-06</v>
      </c>
      <c r="C65" s="3">
        <v>46059</v>
      </c>
      <c r="D65" s="1" t="s">
        <v>53</v>
      </c>
      <c r="E65" s="1" t="s">
        <v>38</v>
      </c>
      <c r="F65" s="1"/>
      <c r="G65" s="1" t="s">
        <v>39</v>
      </c>
      <c r="H65" s="1" t="s">
        <v>40</v>
      </c>
      <c r="I65" s="1" t="s">
        <v>41</v>
      </c>
      <c r="J65" s="1" t="s">
        <v>42</v>
      </c>
      <c r="K65" s="1" t="s">
        <v>43</v>
      </c>
      <c r="L65" s="1" t="s">
        <v>44</v>
      </c>
      <c r="M65" s="1" t="s">
        <v>45</v>
      </c>
      <c r="N65" s="1" t="s">
        <v>46</v>
      </c>
      <c r="O65" s="1" t="s">
        <v>47</v>
      </c>
      <c r="P65" s="1" t="s">
        <v>48</v>
      </c>
      <c r="Q65" s="1" t="s">
        <v>49</v>
      </c>
      <c r="R65" s="1" t="s">
        <v>50</v>
      </c>
      <c r="S65" s="1">
        <v>1157</v>
      </c>
      <c r="T65" s="1">
        <v>0</v>
      </c>
      <c r="U65" s="4">
        <v>0.12638888888888888</v>
      </c>
      <c r="V65" s="1">
        <v>1560</v>
      </c>
      <c r="W65" s="1">
        <v>1440</v>
      </c>
      <c r="X65" s="1">
        <v>3000</v>
      </c>
      <c r="Y65" s="1" t="s">
        <v>51</v>
      </c>
      <c r="Z65" s="1">
        <v>1000</v>
      </c>
      <c r="AA65" s="1">
        <v>2000</v>
      </c>
      <c r="AB65" s="1">
        <v>0</v>
      </c>
      <c r="AC65" s="1">
        <v>0</v>
      </c>
      <c r="AD65" s="1">
        <v>0</v>
      </c>
      <c r="AE65" s="1">
        <v>0</v>
      </c>
      <c r="AF65" s="1"/>
      <c r="AG65" s="1">
        <v>0</v>
      </c>
      <c r="AH65" s="1">
        <v>0</v>
      </c>
      <c r="AI65" s="1">
        <v>0</v>
      </c>
      <c r="AJ65" s="1">
        <v>0</v>
      </c>
      <c r="AK65" s="1">
        <v>6.32</v>
      </c>
      <c r="AL65" s="1">
        <v>6.32</v>
      </c>
      <c r="AM65" s="1">
        <v>6.32</v>
      </c>
    </row>
    <row r="66" spans="1:39" x14ac:dyDescent="0.3">
      <c r="A66" s="21" t="str">
        <f t="shared" si="0"/>
        <v>HFA702LGAV2026-02-06</v>
      </c>
      <c r="B66" t="str">
        <f>VLOOKUP(A66,Sheet1!A66:B1408,1,FALSE)</f>
        <v>HFA702LGAV2026-02-06</v>
      </c>
      <c r="C66" s="3">
        <v>46059</v>
      </c>
      <c r="D66" s="1" t="s">
        <v>56</v>
      </c>
      <c r="E66" s="1" t="s">
        <v>38</v>
      </c>
      <c r="F66" s="1"/>
      <c r="G66" s="1" t="s">
        <v>39</v>
      </c>
      <c r="H66" s="1" t="s">
        <v>40</v>
      </c>
      <c r="I66" s="1" t="s">
        <v>46</v>
      </c>
      <c r="J66" s="1" t="s">
        <v>47</v>
      </c>
      <c r="K66" s="1" t="s">
        <v>48</v>
      </c>
      <c r="L66" s="1" t="s">
        <v>49</v>
      </c>
      <c r="M66" s="1" t="s">
        <v>50</v>
      </c>
      <c r="N66" s="1" t="s">
        <v>41</v>
      </c>
      <c r="O66" s="1" t="s">
        <v>42</v>
      </c>
      <c r="P66" s="1" t="s">
        <v>43</v>
      </c>
      <c r="Q66" s="1" t="s">
        <v>44</v>
      </c>
      <c r="R66" s="1" t="s">
        <v>45</v>
      </c>
      <c r="S66" s="1">
        <v>1157</v>
      </c>
      <c r="T66" s="1">
        <v>0</v>
      </c>
      <c r="U66" s="4">
        <v>9.8611111111111108E-2</v>
      </c>
      <c r="V66" s="1">
        <v>1000</v>
      </c>
      <c r="W66" s="1">
        <v>3000</v>
      </c>
      <c r="X66" s="1">
        <v>4000</v>
      </c>
      <c r="Y66" s="1" t="s">
        <v>51</v>
      </c>
      <c r="Z66" s="1">
        <v>2640</v>
      </c>
      <c r="AA66" s="1">
        <v>1360</v>
      </c>
      <c r="AB66" s="1">
        <v>0</v>
      </c>
      <c r="AC66" s="1">
        <v>0</v>
      </c>
      <c r="AD66" s="1">
        <v>0</v>
      </c>
      <c r="AE66" s="1">
        <v>0</v>
      </c>
      <c r="AF66" s="1"/>
      <c r="AG66" s="1">
        <v>0</v>
      </c>
      <c r="AH66" s="1">
        <v>0</v>
      </c>
      <c r="AI66" s="1">
        <v>0</v>
      </c>
      <c r="AJ66" s="1">
        <v>0</v>
      </c>
      <c r="AK66" s="1">
        <v>4.2976000000000001</v>
      </c>
      <c r="AL66" s="1">
        <v>4.2976000000000001</v>
      </c>
      <c r="AM66" s="1">
        <v>4.2976000000000001</v>
      </c>
    </row>
    <row r="67" spans="1:39" x14ac:dyDescent="0.3">
      <c r="A67" s="21" t="str">
        <f t="shared" ref="A67:A130" si="1">CONCATENATE(D67,K67,TEXT(C67,"YYYY-MM-DD"))</f>
        <v>HFA703LLHA2026-02-07</v>
      </c>
      <c r="B67" t="str">
        <f>VLOOKUP(A67,Sheet1!A67:B1409,1,FALSE)</f>
        <v>HFA703LLHA2026-02-07</v>
      </c>
      <c r="C67" s="3">
        <v>46060</v>
      </c>
      <c r="D67" s="1" t="s">
        <v>37</v>
      </c>
      <c r="E67" s="1" t="s">
        <v>38</v>
      </c>
      <c r="F67" s="1"/>
      <c r="G67" s="1" t="s">
        <v>39</v>
      </c>
      <c r="H67" s="1" t="s">
        <v>40</v>
      </c>
      <c r="I67" s="1" t="s">
        <v>41</v>
      </c>
      <c r="J67" s="1" t="s">
        <v>42</v>
      </c>
      <c r="K67" s="1" t="s">
        <v>43</v>
      </c>
      <c r="L67" s="1" t="s">
        <v>44</v>
      </c>
      <c r="M67" s="1" t="s">
        <v>45</v>
      </c>
      <c r="N67" s="1" t="s">
        <v>46</v>
      </c>
      <c r="O67" s="1" t="s">
        <v>47</v>
      </c>
      <c r="P67" s="1" t="s">
        <v>48</v>
      </c>
      <c r="Q67" s="1" t="s">
        <v>49</v>
      </c>
      <c r="R67" s="1" t="s">
        <v>50</v>
      </c>
      <c r="S67" s="1">
        <v>1157</v>
      </c>
      <c r="T67" s="1">
        <v>0</v>
      </c>
      <c r="U67" s="4">
        <v>0.13263888888888889</v>
      </c>
      <c r="V67" s="1">
        <v>2640</v>
      </c>
      <c r="W67" s="1">
        <v>760</v>
      </c>
      <c r="X67" s="1">
        <v>3400</v>
      </c>
      <c r="Y67" s="1" t="s">
        <v>51</v>
      </c>
      <c r="Z67" s="1">
        <v>1290</v>
      </c>
      <c r="AA67" s="1">
        <v>2110</v>
      </c>
      <c r="AB67" s="1">
        <v>0</v>
      </c>
      <c r="AC67" s="1">
        <v>0</v>
      </c>
      <c r="AD67" s="1">
        <v>0</v>
      </c>
      <c r="AE67" s="1">
        <v>0</v>
      </c>
      <c r="AF67" s="1"/>
      <c r="AG67" s="1">
        <v>0</v>
      </c>
      <c r="AH67" s="1">
        <v>0</v>
      </c>
      <c r="AI67" s="1">
        <v>0</v>
      </c>
      <c r="AJ67" s="1">
        <v>0</v>
      </c>
      <c r="AK67" s="1">
        <v>6.6676000000000002</v>
      </c>
      <c r="AL67" s="1">
        <v>6.6676000000000002</v>
      </c>
      <c r="AM67" s="1">
        <v>6.6676000000000002</v>
      </c>
    </row>
    <row r="68" spans="1:39" x14ac:dyDescent="0.3">
      <c r="A68" s="21" t="str">
        <f t="shared" si="1"/>
        <v>HFA704LGAV2026-02-07</v>
      </c>
      <c r="B68" t="str">
        <f>VLOOKUP(A68,Sheet1!A68:B1410,1,FALSE)</f>
        <v>HFA704LGAV2026-02-07</v>
      </c>
      <c r="C68" s="3">
        <v>46060</v>
      </c>
      <c r="D68" s="1" t="s">
        <v>52</v>
      </c>
      <c r="E68" s="1" t="s">
        <v>38</v>
      </c>
      <c r="F68" s="1"/>
      <c r="G68" s="1" t="s">
        <v>39</v>
      </c>
      <c r="H68" s="1" t="s">
        <v>40</v>
      </c>
      <c r="I68" s="1" t="s">
        <v>46</v>
      </c>
      <c r="J68" s="1" t="s">
        <v>47</v>
      </c>
      <c r="K68" s="1" t="s">
        <v>48</v>
      </c>
      <c r="L68" s="1" t="s">
        <v>49</v>
      </c>
      <c r="M68" s="1" t="s">
        <v>50</v>
      </c>
      <c r="N68" s="1" t="s">
        <v>41</v>
      </c>
      <c r="O68" s="1" t="s">
        <v>42</v>
      </c>
      <c r="P68" s="1" t="s">
        <v>43</v>
      </c>
      <c r="Q68" s="1" t="s">
        <v>44</v>
      </c>
      <c r="R68" s="1" t="s">
        <v>45</v>
      </c>
      <c r="S68" s="1">
        <v>1157</v>
      </c>
      <c r="T68" s="1">
        <v>0</v>
      </c>
      <c r="U68" s="4">
        <v>9.375E-2</v>
      </c>
      <c r="V68" s="1">
        <v>1290</v>
      </c>
      <c r="W68" s="1">
        <v>2010</v>
      </c>
      <c r="X68" s="1">
        <v>3300</v>
      </c>
      <c r="Y68" s="1" t="s">
        <v>51</v>
      </c>
      <c r="Z68" s="1">
        <v>2160</v>
      </c>
      <c r="AA68" s="1">
        <v>1140</v>
      </c>
      <c r="AB68" s="1">
        <v>0</v>
      </c>
      <c r="AC68" s="1">
        <v>0</v>
      </c>
      <c r="AD68" s="1">
        <v>0</v>
      </c>
      <c r="AE68" s="1">
        <v>0</v>
      </c>
      <c r="AF68" s="1"/>
      <c r="AG68" s="1">
        <v>0</v>
      </c>
      <c r="AH68" s="1">
        <v>0</v>
      </c>
      <c r="AI68" s="1">
        <v>0</v>
      </c>
      <c r="AJ68" s="1">
        <v>0</v>
      </c>
      <c r="AK68" s="1">
        <v>3.6023999999999998</v>
      </c>
      <c r="AL68" s="1">
        <v>3.6023999999999998</v>
      </c>
      <c r="AM68" s="1">
        <v>3.6023999999999998</v>
      </c>
    </row>
    <row r="69" spans="1:39" x14ac:dyDescent="0.3">
      <c r="A69" s="21" t="str">
        <f t="shared" si="1"/>
        <v>HFA701LLHA2026-02-08</v>
      </c>
      <c r="B69" t="str">
        <f>VLOOKUP(A69,Sheet1!A69:B1411,1,FALSE)</f>
        <v>HFA701LLHA2026-02-08</v>
      </c>
      <c r="C69" s="3">
        <v>46061</v>
      </c>
      <c r="D69" s="1" t="s">
        <v>53</v>
      </c>
      <c r="E69" s="1" t="s">
        <v>38</v>
      </c>
      <c r="F69" s="1"/>
      <c r="G69" s="1" t="s">
        <v>39</v>
      </c>
      <c r="H69" s="1" t="s">
        <v>40</v>
      </c>
      <c r="I69" s="1" t="s">
        <v>41</v>
      </c>
      <c r="J69" s="1" t="s">
        <v>42</v>
      </c>
      <c r="K69" s="1" t="s">
        <v>43</v>
      </c>
      <c r="L69" s="1" t="s">
        <v>44</v>
      </c>
      <c r="M69" s="1" t="s">
        <v>45</v>
      </c>
      <c r="N69" s="1" t="s">
        <v>46</v>
      </c>
      <c r="O69" s="1" t="s">
        <v>47</v>
      </c>
      <c r="P69" s="1" t="s">
        <v>48</v>
      </c>
      <c r="Q69" s="1" t="s">
        <v>49</v>
      </c>
      <c r="R69" s="1" t="s">
        <v>50</v>
      </c>
      <c r="S69" s="1">
        <v>1157</v>
      </c>
      <c r="T69" s="1">
        <v>0</v>
      </c>
      <c r="U69" s="4">
        <v>0.12777777777777777</v>
      </c>
      <c r="V69" s="1">
        <v>2160</v>
      </c>
      <c r="W69" s="1">
        <v>1240</v>
      </c>
      <c r="X69" s="1">
        <v>3400</v>
      </c>
      <c r="Y69" s="1" t="s">
        <v>51</v>
      </c>
      <c r="Z69" s="1">
        <v>1330</v>
      </c>
      <c r="AA69" s="1">
        <v>2070</v>
      </c>
      <c r="AB69" s="1">
        <v>0</v>
      </c>
      <c r="AC69" s="1">
        <v>0</v>
      </c>
      <c r="AD69" s="1">
        <v>0</v>
      </c>
      <c r="AE69" s="1">
        <v>0</v>
      </c>
      <c r="AF69" s="1"/>
      <c r="AG69" s="1">
        <v>0</v>
      </c>
      <c r="AH69" s="1">
        <v>0</v>
      </c>
      <c r="AI69" s="1">
        <v>0</v>
      </c>
      <c r="AJ69" s="1">
        <v>0</v>
      </c>
      <c r="AK69" s="1">
        <v>6.5411999999999999</v>
      </c>
      <c r="AL69" s="1">
        <v>6.5411999999999999</v>
      </c>
      <c r="AM69" s="1">
        <v>6.5411999999999999</v>
      </c>
    </row>
    <row r="70" spans="1:39" x14ac:dyDescent="0.3">
      <c r="A70" s="21" t="str">
        <f t="shared" si="1"/>
        <v>HFA702LGAV2026-02-08</v>
      </c>
      <c r="B70" t="str">
        <f>VLOOKUP(A70,Sheet1!A70:B1412,1,FALSE)</f>
        <v>HFA702LGAV2026-02-08</v>
      </c>
      <c r="C70" s="3">
        <v>46061</v>
      </c>
      <c r="D70" s="1" t="s">
        <v>56</v>
      </c>
      <c r="E70" s="1" t="s">
        <v>38</v>
      </c>
      <c r="F70" s="1"/>
      <c r="G70" s="1" t="s">
        <v>39</v>
      </c>
      <c r="H70" s="1" t="s">
        <v>40</v>
      </c>
      <c r="I70" s="1" t="s">
        <v>46</v>
      </c>
      <c r="J70" s="1" t="s">
        <v>47</v>
      </c>
      <c r="K70" s="1" t="s">
        <v>48</v>
      </c>
      <c r="L70" s="1" t="s">
        <v>49</v>
      </c>
      <c r="M70" s="1" t="s">
        <v>50</v>
      </c>
      <c r="N70" s="1" t="s">
        <v>41</v>
      </c>
      <c r="O70" s="1" t="s">
        <v>42</v>
      </c>
      <c r="P70" s="1" t="s">
        <v>43</v>
      </c>
      <c r="Q70" s="1" t="s">
        <v>44</v>
      </c>
      <c r="R70" s="1" t="s">
        <v>45</v>
      </c>
      <c r="S70" s="1">
        <v>1157</v>
      </c>
      <c r="T70" s="1">
        <v>0</v>
      </c>
      <c r="U70" s="4">
        <v>9.5138888888888884E-2</v>
      </c>
      <c r="V70" s="1">
        <v>1330</v>
      </c>
      <c r="W70" s="1">
        <v>1970</v>
      </c>
      <c r="X70" s="1">
        <v>3300</v>
      </c>
      <c r="Y70" s="1" t="s">
        <v>51</v>
      </c>
      <c r="Z70" s="1">
        <v>1950</v>
      </c>
      <c r="AA70" s="1">
        <v>1350</v>
      </c>
      <c r="AB70" s="1">
        <v>0</v>
      </c>
      <c r="AC70" s="1">
        <v>0</v>
      </c>
      <c r="AD70" s="1">
        <v>0</v>
      </c>
      <c r="AE70" s="1">
        <v>0</v>
      </c>
      <c r="AF70" s="1"/>
      <c r="AG70" s="1">
        <v>0</v>
      </c>
      <c r="AH70" s="1">
        <v>0</v>
      </c>
      <c r="AI70" s="1">
        <v>0</v>
      </c>
      <c r="AJ70" s="1">
        <v>0</v>
      </c>
      <c r="AK70" s="1">
        <v>4.266</v>
      </c>
      <c r="AL70" s="1">
        <v>4.266</v>
      </c>
      <c r="AM70" s="1">
        <v>4.266</v>
      </c>
    </row>
    <row r="71" spans="1:39" x14ac:dyDescent="0.3">
      <c r="A71" s="21" t="str">
        <f t="shared" si="1"/>
        <v>HFA601LLHA2026-02-09</v>
      </c>
      <c r="B71" t="str">
        <f>VLOOKUP(A71,Sheet1!A71:B1413,1,FALSE)</f>
        <v>HFA601LLHA2026-02-09</v>
      </c>
      <c r="C71" s="3">
        <v>46062</v>
      </c>
      <c r="D71" s="1" t="s">
        <v>57</v>
      </c>
      <c r="E71" s="1" t="s">
        <v>38</v>
      </c>
      <c r="F71" s="1" t="s">
        <v>54</v>
      </c>
      <c r="G71" s="1" t="s">
        <v>39</v>
      </c>
      <c r="H71" s="1" t="s">
        <v>40</v>
      </c>
      <c r="I71" s="1" t="s">
        <v>41</v>
      </c>
      <c r="J71" s="1" t="s">
        <v>42</v>
      </c>
      <c r="K71" s="1" t="s">
        <v>43</v>
      </c>
      <c r="L71" s="1" t="s">
        <v>44</v>
      </c>
      <c r="M71" s="1" t="s">
        <v>45</v>
      </c>
      <c r="N71" s="1" t="s">
        <v>41</v>
      </c>
      <c r="O71" s="1" t="s">
        <v>58</v>
      </c>
      <c r="P71" s="1" t="s">
        <v>59</v>
      </c>
      <c r="Q71" s="1" t="s">
        <v>60</v>
      </c>
      <c r="R71" s="1" t="s">
        <v>45</v>
      </c>
      <c r="S71" s="1">
        <v>342</v>
      </c>
      <c r="T71" s="1">
        <v>0</v>
      </c>
      <c r="U71" s="4">
        <v>4.3749999999999997E-2</v>
      </c>
      <c r="V71" s="1">
        <v>1950</v>
      </c>
      <c r="W71" s="1">
        <v>-10</v>
      </c>
      <c r="X71" s="1">
        <v>1940</v>
      </c>
      <c r="Y71" s="1" t="s">
        <v>51</v>
      </c>
      <c r="Z71" s="1">
        <v>1230</v>
      </c>
      <c r="AA71" s="1">
        <v>710</v>
      </c>
      <c r="AB71" s="1">
        <v>0</v>
      </c>
      <c r="AC71" s="1">
        <v>0</v>
      </c>
      <c r="AD71" s="1">
        <v>0</v>
      </c>
      <c r="AE71" s="1">
        <v>0</v>
      </c>
      <c r="AF71" s="1"/>
      <c r="AG71" s="1">
        <v>0</v>
      </c>
      <c r="AH71" s="1">
        <v>0</v>
      </c>
      <c r="AI71" s="1">
        <v>0</v>
      </c>
      <c r="AJ71" s="1">
        <v>0</v>
      </c>
      <c r="AK71" s="1">
        <v>2.2435999999999998</v>
      </c>
      <c r="AL71" s="1">
        <v>2.2435999999999998</v>
      </c>
      <c r="AM71" s="1">
        <v>2.2435999999999998</v>
      </c>
    </row>
    <row r="72" spans="1:39" x14ac:dyDescent="0.3">
      <c r="A72" s="21" t="str">
        <f t="shared" si="1"/>
        <v>HFA602LLER2026-02-09</v>
      </c>
      <c r="B72" t="str">
        <f>VLOOKUP(A72,Sheet1!A72:B1414,1,FALSE)</f>
        <v>HFA602LLER2026-02-09</v>
      </c>
      <c r="C72" s="3">
        <v>46062</v>
      </c>
      <c r="D72" s="1" t="s">
        <v>61</v>
      </c>
      <c r="E72" s="1" t="s">
        <v>38</v>
      </c>
      <c r="F72" s="1" t="s">
        <v>54</v>
      </c>
      <c r="G72" s="1" t="s">
        <v>39</v>
      </c>
      <c r="H72" s="1" t="s">
        <v>40</v>
      </c>
      <c r="I72" s="1" t="s">
        <v>41</v>
      </c>
      <c r="J72" s="1" t="s">
        <v>58</v>
      </c>
      <c r="K72" s="1" t="s">
        <v>59</v>
      </c>
      <c r="L72" s="1" t="s">
        <v>60</v>
      </c>
      <c r="M72" s="1" t="s">
        <v>45</v>
      </c>
      <c r="N72" s="1" t="s">
        <v>41</v>
      </c>
      <c r="O72" s="1" t="s">
        <v>42</v>
      </c>
      <c r="P72" s="1" t="s">
        <v>43</v>
      </c>
      <c r="Q72" s="1" t="s">
        <v>44</v>
      </c>
      <c r="R72" s="1" t="s">
        <v>45</v>
      </c>
      <c r="S72" s="1">
        <v>342</v>
      </c>
      <c r="T72" s="1">
        <v>0</v>
      </c>
      <c r="U72" s="4">
        <v>4.7916666666666663E-2</v>
      </c>
      <c r="V72" s="1">
        <v>1230</v>
      </c>
      <c r="W72" s="1">
        <v>1170</v>
      </c>
      <c r="X72" s="1">
        <v>2400</v>
      </c>
      <c r="Y72" s="1" t="s">
        <v>51</v>
      </c>
      <c r="Z72" s="1">
        <v>1730</v>
      </c>
      <c r="AA72" s="1">
        <v>670</v>
      </c>
      <c r="AB72" s="1">
        <v>0</v>
      </c>
      <c r="AC72" s="1">
        <v>0</v>
      </c>
      <c r="AD72" s="1">
        <v>0</v>
      </c>
      <c r="AE72" s="1">
        <v>0</v>
      </c>
      <c r="AF72" s="1"/>
      <c r="AG72" s="1">
        <v>0</v>
      </c>
      <c r="AH72" s="1">
        <v>0</v>
      </c>
      <c r="AI72" s="1">
        <v>0</v>
      </c>
      <c r="AJ72" s="1">
        <v>0</v>
      </c>
      <c r="AK72" s="1">
        <v>2.1172</v>
      </c>
      <c r="AL72" s="1">
        <v>2.1172</v>
      </c>
      <c r="AM72" s="1">
        <v>2.1172</v>
      </c>
    </row>
    <row r="73" spans="1:39" x14ac:dyDescent="0.3">
      <c r="A73" s="21" t="str">
        <f t="shared" si="1"/>
        <v>HFA703LLHA2026-02-09</v>
      </c>
      <c r="B73" t="str">
        <f>VLOOKUP(A73,Sheet1!A73:B1415,1,FALSE)</f>
        <v>HFA703LLHA2026-02-09</v>
      </c>
      <c r="C73" s="3">
        <v>46062</v>
      </c>
      <c r="D73" s="1" t="s">
        <v>37</v>
      </c>
      <c r="E73" s="1" t="s">
        <v>38</v>
      </c>
      <c r="F73" s="1"/>
      <c r="G73" s="1" t="s">
        <v>39</v>
      </c>
      <c r="H73" s="1" t="s">
        <v>40</v>
      </c>
      <c r="I73" s="1" t="s">
        <v>41</v>
      </c>
      <c r="J73" s="1" t="s">
        <v>42</v>
      </c>
      <c r="K73" s="1" t="s">
        <v>43</v>
      </c>
      <c r="L73" s="1" t="s">
        <v>44</v>
      </c>
      <c r="M73" s="1" t="s">
        <v>45</v>
      </c>
      <c r="N73" s="1" t="s">
        <v>46</v>
      </c>
      <c r="O73" s="1" t="s">
        <v>47</v>
      </c>
      <c r="P73" s="1" t="s">
        <v>48</v>
      </c>
      <c r="Q73" s="1" t="s">
        <v>49</v>
      </c>
      <c r="R73" s="1" t="s">
        <v>50</v>
      </c>
      <c r="S73" s="1">
        <v>1157</v>
      </c>
      <c r="T73" s="1">
        <v>0</v>
      </c>
      <c r="U73" s="4">
        <v>0.12291666666666666</v>
      </c>
      <c r="V73" s="1">
        <v>1730</v>
      </c>
      <c r="W73" s="1">
        <v>1270</v>
      </c>
      <c r="X73" s="1">
        <v>3000</v>
      </c>
      <c r="Y73" s="1" t="s">
        <v>51</v>
      </c>
      <c r="Z73" s="1">
        <v>990</v>
      </c>
      <c r="AA73" s="1">
        <v>2010</v>
      </c>
      <c r="AB73" s="1">
        <v>0</v>
      </c>
      <c r="AC73" s="1">
        <v>0</v>
      </c>
      <c r="AD73" s="1">
        <v>0</v>
      </c>
      <c r="AE73" s="1">
        <v>0</v>
      </c>
      <c r="AF73" s="1"/>
      <c r="AG73" s="1">
        <v>0</v>
      </c>
      <c r="AH73" s="1">
        <v>0</v>
      </c>
      <c r="AI73" s="1">
        <v>0</v>
      </c>
      <c r="AJ73" s="1">
        <v>0</v>
      </c>
      <c r="AK73" s="1">
        <v>6.3516000000000004</v>
      </c>
      <c r="AL73" s="1">
        <v>6.3516000000000004</v>
      </c>
      <c r="AM73" s="1">
        <v>6.3516000000000004</v>
      </c>
    </row>
    <row r="74" spans="1:39" x14ac:dyDescent="0.3">
      <c r="A74" s="21" t="str">
        <f t="shared" si="1"/>
        <v>HFA704LGAV2026-02-09</v>
      </c>
      <c r="B74" t="str">
        <f>VLOOKUP(A74,Sheet1!A74:B1416,1,FALSE)</f>
        <v>HFA704LGAV2026-02-09</v>
      </c>
      <c r="C74" s="3">
        <v>46062</v>
      </c>
      <c r="D74" s="1" t="s">
        <v>52</v>
      </c>
      <c r="E74" s="1" t="s">
        <v>38</v>
      </c>
      <c r="F74" s="1"/>
      <c r="G74" s="1" t="s">
        <v>39</v>
      </c>
      <c r="H74" s="1" t="s">
        <v>40</v>
      </c>
      <c r="I74" s="1" t="s">
        <v>46</v>
      </c>
      <c r="J74" s="1" t="s">
        <v>47</v>
      </c>
      <c r="K74" s="1" t="s">
        <v>48</v>
      </c>
      <c r="L74" s="1" t="s">
        <v>49</v>
      </c>
      <c r="M74" s="1" t="s">
        <v>50</v>
      </c>
      <c r="N74" s="1" t="s">
        <v>41</v>
      </c>
      <c r="O74" s="1" t="s">
        <v>42</v>
      </c>
      <c r="P74" s="1" t="s">
        <v>43</v>
      </c>
      <c r="Q74" s="1" t="s">
        <v>44</v>
      </c>
      <c r="R74" s="1" t="s">
        <v>45</v>
      </c>
      <c r="S74" s="1">
        <v>1157</v>
      </c>
      <c r="T74" s="1">
        <v>0</v>
      </c>
      <c r="U74" s="4">
        <v>0.10972222222222222</v>
      </c>
      <c r="V74" s="1">
        <v>990</v>
      </c>
      <c r="W74" s="1">
        <v>2110</v>
      </c>
      <c r="X74" s="1">
        <v>3100</v>
      </c>
      <c r="Y74" s="1" t="s">
        <v>51</v>
      </c>
      <c r="Z74" s="1">
        <v>1720</v>
      </c>
      <c r="AA74" s="1">
        <v>1380</v>
      </c>
      <c r="AB74" s="1">
        <v>0</v>
      </c>
      <c r="AC74" s="1">
        <v>0</v>
      </c>
      <c r="AD74" s="1">
        <v>0</v>
      </c>
      <c r="AE74" s="1">
        <v>0</v>
      </c>
      <c r="AF74" s="1"/>
      <c r="AG74" s="1">
        <v>0</v>
      </c>
      <c r="AH74" s="1">
        <v>0</v>
      </c>
      <c r="AI74" s="1">
        <v>0</v>
      </c>
      <c r="AJ74" s="1">
        <v>0</v>
      </c>
      <c r="AK74" s="1">
        <v>4.3608000000000002</v>
      </c>
      <c r="AL74" s="1">
        <v>4.3608000000000002</v>
      </c>
      <c r="AM74" s="1">
        <v>4.3608000000000002</v>
      </c>
    </row>
    <row r="75" spans="1:39" x14ac:dyDescent="0.3">
      <c r="A75" s="21" t="str">
        <f t="shared" si="1"/>
        <v>HFA703LLHA2026-02-11</v>
      </c>
      <c r="B75" t="str">
        <f>VLOOKUP(A75,Sheet1!A75:B1417,1,FALSE)</f>
        <v>HFA703LLHA2026-02-11</v>
      </c>
      <c r="C75" s="3">
        <v>46064</v>
      </c>
      <c r="D75" s="1" t="s">
        <v>37</v>
      </c>
      <c r="E75" s="1" t="s">
        <v>38</v>
      </c>
      <c r="F75" s="1"/>
      <c r="G75" s="1" t="s">
        <v>39</v>
      </c>
      <c r="H75" s="1" t="s">
        <v>40</v>
      </c>
      <c r="I75" s="1" t="s">
        <v>41</v>
      </c>
      <c r="J75" s="1" t="s">
        <v>42</v>
      </c>
      <c r="K75" s="1" t="s">
        <v>43</v>
      </c>
      <c r="L75" s="1" t="s">
        <v>44</v>
      </c>
      <c r="M75" s="1" t="s">
        <v>45</v>
      </c>
      <c r="N75" s="1" t="s">
        <v>46</v>
      </c>
      <c r="O75" s="1" t="s">
        <v>47</v>
      </c>
      <c r="P75" s="1" t="s">
        <v>48</v>
      </c>
      <c r="Q75" s="1" t="s">
        <v>49</v>
      </c>
      <c r="R75" s="1" t="s">
        <v>50</v>
      </c>
      <c r="S75" s="1">
        <v>1157</v>
      </c>
      <c r="T75" s="1">
        <v>0</v>
      </c>
      <c r="U75" s="4">
        <v>0.12916666666666668</v>
      </c>
      <c r="V75" s="1">
        <v>1720</v>
      </c>
      <c r="W75" s="1">
        <v>1480</v>
      </c>
      <c r="X75" s="1">
        <v>3200</v>
      </c>
      <c r="Y75" s="1" t="s">
        <v>51</v>
      </c>
      <c r="Z75" s="1">
        <v>1240</v>
      </c>
      <c r="AA75" s="1">
        <v>1960</v>
      </c>
      <c r="AB75" s="1">
        <v>0</v>
      </c>
      <c r="AC75" s="1">
        <v>0</v>
      </c>
      <c r="AD75" s="1">
        <v>0</v>
      </c>
      <c r="AE75" s="1">
        <v>0</v>
      </c>
      <c r="AF75" s="1"/>
      <c r="AG75" s="1">
        <v>0</v>
      </c>
      <c r="AH75" s="1">
        <v>0</v>
      </c>
      <c r="AI75" s="1">
        <v>0</v>
      </c>
      <c r="AJ75" s="1">
        <v>0</v>
      </c>
      <c r="AK75" s="1">
        <v>6.1936</v>
      </c>
      <c r="AL75" s="1">
        <v>6.1936</v>
      </c>
      <c r="AM75" s="1">
        <v>6.1936</v>
      </c>
    </row>
    <row r="76" spans="1:39" x14ac:dyDescent="0.3">
      <c r="A76" s="21" t="str">
        <f t="shared" si="1"/>
        <v>HFA704LGAV2026-02-11</v>
      </c>
      <c r="B76" t="str">
        <f>VLOOKUP(A76,Sheet1!A76:B1418,1,FALSE)</f>
        <v>HFA704LGAV2026-02-11</v>
      </c>
      <c r="C76" s="3">
        <v>46064</v>
      </c>
      <c r="D76" s="1" t="s">
        <v>52</v>
      </c>
      <c r="E76" s="1" t="s">
        <v>38</v>
      </c>
      <c r="F76" s="1"/>
      <c r="G76" s="1" t="s">
        <v>39</v>
      </c>
      <c r="H76" s="1" t="s">
        <v>40</v>
      </c>
      <c r="I76" s="1" t="s">
        <v>46</v>
      </c>
      <c r="J76" s="1" t="s">
        <v>47</v>
      </c>
      <c r="K76" s="1" t="s">
        <v>48</v>
      </c>
      <c r="L76" s="1" t="s">
        <v>49</v>
      </c>
      <c r="M76" s="1" t="s">
        <v>50</v>
      </c>
      <c r="N76" s="1" t="s">
        <v>41</v>
      </c>
      <c r="O76" s="1" t="s">
        <v>42</v>
      </c>
      <c r="P76" s="1" t="s">
        <v>43</v>
      </c>
      <c r="Q76" s="1" t="s">
        <v>44</v>
      </c>
      <c r="R76" s="1" t="s">
        <v>45</v>
      </c>
      <c r="S76" s="1">
        <v>1157</v>
      </c>
      <c r="T76" s="1">
        <v>0</v>
      </c>
      <c r="U76" s="4">
        <v>0.10416666666666666</v>
      </c>
      <c r="V76" s="1">
        <v>1240</v>
      </c>
      <c r="W76" s="1">
        <v>1760</v>
      </c>
      <c r="X76" s="1">
        <v>3000</v>
      </c>
      <c r="Y76" s="1" t="s">
        <v>51</v>
      </c>
      <c r="Z76" s="1">
        <v>1670</v>
      </c>
      <c r="AA76" s="1">
        <v>1330</v>
      </c>
      <c r="AB76" s="1">
        <v>0</v>
      </c>
      <c r="AC76" s="1">
        <v>0</v>
      </c>
      <c r="AD76" s="1">
        <v>0</v>
      </c>
      <c r="AE76" s="1">
        <v>0</v>
      </c>
      <c r="AF76" s="1"/>
      <c r="AG76" s="1">
        <v>0</v>
      </c>
      <c r="AH76" s="1">
        <v>0</v>
      </c>
      <c r="AI76" s="1">
        <v>0</v>
      </c>
      <c r="AJ76" s="1">
        <v>0</v>
      </c>
      <c r="AK76" s="1">
        <v>4.2027999999999999</v>
      </c>
      <c r="AL76" s="1">
        <v>4.2027999999999999</v>
      </c>
      <c r="AM76" s="1">
        <v>4.2027999999999999</v>
      </c>
    </row>
    <row r="77" spans="1:39" x14ac:dyDescent="0.3">
      <c r="A77" s="21" t="str">
        <f t="shared" si="1"/>
        <v>HFA951LLHA2026-02-13</v>
      </c>
      <c r="B77" t="str">
        <f>VLOOKUP(A77,Sheet1!A77:B1419,1,FALSE)</f>
        <v>HFA951LLHA2026-02-13</v>
      </c>
      <c r="C77" s="3">
        <v>46066</v>
      </c>
      <c r="D77" s="1" t="s">
        <v>74</v>
      </c>
      <c r="E77" s="1" t="s">
        <v>38</v>
      </c>
      <c r="F77" s="1"/>
      <c r="G77" s="1" t="s">
        <v>39</v>
      </c>
      <c r="H77" s="1" t="s">
        <v>40</v>
      </c>
      <c r="I77" s="1" t="s">
        <v>41</v>
      </c>
      <c r="J77" s="1" t="s">
        <v>42</v>
      </c>
      <c r="K77" s="1" t="s">
        <v>43</v>
      </c>
      <c r="L77" s="1" t="s">
        <v>44</v>
      </c>
      <c r="M77" s="1" t="s">
        <v>45</v>
      </c>
      <c r="N77" s="1" t="s">
        <v>75</v>
      </c>
      <c r="O77" s="1" t="s">
        <v>76</v>
      </c>
      <c r="P77" s="1" t="s">
        <v>77</v>
      </c>
      <c r="Q77" s="1" t="s">
        <v>78</v>
      </c>
      <c r="R77" s="1" t="s">
        <v>50</v>
      </c>
      <c r="S77" s="1">
        <v>1499</v>
      </c>
      <c r="T77" s="1">
        <v>0</v>
      </c>
      <c r="U77" s="4">
        <v>0.15833333333333333</v>
      </c>
      <c r="V77" s="1">
        <v>1670</v>
      </c>
      <c r="W77" s="1">
        <v>2330</v>
      </c>
      <c r="X77" s="1">
        <v>4000</v>
      </c>
      <c r="Y77" s="1" t="s">
        <v>51</v>
      </c>
      <c r="Z77" s="1">
        <v>1800</v>
      </c>
      <c r="AA77" s="1">
        <v>2200</v>
      </c>
      <c r="AB77" s="1">
        <v>0</v>
      </c>
      <c r="AC77" s="1">
        <v>0</v>
      </c>
      <c r="AD77" s="1">
        <v>0</v>
      </c>
      <c r="AE77" s="1">
        <v>0</v>
      </c>
      <c r="AF77" s="1"/>
      <c r="AG77" s="1">
        <v>0</v>
      </c>
      <c r="AH77" s="1">
        <v>0</v>
      </c>
      <c r="AI77" s="1">
        <v>0</v>
      </c>
      <c r="AJ77" s="1">
        <v>0</v>
      </c>
      <c r="AK77" s="1">
        <v>6.952</v>
      </c>
      <c r="AL77" s="1">
        <v>6.952</v>
      </c>
      <c r="AM77" s="1">
        <v>6.952</v>
      </c>
    </row>
    <row r="78" spans="1:39" x14ac:dyDescent="0.3">
      <c r="A78" s="21" t="str">
        <f t="shared" si="1"/>
        <v>HFA952LBSF2026-02-13</v>
      </c>
      <c r="B78" t="str">
        <f>VLOOKUP(A78,Sheet1!A78:B1420,1,FALSE)</f>
        <v>HFA952LBSF2026-02-13</v>
      </c>
      <c r="C78" s="3">
        <v>46066</v>
      </c>
      <c r="D78" s="1" t="s">
        <v>79</v>
      </c>
      <c r="E78" s="1" t="s">
        <v>38</v>
      </c>
      <c r="F78" s="1"/>
      <c r="G78" s="1" t="s">
        <v>39</v>
      </c>
      <c r="H78" s="1" t="s">
        <v>40</v>
      </c>
      <c r="I78" s="1" t="s">
        <v>75</v>
      </c>
      <c r="J78" s="1" t="s">
        <v>76</v>
      </c>
      <c r="K78" s="1" t="s">
        <v>77</v>
      </c>
      <c r="L78" s="1" t="s">
        <v>78</v>
      </c>
      <c r="M78" s="1" t="s">
        <v>50</v>
      </c>
      <c r="N78" s="1" t="s">
        <v>41</v>
      </c>
      <c r="O78" s="1" t="s">
        <v>42</v>
      </c>
      <c r="P78" s="1" t="s">
        <v>43</v>
      </c>
      <c r="Q78" s="1" t="s">
        <v>44</v>
      </c>
      <c r="R78" s="1" t="s">
        <v>45</v>
      </c>
      <c r="S78" s="1">
        <v>1499</v>
      </c>
      <c r="T78" s="1">
        <v>0</v>
      </c>
      <c r="U78" s="4">
        <v>0.15069444444444444</v>
      </c>
      <c r="V78" s="1">
        <v>1800</v>
      </c>
      <c r="W78" s="1">
        <v>2400</v>
      </c>
      <c r="X78" s="1">
        <v>4200</v>
      </c>
      <c r="Y78" s="1" t="s">
        <v>51</v>
      </c>
      <c r="Z78" s="1">
        <v>2280</v>
      </c>
      <c r="AA78" s="1">
        <v>1920</v>
      </c>
      <c r="AB78" s="1">
        <v>0</v>
      </c>
      <c r="AC78" s="1">
        <v>0</v>
      </c>
      <c r="AD78" s="1">
        <v>0</v>
      </c>
      <c r="AE78" s="1">
        <v>0</v>
      </c>
      <c r="AF78" s="1"/>
      <c r="AG78" s="1">
        <v>0</v>
      </c>
      <c r="AH78" s="1">
        <v>0</v>
      </c>
      <c r="AI78" s="1">
        <v>0</v>
      </c>
      <c r="AJ78" s="1">
        <v>0</v>
      </c>
      <c r="AK78" s="1">
        <v>6.0671999999999997</v>
      </c>
      <c r="AL78" s="1">
        <v>6.0671999999999997</v>
      </c>
      <c r="AM78" s="1">
        <v>6.0671999999999997</v>
      </c>
    </row>
    <row r="79" spans="1:39" x14ac:dyDescent="0.3">
      <c r="A79" s="21" t="str">
        <f t="shared" si="1"/>
        <v>HFA703LLHA2026-02-14</v>
      </c>
      <c r="B79" t="str">
        <f>VLOOKUP(A79,Sheet1!A79:B1421,1,FALSE)</f>
        <v>HFA703LLHA2026-02-14</v>
      </c>
      <c r="C79" s="3">
        <v>46067</v>
      </c>
      <c r="D79" s="1" t="s">
        <v>37</v>
      </c>
      <c r="E79" s="1" t="s">
        <v>38</v>
      </c>
      <c r="F79" s="1"/>
      <c r="G79" s="1" t="s">
        <v>39</v>
      </c>
      <c r="H79" s="1" t="s">
        <v>40</v>
      </c>
      <c r="I79" s="1" t="s">
        <v>41</v>
      </c>
      <c r="J79" s="1" t="s">
        <v>42</v>
      </c>
      <c r="K79" s="1" t="s">
        <v>43</v>
      </c>
      <c r="L79" s="1" t="s">
        <v>44</v>
      </c>
      <c r="M79" s="1" t="s">
        <v>45</v>
      </c>
      <c r="N79" s="1" t="s">
        <v>46</v>
      </c>
      <c r="O79" s="1" t="s">
        <v>47</v>
      </c>
      <c r="P79" s="1" t="s">
        <v>48</v>
      </c>
      <c r="Q79" s="1" t="s">
        <v>49</v>
      </c>
      <c r="R79" s="1" t="s">
        <v>50</v>
      </c>
      <c r="S79" s="1">
        <v>1157</v>
      </c>
      <c r="T79" s="1">
        <v>0</v>
      </c>
      <c r="U79" s="4">
        <v>0.13333333333333333</v>
      </c>
      <c r="V79" s="1">
        <v>2280</v>
      </c>
      <c r="W79" s="1">
        <v>1020</v>
      </c>
      <c r="X79" s="1">
        <v>3300</v>
      </c>
      <c r="Y79" s="1" t="s">
        <v>51</v>
      </c>
      <c r="Z79" s="1">
        <v>1320</v>
      </c>
      <c r="AA79" s="1">
        <v>1980</v>
      </c>
      <c r="AB79" s="1">
        <v>0</v>
      </c>
      <c r="AC79" s="1">
        <v>0</v>
      </c>
      <c r="AD79" s="1">
        <v>0</v>
      </c>
      <c r="AE79" s="1">
        <v>0</v>
      </c>
      <c r="AF79" s="1"/>
      <c r="AG79" s="1">
        <v>0</v>
      </c>
      <c r="AH79" s="1">
        <v>0</v>
      </c>
      <c r="AI79" s="1">
        <v>0</v>
      </c>
      <c r="AJ79" s="1">
        <v>0</v>
      </c>
      <c r="AK79" s="1">
        <v>6.2568000000000001</v>
      </c>
      <c r="AL79" s="1">
        <v>6.2568000000000001</v>
      </c>
      <c r="AM79" s="1">
        <v>6.2568000000000001</v>
      </c>
    </row>
    <row r="80" spans="1:39" x14ac:dyDescent="0.3">
      <c r="A80" s="21" t="str">
        <f t="shared" si="1"/>
        <v>HFA704LGAV2026-02-14</v>
      </c>
      <c r="B80" t="str">
        <f>VLOOKUP(A80,Sheet1!A80:B1422,1,FALSE)</f>
        <v>HFA704LGAV2026-02-14</v>
      </c>
      <c r="C80" s="3">
        <v>46067</v>
      </c>
      <c r="D80" s="1" t="s">
        <v>52</v>
      </c>
      <c r="E80" s="1" t="s">
        <v>38</v>
      </c>
      <c r="F80" s="1"/>
      <c r="G80" s="1" t="s">
        <v>39</v>
      </c>
      <c r="H80" s="1" t="s">
        <v>40</v>
      </c>
      <c r="I80" s="1" t="s">
        <v>46</v>
      </c>
      <c r="J80" s="1" t="s">
        <v>47</v>
      </c>
      <c r="K80" s="1" t="s">
        <v>48</v>
      </c>
      <c r="L80" s="1" t="s">
        <v>49</v>
      </c>
      <c r="M80" s="1" t="s">
        <v>50</v>
      </c>
      <c r="N80" s="1" t="s">
        <v>41</v>
      </c>
      <c r="O80" s="1" t="s">
        <v>42</v>
      </c>
      <c r="P80" s="1" t="s">
        <v>43</v>
      </c>
      <c r="Q80" s="1" t="s">
        <v>44</v>
      </c>
      <c r="R80" s="1" t="s">
        <v>45</v>
      </c>
      <c r="S80" s="1">
        <v>1157</v>
      </c>
      <c r="T80" s="1">
        <v>0</v>
      </c>
      <c r="U80" s="4">
        <v>0.10625</v>
      </c>
      <c r="V80" s="1">
        <v>1320</v>
      </c>
      <c r="W80" s="1">
        <v>1880</v>
      </c>
      <c r="X80" s="1">
        <v>3200</v>
      </c>
      <c r="Y80" s="1" t="s">
        <v>51</v>
      </c>
      <c r="Z80" s="1">
        <v>1660</v>
      </c>
      <c r="AA80" s="1">
        <v>1540</v>
      </c>
      <c r="AB80" s="1">
        <v>0</v>
      </c>
      <c r="AC80" s="1">
        <v>0</v>
      </c>
      <c r="AD80" s="1">
        <v>0</v>
      </c>
      <c r="AE80" s="1">
        <v>0</v>
      </c>
      <c r="AF80" s="1"/>
      <c r="AG80" s="1">
        <v>0</v>
      </c>
      <c r="AH80" s="1">
        <v>0</v>
      </c>
      <c r="AI80" s="1">
        <v>0</v>
      </c>
      <c r="AJ80" s="1">
        <v>0</v>
      </c>
      <c r="AK80" s="1">
        <v>4.8663999999999996</v>
      </c>
      <c r="AL80" s="1">
        <v>4.8663999999999996</v>
      </c>
      <c r="AM80" s="1">
        <v>4.8663999999999996</v>
      </c>
    </row>
    <row r="81" spans="1:39" x14ac:dyDescent="0.3">
      <c r="A81" s="21" t="str">
        <f t="shared" si="1"/>
        <v>HFA701LLHA2026-02-15</v>
      </c>
      <c r="B81" t="str">
        <f>VLOOKUP(A81,Sheet1!A81:B1423,1,FALSE)</f>
        <v>HFA701LLHA2026-02-15</v>
      </c>
      <c r="C81" s="3">
        <v>46068</v>
      </c>
      <c r="D81" s="1" t="s">
        <v>53</v>
      </c>
      <c r="E81" s="1" t="s">
        <v>38</v>
      </c>
      <c r="F81" s="1"/>
      <c r="G81" s="1" t="s">
        <v>39</v>
      </c>
      <c r="H81" s="1" t="s">
        <v>40</v>
      </c>
      <c r="I81" s="1" t="s">
        <v>41</v>
      </c>
      <c r="J81" s="1" t="s">
        <v>42</v>
      </c>
      <c r="K81" s="1" t="s">
        <v>43</v>
      </c>
      <c r="L81" s="1" t="s">
        <v>44</v>
      </c>
      <c r="M81" s="1" t="s">
        <v>45</v>
      </c>
      <c r="N81" s="1" t="s">
        <v>46</v>
      </c>
      <c r="O81" s="1" t="s">
        <v>47</v>
      </c>
      <c r="P81" s="1" t="s">
        <v>48</v>
      </c>
      <c r="Q81" s="1" t="s">
        <v>49</v>
      </c>
      <c r="R81" s="1" t="s">
        <v>50</v>
      </c>
      <c r="S81" s="1">
        <v>1157</v>
      </c>
      <c r="T81" s="1">
        <v>0</v>
      </c>
      <c r="U81" s="4">
        <v>0.11597222222222223</v>
      </c>
      <c r="V81" s="1">
        <v>1660</v>
      </c>
      <c r="W81" s="1">
        <v>1240</v>
      </c>
      <c r="X81" s="1">
        <v>2900</v>
      </c>
      <c r="Y81" s="1" t="s">
        <v>51</v>
      </c>
      <c r="Z81" s="1">
        <v>1060</v>
      </c>
      <c r="AA81" s="1">
        <v>1840</v>
      </c>
      <c r="AB81" s="1">
        <v>0</v>
      </c>
      <c r="AC81" s="1">
        <v>0</v>
      </c>
      <c r="AD81" s="1">
        <v>0</v>
      </c>
      <c r="AE81" s="1">
        <v>0</v>
      </c>
      <c r="AF81" s="1"/>
      <c r="AG81" s="1">
        <v>0</v>
      </c>
      <c r="AH81" s="1">
        <v>0</v>
      </c>
      <c r="AI81" s="1">
        <v>0</v>
      </c>
      <c r="AJ81" s="1">
        <v>0</v>
      </c>
      <c r="AK81" s="1">
        <v>5.8144</v>
      </c>
      <c r="AL81" s="1">
        <v>5.8144</v>
      </c>
      <c r="AM81" s="1">
        <v>5.8144</v>
      </c>
    </row>
    <row r="82" spans="1:39" x14ac:dyDescent="0.3">
      <c r="A82" s="21" t="str">
        <f t="shared" si="1"/>
        <v>HFA702LGAV2026-02-15</v>
      </c>
      <c r="B82" t="str">
        <f>VLOOKUP(A82,Sheet1!A82:B1424,1,FALSE)</f>
        <v>HFA702LGAV2026-02-15</v>
      </c>
      <c r="C82" s="3">
        <v>46068</v>
      </c>
      <c r="D82" s="1" t="s">
        <v>56</v>
      </c>
      <c r="E82" s="1" t="s">
        <v>38</v>
      </c>
      <c r="F82" s="1"/>
      <c r="G82" s="1" t="s">
        <v>39</v>
      </c>
      <c r="H82" s="1" t="s">
        <v>40</v>
      </c>
      <c r="I82" s="1" t="s">
        <v>46</v>
      </c>
      <c r="J82" s="1" t="s">
        <v>47</v>
      </c>
      <c r="K82" s="1" t="s">
        <v>48</v>
      </c>
      <c r="L82" s="1" t="s">
        <v>49</v>
      </c>
      <c r="M82" s="1" t="s">
        <v>50</v>
      </c>
      <c r="N82" s="1" t="s">
        <v>41</v>
      </c>
      <c r="O82" s="1" t="s">
        <v>42</v>
      </c>
      <c r="P82" s="1" t="s">
        <v>43</v>
      </c>
      <c r="Q82" s="1" t="s">
        <v>44</v>
      </c>
      <c r="R82" s="1" t="s">
        <v>45</v>
      </c>
      <c r="S82" s="1">
        <v>1157</v>
      </c>
      <c r="T82" s="1">
        <v>0</v>
      </c>
      <c r="U82" s="4">
        <v>0.10972222222222222</v>
      </c>
      <c r="V82" s="1">
        <v>1060</v>
      </c>
      <c r="W82" s="1">
        <v>2240</v>
      </c>
      <c r="X82" s="1">
        <v>3300</v>
      </c>
      <c r="Y82" s="1" t="s">
        <v>51</v>
      </c>
      <c r="Z82" s="1">
        <v>1770</v>
      </c>
      <c r="AA82" s="1">
        <v>1530</v>
      </c>
      <c r="AB82" s="1">
        <v>0</v>
      </c>
      <c r="AC82" s="1">
        <v>0</v>
      </c>
      <c r="AD82" s="1">
        <v>0</v>
      </c>
      <c r="AE82" s="1">
        <v>0</v>
      </c>
      <c r="AF82" s="1"/>
      <c r="AG82" s="1">
        <v>0</v>
      </c>
      <c r="AH82" s="1">
        <v>0</v>
      </c>
      <c r="AI82" s="1">
        <v>0</v>
      </c>
      <c r="AJ82" s="1">
        <v>0</v>
      </c>
      <c r="AK82" s="1">
        <v>4.8348000000000004</v>
      </c>
      <c r="AL82" s="1">
        <v>4.8348000000000004</v>
      </c>
      <c r="AM82" s="1">
        <v>4.8348000000000004</v>
      </c>
    </row>
    <row r="83" spans="1:39" x14ac:dyDescent="0.3">
      <c r="A83" s="21" t="str">
        <f t="shared" si="1"/>
        <v>HFA201LLHA2026-02-16</v>
      </c>
      <c r="B83" t="str">
        <f>VLOOKUP(A83,Sheet1!A83:B1425,1,FALSE)</f>
        <v>HFA201LLHA2026-02-16</v>
      </c>
      <c r="C83" s="3">
        <v>46069</v>
      </c>
      <c r="D83" s="1" t="s">
        <v>80</v>
      </c>
      <c r="E83" s="1" t="s">
        <v>65</v>
      </c>
      <c r="F83" s="1"/>
      <c r="G83" s="1" t="s">
        <v>39</v>
      </c>
      <c r="H83" s="1" t="s">
        <v>40</v>
      </c>
      <c r="I83" s="1" t="s">
        <v>41</v>
      </c>
      <c r="J83" s="1" t="s">
        <v>42</v>
      </c>
      <c r="K83" s="1" t="s">
        <v>43</v>
      </c>
      <c r="L83" s="1" t="s">
        <v>44</v>
      </c>
      <c r="M83" s="1" t="s">
        <v>45</v>
      </c>
      <c r="N83" s="1" t="s">
        <v>75</v>
      </c>
      <c r="O83" s="1" t="s">
        <v>76</v>
      </c>
      <c r="P83" s="1" t="s">
        <v>77</v>
      </c>
      <c r="Q83" s="1" t="s">
        <v>78</v>
      </c>
      <c r="R83" s="1" t="s">
        <v>50</v>
      </c>
      <c r="S83" s="1">
        <v>1499</v>
      </c>
      <c r="T83" s="1">
        <v>0</v>
      </c>
      <c r="U83" s="4">
        <v>0.14374999999999999</v>
      </c>
      <c r="V83" s="1">
        <v>1770</v>
      </c>
      <c r="W83" s="1">
        <v>1230</v>
      </c>
      <c r="X83" s="1">
        <v>3000</v>
      </c>
      <c r="Y83" s="1" t="s">
        <v>51</v>
      </c>
      <c r="Z83" s="1">
        <v>1070</v>
      </c>
      <c r="AA83" s="1">
        <v>1930</v>
      </c>
      <c r="AB83" s="1">
        <v>0</v>
      </c>
      <c r="AC83" s="1">
        <v>0</v>
      </c>
      <c r="AD83" s="1">
        <v>0</v>
      </c>
      <c r="AE83" s="1">
        <v>0</v>
      </c>
      <c r="AF83" s="1"/>
      <c r="AG83" s="1">
        <v>0</v>
      </c>
      <c r="AH83" s="1">
        <v>0</v>
      </c>
      <c r="AI83" s="1">
        <v>0</v>
      </c>
      <c r="AJ83" s="1">
        <v>0</v>
      </c>
      <c r="AK83" s="1">
        <v>6.0987999999999998</v>
      </c>
      <c r="AL83" s="1">
        <v>6.0987999999999998</v>
      </c>
      <c r="AM83" s="1">
        <v>6.0987999999999998</v>
      </c>
    </row>
    <row r="84" spans="1:39" x14ac:dyDescent="0.3">
      <c r="A84" s="21" t="str">
        <f t="shared" si="1"/>
        <v>HFA122LBSF2026-03-07</v>
      </c>
      <c r="B84" t="e">
        <f>VLOOKUP(A84,Sheet1!A84:B1426,1,FALSE)</f>
        <v>#N/A</v>
      </c>
      <c r="C84" s="18">
        <v>46088</v>
      </c>
      <c r="D84" s="1" t="s">
        <v>81</v>
      </c>
      <c r="E84" s="1" t="s">
        <v>38</v>
      </c>
      <c r="F84" s="1"/>
      <c r="G84" s="1" t="s">
        <v>39</v>
      </c>
      <c r="H84" s="1" t="s">
        <v>40</v>
      </c>
      <c r="I84" s="1" t="s">
        <v>75</v>
      </c>
      <c r="J84" s="1" t="s">
        <v>76</v>
      </c>
      <c r="K84" s="1" t="s">
        <v>77</v>
      </c>
      <c r="L84" s="1" t="s">
        <v>78</v>
      </c>
      <c r="M84" s="1" t="s">
        <v>50</v>
      </c>
      <c r="N84" s="1" t="s">
        <v>41</v>
      </c>
      <c r="O84" s="1" t="s">
        <v>82</v>
      </c>
      <c r="P84" s="1" t="s">
        <v>83</v>
      </c>
      <c r="Q84" s="1" t="s">
        <v>84</v>
      </c>
      <c r="R84" s="1" t="s">
        <v>45</v>
      </c>
      <c r="S84" s="1">
        <v>1559</v>
      </c>
      <c r="T84" s="1">
        <v>0</v>
      </c>
      <c r="U84" s="4">
        <v>0.14374999999999999</v>
      </c>
      <c r="V84" s="1">
        <v>1070</v>
      </c>
      <c r="W84" s="1">
        <v>2230</v>
      </c>
      <c r="X84" s="1">
        <v>3300</v>
      </c>
      <c r="Y84" s="1" t="s">
        <v>51</v>
      </c>
      <c r="Z84" s="1">
        <v>1530</v>
      </c>
      <c r="AA84" s="1">
        <v>1770</v>
      </c>
      <c r="AB84" s="1">
        <v>0</v>
      </c>
      <c r="AC84" s="1">
        <v>0</v>
      </c>
      <c r="AD84" s="1">
        <v>0</v>
      </c>
      <c r="AE84" s="1">
        <v>0</v>
      </c>
      <c r="AF84" s="1"/>
      <c r="AG84" s="1">
        <v>0</v>
      </c>
      <c r="AH84" s="1">
        <v>0</v>
      </c>
      <c r="AI84" s="1">
        <v>0</v>
      </c>
      <c r="AJ84" s="1">
        <v>0</v>
      </c>
      <c r="AK84" s="1">
        <v>5.5932000000000004</v>
      </c>
      <c r="AL84" s="1">
        <v>5.5932000000000004</v>
      </c>
      <c r="AM84" s="1">
        <v>5.5932000000000004</v>
      </c>
    </row>
    <row r="85" spans="1:39" x14ac:dyDescent="0.3">
      <c r="A85" s="21" t="str">
        <f t="shared" si="1"/>
        <v>HFA121LLBG2026-03-07</v>
      </c>
      <c r="B85" t="e">
        <f>VLOOKUP(A85,Sheet1!A85:B1427,1,FALSE)</f>
        <v>#N/A</v>
      </c>
      <c r="C85" s="3">
        <v>46088</v>
      </c>
      <c r="D85" s="1" t="s">
        <v>85</v>
      </c>
      <c r="E85" s="1" t="s">
        <v>38</v>
      </c>
      <c r="F85" s="1"/>
      <c r="G85" s="1" t="s">
        <v>39</v>
      </c>
      <c r="H85" s="1" t="s">
        <v>40</v>
      </c>
      <c r="I85" s="1" t="s">
        <v>41</v>
      </c>
      <c r="J85" s="1" t="s">
        <v>82</v>
      </c>
      <c r="K85" s="1" t="s">
        <v>83</v>
      </c>
      <c r="L85" s="1" t="s">
        <v>84</v>
      </c>
      <c r="M85" s="1" t="s">
        <v>45</v>
      </c>
      <c r="N85" s="1" t="s">
        <v>67</v>
      </c>
      <c r="O85" s="1" t="s">
        <v>86</v>
      </c>
      <c r="P85" s="1" t="s">
        <v>87</v>
      </c>
      <c r="Q85" s="1" t="s">
        <v>88</v>
      </c>
      <c r="R85" s="1" t="s">
        <v>50</v>
      </c>
      <c r="S85" s="1">
        <v>339</v>
      </c>
      <c r="T85" s="1">
        <v>339</v>
      </c>
      <c r="U85" s="4">
        <v>7.2916666666666657E-2</v>
      </c>
      <c r="V85" s="1">
        <v>1530</v>
      </c>
      <c r="W85" s="1">
        <v>270</v>
      </c>
      <c r="X85" s="1">
        <v>1800</v>
      </c>
      <c r="Y85" s="1" t="s">
        <v>51</v>
      </c>
      <c r="Z85" s="1">
        <v>760</v>
      </c>
      <c r="AA85" s="1">
        <v>1040</v>
      </c>
      <c r="AB85" s="1">
        <v>0</v>
      </c>
      <c r="AC85" s="1">
        <v>0</v>
      </c>
      <c r="AD85" s="1">
        <v>0</v>
      </c>
      <c r="AE85" s="1">
        <v>0</v>
      </c>
      <c r="AF85" s="1"/>
      <c r="AG85" s="1">
        <v>0</v>
      </c>
      <c r="AH85" s="1">
        <v>0</v>
      </c>
      <c r="AI85" s="1">
        <v>0</v>
      </c>
      <c r="AJ85" s="1">
        <v>0</v>
      </c>
      <c r="AK85" s="1">
        <v>3.2864</v>
      </c>
      <c r="AL85" s="1">
        <v>3.2864</v>
      </c>
      <c r="AM85" s="1">
        <v>3.2864</v>
      </c>
    </row>
    <row r="86" spans="1:39" x14ac:dyDescent="0.3">
      <c r="A86" s="21" t="str">
        <f t="shared" si="1"/>
        <v>HFA132LCLK2026-03-08</v>
      </c>
      <c r="B86" t="e">
        <f>VLOOKUP(A86,Sheet1!A86:B1428,1,FALSE)</f>
        <v>#N/A</v>
      </c>
      <c r="C86" s="3">
        <v>46089</v>
      </c>
      <c r="D86" s="1" t="s">
        <v>89</v>
      </c>
      <c r="E86" s="1" t="s">
        <v>38</v>
      </c>
      <c r="F86" s="1"/>
      <c r="G86" s="1" t="s">
        <v>39</v>
      </c>
      <c r="H86" s="1" t="s">
        <v>40</v>
      </c>
      <c r="I86" s="1" t="s">
        <v>67</v>
      </c>
      <c r="J86" s="1" t="s">
        <v>86</v>
      </c>
      <c r="K86" s="1" t="s">
        <v>87</v>
      </c>
      <c r="L86" s="1" t="s">
        <v>87</v>
      </c>
      <c r="M86" s="1" t="s">
        <v>87</v>
      </c>
      <c r="N86" s="1" t="s">
        <v>87</v>
      </c>
      <c r="O86" s="1" t="s">
        <v>87</v>
      </c>
      <c r="P86" s="1" t="s">
        <v>83</v>
      </c>
      <c r="Q86" s="1" t="s">
        <v>84</v>
      </c>
      <c r="R86" s="1" t="s">
        <v>45</v>
      </c>
      <c r="S86" s="1">
        <v>339</v>
      </c>
      <c r="T86" s="1">
        <v>339</v>
      </c>
      <c r="U86" s="4">
        <v>5.1388888888888887E-2</v>
      </c>
      <c r="V86" s="1">
        <v>760</v>
      </c>
      <c r="W86" s="1">
        <v>1840</v>
      </c>
      <c r="X86" s="1">
        <v>2600</v>
      </c>
      <c r="Y86" s="1" t="s">
        <v>51</v>
      </c>
      <c r="Z86" s="1">
        <v>1940</v>
      </c>
      <c r="AA86" s="1">
        <v>660</v>
      </c>
      <c r="AB86" s="1">
        <v>0</v>
      </c>
      <c r="AC86" s="1">
        <v>0</v>
      </c>
      <c r="AD86" s="1">
        <v>0</v>
      </c>
      <c r="AE86" s="1">
        <v>0</v>
      </c>
      <c r="AF86" s="1"/>
      <c r="AG86" s="1">
        <v>0</v>
      </c>
      <c r="AH86" s="1">
        <v>0</v>
      </c>
      <c r="AI86" s="1">
        <v>0</v>
      </c>
      <c r="AJ86" s="1">
        <v>0</v>
      </c>
      <c r="AK86" s="1">
        <v>2.0855999999999999</v>
      </c>
      <c r="AL86" s="1">
        <v>2.0855999999999999</v>
      </c>
      <c r="AM86" s="1">
        <v>2.0855999999999999</v>
      </c>
    </row>
    <row r="87" spans="1:39" x14ac:dyDescent="0.3">
      <c r="A87" s="21" t="str">
        <f t="shared" si="1"/>
        <v>HFA133LLBG2026-03-08</v>
      </c>
      <c r="B87" t="e">
        <f>VLOOKUP(A87,Sheet1!A87:B1429,1,FALSE)</f>
        <v>#N/A</v>
      </c>
      <c r="C87" s="3">
        <v>46089</v>
      </c>
      <c r="D87" s="1" t="s">
        <v>90</v>
      </c>
      <c r="E87" s="1" t="s">
        <v>38</v>
      </c>
      <c r="F87" s="1"/>
      <c r="G87" s="1" t="s">
        <v>39</v>
      </c>
      <c r="H87" s="1" t="s">
        <v>40</v>
      </c>
      <c r="I87" s="1" t="s">
        <v>41</v>
      </c>
      <c r="J87" s="1" t="s">
        <v>82</v>
      </c>
      <c r="K87" s="1" t="s">
        <v>83</v>
      </c>
      <c r="L87" s="1" t="s">
        <v>84</v>
      </c>
      <c r="M87" s="1" t="s">
        <v>45</v>
      </c>
      <c r="N87" s="1" t="s">
        <v>46</v>
      </c>
      <c r="O87" s="1" t="s">
        <v>47</v>
      </c>
      <c r="P87" s="1" t="s">
        <v>48</v>
      </c>
      <c r="Q87" s="1" t="s">
        <v>49</v>
      </c>
      <c r="R87" s="1" t="s">
        <v>50</v>
      </c>
      <c r="S87" s="1">
        <v>1195</v>
      </c>
      <c r="T87" s="1">
        <v>1195</v>
      </c>
      <c r="U87" s="4">
        <v>0.13194444444444445</v>
      </c>
      <c r="V87" s="1">
        <v>1940</v>
      </c>
      <c r="W87" s="1">
        <v>1260</v>
      </c>
      <c r="X87" s="1">
        <v>3200</v>
      </c>
      <c r="Y87" s="1" t="s">
        <v>51</v>
      </c>
      <c r="Z87" s="1">
        <v>1300</v>
      </c>
      <c r="AA87" s="1">
        <v>1900</v>
      </c>
      <c r="AB87" s="1">
        <v>0</v>
      </c>
      <c r="AC87" s="1">
        <v>0</v>
      </c>
      <c r="AD87" s="1">
        <v>0</v>
      </c>
      <c r="AE87" s="1">
        <v>0</v>
      </c>
      <c r="AF87" s="1"/>
      <c r="AG87" s="1">
        <v>0</v>
      </c>
      <c r="AH87" s="1">
        <v>0</v>
      </c>
      <c r="AI87" s="1">
        <v>0</v>
      </c>
      <c r="AJ87" s="1">
        <v>0</v>
      </c>
      <c r="AK87" s="1">
        <v>6.0039999999999996</v>
      </c>
      <c r="AL87" s="1">
        <v>6.0039999999999996</v>
      </c>
      <c r="AM87" s="1">
        <v>6.0039999999999996</v>
      </c>
    </row>
    <row r="88" spans="1:39" x14ac:dyDescent="0.3">
      <c r="A88" s="21" t="str">
        <f t="shared" si="1"/>
        <v>HFA134LGAV2026-03-08</v>
      </c>
      <c r="B88" t="e">
        <f>VLOOKUP(A88,Sheet1!A88:B1430,1,FALSE)</f>
        <v>#N/A</v>
      </c>
      <c r="C88" s="3">
        <v>46089</v>
      </c>
      <c r="D88" s="1" t="s">
        <v>91</v>
      </c>
      <c r="E88" s="1" t="s">
        <v>38</v>
      </c>
      <c r="F88" s="1"/>
      <c r="G88" s="1" t="s">
        <v>39</v>
      </c>
      <c r="H88" s="1" t="s">
        <v>40</v>
      </c>
      <c r="I88" s="1" t="s">
        <v>46</v>
      </c>
      <c r="J88" s="1" t="s">
        <v>47</v>
      </c>
      <c r="K88" s="1" t="s">
        <v>48</v>
      </c>
      <c r="L88" s="1" t="s">
        <v>49</v>
      </c>
      <c r="M88" s="1" t="s">
        <v>50</v>
      </c>
      <c r="N88" s="1" t="s">
        <v>41</v>
      </c>
      <c r="O88" s="1" t="s">
        <v>82</v>
      </c>
      <c r="P88" s="1" t="s">
        <v>83</v>
      </c>
      <c r="Q88" s="1" t="s">
        <v>84</v>
      </c>
      <c r="R88" s="1" t="s">
        <v>45</v>
      </c>
      <c r="S88" s="1">
        <v>1195</v>
      </c>
      <c r="T88" s="1">
        <v>1195</v>
      </c>
      <c r="U88" s="4">
        <v>0.11527777777777777</v>
      </c>
      <c r="V88" s="1">
        <v>1300</v>
      </c>
      <c r="W88" s="1">
        <v>1700</v>
      </c>
      <c r="X88" s="1">
        <v>3000</v>
      </c>
      <c r="Y88" s="1" t="s">
        <v>51</v>
      </c>
      <c r="Z88" s="1">
        <v>1440</v>
      </c>
      <c r="AA88" s="1">
        <v>1560</v>
      </c>
      <c r="AB88" s="1">
        <v>0</v>
      </c>
      <c r="AC88" s="1">
        <v>0</v>
      </c>
      <c r="AD88" s="1">
        <v>0</v>
      </c>
      <c r="AE88" s="1">
        <v>0</v>
      </c>
      <c r="AF88" s="1"/>
      <c r="AG88" s="1">
        <v>0</v>
      </c>
      <c r="AH88" s="1">
        <v>0</v>
      </c>
      <c r="AI88" s="1">
        <v>0</v>
      </c>
      <c r="AJ88" s="1">
        <v>0</v>
      </c>
      <c r="AK88" s="1">
        <v>4.9295999999999998</v>
      </c>
      <c r="AL88" s="1">
        <v>4.9295999999999998</v>
      </c>
      <c r="AM88" s="1">
        <v>4.9295999999999998</v>
      </c>
    </row>
    <row r="89" spans="1:39" x14ac:dyDescent="0.3">
      <c r="A89" s="21" t="str">
        <f t="shared" si="1"/>
        <v>HFA135LLBG2026-03-08</v>
      </c>
      <c r="B89" t="e">
        <f>VLOOKUP(A89,Sheet1!A89:B1431,1,FALSE)</f>
        <v>#N/A</v>
      </c>
      <c r="C89" s="3">
        <v>46089</v>
      </c>
      <c r="D89" s="1" t="s">
        <v>92</v>
      </c>
      <c r="E89" s="1" t="s">
        <v>38</v>
      </c>
      <c r="F89" s="1"/>
      <c r="G89" s="1" t="s">
        <v>39</v>
      </c>
      <c r="H89" s="1" t="s">
        <v>40</v>
      </c>
      <c r="I89" s="1" t="s">
        <v>41</v>
      </c>
      <c r="J89" s="1" t="s">
        <v>82</v>
      </c>
      <c r="K89" s="1" t="s">
        <v>83</v>
      </c>
      <c r="L89" s="1" t="s">
        <v>84</v>
      </c>
      <c r="M89" s="1" t="s">
        <v>45</v>
      </c>
      <c r="N89" s="1" t="s">
        <v>67</v>
      </c>
      <c r="O89" s="1" t="s">
        <v>86</v>
      </c>
      <c r="P89" s="1" t="s">
        <v>87</v>
      </c>
      <c r="Q89" s="1" t="s">
        <v>88</v>
      </c>
      <c r="R89" s="1" t="s">
        <v>50</v>
      </c>
      <c r="S89" s="1">
        <v>339</v>
      </c>
      <c r="T89" s="1">
        <v>339</v>
      </c>
      <c r="U89" s="4">
        <v>6.5972222222222224E-2</v>
      </c>
      <c r="V89" s="1">
        <v>1440</v>
      </c>
      <c r="W89" s="1">
        <v>560</v>
      </c>
      <c r="X89" s="1">
        <v>2000</v>
      </c>
      <c r="Y89" s="1" t="s">
        <v>51</v>
      </c>
      <c r="Z89" s="1">
        <v>1040</v>
      </c>
      <c r="AA89" s="1">
        <v>960</v>
      </c>
      <c r="AB89" s="1">
        <v>0</v>
      </c>
      <c r="AC89" s="1">
        <v>0</v>
      </c>
      <c r="AD89" s="1">
        <v>0</v>
      </c>
      <c r="AE89" s="1">
        <v>0</v>
      </c>
      <c r="AF89" s="1"/>
      <c r="AG89" s="1">
        <v>0</v>
      </c>
      <c r="AH89" s="1">
        <v>0</v>
      </c>
      <c r="AI89" s="1">
        <v>0</v>
      </c>
      <c r="AJ89" s="1">
        <v>0</v>
      </c>
      <c r="AK89" s="1">
        <v>3.0335999999999999</v>
      </c>
      <c r="AL89" s="1">
        <v>3.0335999999999999</v>
      </c>
      <c r="AM89" s="1">
        <v>3.0335999999999999</v>
      </c>
    </row>
    <row r="90" spans="1:39" x14ac:dyDescent="0.3">
      <c r="A90" s="21" t="str">
        <f t="shared" si="1"/>
        <v>HFA186LCLK2026-03-14</v>
      </c>
      <c r="B90" t="str">
        <f>VLOOKUP(A90,Sheet1!A90:B1432,1,FALSE)</f>
        <v>HFA186LCLK2026-03-14</v>
      </c>
      <c r="C90" s="3">
        <v>46095</v>
      </c>
      <c r="D90" s="1" t="s">
        <v>93</v>
      </c>
      <c r="E90" s="1" t="s">
        <v>38</v>
      </c>
      <c r="F90" s="1"/>
      <c r="G90" s="1" t="s">
        <v>39</v>
      </c>
      <c r="H90" s="1" t="s">
        <v>40</v>
      </c>
      <c r="I90" s="1" t="s">
        <v>67</v>
      </c>
      <c r="J90" s="1" t="s">
        <v>86</v>
      </c>
      <c r="K90" s="1" t="s">
        <v>87</v>
      </c>
      <c r="L90" s="1" t="s">
        <v>88</v>
      </c>
      <c r="M90" s="1" t="s">
        <v>50</v>
      </c>
      <c r="N90" s="1" t="s">
        <v>41</v>
      </c>
      <c r="O90" s="1" t="s">
        <v>82</v>
      </c>
      <c r="P90" s="1" t="s">
        <v>83</v>
      </c>
      <c r="Q90" s="1" t="s">
        <v>84</v>
      </c>
      <c r="R90" s="1" t="s">
        <v>45</v>
      </c>
      <c r="S90" s="1">
        <v>339</v>
      </c>
      <c r="T90" s="1">
        <v>0</v>
      </c>
      <c r="U90" s="4">
        <v>6.1805555555555558E-2</v>
      </c>
      <c r="V90" s="1">
        <v>1040</v>
      </c>
      <c r="W90" s="1">
        <v>1450</v>
      </c>
      <c r="X90" s="1">
        <v>2490</v>
      </c>
      <c r="Y90" s="1" t="s">
        <v>51</v>
      </c>
      <c r="Z90" s="1">
        <v>1800</v>
      </c>
      <c r="AA90" s="1">
        <v>690</v>
      </c>
      <c r="AB90" s="1">
        <v>0</v>
      </c>
      <c r="AC90" s="1">
        <v>0</v>
      </c>
      <c r="AD90" s="1">
        <v>0</v>
      </c>
      <c r="AE90" s="1">
        <v>0</v>
      </c>
      <c r="AF90" s="1"/>
      <c r="AG90" s="1">
        <v>0</v>
      </c>
      <c r="AH90" s="1">
        <v>0</v>
      </c>
      <c r="AI90" s="1">
        <v>0</v>
      </c>
      <c r="AJ90" s="1">
        <v>0</v>
      </c>
      <c r="AK90" s="1">
        <v>2.1804000000000001</v>
      </c>
      <c r="AL90" s="1">
        <v>2.1804000000000001</v>
      </c>
      <c r="AM90" s="1">
        <v>2.1804000000000001</v>
      </c>
    </row>
    <row r="91" spans="1:39" x14ac:dyDescent="0.3">
      <c r="A91" s="21" t="str">
        <f t="shared" si="1"/>
        <v>HFA187LLBG2026-03-14</v>
      </c>
      <c r="B91" t="str">
        <f>VLOOKUP(A91,Sheet1!A91:B1433,1,FALSE)</f>
        <v>HFA187LLBG2026-03-14</v>
      </c>
      <c r="C91" s="3">
        <v>46095</v>
      </c>
      <c r="D91" s="1" t="s">
        <v>94</v>
      </c>
      <c r="E91" s="1" t="s">
        <v>38</v>
      </c>
      <c r="F91" s="1"/>
      <c r="G91" s="1" t="s">
        <v>39</v>
      </c>
      <c r="H91" s="1" t="s">
        <v>40</v>
      </c>
      <c r="I91" s="1" t="s">
        <v>41</v>
      </c>
      <c r="J91" s="1" t="s">
        <v>82</v>
      </c>
      <c r="K91" s="1" t="s">
        <v>83</v>
      </c>
      <c r="L91" s="1" t="s">
        <v>84</v>
      </c>
      <c r="M91" s="1" t="s">
        <v>45</v>
      </c>
      <c r="N91" s="1" t="s">
        <v>46</v>
      </c>
      <c r="O91" s="1" t="s">
        <v>47</v>
      </c>
      <c r="P91" s="1" t="s">
        <v>48</v>
      </c>
      <c r="Q91" s="1" t="s">
        <v>49</v>
      </c>
      <c r="R91" s="1" t="s">
        <v>50</v>
      </c>
      <c r="S91" s="1">
        <v>1195</v>
      </c>
      <c r="T91" s="1">
        <v>0</v>
      </c>
      <c r="U91" s="4">
        <v>0.13263888888888889</v>
      </c>
      <c r="V91" s="1">
        <v>1800</v>
      </c>
      <c r="W91" s="1">
        <v>1110</v>
      </c>
      <c r="X91" s="1">
        <v>2910</v>
      </c>
      <c r="Y91" s="1" t="s">
        <v>51</v>
      </c>
      <c r="Z91" s="1">
        <v>940</v>
      </c>
      <c r="AA91" s="1">
        <v>1970</v>
      </c>
      <c r="AB91" s="1">
        <v>0</v>
      </c>
      <c r="AC91" s="1">
        <v>0</v>
      </c>
      <c r="AD91" s="1">
        <v>0</v>
      </c>
      <c r="AE91" s="1">
        <v>0</v>
      </c>
      <c r="AF91" s="1"/>
      <c r="AG91" s="1">
        <v>0</v>
      </c>
      <c r="AH91" s="1">
        <v>0</v>
      </c>
      <c r="AI91" s="1">
        <v>0</v>
      </c>
      <c r="AJ91" s="1">
        <v>0</v>
      </c>
      <c r="AK91" s="1">
        <v>6.2252000000000001</v>
      </c>
      <c r="AL91" s="1">
        <v>6.2252000000000001</v>
      </c>
      <c r="AM91" s="1">
        <v>6.2252000000000001</v>
      </c>
    </row>
    <row r="92" spans="1:39" x14ac:dyDescent="0.3">
      <c r="A92" s="21" t="str">
        <f t="shared" si="1"/>
        <v>HFA194LGAV2026-03-14</v>
      </c>
      <c r="B92" t="str">
        <f>VLOOKUP(A92,Sheet1!A92:B1434,1,FALSE)</f>
        <v>HFA194LGAV2026-03-14</v>
      </c>
      <c r="C92" s="3">
        <v>46095</v>
      </c>
      <c r="D92" s="1" t="s">
        <v>95</v>
      </c>
      <c r="E92" s="1" t="s">
        <v>38</v>
      </c>
      <c r="F92" s="1"/>
      <c r="G92" s="1" t="s">
        <v>39</v>
      </c>
      <c r="H92" s="1" t="s">
        <v>40</v>
      </c>
      <c r="I92" s="1" t="s">
        <v>46</v>
      </c>
      <c r="J92" s="1" t="s">
        <v>47</v>
      </c>
      <c r="K92" s="1" t="s">
        <v>48</v>
      </c>
      <c r="L92" s="1" t="s">
        <v>49</v>
      </c>
      <c r="M92" s="1" t="s">
        <v>50</v>
      </c>
      <c r="N92" s="1" t="s">
        <v>41</v>
      </c>
      <c r="O92" s="1" t="s">
        <v>82</v>
      </c>
      <c r="P92" s="1" t="s">
        <v>83</v>
      </c>
      <c r="Q92" s="1" t="s">
        <v>84</v>
      </c>
      <c r="R92" s="1" t="s">
        <v>45</v>
      </c>
      <c r="S92" s="1">
        <v>1195</v>
      </c>
      <c r="T92" s="1">
        <v>0</v>
      </c>
      <c r="U92" s="4">
        <v>0.11041666666666666</v>
      </c>
      <c r="V92" s="1">
        <v>940</v>
      </c>
      <c r="W92" s="1">
        <v>2860</v>
      </c>
      <c r="X92" s="1">
        <v>3800</v>
      </c>
      <c r="Y92" s="1" t="s">
        <v>51</v>
      </c>
      <c r="Z92" s="1">
        <v>2230</v>
      </c>
      <c r="AA92" s="1">
        <v>1570</v>
      </c>
      <c r="AB92" s="1">
        <v>0</v>
      </c>
      <c r="AC92" s="1">
        <v>0</v>
      </c>
      <c r="AD92" s="1">
        <v>0</v>
      </c>
      <c r="AE92" s="1">
        <v>0</v>
      </c>
      <c r="AF92" s="1"/>
      <c r="AG92" s="1">
        <v>0</v>
      </c>
      <c r="AH92" s="1">
        <v>0</v>
      </c>
      <c r="AI92" s="1">
        <v>0</v>
      </c>
      <c r="AJ92" s="1">
        <v>0</v>
      </c>
      <c r="AK92" s="1">
        <v>4.9611999999999998</v>
      </c>
      <c r="AL92" s="1">
        <v>4.9611999999999998</v>
      </c>
      <c r="AM92" s="1">
        <v>4.9611999999999998</v>
      </c>
    </row>
    <row r="93" spans="1:39" x14ac:dyDescent="0.3">
      <c r="A93" s="21" t="str">
        <f t="shared" si="1"/>
        <v>HFA195LLBG2026-03-14</v>
      </c>
      <c r="B93" t="str">
        <f>VLOOKUP(A93,Sheet1!A93:B1435,1,FALSE)</f>
        <v>HFA195LLBG2026-03-14</v>
      </c>
      <c r="C93" s="3">
        <v>46095</v>
      </c>
      <c r="D93" s="1" t="s">
        <v>96</v>
      </c>
      <c r="E93" s="1" t="s">
        <v>38</v>
      </c>
      <c r="F93" s="1"/>
      <c r="G93" s="1" t="s">
        <v>39</v>
      </c>
      <c r="H93" s="1" t="s">
        <v>40</v>
      </c>
      <c r="I93" s="1" t="s">
        <v>41</v>
      </c>
      <c r="J93" s="1" t="s">
        <v>82</v>
      </c>
      <c r="K93" s="1" t="s">
        <v>83</v>
      </c>
      <c r="L93" s="1" t="s">
        <v>84</v>
      </c>
      <c r="M93" s="1" t="s">
        <v>45</v>
      </c>
      <c r="N93" s="1" t="s">
        <v>67</v>
      </c>
      <c r="O93" s="1" t="s">
        <v>86</v>
      </c>
      <c r="P93" s="1" t="s">
        <v>87</v>
      </c>
      <c r="Q93" s="1" t="s">
        <v>88</v>
      </c>
      <c r="R93" s="1" t="s">
        <v>50</v>
      </c>
      <c r="S93" s="1">
        <v>339</v>
      </c>
      <c r="T93" s="1">
        <v>0</v>
      </c>
      <c r="U93" s="4">
        <v>5.6249999999999994E-2</v>
      </c>
      <c r="V93" s="1">
        <v>2230</v>
      </c>
      <c r="W93" s="1">
        <v>0</v>
      </c>
      <c r="X93" s="1">
        <v>2230</v>
      </c>
      <c r="Y93" s="1" t="s">
        <v>51</v>
      </c>
      <c r="Z93" s="1">
        <v>1520</v>
      </c>
      <c r="AA93" s="1">
        <v>710</v>
      </c>
      <c r="AB93" s="1">
        <v>0</v>
      </c>
      <c r="AC93" s="1">
        <v>0</v>
      </c>
      <c r="AD93" s="1">
        <v>0</v>
      </c>
      <c r="AE93" s="1">
        <v>0</v>
      </c>
      <c r="AF93" s="1"/>
      <c r="AG93" s="1">
        <v>0</v>
      </c>
      <c r="AH93" s="1">
        <v>0</v>
      </c>
      <c r="AI93" s="1">
        <v>0</v>
      </c>
      <c r="AJ93" s="1">
        <v>0</v>
      </c>
      <c r="AK93" s="1">
        <v>2.2435999999999998</v>
      </c>
      <c r="AL93" s="1">
        <v>2.2435999999999998</v>
      </c>
      <c r="AM93" s="1">
        <v>2.2435999999999998</v>
      </c>
    </row>
    <row r="94" spans="1:39" x14ac:dyDescent="0.3">
      <c r="A94" s="21" t="str">
        <f t="shared" si="1"/>
        <v>HFA196LCLK2026-03-15</v>
      </c>
      <c r="B94" t="str">
        <f>VLOOKUP(A94,Sheet1!A94:B1436,1,FALSE)</f>
        <v>HFA196LCLK2026-03-15</v>
      </c>
      <c r="C94" s="3">
        <v>46096</v>
      </c>
      <c r="D94" s="1" t="s">
        <v>97</v>
      </c>
      <c r="E94" s="1" t="s">
        <v>38</v>
      </c>
      <c r="F94" s="1"/>
      <c r="G94" s="1" t="s">
        <v>39</v>
      </c>
      <c r="H94" s="1" t="s">
        <v>40</v>
      </c>
      <c r="I94" s="1" t="s">
        <v>67</v>
      </c>
      <c r="J94" s="1" t="s">
        <v>86</v>
      </c>
      <c r="K94" s="1" t="s">
        <v>87</v>
      </c>
      <c r="L94" s="1" t="s">
        <v>88</v>
      </c>
      <c r="M94" s="1" t="s">
        <v>50</v>
      </c>
      <c r="N94" s="1" t="s">
        <v>41</v>
      </c>
      <c r="O94" s="1" t="s">
        <v>82</v>
      </c>
      <c r="P94" s="1" t="s">
        <v>83</v>
      </c>
      <c r="Q94" s="1" t="s">
        <v>84</v>
      </c>
      <c r="R94" s="1" t="s">
        <v>45</v>
      </c>
      <c r="S94" s="1">
        <v>339</v>
      </c>
      <c r="T94" s="1">
        <v>0</v>
      </c>
      <c r="U94" s="4">
        <v>4.9305555555555554E-2</v>
      </c>
      <c r="V94" s="1">
        <v>1520</v>
      </c>
      <c r="W94" s="1">
        <v>1080</v>
      </c>
      <c r="X94" s="1">
        <v>2600</v>
      </c>
      <c r="Y94" s="1" t="s">
        <v>51</v>
      </c>
      <c r="Z94" s="1">
        <v>1960</v>
      </c>
      <c r="AA94" s="1">
        <v>640</v>
      </c>
      <c r="AB94" s="1">
        <v>0</v>
      </c>
      <c r="AC94" s="1">
        <v>0</v>
      </c>
      <c r="AD94" s="1">
        <v>0</v>
      </c>
      <c r="AE94" s="1">
        <v>0</v>
      </c>
      <c r="AF94" s="1"/>
      <c r="AG94" s="1">
        <v>0</v>
      </c>
      <c r="AH94" s="1">
        <v>0</v>
      </c>
      <c r="AI94" s="1">
        <v>0</v>
      </c>
      <c r="AJ94" s="1">
        <v>0</v>
      </c>
      <c r="AK94" s="1">
        <v>2.0224000000000002</v>
      </c>
      <c r="AL94" s="1">
        <v>2.0224000000000002</v>
      </c>
      <c r="AM94" s="1">
        <v>2.0224000000000002</v>
      </c>
    </row>
    <row r="95" spans="1:39" x14ac:dyDescent="0.3">
      <c r="A95" s="21" t="str">
        <f t="shared" si="1"/>
        <v>HFA197LLBG2026-03-15</v>
      </c>
      <c r="B95" t="str">
        <f>VLOOKUP(A95,Sheet1!A95:B1437,1,FALSE)</f>
        <v>HFA197LLBG2026-03-15</v>
      </c>
      <c r="C95" s="3">
        <v>46096</v>
      </c>
      <c r="D95" s="1" t="s">
        <v>98</v>
      </c>
      <c r="E95" s="1" t="s">
        <v>38</v>
      </c>
      <c r="F95" s="1"/>
      <c r="G95" s="1" t="s">
        <v>39</v>
      </c>
      <c r="H95" s="1" t="s">
        <v>40</v>
      </c>
      <c r="I95" s="1" t="s">
        <v>41</v>
      </c>
      <c r="J95" s="1" t="s">
        <v>82</v>
      </c>
      <c r="K95" s="1" t="s">
        <v>83</v>
      </c>
      <c r="L95" s="1" t="s">
        <v>84</v>
      </c>
      <c r="M95" s="1" t="s">
        <v>45</v>
      </c>
      <c r="N95" s="1" t="s">
        <v>46</v>
      </c>
      <c r="O95" s="1" t="s">
        <v>47</v>
      </c>
      <c r="P95" s="1" t="s">
        <v>48</v>
      </c>
      <c r="Q95" s="1" t="s">
        <v>49</v>
      </c>
      <c r="R95" s="1" t="s">
        <v>50</v>
      </c>
      <c r="S95" s="1">
        <v>1195</v>
      </c>
      <c r="T95" s="1">
        <v>0</v>
      </c>
      <c r="U95" s="4">
        <v>0.12708333333333333</v>
      </c>
      <c r="V95" s="1">
        <v>1960</v>
      </c>
      <c r="W95" s="1">
        <v>840</v>
      </c>
      <c r="X95" s="1">
        <v>2800</v>
      </c>
      <c r="Y95" s="1" t="s">
        <v>51</v>
      </c>
      <c r="Z95" s="1">
        <v>980</v>
      </c>
      <c r="AA95" s="1">
        <v>1820</v>
      </c>
      <c r="AB95" s="1">
        <v>0</v>
      </c>
      <c r="AC95" s="1">
        <v>0</v>
      </c>
      <c r="AD95" s="1">
        <v>0</v>
      </c>
      <c r="AE95" s="1">
        <v>0</v>
      </c>
      <c r="AF95" s="1"/>
      <c r="AG95" s="1">
        <v>0</v>
      </c>
      <c r="AH95" s="1">
        <v>0</v>
      </c>
      <c r="AI95" s="1">
        <v>0</v>
      </c>
      <c r="AJ95" s="1">
        <v>0</v>
      </c>
      <c r="AK95" s="1">
        <v>5.7511999999999999</v>
      </c>
      <c r="AL95" s="1">
        <v>5.7511999999999999</v>
      </c>
      <c r="AM95" s="1">
        <v>5.7511999999999999</v>
      </c>
    </row>
    <row r="96" spans="1:39" x14ac:dyDescent="0.3">
      <c r="A96" s="21" t="str">
        <f t="shared" si="1"/>
        <v>HFA200LGAV2026-03-15</v>
      </c>
      <c r="B96" t="str">
        <f>VLOOKUP(A96,Sheet1!A96:B1438,1,FALSE)</f>
        <v>HFA200LGAV2026-03-15</v>
      </c>
      <c r="C96" s="3">
        <v>46096</v>
      </c>
      <c r="D96" s="1" t="s">
        <v>99</v>
      </c>
      <c r="E96" s="1" t="s">
        <v>38</v>
      </c>
      <c r="F96" s="1"/>
      <c r="G96" s="1" t="s">
        <v>39</v>
      </c>
      <c r="H96" s="1" t="s">
        <v>40</v>
      </c>
      <c r="I96" s="1" t="s">
        <v>46</v>
      </c>
      <c r="J96" s="1" t="s">
        <v>47</v>
      </c>
      <c r="K96" s="1" t="s">
        <v>48</v>
      </c>
      <c r="L96" s="1" t="s">
        <v>49</v>
      </c>
      <c r="M96" s="1" t="s">
        <v>50</v>
      </c>
      <c r="N96" s="1" t="s">
        <v>41</v>
      </c>
      <c r="O96" s="1" t="s">
        <v>82</v>
      </c>
      <c r="P96" s="1" t="s">
        <v>83</v>
      </c>
      <c r="Q96" s="1" t="s">
        <v>84</v>
      </c>
      <c r="R96" s="1" t="s">
        <v>45</v>
      </c>
      <c r="S96" s="1">
        <v>1195</v>
      </c>
      <c r="T96" s="1">
        <v>0</v>
      </c>
      <c r="U96" s="4">
        <v>0.10555555555555556</v>
      </c>
      <c r="V96" s="1">
        <v>980</v>
      </c>
      <c r="W96" s="1">
        <v>2120</v>
      </c>
      <c r="X96" s="1">
        <v>3100</v>
      </c>
      <c r="Y96" s="1" t="s">
        <v>51</v>
      </c>
      <c r="Z96" s="1">
        <v>1590</v>
      </c>
      <c r="AA96" s="1">
        <v>1510</v>
      </c>
      <c r="AB96" s="1">
        <v>0</v>
      </c>
      <c r="AC96" s="1">
        <v>0</v>
      </c>
      <c r="AD96" s="1">
        <v>0</v>
      </c>
      <c r="AE96" s="1">
        <v>0</v>
      </c>
      <c r="AF96" s="1"/>
      <c r="AG96" s="1">
        <v>0</v>
      </c>
      <c r="AH96" s="1">
        <v>0</v>
      </c>
      <c r="AI96" s="1">
        <v>0</v>
      </c>
      <c r="AJ96" s="1">
        <v>0</v>
      </c>
      <c r="AK96" s="1">
        <v>4.7716000000000003</v>
      </c>
      <c r="AL96" s="1">
        <v>4.7716000000000003</v>
      </c>
      <c r="AM96" s="1">
        <v>4.7716000000000003</v>
      </c>
    </row>
    <row r="97" spans="1:39" x14ac:dyDescent="0.3">
      <c r="A97" s="21" t="str">
        <f t="shared" si="1"/>
        <v>HFA201LLBG2026-03-15</v>
      </c>
      <c r="B97" t="str">
        <f>VLOOKUP(A97,Sheet1!A97:B1439,1,FALSE)</f>
        <v>HFA201LLBG2026-03-15</v>
      </c>
      <c r="C97" s="3">
        <v>46096</v>
      </c>
      <c r="D97" s="1" t="s">
        <v>80</v>
      </c>
      <c r="E97" s="1" t="s">
        <v>38</v>
      </c>
      <c r="F97" s="1"/>
      <c r="G97" s="1" t="s">
        <v>39</v>
      </c>
      <c r="H97" s="1" t="s">
        <v>40</v>
      </c>
      <c r="I97" s="1" t="s">
        <v>41</v>
      </c>
      <c r="J97" s="1" t="s">
        <v>82</v>
      </c>
      <c r="K97" s="1" t="s">
        <v>83</v>
      </c>
      <c r="L97" s="1" t="s">
        <v>84</v>
      </c>
      <c r="M97" s="1" t="s">
        <v>45</v>
      </c>
      <c r="N97" s="1" t="s">
        <v>67</v>
      </c>
      <c r="O97" s="1" t="s">
        <v>86</v>
      </c>
      <c r="P97" s="1" t="s">
        <v>87</v>
      </c>
      <c r="Q97" s="1" t="s">
        <v>88</v>
      </c>
      <c r="R97" s="1" t="s">
        <v>50</v>
      </c>
      <c r="S97" s="1">
        <v>339</v>
      </c>
      <c r="T97" s="1">
        <v>0</v>
      </c>
      <c r="U97" s="4">
        <v>5.9027777777777776E-2</v>
      </c>
      <c r="V97" s="1">
        <v>1590</v>
      </c>
      <c r="W97" s="1">
        <v>410</v>
      </c>
      <c r="X97" s="1">
        <v>2000</v>
      </c>
      <c r="Y97" s="1" t="s">
        <v>51</v>
      </c>
      <c r="Z97" s="1">
        <v>1200</v>
      </c>
      <c r="AA97" s="1">
        <v>800</v>
      </c>
      <c r="AB97" s="1">
        <v>0</v>
      </c>
      <c r="AC97" s="1">
        <v>0</v>
      </c>
      <c r="AD97" s="1">
        <v>0</v>
      </c>
      <c r="AE97" s="1">
        <v>0</v>
      </c>
      <c r="AF97" s="1"/>
      <c r="AG97" s="1">
        <v>0</v>
      </c>
      <c r="AH97" s="1">
        <v>0</v>
      </c>
      <c r="AI97" s="1">
        <v>0</v>
      </c>
      <c r="AJ97" s="1">
        <v>0</v>
      </c>
      <c r="AK97" s="1">
        <v>2.528</v>
      </c>
      <c r="AL97" s="1">
        <v>2.528</v>
      </c>
      <c r="AM97" s="1">
        <v>2.528</v>
      </c>
    </row>
    <row r="98" spans="1:39" x14ac:dyDescent="0.3">
      <c r="A98" s="21" t="str">
        <f t="shared" si="1"/>
        <v>HFA226LCLK2026-03-18</v>
      </c>
      <c r="B98" t="str">
        <f>VLOOKUP(A98,Sheet1!A98:B1440,1,FALSE)</f>
        <v>HFA226LCLK2026-03-18</v>
      </c>
      <c r="C98" s="3">
        <v>46099</v>
      </c>
      <c r="D98" s="1" t="s">
        <v>100</v>
      </c>
      <c r="E98" s="1" t="s">
        <v>38</v>
      </c>
      <c r="F98" s="1"/>
      <c r="G98" s="1" t="s">
        <v>39</v>
      </c>
      <c r="H98" s="1" t="s">
        <v>40</v>
      </c>
      <c r="I98" s="1" t="s">
        <v>67</v>
      </c>
      <c r="J98" s="1" t="s">
        <v>86</v>
      </c>
      <c r="K98" s="1" t="s">
        <v>87</v>
      </c>
      <c r="L98" s="1" t="s">
        <v>88</v>
      </c>
      <c r="M98" s="1" t="s">
        <v>50</v>
      </c>
      <c r="N98" s="1" t="s">
        <v>41</v>
      </c>
      <c r="O98" s="1" t="s">
        <v>82</v>
      </c>
      <c r="P98" s="1" t="s">
        <v>83</v>
      </c>
      <c r="Q98" s="1" t="s">
        <v>84</v>
      </c>
      <c r="R98" s="1" t="s">
        <v>45</v>
      </c>
      <c r="S98" s="1">
        <v>339</v>
      </c>
      <c r="T98" s="1">
        <v>0</v>
      </c>
      <c r="U98" s="4">
        <v>6.8750000000000006E-2</v>
      </c>
      <c r="V98" s="1">
        <v>1200</v>
      </c>
      <c r="W98" s="1">
        <v>1500</v>
      </c>
      <c r="X98" s="1">
        <v>2700</v>
      </c>
      <c r="Y98" s="1" t="s">
        <v>51</v>
      </c>
      <c r="Z98" s="1">
        <v>1870</v>
      </c>
      <c r="AA98" s="1">
        <v>830</v>
      </c>
      <c r="AB98" s="1">
        <v>0</v>
      </c>
      <c r="AC98" s="1">
        <v>0</v>
      </c>
      <c r="AD98" s="1">
        <v>0</v>
      </c>
      <c r="AE98" s="1">
        <v>0</v>
      </c>
      <c r="AF98" s="1"/>
      <c r="AG98" s="1">
        <v>0</v>
      </c>
      <c r="AH98" s="1">
        <v>0</v>
      </c>
      <c r="AI98" s="1">
        <v>0</v>
      </c>
      <c r="AJ98" s="1">
        <v>0</v>
      </c>
      <c r="AK98" s="1">
        <v>2.6227999999999998</v>
      </c>
      <c r="AL98" s="1">
        <v>2.6227999999999998</v>
      </c>
      <c r="AM98" s="1">
        <v>2.6227999999999998</v>
      </c>
    </row>
    <row r="99" spans="1:39" x14ac:dyDescent="0.3">
      <c r="A99" s="21" t="str">
        <f t="shared" si="1"/>
        <v>HFA227LLBG2026-03-18</v>
      </c>
      <c r="B99" t="str">
        <f>VLOOKUP(A99,Sheet1!A99:B1441,1,FALSE)</f>
        <v>HFA227LLBG2026-03-18</v>
      </c>
      <c r="C99" s="3">
        <v>46099</v>
      </c>
      <c r="D99" s="1" t="s">
        <v>101</v>
      </c>
      <c r="E99" s="1" t="s">
        <v>38</v>
      </c>
      <c r="F99" s="1"/>
      <c r="G99" s="1" t="s">
        <v>39</v>
      </c>
      <c r="H99" s="1" t="s">
        <v>40</v>
      </c>
      <c r="I99" s="1" t="s">
        <v>41</v>
      </c>
      <c r="J99" s="1" t="s">
        <v>82</v>
      </c>
      <c r="K99" s="1" t="s">
        <v>83</v>
      </c>
      <c r="L99" s="1" t="s">
        <v>84</v>
      </c>
      <c r="M99" s="1" t="s">
        <v>45</v>
      </c>
      <c r="N99" s="1" t="s">
        <v>67</v>
      </c>
      <c r="O99" s="1" t="s">
        <v>86</v>
      </c>
      <c r="P99" s="1" t="s">
        <v>87</v>
      </c>
      <c r="Q99" s="1" t="s">
        <v>88</v>
      </c>
      <c r="R99" s="1" t="s">
        <v>50</v>
      </c>
      <c r="S99" s="1">
        <v>339</v>
      </c>
      <c r="T99" s="1">
        <v>0</v>
      </c>
      <c r="U99" s="4">
        <v>4.9305555555555554E-2</v>
      </c>
      <c r="V99" s="1">
        <v>1870</v>
      </c>
      <c r="W99" s="1">
        <v>0</v>
      </c>
      <c r="X99" s="1">
        <v>1870</v>
      </c>
      <c r="Y99" s="1" t="s">
        <v>51</v>
      </c>
      <c r="Z99" s="1">
        <v>1150</v>
      </c>
      <c r="AA99" s="1">
        <v>720</v>
      </c>
      <c r="AB99" s="1">
        <v>0</v>
      </c>
      <c r="AC99" s="1">
        <v>0</v>
      </c>
      <c r="AD99" s="1">
        <v>0</v>
      </c>
      <c r="AE99" s="1">
        <v>0</v>
      </c>
      <c r="AF99" s="1"/>
      <c r="AG99" s="1">
        <v>0</v>
      </c>
      <c r="AH99" s="1">
        <v>0</v>
      </c>
      <c r="AI99" s="1">
        <v>0</v>
      </c>
      <c r="AJ99" s="1">
        <v>0</v>
      </c>
      <c r="AK99" s="1">
        <v>2.2751999999999999</v>
      </c>
      <c r="AL99" s="1">
        <v>2.2751999999999999</v>
      </c>
      <c r="AM99" s="1">
        <v>2.2751999999999999</v>
      </c>
    </row>
    <row r="100" spans="1:39" x14ac:dyDescent="0.3">
      <c r="A100" s="21" t="str">
        <f t="shared" si="1"/>
        <v>HFA248LCLK2026-03-21</v>
      </c>
      <c r="B100" t="str">
        <f>VLOOKUP(A100,Sheet1!A100:B1442,1,FALSE)</f>
        <v>HFA248LCLK2026-03-21</v>
      </c>
      <c r="C100" s="3">
        <v>46102</v>
      </c>
      <c r="D100" s="1" t="s">
        <v>102</v>
      </c>
      <c r="E100" s="1" t="s">
        <v>38</v>
      </c>
      <c r="F100" s="1"/>
      <c r="G100" s="1" t="s">
        <v>39</v>
      </c>
      <c r="H100" s="1" t="s">
        <v>40</v>
      </c>
      <c r="I100" s="1" t="s">
        <v>67</v>
      </c>
      <c r="J100" s="1" t="s">
        <v>86</v>
      </c>
      <c r="K100" s="1" t="s">
        <v>87</v>
      </c>
      <c r="L100" s="1" t="s">
        <v>88</v>
      </c>
      <c r="M100" s="1" t="s">
        <v>50</v>
      </c>
      <c r="N100" s="1" t="s">
        <v>41</v>
      </c>
      <c r="O100" s="1" t="s">
        <v>82</v>
      </c>
      <c r="P100" s="1" t="s">
        <v>83</v>
      </c>
      <c r="Q100" s="1" t="s">
        <v>84</v>
      </c>
      <c r="R100" s="1" t="s">
        <v>45</v>
      </c>
      <c r="S100" s="1">
        <v>339</v>
      </c>
      <c r="T100" s="1">
        <v>339</v>
      </c>
      <c r="U100" s="4">
        <v>5.486111111111111E-2</v>
      </c>
      <c r="V100" s="1">
        <v>1150</v>
      </c>
      <c r="W100" s="1">
        <v>2350</v>
      </c>
      <c r="X100" s="1">
        <v>3500</v>
      </c>
      <c r="Y100" s="1" t="s">
        <v>51</v>
      </c>
      <c r="Z100" s="1">
        <v>2880</v>
      </c>
      <c r="AA100" s="1">
        <v>620</v>
      </c>
      <c r="AB100" s="1">
        <v>0</v>
      </c>
      <c r="AC100" s="1">
        <v>0</v>
      </c>
      <c r="AD100" s="1">
        <v>0</v>
      </c>
      <c r="AE100" s="1">
        <v>0</v>
      </c>
      <c r="AF100" s="1"/>
      <c r="AG100" s="1">
        <v>0</v>
      </c>
      <c r="AH100" s="1">
        <v>0</v>
      </c>
      <c r="AI100" s="1">
        <v>0</v>
      </c>
      <c r="AJ100" s="1">
        <v>0</v>
      </c>
      <c r="AK100" s="1">
        <v>1.9592000000000001</v>
      </c>
      <c r="AL100" s="1">
        <v>1.9592000000000001</v>
      </c>
      <c r="AM100" s="1">
        <v>1.9592000000000001</v>
      </c>
    </row>
    <row r="101" spans="1:39" x14ac:dyDescent="0.3">
      <c r="A101" s="21" t="str">
        <f t="shared" si="1"/>
        <v>HFA249LLBG2026-03-21</v>
      </c>
      <c r="B101" t="str">
        <f>VLOOKUP(A101,Sheet1!A101:B1443,1,FALSE)</f>
        <v>HFA249LLBG2026-03-21</v>
      </c>
      <c r="C101" s="3">
        <v>46102</v>
      </c>
      <c r="D101" s="1" t="s">
        <v>103</v>
      </c>
      <c r="E101" s="1" t="s">
        <v>38</v>
      </c>
      <c r="F101" s="1"/>
      <c r="G101" s="1" t="s">
        <v>39</v>
      </c>
      <c r="H101" s="1" t="s">
        <v>40</v>
      </c>
      <c r="I101" s="1" t="s">
        <v>41</v>
      </c>
      <c r="J101" s="1" t="s">
        <v>82</v>
      </c>
      <c r="K101" s="1" t="s">
        <v>83</v>
      </c>
      <c r="L101" s="1" t="s">
        <v>84</v>
      </c>
      <c r="M101" s="1" t="s">
        <v>45</v>
      </c>
      <c r="N101" s="1" t="s">
        <v>46</v>
      </c>
      <c r="O101" s="1" t="s">
        <v>47</v>
      </c>
      <c r="P101" s="1" t="s">
        <v>48</v>
      </c>
      <c r="Q101" s="1" t="s">
        <v>49</v>
      </c>
      <c r="R101" s="1" t="s">
        <v>50</v>
      </c>
      <c r="S101" s="1">
        <v>1195</v>
      </c>
      <c r="T101" s="1">
        <v>1195</v>
      </c>
      <c r="U101" s="4">
        <v>0.125</v>
      </c>
      <c r="V101" s="1">
        <v>2880</v>
      </c>
      <c r="W101" s="1">
        <v>420</v>
      </c>
      <c r="X101" s="1">
        <v>3300</v>
      </c>
      <c r="Y101" s="1" t="s">
        <v>51</v>
      </c>
      <c r="Z101" s="1">
        <v>1600</v>
      </c>
      <c r="AA101" s="1">
        <v>1700</v>
      </c>
      <c r="AB101" s="1">
        <v>0</v>
      </c>
      <c r="AC101" s="1">
        <v>0</v>
      </c>
      <c r="AD101" s="1">
        <v>0</v>
      </c>
      <c r="AE101" s="1">
        <v>0</v>
      </c>
      <c r="AF101" s="1"/>
      <c r="AG101" s="1">
        <v>0</v>
      </c>
      <c r="AH101" s="1">
        <v>0</v>
      </c>
      <c r="AI101" s="1">
        <v>0</v>
      </c>
      <c r="AJ101" s="1">
        <v>0</v>
      </c>
      <c r="AK101" s="1">
        <v>5.3719999999999999</v>
      </c>
      <c r="AL101" s="1">
        <v>5.3719999999999999</v>
      </c>
      <c r="AM101" s="1">
        <v>5.3719999999999999</v>
      </c>
    </row>
    <row r="102" spans="1:39" x14ac:dyDescent="0.3">
      <c r="A102" s="21" t="str">
        <f t="shared" si="1"/>
        <v>HFA250LGAV2026-03-21</v>
      </c>
      <c r="B102" t="str">
        <f>VLOOKUP(A102,Sheet1!A102:B1444,1,FALSE)</f>
        <v>HFA250LGAV2026-03-21</v>
      </c>
      <c r="C102" s="3">
        <v>46102</v>
      </c>
      <c r="D102" s="1" t="s">
        <v>104</v>
      </c>
      <c r="E102" s="1" t="s">
        <v>38</v>
      </c>
      <c r="F102" s="1"/>
      <c r="G102" s="1" t="s">
        <v>39</v>
      </c>
      <c r="H102" s="1" t="s">
        <v>40</v>
      </c>
      <c r="I102" s="1" t="s">
        <v>46</v>
      </c>
      <c r="J102" s="1" t="s">
        <v>47</v>
      </c>
      <c r="K102" s="1" t="s">
        <v>48</v>
      </c>
      <c r="L102" s="1" t="s">
        <v>49</v>
      </c>
      <c r="M102" s="1" t="s">
        <v>50</v>
      </c>
      <c r="N102" s="1" t="s">
        <v>41</v>
      </c>
      <c r="O102" s="1" t="s">
        <v>82</v>
      </c>
      <c r="P102" s="1" t="s">
        <v>83</v>
      </c>
      <c r="Q102" s="1" t="s">
        <v>84</v>
      </c>
      <c r="R102" s="1" t="s">
        <v>45</v>
      </c>
      <c r="S102" s="1">
        <v>1195</v>
      </c>
      <c r="T102" s="1">
        <v>1195</v>
      </c>
      <c r="U102" s="4">
        <v>0.11041666666666666</v>
      </c>
      <c r="V102" s="1">
        <v>1600</v>
      </c>
      <c r="W102" s="1">
        <v>2100</v>
      </c>
      <c r="X102" s="1">
        <v>3700</v>
      </c>
      <c r="Y102" s="1" t="s">
        <v>51</v>
      </c>
      <c r="Z102" s="1">
        <v>2200</v>
      </c>
      <c r="AA102" s="1">
        <v>1500</v>
      </c>
      <c r="AB102" s="1">
        <v>0</v>
      </c>
      <c r="AC102" s="1">
        <v>0</v>
      </c>
      <c r="AD102" s="1">
        <v>0</v>
      </c>
      <c r="AE102" s="1">
        <v>0</v>
      </c>
      <c r="AF102" s="1"/>
      <c r="AG102" s="1">
        <v>0</v>
      </c>
      <c r="AH102" s="1">
        <v>0</v>
      </c>
      <c r="AI102" s="1">
        <v>0</v>
      </c>
      <c r="AJ102" s="1">
        <v>0</v>
      </c>
      <c r="AK102" s="1">
        <v>4.74</v>
      </c>
      <c r="AL102" s="1">
        <v>4.74</v>
      </c>
      <c r="AM102" s="1">
        <v>4.74</v>
      </c>
    </row>
    <row r="103" spans="1:39" x14ac:dyDescent="0.3">
      <c r="A103" s="21" t="str">
        <f t="shared" si="1"/>
        <v>HFA157LLBG2026-03-21</v>
      </c>
      <c r="B103" t="e">
        <f>VLOOKUP(A103,Sheet1!A103:B1445,1,FALSE)</f>
        <v>#N/A</v>
      </c>
      <c r="C103" s="3">
        <v>46102</v>
      </c>
      <c r="D103" s="1" t="s">
        <v>105</v>
      </c>
      <c r="E103" s="1" t="s">
        <v>38</v>
      </c>
      <c r="F103" s="1"/>
      <c r="G103" s="1" t="s">
        <v>39</v>
      </c>
      <c r="H103" s="1" t="s">
        <v>40</v>
      </c>
      <c r="I103" s="1" t="s">
        <v>41</v>
      </c>
      <c r="J103" s="1" t="s">
        <v>82</v>
      </c>
      <c r="K103" s="1" t="s">
        <v>83</v>
      </c>
      <c r="L103" s="1" t="s">
        <v>84</v>
      </c>
      <c r="M103" s="1" t="s">
        <v>45</v>
      </c>
      <c r="N103" s="1" t="s">
        <v>67</v>
      </c>
      <c r="O103" s="1" t="s">
        <v>86</v>
      </c>
      <c r="P103" s="1" t="s">
        <v>87</v>
      </c>
      <c r="Q103" s="1" t="s">
        <v>88</v>
      </c>
      <c r="R103" s="1" t="s">
        <v>50</v>
      </c>
      <c r="S103" s="1">
        <v>339</v>
      </c>
      <c r="T103" s="1">
        <v>339</v>
      </c>
      <c r="U103" s="4">
        <v>4.9999999999999996E-2</v>
      </c>
      <c r="V103" s="1">
        <v>2200</v>
      </c>
      <c r="W103" s="1">
        <v>0</v>
      </c>
      <c r="X103" s="1">
        <v>2200</v>
      </c>
      <c r="Y103" s="1" t="s">
        <v>51</v>
      </c>
      <c r="Z103" s="1">
        <v>1600</v>
      </c>
      <c r="AA103" s="1">
        <v>600</v>
      </c>
      <c r="AB103" s="1">
        <v>0</v>
      </c>
      <c r="AC103" s="1">
        <v>0</v>
      </c>
      <c r="AD103" s="1">
        <v>0</v>
      </c>
      <c r="AE103" s="1">
        <v>0</v>
      </c>
      <c r="AF103" s="1"/>
      <c r="AG103" s="1">
        <v>0</v>
      </c>
      <c r="AH103" s="1">
        <v>0</v>
      </c>
      <c r="AI103" s="1">
        <v>0</v>
      </c>
      <c r="AJ103" s="1">
        <v>0</v>
      </c>
      <c r="AK103" s="1">
        <v>1.8959999999999999</v>
      </c>
      <c r="AL103" s="1">
        <v>1.8959999999999999</v>
      </c>
      <c r="AM103" s="1">
        <v>1.8959999999999999</v>
      </c>
    </row>
    <row r="104" spans="1:39" x14ac:dyDescent="0.3">
      <c r="A104" s="21" t="str">
        <f t="shared" si="1"/>
        <v>HFA256LCLK2026-03-22</v>
      </c>
      <c r="B104" t="str">
        <f>VLOOKUP(A104,Sheet1!A104:B1446,1,FALSE)</f>
        <v>HFA256LCLK2026-03-22</v>
      </c>
      <c r="C104" s="3">
        <v>46103</v>
      </c>
      <c r="D104" s="1" t="s">
        <v>106</v>
      </c>
      <c r="E104" s="1" t="s">
        <v>38</v>
      </c>
      <c r="F104" s="1"/>
      <c r="G104" s="1" t="s">
        <v>39</v>
      </c>
      <c r="H104" s="1" t="s">
        <v>40</v>
      </c>
      <c r="I104" s="1" t="s">
        <v>67</v>
      </c>
      <c r="J104" s="1" t="s">
        <v>86</v>
      </c>
      <c r="K104" s="1" t="s">
        <v>87</v>
      </c>
      <c r="L104" s="1" t="s">
        <v>88</v>
      </c>
      <c r="M104" s="1" t="s">
        <v>50</v>
      </c>
      <c r="N104" s="1" t="s">
        <v>41</v>
      </c>
      <c r="O104" s="1" t="s">
        <v>82</v>
      </c>
      <c r="P104" s="1" t="s">
        <v>83</v>
      </c>
      <c r="Q104" s="1" t="s">
        <v>84</v>
      </c>
      <c r="R104" s="1" t="s">
        <v>45</v>
      </c>
      <c r="S104" s="1">
        <v>339</v>
      </c>
      <c r="T104" s="1">
        <v>339</v>
      </c>
      <c r="U104" s="4">
        <v>5.4166666666666669E-2</v>
      </c>
      <c r="V104" s="1">
        <v>1600</v>
      </c>
      <c r="W104" s="1">
        <v>2200</v>
      </c>
      <c r="X104" s="1">
        <v>3800</v>
      </c>
      <c r="Y104" s="1" t="s">
        <v>51</v>
      </c>
      <c r="Z104" s="1">
        <v>3070</v>
      </c>
      <c r="AA104" s="1">
        <v>730</v>
      </c>
      <c r="AB104" s="1">
        <v>0</v>
      </c>
      <c r="AC104" s="1">
        <v>0</v>
      </c>
      <c r="AD104" s="1">
        <v>0</v>
      </c>
      <c r="AE104" s="1">
        <v>0</v>
      </c>
      <c r="AF104" s="1"/>
      <c r="AG104" s="1">
        <v>0</v>
      </c>
      <c r="AH104" s="1">
        <v>0</v>
      </c>
      <c r="AI104" s="1">
        <v>0</v>
      </c>
      <c r="AJ104" s="1">
        <v>0</v>
      </c>
      <c r="AK104" s="1">
        <v>2.3068</v>
      </c>
      <c r="AL104" s="1">
        <v>2.3068</v>
      </c>
      <c r="AM104" s="1">
        <v>2.3068</v>
      </c>
    </row>
    <row r="105" spans="1:39" x14ac:dyDescent="0.3">
      <c r="A105" s="21" t="str">
        <f t="shared" si="1"/>
        <v>HFA257LLBG2026-03-22</v>
      </c>
      <c r="B105" t="str">
        <f>VLOOKUP(A105,Sheet1!A105:B1447,1,FALSE)</f>
        <v>HFA257LLBG2026-03-22</v>
      </c>
      <c r="C105" s="3">
        <v>46103</v>
      </c>
      <c r="D105" s="1" t="s">
        <v>107</v>
      </c>
      <c r="E105" s="1" t="s">
        <v>38</v>
      </c>
      <c r="F105" s="1"/>
      <c r="G105" s="1" t="s">
        <v>39</v>
      </c>
      <c r="H105" s="1" t="s">
        <v>40</v>
      </c>
      <c r="I105" s="1" t="s">
        <v>41</v>
      </c>
      <c r="J105" s="1" t="s">
        <v>82</v>
      </c>
      <c r="K105" s="1" t="s">
        <v>83</v>
      </c>
      <c r="L105" s="1" t="s">
        <v>84</v>
      </c>
      <c r="M105" s="1" t="s">
        <v>45</v>
      </c>
      <c r="N105" s="1" t="s">
        <v>46</v>
      </c>
      <c r="O105" s="1" t="s">
        <v>47</v>
      </c>
      <c r="P105" s="1" t="s">
        <v>48</v>
      </c>
      <c r="Q105" s="1" t="s">
        <v>49</v>
      </c>
      <c r="R105" s="1" t="s">
        <v>50</v>
      </c>
      <c r="S105" s="1">
        <v>1195</v>
      </c>
      <c r="T105" s="1">
        <v>1195</v>
      </c>
      <c r="U105" s="4">
        <v>0.12708333333333333</v>
      </c>
      <c r="V105" s="1">
        <v>3070</v>
      </c>
      <c r="W105" s="1">
        <v>-40</v>
      </c>
      <c r="X105" s="1">
        <v>3030</v>
      </c>
      <c r="Y105" s="1" t="s">
        <v>51</v>
      </c>
      <c r="Z105" s="1">
        <v>1150</v>
      </c>
      <c r="AA105" s="1">
        <v>1880</v>
      </c>
      <c r="AB105" s="1">
        <v>0</v>
      </c>
      <c r="AC105" s="1">
        <v>0</v>
      </c>
      <c r="AD105" s="1">
        <v>0</v>
      </c>
      <c r="AE105" s="1">
        <v>0</v>
      </c>
      <c r="AF105" s="1"/>
      <c r="AG105" s="1">
        <v>0</v>
      </c>
      <c r="AH105" s="1">
        <v>0</v>
      </c>
      <c r="AI105" s="1">
        <v>0</v>
      </c>
      <c r="AJ105" s="1">
        <v>0</v>
      </c>
      <c r="AK105" s="1">
        <v>5.9408000000000003</v>
      </c>
      <c r="AL105" s="1">
        <v>5.9408000000000003</v>
      </c>
      <c r="AM105" s="1">
        <v>5.9408000000000003</v>
      </c>
    </row>
    <row r="106" spans="1:39" x14ac:dyDescent="0.3">
      <c r="A106" s="21" t="str">
        <f t="shared" si="1"/>
        <v>HFA258LGAV2026-03-22</v>
      </c>
      <c r="B106" t="str">
        <f>VLOOKUP(A106,Sheet1!A106:B1448,1,FALSE)</f>
        <v>HFA258LGAV2026-03-22</v>
      </c>
      <c r="C106" s="3">
        <v>46103</v>
      </c>
      <c r="D106" s="1" t="s">
        <v>108</v>
      </c>
      <c r="E106" s="1" t="s">
        <v>38</v>
      </c>
      <c r="F106" s="1"/>
      <c r="G106" s="1" t="s">
        <v>39</v>
      </c>
      <c r="H106" s="1" t="s">
        <v>40</v>
      </c>
      <c r="I106" s="1" t="s">
        <v>46</v>
      </c>
      <c r="J106" s="1" t="s">
        <v>47</v>
      </c>
      <c r="K106" s="1" t="s">
        <v>48</v>
      </c>
      <c r="L106" s="1" t="s">
        <v>49</v>
      </c>
      <c r="M106" s="1" t="s">
        <v>50</v>
      </c>
      <c r="N106" s="1" t="s">
        <v>41</v>
      </c>
      <c r="O106" s="1" t="s">
        <v>82</v>
      </c>
      <c r="P106" s="1" t="s">
        <v>83</v>
      </c>
      <c r="Q106" s="1" t="s">
        <v>84</v>
      </c>
      <c r="R106" s="1" t="s">
        <v>45</v>
      </c>
      <c r="S106" s="1">
        <v>1195</v>
      </c>
      <c r="T106" s="1">
        <v>1195</v>
      </c>
      <c r="U106" s="4">
        <v>0.1111111111111111</v>
      </c>
      <c r="V106" s="1">
        <v>1150</v>
      </c>
      <c r="W106" s="1">
        <v>2550</v>
      </c>
      <c r="X106" s="1">
        <v>3700</v>
      </c>
      <c r="Y106" s="1" t="s">
        <v>51</v>
      </c>
      <c r="Z106" s="1">
        <v>2330</v>
      </c>
      <c r="AA106" s="1">
        <v>1370</v>
      </c>
      <c r="AB106" s="1">
        <v>0</v>
      </c>
      <c r="AC106" s="1">
        <v>0</v>
      </c>
      <c r="AD106" s="1">
        <v>0</v>
      </c>
      <c r="AE106" s="1">
        <v>0</v>
      </c>
      <c r="AF106" s="1"/>
      <c r="AG106" s="1">
        <v>0</v>
      </c>
      <c r="AH106" s="1">
        <v>0</v>
      </c>
      <c r="AI106" s="1">
        <v>0</v>
      </c>
      <c r="AJ106" s="1">
        <v>0</v>
      </c>
      <c r="AK106" s="1">
        <v>4.3292000000000002</v>
      </c>
      <c r="AL106" s="1">
        <v>4.3292000000000002</v>
      </c>
      <c r="AM106" s="1">
        <v>4.3292000000000002</v>
      </c>
    </row>
    <row r="107" spans="1:39" x14ac:dyDescent="0.3">
      <c r="A107" s="21" t="str">
        <f t="shared" si="1"/>
        <v>HFA259LLBG2026-03-22</v>
      </c>
      <c r="B107" t="str">
        <f>VLOOKUP(A107,Sheet1!A107:B1449,1,FALSE)</f>
        <v>HFA259LLBG2026-03-22</v>
      </c>
      <c r="C107" s="3">
        <v>46103</v>
      </c>
      <c r="D107" s="1" t="s">
        <v>109</v>
      </c>
      <c r="E107" s="1" t="s">
        <v>38</v>
      </c>
      <c r="F107" s="1"/>
      <c r="G107" s="1" t="s">
        <v>39</v>
      </c>
      <c r="H107" s="1" t="s">
        <v>40</v>
      </c>
      <c r="I107" s="1" t="s">
        <v>41</v>
      </c>
      <c r="J107" s="1" t="s">
        <v>82</v>
      </c>
      <c r="K107" s="1" t="s">
        <v>83</v>
      </c>
      <c r="L107" s="1" t="s">
        <v>84</v>
      </c>
      <c r="M107" s="1" t="s">
        <v>45</v>
      </c>
      <c r="N107" s="1" t="s">
        <v>67</v>
      </c>
      <c r="O107" s="1" t="s">
        <v>86</v>
      </c>
      <c r="P107" s="1" t="s">
        <v>87</v>
      </c>
      <c r="Q107" s="1" t="s">
        <v>88</v>
      </c>
      <c r="R107" s="1" t="s">
        <v>50</v>
      </c>
      <c r="S107" s="1">
        <v>339</v>
      </c>
      <c r="T107" s="1">
        <v>339</v>
      </c>
      <c r="U107" s="4">
        <v>5.7638888888888885E-2</v>
      </c>
      <c r="V107" s="1">
        <v>2330</v>
      </c>
      <c r="W107" s="1">
        <v>0</v>
      </c>
      <c r="X107" s="1">
        <v>2330</v>
      </c>
      <c r="Y107" s="1" t="s">
        <v>51</v>
      </c>
      <c r="Z107" s="1">
        <v>1580</v>
      </c>
      <c r="AA107" s="1">
        <v>750</v>
      </c>
      <c r="AB107" s="1">
        <v>0</v>
      </c>
      <c r="AC107" s="1">
        <v>0</v>
      </c>
      <c r="AD107" s="1">
        <v>0</v>
      </c>
      <c r="AE107" s="1">
        <v>0</v>
      </c>
      <c r="AF107" s="1"/>
      <c r="AG107" s="1">
        <v>0</v>
      </c>
      <c r="AH107" s="1">
        <v>0</v>
      </c>
      <c r="AI107" s="1">
        <v>0</v>
      </c>
      <c r="AJ107" s="1">
        <v>0</v>
      </c>
      <c r="AK107" s="1">
        <v>2.37</v>
      </c>
      <c r="AL107" s="1">
        <v>2.37</v>
      </c>
      <c r="AM107" s="1">
        <v>2.37</v>
      </c>
    </row>
    <row r="108" spans="1:39" x14ac:dyDescent="0.3">
      <c r="A108" s="21" t="str">
        <f t="shared" si="1"/>
        <v>HFA288LCLK2026-03-28</v>
      </c>
      <c r="B108" t="str">
        <f>VLOOKUP(A108,Sheet1!A108:B1450,1,FALSE)</f>
        <v>HFA288LCLK2026-03-28</v>
      </c>
      <c r="C108" s="3">
        <v>46109</v>
      </c>
      <c r="D108" s="1" t="s">
        <v>110</v>
      </c>
      <c r="E108" s="1" t="s">
        <v>38</v>
      </c>
      <c r="F108" s="1"/>
      <c r="G108" s="1" t="s">
        <v>39</v>
      </c>
      <c r="H108" s="1" t="s">
        <v>40</v>
      </c>
      <c r="I108" s="1" t="s">
        <v>67</v>
      </c>
      <c r="J108" s="1" t="s">
        <v>86</v>
      </c>
      <c r="K108" s="1" t="s">
        <v>87</v>
      </c>
      <c r="L108" s="1" t="s">
        <v>88</v>
      </c>
      <c r="M108" s="1" t="s">
        <v>50</v>
      </c>
      <c r="N108" s="1" t="s">
        <v>41</v>
      </c>
      <c r="O108" s="1" t="s">
        <v>82</v>
      </c>
      <c r="P108" s="1" t="s">
        <v>83</v>
      </c>
      <c r="Q108" s="1" t="s">
        <v>84</v>
      </c>
      <c r="R108" s="1" t="s">
        <v>45</v>
      </c>
      <c r="S108" s="1">
        <v>339</v>
      </c>
      <c r="T108" s="1">
        <v>339</v>
      </c>
      <c r="U108" s="4">
        <v>4.6527777777777779E-2</v>
      </c>
      <c r="V108" s="1">
        <v>1580</v>
      </c>
      <c r="W108" s="1">
        <v>1220</v>
      </c>
      <c r="X108" s="1">
        <v>2800</v>
      </c>
      <c r="Y108" s="1" t="s">
        <v>51</v>
      </c>
      <c r="Z108" s="1">
        <v>2210</v>
      </c>
      <c r="AA108" s="1">
        <v>590</v>
      </c>
      <c r="AB108" s="1">
        <v>0</v>
      </c>
      <c r="AC108" s="1">
        <v>0</v>
      </c>
      <c r="AD108" s="1">
        <v>0</v>
      </c>
      <c r="AE108" s="1">
        <v>0</v>
      </c>
      <c r="AF108" s="1"/>
      <c r="AG108" s="1">
        <v>0</v>
      </c>
      <c r="AH108" s="1">
        <v>0</v>
      </c>
      <c r="AI108" s="1">
        <v>0</v>
      </c>
      <c r="AJ108" s="1">
        <v>0</v>
      </c>
      <c r="AK108" s="1">
        <v>1.8644000000000001</v>
      </c>
      <c r="AL108" s="1">
        <v>1.8644000000000001</v>
      </c>
      <c r="AM108" s="1">
        <v>1.8644000000000001</v>
      </c>
    </row>
    <row r="109" spans="1:39" x14ac:dyDescent="0.3">
      <c r="A109" s="21" t="str">
        <f t="shared" si="1"/>
        <v>HFA289LLBG2026-03-28</v>
      </c>
      <c r="B109" t="str">
        <f>VLOOKUP(A109,Sheet1!A109:B1451,1,FALSE)</f>
        <v>HFA289LLBG2026-03-28</v>
      </c>
      <c r="C109" s="3">
        <v>46109</v>
      </c>
      <c r="D109" s="1" t="s">
        <v>111</v>
      </c>
      <c r="E109" s="1" t="s">
        <v>38</v>
      </c>
      <c r="F109" s="1"/>
      <c r="G109" s="1" t="s">
        <v>39</v>
      </c>
      <c r="H109" s="1" t="s">
        <v>40</v>
      </c>
      <c r="I109" s="1" t="s">
        <v>41</v>
      </c>
      <c r="J109" s="1" t="s">
        <v>82</v>
      </c>
      <c r="K109" s="1" t="s">
        <v>83</v>
      </c>
      <c r="L109" s="1" t="s">
        <v>84</v>
      </c>
      <c r="M109" s="1" t="s">
        <v>45</v>
      </c>
      <c r="N109" s="1" t="s">
        <v>67</v>
      </c>
      <c r="O109" s="1" t="s">
        <v>86</v>
      </c>
      <c r="P109" s="1" t="s">
        <v>87</v>
      </c>
      <c r="Q109" s="1" t="s">
        <v>88</v>
      </c>
      <c r="R109" s="1" t="s">
        <v>50</v>
      </c>
      <c r="S109" s="1">
        <v>339</v>
      </c>
      <c r="T109" s="1">
        <v>339</v>
      </c>
      <c r="U109" s="4">
        <v>6.041666666666666E-2</v>
      </c>
      <c r="V109" s="1">
        <v>2210</v>
      </c>
      <c r="W109" s="1">
        <v>0</v>
      </c>
      <c r="X109" s="1">
        <v>2210</v>
      </c>
      <c r="Y109" s="1" t="s">
        <v>51</v>
      </c>
      <c r="Z109" s="1">
        <v>1420</v>
      </c>
      <c r="AA109" s="1">
        <v>790</v>
      </c>
      <c r="AB109" s="1">
        <v>0</v>
      </c>
      <c r="AC109" s="1">
        <v>0</v>
      </c>
      <c r="AD109" s="1">
        <v>0</v>
      </c>
      <c r="AE109" s="1">
        <v>0</v>
      </c>
      <c r="AF109" s="1"/>
      <c r="AG109" s="1">
        <v>0</v>
      </c>
      <c r="AH109" s="1">
        <v>0</v>
      </c>
      <c r="AI109" s="1">
        <v>0</v>
      </c>
      <c r="AJ109" s="1">
        <v>0</v>
      </c>
      <c r="AK109" s="1">
        <v>2.4964</v>
      </c>
      <c r="AL109" s="1">
        <v>2.4964</v>
      </c>
      <c r="AM109" s="1">
        <v>2.4964</v>
      </c>
    </row>
    <row r="110" spans="1:39" x14ac:dyDescent="0.3">
      <c r="A110" s="21" t="str">
        <f t="shared" si="1"/>
        <v>HFA601LLHA2026-01-01</v>
      </c>
      <c r="B110" t="str">
        <f>VLOOKUP(A110,Sheet1!A110:B1452,1,FALSE)</f>
        <v>HFA601LLHA2026-01-01</v>
      </c>
      <c r="C110" s="3">
        <v>46023</v>
      </c>
      <c r="D110" s="1" t="s">
        <v>57</v>
      </c>
      <c r="E110" s="1" t="s">
        <v>38</v>
      </c>
      <c r="F110" s="1" t="s">
        <v>54</v>
      </c>
      <c r="G110" s="1" t="s">
        <v>39</v>
      </c>
      <c r="H110" s="1" t="s">
        <v>112</v>
      </c>
      <c r="I110" s="1" t="s">
        <v>41</v>
      </c>
      <c r="J110" s="1" t="s">
        <v>42</v>
      </c>
      <c r="K110" s="1" t="s">
        <v>43</v>
      </c>
      <c r="L110" s="1" t="s">
        <v>44</v>
      </c>
      <c r="M110" s="1" t="s">
        <v>45</v>
      </c>
      <c r="N110" s="1" t="s">
        <v>41</v>
      </c>
      <c r="O110" s="1" t="s">
        <v>58</v>
      </c>
      <c r="P110" s="1" t="s">
        <v>59</v>
      </c>
      <c r="Q110" s="1" t="s">
        <v>60</v>
      </c>
      <c r="R110" s="1" t="s">
        <v>45</v>
      </c>
      <c r="S110" s="1">
        <v>342</v>
      </c>
      <c r="T110" s="1">
        <v>0</v>
      </c>
      <c r="U110" s="4">
        <v>4.2361111111111106E-2</v>
      </c>
      <c r="V110" s="1">
        <v>1690</v>
      </c>
      <c r="W110" s="1">
        <v>310</v>
      </c>
      <c r="X110" s="1">
        <v>2000</v>
      </c>
      <c r="Y110" s="1" t="s">
        <v>51</v>
      </c>
      <c r="Z110" s="1">
        <v>1280</v>
      </c>
      <c r="AA110" s="1">
        <v>720</v>
      </c>
      <c r="AB110" s="1">
        <v>0</v>
      </c>
      <c r="AC110" s="1">
        <v>0</v>
      </c>
      <c r="AD110" s="1">
        <v>0</v>
      </c>
      <c r="AE110" s="1">
        <v>0</v>
      </c>
      <c r="AF110" s="1"/>
      <c r="AG110" s="1">
        <v>0</v>
      </c>
      <c r="AH110" s="1">
        <v>0</v>
      </c>
      <c r="AI110" s="1">
        <v>0</v>
      </c>
      <c r="AJ110" s="1">
        <v>0</v>
      </c>
      <c r="AK110" s="1">
        <v>2.2751999999999999</v>
      </c>
      <c r="AL110" s="1">
        <v>2.2751999999999999</v>
      </c>
      <c r="AM110" s="1">
        <v>2.2751999999999999</v>
      </c>
    </row>
    <row r="111" spans="1:39" x14ac:dyDescent="0.3">
      <c r="A111" s="21" t="str">
        <f t="shared" si="1"/>
        <v>HFA602LLER2026-01-01</v>
      </c>
      <c r="B111" t="str">
        <f>VLOOKUP(A111,Sheet1!A111:B1453,1,FALSE)</f>
        <v>HFA602LLER2026-01-01</v>
      </c>
      <c r="C111" s="3">
        <v>46023</v>
      </c>
      <c r="D111" s="1" t="s">
        <v>61</v>
      </c>
      <c r="E111" s="1" t="s">
        <v>38</v>
      </c>
      <c r="F111" s="1" t="s">
        <v>54</v>
      </c>
      <c r="G111" s="1" t="s">
        <v>39</v>
      </c>
      <c r="H111" s="1" t="s">
        <v>112</v>
      </c>
      <c r="I111" s="1" t="s">
        <v>41</v>
      </c>
      <c r="J111" s="1" t="s">
        <v>58</v>
      </c>
      <c r="K111" s="1" t="s">
        <v>59</v>
      </c>
      <c r="L111" s="1" t="s">
        <v>60</v>
      </c>
      <c r="M111" s="1" t="s">
        <v>45</v>
      </c>
      <c r="N111" s="1" t="s">
        <v>41</v>
      </c>
      <c r="O111" s="1" t="s">
        <v>42</v>
      </c>
      <c r="P111" s="1" t="s">
        <v>43</v>
      </c>
      <c r="Q111" s="1" t="s">
        <v>44</v>
      </c>
      <c r="R111" s="1" t="s">
        <v>45</v>
      </c>
      <c r="S111" s="1">
        <v>342</v>
      </c>
      <c r="T111" s="1">
        <v>0</v>
      </c>
      <c r="U111" s="4">
        <v>4.4444444444444439E-2</v>
      </c>
      <c r="V111" s="1">
        <v>1280</v>
      </c>
      <c r="W111" s="1">
        <v>1420</v>
      </c>
      <c r="X111" s="1">
        <v>2700</v>
      </c>
      <c r="Y111" s="1" t="s">
        <v>51</v>
      </c>
      <c r="Z111" s="1">
        <v>2030</v>
      </c>
      <c r="AA111" s="1">
        <v>670</v>
      </c>
      <c r="AB111" s="1">
        <v>0</v>
      </c>
      <c r="AC111" s="1">
        <v>0</v>
      </c>
      <c r="AD111" s="1">
        <v>0</v>
      </c>
      <c r="AE111" s="1">
        <v>0</v>
      </c>
      <c r="AF111" s="1"/>
      <c r="AG111" s="1">
        <v>0</v>
      </c>
      <c r="AH111" s="1">
        <v>0</v>
      </c>
      <c r="AI111" s="1">
        <v>0</v>
      </c>
      <c r="AJ111" s="1">
        <v>0</v>
      </c>
      <c r="AK111" s="1">
        <v>2.1172</v>
      </c>
      <c r="AL111" s="1">
        <v>2.1172</v>
      </c>
      <c r="AM111" s="1">
        <v>2.1172</v>
      </c>
    </row>
    <row r="112" spans="1:39" x14ac:dyDescent="0.3">
      <c r="A112" s="21" t="str">
        <f t="shared" si="1"/>
        <v>HFA603LLHA2026-01-01</v>
      </c>
      <c r="B112" t="str">
        <f>VLOOKUP(A112,Sheet1!A112:B1454,1,FALSE)</f>
        <v>HFA603LLHA2026-01-01</v>
      </c>
      <c r="C112" s="3">
        <v>46023</v>
      </c>
      <c r="D112" s="1" t="s">
        <v>72</v>
      </c>
      <c r="E112" s="1" t="s">
        <v>38</v>
      </c>
      <c r="F112" s="1" t="s">
        <v>54</v>
      </c>
      <c r="G112" s="1" t="s">
        <v>39</v>
      </c>
      <c r="H112" s="1" t="s">
        <v>112</v>
      </c>
      <c r="I112" s="1" t="s">
        <v>41</v>
      </c>
      <c r="J112" s="1" t="s">
        <v>42</v>
      </c>
      <c r="K112" s="1" t="s">
        <v>43</v>
      </c>
      <c r="L112" s="1" t="s">
        <v>44</v>
      </c>
      <c r="M112" s="1" t="s">
        <v>45</v>
      </c>
      <c r="N112" s="1" t="s">
        <v>41</v>
      </c>
      <c r="O112" s="1" t="s">
        <v>58</v>
      </c>
      <c r="P112" s="1" t="s">
        <v>59</v>
      </c>
      <c r="Q112" s="1" t="s">
        <v>60</v>
      </c>
      <c r="R112" s="1" t="s">
        <v>45</v>
      </c>
      <c r="S112" s="1">
        <v>342</v>
      </c>
      <c r="T112" s="1">
        <v>0</v>
      </c>
      <c r="U112" s="4">
        <v>4.027777777777778E-2</v>
      </c>
      <c r="V112" s="1">
        <v>2030</v>
      </c>
      <c r="W112" s="1">
        <v>0</v>
      </c>
      <c r="X112" s="1">
        <v>2030</v>
      </c>
      <c r="Y112" s="1" t="s">
        <v>51</v>
      </c>
      <c r="Z112" s="1">
        <v>1330</v>
      </c>
      <c r="AA112" s="1">
        <v>700</v>
      </c>
      <c r="AB112" s="1">
        <v>0</v>
      </c>
      <c r="AC112" s="1">
        <v>0</v>
      </c>
      <c r="AD112" s="1">
        <v>0</v>
      </c>
      <c r="AE112" s="1">
        <v>0</v>
      </c>
      <c r="AF112" s="1"/>
      <c r="AG112" s="1">
        <v>0</v>
      </c>
      <c r="AH112" s="1">
        <v>0</v>
      </c>
      <c r="AI112" s="1">
        <v>0</v>
      </c>
      <c r="AJ112" s="1">
        <v>0</v>
      </c>
      <c r="AK112" s="1">
        <v>2.2120000000000002</v>
      </c>
      <c r="AL112" s="1">
        <v>2.2120000000000002</v>
      </c>
      <c r="AM112" s="1">
        <v>2.2120000000000002</v>
      </c>
    </row>
    <row r="113" spans="1:39" x14ac:dyDescent="0.3">
      <c r="A113" s="21" t="str">
        <f t="shared" si="1"/>
        <v>HFA604LLER2026-01-01</v>
      </c>
      <c r="B113" t="str">
        <f>VLOOKUP(A113,Sheet1!A113:B1455,1,FALSE)</f>
        <v>HFA604LLER2026-01-01</v>
      </c>
      <c r="C113" s="3">
        <v>46023</v>
      </c>
      <c r="D113" s="1" t="s">
        <v>73</v>
      </c>
      <c r="E113" s="1" t="s">
        <v>38</v>
      </c>
      <c r="F113" s="1" t="s">
        <v>54</v>
      </c>
      <c r="G113" s="1" t="s">
        <v>39</v>
      </c>
      <c r="H113" s="1" t="s">
        <v>112</v>
      </c>
      <c r="I113" s="1" t="s">
        <v>41</v>
      </c>
      <c r="J113" s="1" t="s">
        <v>58</v>
      </c>
      <c r="K113" s="1" t="s">
        <v>59</v>
      </c>
      <c r="L113" s="1" t="s">
        <v>60</v>
      </c>
      <c r="M113" s="1" t="s">
        <v>45</v>
      </c>
      <c r="N113" s="1" t="s">
        <v>41</v>
      </c>
      <c r="O113" s="1" t="s">
        <v>42</v>
      </c>
      <c r="P113" s="1" t="s">
        <v>43</v>
      </c>
      <c r="Q113" s="1" t="s">
        <v>44</v>
      </c>
      <c r="R113" s="1" t="s">
        <v>45</v>
      </c>
      <c r="S113" s="1">
        <v>342</v>
      </c>
      <c r="T113" s="1">
        <v>0</v>
      </c>
      <c r="U113" s="4">
        <v>4.5138888888888888E-2</v>
      </c>
      <c r="V113" s="1">
        <v>1330</v>
      </c>
      <c r="W113" s="1">
        <v>1170</v>
      </c>
      <c r="X113" s="1">
        <v>2500</v>
      </c>
      <c r="Y113" s="1" t="s">
        <v>51</v>
      </c>
      <c r="Z113" s="1">
        <v>1850</v>
      </c>
      <c r="AA113" s="1">
        <v>650</v>
      </c>
      <c r="AB113" s="1">
        <v>0</v>
      </c>
      <c r="AC113" s="1">
        <v>0</v>
      </c>
      <c r="AD113" s="1">
        <v>0</v>
      </c>
      <c r="AE113" s="1">
        <v>0</v>
      </c>
      <c r="AF113" s="1"/>
      <c r="AG113" s="1">
        <v>0</v>
      </c>
      <c r="AH113" s="1">
        <v>0</v>
      </c>
      <c r="AI113" s="1">
        <v>0</v>
      </c>
      <c r="AJ113" s="1">
        <v>0</v>
      </c>
      <c r="AK113" s="1">
        <v>2.0539999999999998</v>
      </c>
      <c r="AL113" s="1">
        <v>2.0539999999999998</v>
      </c>
      <c r="AM113" s="1">
        <v>2.0539999999999998</v>
      </c>
    </row>
    <row r="114" spans="1:39" x14ac:dyDescent="0.3">
      <c r="A114" s="21" t="str">
        <f t="shared" si="1"/>
        <v>HFA851LLHA2026-01-04</v>
      </c>
      <c r="B114" t="str">
        <f>VLOOKUP(A114,Sheet1!A114:B1456,1,FALSE)</f>
        <v>HFA851LLHA2026-01-04</v>
      </c>
      <c r="C114" s="3">
        <v>46026</v>
      </c>
      <c r="D114" s="1" t="s">
        <v>66</v>
      </c>
      <c r="E114" s="1" t="s">
        <v>38</v>
      </c>
      <c r="F114" s="1"/>
      <c r="G114" s="1" t="s">
        <v>39</v>
      </c>
      <c r="H114" s="1" t="s">
        <v>112</v>
      </c>
      <c r="I114" s="1" t="s">
        <v>41</v>
      </c>
      <c r="J114" s="1" t="s">
        <v>42</v>
      </c>
      <c r="K114" s="1" t="s">
        <v>43</v>
      </c>
      <c r="L114" s="1" t="s">
        <v>44</v>
      </c>
      <c r="M114" s="1" t="s">
        <v>45</v>
      </c>
      <c r="N114" s="1" t="s">
        <v>67</v>
      </c>
      <c r="O114" s="1" t="s">
        <v>68</v>
      </c>
      <c r="P114" s="1" t="s">
        <v>69</v>
      </c>
      <c r="Q114" s="1" t="s">
        <v>70</v>
      </c>
      <c r="R114" s="1" t="s">
        <v>50</v>
      </c>
      <c r="S114" s="1">
        <v>318</v>
      </c>
      <c r="T114" s="1">
        <v>0</v>
      </c>
      <c r="U114" s="4">
        <v>4.4444444444444439E-2</v>
      </c>
      <c r="V114" s="1">
        <v>1850</v>
      </c>
      <c r="W114" s="1">
        <v>-40</v>
      </c>
      <c r="X114" s="1">
        <v>1810</v>
      </c>
      <c r="Y114" s="1" t="s">
        <v>51</v>
      </c>
      <c r="Z114" s="1">
        <v>1100</v>
      </c>
      <c r="AA114" s="1">
        <v>710</v>
      </c>
      <c r="AB114" s="1">
        <v>0</v>
      </c>
      <c r="AC114" s="1">
        <v>0</v>
      </c>
      <c r="AD114" s="1">
        <v>0</v>
      </c>
      <c r="AE114" s="1">
        <v>0</v>
      </c>
      <c r="AF114" s="1"/>
      <c r="AG114" s="1">
        <v>0</v>
      </c>
      <c r="AH114" s="1">
        <v>0</v>
      </c>
      <c r="AI114" s="1">
        <v>0</v>
      </c>
      <c r="AJ114" s="1">
        <v>0</v>
      </c>
      <c r="AK114" s="1">
        <v>2.2435999999999998</v>
      </c>
      <c r="AL114" s="1">
        <v>2.2435999999999998</v>
      </c>
      <c r="AM114" s="1">
        <v>2.2435999999999998</v>
      </c>
    </row>
    <row r="115" spans="1:39" x14ac:dyDescent="0.3">
      <c r="A115" s="21" t="str">
        <f t="shared" si="1"/>
        <v>HFA852LCPH2026-01-04</v>
      </c>
      <c r="B115" t="str">
        <f>VLOOKUP(A115,Sheet1!A115:B1457,1,FALSE)</f>
        <v>HFA852LCPH2026-01-04</v>
      </c>
      <c r="C115" s="3">
        <v>46026</v>
      </c>
      <c r="D115" s="1" t="s">
        <v>71</v>
      </c>
      <c r="E115" s="1" t="s">
        <v>38</v>
      </c>
      <c r="F115" s="1"/>
      <c r="G115" s="1" t="s">
        <v>39</v>
      </c>
      <c r="H115" s="1" t="s">
        <v>112</v>
      </c>
      <c r="I115" s="1" t="s">
        <v>67</v>
      </c>
      <c r="J115" s="1" t="s">
        <v>68</v>
      </c>
      <c r="K115" s="1" t="s">
        <v>69</v>
      </c>
      <c r="L115" s="1" t="s">
        <v>70</v>
      </c>
      <c r="M115" s="1" t="s">
        <v>50</v>
      </c>
      <c r="N115" s="1" t="s">
        <v>41</v>
      </c>
      <c r="O115" s="1" t="s">
        <v>42</v>
      </c>
      <c r="P115" s="1" t="s">
        <v>43</v>
      </c>
      <c r="Q115" s="1" t="s">
        <v>44</v>
      </c>
      <c r="R115" s="1" t="s">
        <v>45</v>
      </c>
      <c r="S115" s="1">
        <v>318</v>
      </c>
      <c r="T115" s="1">
        <v>0</v>
      </c>
      <c r="U115" s="4">
        <v>6.6666666666666666E-2</v>
      </c>
      <c r="V115" s="1">
        <v>1100</v>
      </c>
      <c r="W115" s="1">
        <v>1100</v>
      </c>
      <c r="X115" s="1">
        <v>2200</v>
      </c>
      <c r="Y115" s="1" t="s">
        <v>51</v>
      </c>
      <c r="Z115" s="1">
        <v>1340</v>
      </c>
      <c r="AA115" s="1">
        <v>860</v>
      </c>
      <c r="AB115" s="1">
        <v>0</v>
      </c>
      <c r="AC115" s="1">
        <v>0</v>
      </c>
      <c r="AD115" s="1">
        <v>0</v>
      </c>
      <c r="AE115" s="1">
        <v>0</v>
      </c>
      <c r="AF115" s="1"/>
      <c r="AG115" s="1">
        <v>0</v>
      </c>
      <c r="AH115" s="1">
        <v>0</v>
      </c>
      <c r="AI115" s="1">
        <v>0</v>
      </c>
      <c r="AJ115" s="1">
        <v>0</v>
      </c>
      <c r="AK115" s="1">
        <v>2.7176</v>
      </c>
      <c r="AL115" s="1">
        <v>2.7176</v>
      </c>
      <c r="AM115" s="1">
        <v>2.7176</v>
      </c>
    </row>
    <row r="116" spans="1:39" x14ac:dyDescent="0.3">
      <c r="A116" s="21" t="str">
        <f t="shared" si="1"/>
        <v>HFA701LLHA2026-01-05</v>
      </c>
      <c r="B116" t="str">
        <f>VLOOKUP(A116,Sheet1!A116:B1458,1,FALSE)</f>
        <v>HFA701LLHA2026-01-05</v>
      </c>
      <c r="C116" s="3">
        <v>46027</v>
      </c>
      <c r="D116" s="1" t="s">
        <v>53</v>
      </c>
      <c r="E116" s="1" t="s">
        <v>38</v>
      </c>
      <c r="F116" s="1"/>
      <c r="G116" s="1" t="s">
        <v>39</v>
      </c>
      <c r="H116" s="1" t="s">
        <v>112</v>
      </c>
      <c r="I116" s="1" t="s">
        <v>41</v>
      </c>
      <c r="J116" s="1" t="s">
        <v>42</v>
      </c>
      <c r="K116" s="1" t="s">
        <v>43</v>
      </c>
      <c r="L116" s="1" t="s">
        <v>44</v>
      </c>
      <c r="M116" s="1" t="s">
        <v>45</v>
      </c>
      <c r="N116" s="1" t="s">
        <v>46</v>
      </c>
      <c r="O116" s="1" t="s">
        <v>47</v>
      </c>
      <c r="P116" s="1" t="s">
        <v>48</v>
      </c>
      <c r="Q116" s="1" t="s">
        <v>49</v>
      </c>
      <c r="R116" s="1" t="s">
        <v>50</v>
      </c>
      <c r="S116" s="1">
        <v>1157</v>
      </c>
      <c r="T116" s="1">
        <v>0</v>
      </c>
      <c r="U116" s="4">
        <v>0.11874999999999999</v>
      </c>
      <c r="V116" s="1">
        <v>1340</v>
      </c>
      <c r="W116" s="1">
        <v>1960</v>
      </c>
      <c r="X116" s="1">
        <v>3300</v>
      </c>
      <c r="Y116" s="1" t="s">
        <v>51</v>
      </c>
      <c r="Z116" s="1">
        <v>1470</v>
      </c>
      <c r="AA116" s="1">
        <v>1830</v>
      </c>
      <c r="AB116" s="1">
        <v>0</v>
      </c>
      <c r="AC116" s="1">
        <v>0</v>
      </c>
      <c r="AD116" s="1">
        <v>0</v>
      </c>
      <c r="AE116" s="1">
        <v>0</v>
      </c>
      <c r="AF116" s="1"/>
      <c r="AG116" s="1">
        <v>0</v>
      </c>
      <c r="AH116" s="1">
        <v>0</v>
      </c>
      <c r="AI116" s="1">
        <v>0</v>
      </c>
      <c r="AJ116" s="1">
        <v>0</v>
      </c>
      <c r="AK116" s="1">
        <v>5.7827999999999999</v>
      </c>
      <c r="AL116" s="1">
        <v>5.7827999999999999</v>
      </c>
      <c r="AM116" s="1">
        <v>5.7827999999999999</v>
      </c>
    </row>
    <row r="117" spans="1:39" x14ac:dyDescent="0.3">
      <c r="A117" s="21" t="str">
        <f t="shared" si="1"/>
        <v>HFA702LGAV2026-01-05</v>
      </c>
      <c r="B117" t="str">
        <f>VLOOKUP(A117,Sheet1!A117:B1459,1,FALSE)</f>
        <v>HFA702LGAV2026-01-05</v>
      </c>
      <c r="C117" s="3">
        <v>46027</v>
      </c>
      <c r="D117" s="1" t="s">
        <v>56</v>
      </c>
      <c r="E117" s="1" t="s">
        <v>38</v>
      </c>
      <c r="F117" s="1"/>
      <c r="G117" s="1" t="s">
        <v>39</v>
      </c>
      <c r="H117" s="1" t="s">
        <v>112</v>
      </c>
      <c r="I117" s="1" t="s">
        <v>46</v>
      </c>
      <c r="J117" s="1" t="s">
        <v>47</v>
      </c>
      <c r="K117" s="1" t="s">
        <v>48</v>
      </c>
      <c r="L117" s="1" t="s">
        <v>49</v>
      </c>
      <c r="M117" s="1" t="s">
        <v>50</v>
      </c>
      <c r="N117" s="1" t="s">
        <v>41</v>
      </c>
      <c r="O117" s="1" t="s">
        <v>42</v>
      </c>
      <c r="P117" s="1" t="s">
        <v>43</v>
      </c>
      <c r="Q117" s="1" t="s">
        <v>44</v>
      </c>
      <c r="R117" s="1" t="s">
        <v>45</v>
      </c>
      <c r="S117" s="1">
        <v>1157</v>
      </c>
      <c r="T117" s="1">
        <v>0</v>
      </c>
      <c r="U117" s="4">
        <v>0.11319444444444444</v>
      </c>
      <c r="V117" s="1">
        <v>1470</v>
      </c>
      <c r="W117" s="1">
        <v>1730</v>
      </c>
      <c r="X117" s="1">
        <v>3200</v>
      </c>
      <c r="Y117" s="1" t="s">
        <v>51</v>
      </c>
      <c r="Z117" s="1">
        <v>1510</v>
      </c>
      <c r="AA117" s="1">
        <v>1690</v>
      </c>
      <c r="AB117" s="1">
        <v>0</v>
      </c>
      <c r="AC117" s="1">
        <v>0</v>
      </c>
      <c r="AD117" s="1">
        <v>0</v>
      </c>
      <c r="AE117" s="1">
        <v>0</v>
      </c>
      <c r="AF117" s="1"/>
      <c r="AG117" s="1">
        <v>0</v>
      </c>
      <c r="AH117" s="1">
        <v>0</v>
      </c>
      <c r="AI117" s="1">
        <v>0</v>
      </c>
      <c r="AJ117" s="1">
        <v>0</v>
      </c>
      <c r="AK117" s="1">
        <v>5.3403999999999998</v>
      </c>
      <c r="AL117" s="1">
        <v>5.3403999999999998</v>
      </c>
      <c r="AM117" s="1">
        <v>5.3403999999999998</v>
      </c>
    </row>
    <row r="118" spans="1:39" x14ac:dyDescent="0.3">
      <c r="A118" s="21" t="str">
        <f t="shared" si="1"/>
        <v>HFA703LLHA2026-01-07</v>
      </c>
      <c r="B118" t="str">
        <f>VLOOKUP(A118,Sheet1!A118:B1460,1,FALSE)</f>
        <v>HFA703LLHA2026-01-07</v>
      </c>
      <c r="C118" s="3">
        <v>46029</v>
      </c>
      <c r="D118" s="1" t="s">
        <v>37</v>
      </c>
      <c r="E118" s="1" t="s">
        <v>38</v>
      </c>
      <c r="F118" s="1"/>
      <c r="G118" s="1" t="s">
        <v>39</v>
      </c>
      <c r="H118" s="1" t="s">
        <v>112</v>
      </c>
      <c r="I118" s="1" t="s">
        <v>41</v>
      </c>
      <c r="J118" s="1" t="s">
        <v>42</v>
      </c>
      <c r="K118" s="1" t="s">
        <v>43</v>
      </c>
      <c r="L118" s="1" t="s">
        <v>44</v>
      </c>
      <c r="M118" s="1" t="s">
        <v>45</v>
      </c>
      <c r="N118" s="1" t="s">
        <v>46</v>
      </c>
      <c r="O118" s="1" t="s">
        <v>47</v>
      </c>
      <c r="P118" s="1" t="s">
        <v>48</v>
      </c>
      <c r="Q118" s="1" t="s">
        <v>49</v>
      </c>
      <c r="R118" s="1" t="s">
        <v>50</v>
      </c>
      <c r="S118" s="1">
        <v>1157</v>
      </c>
      <c r="T118" s="1">
        <v>0</v>
      </c>
      <c r="U118" s="4">
        <v>0.12986111111111112</v>
      </c>
      <c r="V118" s="1">
        <v>1510</v>
      </c>
      <c r="W118" s="1">
        <v>1990</v>
      </c>
      <c r="X118" s="1">
        <v>3500</v>
      </c>
      <c r="Y118" s="1" t="s">
        <v>51</v>
      </c>
      <c r="Z118" s="1">
        <v>1420</v>
      </c>
      <c r="AA118" s="1">
        <v>2080</v>
      </c>
      <c r="AB118" s="1">
        <v>0</v>
      </c>
      <c r="AC118" s="1">
        <v>0</v>
      </c>
      <c r="AD118" s="1">
        <v>0</v>
      </c>
      <c r="AE118" s="1">
        <v>0</v>
      </c>
      <c r="AF118" s="1"/>
      <c r="AG118" s="1">
        <v>0</v>
      </c>
      <c r="AH118" s="1">
        <v>0</v>
      </c>
      <c r="AI118" s="1">
        <v>0</v>
      </c>
      <c r="AJ118" s="1">
        <v>0</v>
      </c>
      <c r="AK118" s="1">
        <v>6.5728</v>
      </c>
      <c r="AL118" s="1">
        <v>6.5728</v>
      </c>
      <c r="AM118" s="1">
        <v>6.5728</v>
      </c>
    </row>
    <row r="119" spans="1:39" x14ac:dyDescent="0.3">
      <c r="A119" s="21" t="str">
        <f t="shared" si="1"/>
        <v>HFA704LGAV2026-01-07</v>
      </c>
      <c r="B119" t="str">
        <f>VLOOKUP(A119,Sheet1!A119:B1461,1,FALSE)</f>
        <v>HFA704LGAV2026-01-07</v>
      </c>
      <c r="C119" s="3">
        <v>46029</v>
      </c>
      <c r="D119" s="1" t="s">
        <v>52</v>
      </c>
      <c r="E119" s="1" t="s">
        <v>38</v>
      </c>
      <c r="F119" s="1"/>
      <c r="G119" s="1" t="s">
        <v>39</v>
      </c>
      <c r="H119" s="1" t="s">
        <v>112</v>
      </c>
      <c r="I119" s="1" t="s">
        <v>46</v>
      </c>
      <c r="J119" s="1" t="s">
        <v>47</v>
      </c>
      <c r="K119" s="1" t="s">
        <v>48</v>
      </c>
      <c r="L119" s="1" t="s">
        <v>49</v>
      </c>
      <c r="M119" s="1" t="s">
        <v>50</v>
      </c>
      <c r="N119" s="1" t="s">
        <v>41</v>
      </c>
      <c r="O119" s="1" t="s">
        <v>42</v>
      </c>
      <c r="P119" s="1" t="s">
        <v>43</v>
      </c>
      <c r="Q119" s="1" t="s">
        <v>44</v>
      </c>
      <c r="R119" s="1" t="s">
        <v>45</v>
      </c>
      <c r="S119" s="1">
        <v>1157</v>
      </c>
      <c r="T119" s="1">
        <v>0</v>
      </c>
      <c r="U119" s="4">
        <v>0.10902777777777778</v>
      </c>
      <c r="V119" s="1">
        <v>1420</v>
      </c>
      <c r="W119" s="1">
        <v>2080</v>
      </c>
      <c r="X119" s="1">
        <v>3500</v>
      </c>
      <c r="Y119" s="1" t="s">
        <v>51</v>
      </c>
      <c r="Z119" s="1">
        <v>1720</v>
      </c>
      <c r="AA119" s="1">
        <v>1780</v>
      </c>
      <c r="AB119" s="1">
        <v>0</v>
      </c>
      <c r="AC119" s="1">
        <v>0</v>
      </c>
      <c r="AD119" s="1">
        <v>0</v>
      </c>
      <c r="AE119" s="1">
        <v>0</v>
      </c>
      <c r="AF119" s="1"/>
      <c r="AG119" s="1">
        <v>0</v>
      </c>
      <c r="AH119" s="1">
        <v>0</v>
      </c>
      <c r="AI119" s="1">
        <v>0</v>
      </c>
      <c r="AJ119" s="1">
        <v>0</v>
      </c>
      <c r="AK119" s="1">
        <v>5.6247999999999996</v>
      </c>
      <c r="AL119" s="1">
        <v>5.6247999999999996</v>
      </c>
      <c r="AM119" s="1">
        <v>5.6247999999999996</v>
      </c>
    </row>
    <row r="120" spans="1:39" x14ac:dyDescent="0.3">
      <c r="A120" s="21" t="str">
        <f t="shared" si="1"/>
        <v>HFA603LLHA2026-01-08</v>
      </c>
      <c r="B120" t="str">
        <f>VLOOKUP(A120,Sheet1!A120:B1462,1,FALSE)</f>
        <v>HFA603LLHA2026-01-08</v>
      </c>
      <c r="C120" s="3">
        <v>46030</v>
      </c>
      <c r="D120" s="1" t="s">
        <v>72</v>
      </c>
      <c r="E120" s="1" t="s">
        <v>38</v>
      </c>
      <c r="F120" s="1" t="s">
        <v>54</v>
      </c>
      <c r="G120" s="1" t="s">
        <v>39</v>
      </c>
      <c r="H120" s="1" t="s">
        <v>112</v>
      </c>
      <c r="I120" s="1" t="s">
        <v>41</v>
      </c>
      <c r="J120" s="1" t="s">
        <v>42</v>
      </c>
      <c r="K120" s="1" t="s">
        <v>43</v>
      </c>
      <c r="L120" s="1" t="s">
        <v>44</v>
      </c>
      <c r="M120" s="1" t="s">
        <v>45</v>
      </c>
      <c r="N120" s="1" t="s">
        <v>41</v>
      </c>
      <c r="O120" s="1" t="s">
        <v>58</v>
      </c>
      <c r="P120" s="1" t="s">
        <v>59</v>
      </c>
      <c r="Q120" s="1" t="s">
        <v>60</v>
      </c>
      <c r="R120" s="1" t="s">
        <v>45</v>
      </c>
      <c r="S120" s="1">
        <v>342</v>
      </c>
      <c r="T120" s="1">
        <v>0</v>
      </c>
      <c r="U120" s="4">
        <v>4.9999999999999996E-2</v>
      </c>
      <c r="V120" s="1">
        <v>1720</v>
      </c>
      <c r="W120" s="1">
        <v>180</v>
      </c>
      <c r="X120" s="1">
        <v>1900</v>
      </c>
      <c r="Y120" s="1" t="s">
        <v>51</v>
      </c>
      <c r="Z120" s="1">
        <v>1030</v>
      </c>
      <c r="AA120" s="1">
        <v>870</v>
      </c>
      <c r="AB120" s="1">
        <v>0</v>
      </c>
      <c r="AC120" s="1">
        <v>0</v>
      </c>
      <c r="AD120" s="1">
        <v>0</v>
      </c>
      <c r="AE120" s="1">
        <v>0</v>
      </c>
      <c r="AF120" s="1"/>
      <c r="AG120" s="1">
        <v>0</v>
      </c>
      <c r="AH120" s="1">
        <v>0</v>
      </c>
      <c r="AI120" s="1">
        <v>0</v>
      </c>
      <c r="AJ120" s="1">
        <v>0</v>
      </c>
      <c r="AK120" s="1">
        <v>2.7492000000000001</v>
      </c>
      <c r="AL120" s="1">
        <v>2.7492000000000001</v>
      </c>
      <c r="AM120" s="1">
        <v>2.7492000000000001</v>
      </c>
    </row>
    <row r="121" spans="1:39" x14ac:dyDescent="0.3">
      <c r="A121" s="21" t="str">
        <f t="shared" si="1"/>
        <v>HFA604LLER2026-01-08</v>
      </c>
      <c r="B121" t="str">
        <f>VLOOKUP(A121,Sheet1!A121:B1463,1,FALSE)</f>
        <v>HFA604LLER2026-01-08</v>
      </c>
      <c r="C121" s="3">
        <v>46030</v>
      </c>
      <c r="D121" s="1" t="s">
        <v>73</v>
      </c>
      <c r="E121" s="1" t="s">
        <v>38</v>
      </c>
      <c r="F121" s="1" t="s">
        <v>54</v>
      </c>
      <c r="G121" s="1" t="s">
        <v>39</v>
      </c>
      <c r="H121" s="1" t="s">
        <v>112</v>
      </c>
      <c r="I121" s="1" t="s">
        <v>41</v>
      </c>
      <c r="J121" s="1" t="s">
        <v>58</v>
      </c>
      <c r="K121" s="1" t="s">
        <v>59</v>
      </c>
      <c r="L121" s="1" t="s">
        <v>60</v>
      </c>
      <c r="M121" s="1" t="s">
        <v>45</v>
      </c>
      <c r="N121" s="1" t="s">
        <v>41</v>
      </c>
      <c r="O121" s="1" t="s">
        <v>42</v>
      </c>
      <c r="P121" s="1" t="s">
        <v>43</v>
      </c>
      <c r="Q121" s="1" t="s">
        <v>44</v>
      </c>
      <c r="R121" s="1" t="s">
        <v>45</v>
      </c>
      <c r="S121" s="1">
        <v>342</v>
      </c>
      <c r="T121" s="1">
        <v>0</v>
      </c>
      <c r="U121" s="4">
        <v>4.1666666666666664E-2</v>
      </c>
      <c r="V121" s="1">
        <v>1030</v>
      </c>
      <c r="W121" s="1">
        <v>1470</v>
      </c>
      <c r="X121" s="1">
        <v>2500</v>
      </c>
      <c r="Y121" s="1" t="s">
        <v>51</v>
      </c>
      <c r="Z121" s="1">
        <v>1840</v>
      </c>
      <c r="AA121" s="1">
        <v>660</v>
      </c>
      <c r="AB121" s="1">
        <v>0</v>
      </c>
      <c r="AC121" s="1">
        <v>0</v>
      </c>
      <c r="AD121" s="1">
        <v>0</v>
      </c>
      <c r="AE121" s="1">
        <v>0</v>
      </c>
      <c r="AF121" s="1"/>
      <c r="AG121" s="1">
        <v>0</v>
      </c>
      <c r="AH121" s="1">
        <v>0</v>
      </c>
      <c r="AI121" s="1">
        <v>0</v>
      </c>
      <c r="AJ121" s="1">
        <v>0</v>
      </c>
      <c r="AK121" s="1">
        <v>2.0855999999999999</v>
      </c>
      <c r="AL121" s="1">
        <v>2.0855999999999999</v>
      </c>
      <c r="AM121" s="1">
        <v>2.0855999999999999</v>
      </c>
    </row>
    <row r="122" spans="1:39" x14ac:dyDescent="0.3">
      <c r="A122" s="21" t="str">
        <f t="shared" si="1"/>
        <v>HFA601LLHA2026-01-11</v>
      </c>
      <c r="B122" t="str">
        <f>VLOOKUP(A122,Sheet1!A122:B1464,1,FALSE)</f>
        <v>HFA601LLHA2026-01-11</v>
      </c>
      <c r="C122" s="3">
        <v>46033</v>
      </c>
      <c r="D122" s="1" t="s">
        <v>57</v>
      </c>
      <c r="E122" s="1" t="s">
        <v>38</v>
      </c>
      <c r="F122" s="1" t="s">
        <v>54</v>
      </c>
      <c r="G122" s="1" t="s">
        <v>39</v>
      </c>
      <c r="H122" s="1" t="s">
        <v>112</v>
      </c>
      <c r="I122" s="1" t="s">
        <v>41</v>
      </c>
      <c r="J122" s="1" t="s">
        <v>42</v>
      </c>
      <c r="K122" s="1" t="s">
        <v>43</v>
      </c>
      <c r="L122" s="1" t="s">
        <v>44</v>
      </c>
      <c r="M122" s="1" t="s">
        <v>45</v>
      </c>
      <c r="N122" s="1" t="s">
        <v>41</v>
      </c>
      <c r="O122" s="1" t="s">
        <v>58</v>
      </c>
      <c r="P122" s="1" t="s">
        <v>59</v>
      </c>
      <c r="Q122" s="1" t="s">
        <v>60</v>
      </c>
      <c r="R122" s="1" t="s">
        <v>45</v>
      </c>
      <c r="S122" s="1">
        <v>342</v>
      </c>
      <c r="T122" s="1">
        <v>0</v>
      </c>
      <c r="U122" s="4">
        <v>4.9999999999999996E-2</v>
      </c>
      <c r="V122" s="1">
        <v>1840</v>
      </c>
      <c r="W122" s="1">
        <v>60</v>
      </c>
      <c r="X122" s="1">
        <v>1900</v>
      </c>
      <c r="Y122" s="1" t="s">
        <v>51</v>
      </c>
      <c r="Z122" s="1">
        <v>1070</v>
      </c>
      <c r="AA122" s="1">
        <v>830</v>
      </c>
      <c r="AB122" s="1">
        <v>0</v>
      </c>
      <c r="AC122" s="1">
        <v>0</v>
      </c>
      <c r="AD122" s="1">
        <v>0</v>
      </c>
      <c r="AE122" s="1">
        <v>0</v>
      </c>
      <c r="AF122" s="1"/>
      <c r="AG122" s="1">
        <v>0</v>
      </c>
      <c r="AH122" s="1">
        <v>0</v>
      </c>
      <c r="AI122" s="1">
        <v>0</v>
      </c>
      <c r="AJ122" s="1">
        <v>0</v>
      </c>
      <c r="AK122" s="1">
        <v>2.6227999999999998</v>
      </c>
      <c r="AL122" s="1">
        <v>2.6227999999999998</v>
      </c>
      <c r="AM122" s="1">
        <v>2.6227999999999998</v>
      </c>
    </row>
    <row r="123" spans="1:39" x14ac:dyDescent="0.3">
      <c r="A123" s="21" t="str">
        <f t="shared" si="1"/>
        <v>HFA602LLER2026-01-11</v>
      </c>
      <c r="B123" t="str">
        <f>VLOOKUP(A123,Sheet1!A123:B1465,1,FALSE)</f>
        <v>HFA602LLER2026-01-11</v>
      </c>
      <c r="C123" s="3">
        <v>46033</v>
      </c>
      <c r="D123" s="1" t="s">
        <v>61</v>
      </c>
      <c r="E123" s="1" t="s">
        <v>38</v>
      </c>
      <c r="F123" s="1" t="s">
        <v>54</v>
      </c>
      <c r="G123" s="1" t="s">
        <v>39</v>
      </c>
      <c r="H123" s="1" t="s">
        <v>112</v>
      </c>
      <c r="I123" s="1" t="s">
        <v>41</v>
      </c>
      <c r="J123" s="1" t="s">
        <v>58</v>
      </c>
      <c r="K123" s="1" t="s">
        <v>59</v>
      </c>
      <c r="L123" s="1" t="s">
        <v>60</v>
      </c>
      <c r="M123" s="1" t="s">
        <v>45</v>
      </c>
      <c r="N123" s="1" t="s">
        <v>41</v>
      </c>
      <c r="O123" s="1" t="s">
        <v>42</v>
      </c>
      <c r="P123" s="1" t="s">
        <v>43</v>
      </c>
      <c r="Q123" s="1" t="s">
        <v>44</v>
      </c>
      <c r="R123" s="1" t="s">
        <v>45</v>
      </c>
      <c r="S123" s="1">
        <v>342</v>
      </c>
      <c r="T123" s="1">
        <v>0</v>
      </c>
      <c r="U123" s="4">
        <v>4.3055555555555555E-2</v>
      </c>
      <c r="V123" s="1">
        <v>1070</v>
      </c>
      <c r="W123" s="1">
        <v>1230</v>
      </c>
      <c r="X123" s="1">
        <v>2300</v>
      </c>
      <c r="Y123" s="1" t="s">
        <v>51</v>
      </c>
      <c r="Z123" s="1">
        <v>1930</v>
      </c>
      <c r="AA123" s="1">
        <v>370</v>
      </c>
      <c r="AB123" s="1">
        <v>0</v>
      </c>
      <c r="AC123" s="1">
        <v>0</v>
      </c>
      <c r="AD123" s="1">
        <v>0</v>
      </c>
      <c r="AE123" s="1">
        <v>0</v>
      </c>
      <c r="AF123" s="1"/>
      <c r="AG123" s="1">
        <v>0</v>
      </c>
      <c r="AH123" s="1">
        <v>0</v>
      </c>
      <c r="AI123" s="1">
        <v>0</v>
      </c>
      <c r="AJ123" s="1">
        <v>0</v>
      </c>
      <c r="AK123" s="1">
        <v>1.1692</v>
      </c>
      <c r="AL123" s="1">
        <v>1.1692</v>
      </c>
      <c r="AM123" s="1">
        <v>1.1692</v>
      </c>
    </row>
    <row r="124" spans="1:39" x14ac:dyDescent="0.3">
      <c r="A124" s="21" t="str">
        <f t="shared" si="1"/>
        <v>HFA603LLHA2026-01-11</v>
      </c>
      <c r="B124" t="str">
        <f>VLOOKUP(A124,Sheet1!A124:B1466,1,FALSE)</f>
        <v>HFA603LLHA2026-01-11</v>
      </c>
      <c r="C124" s="3">
        <v>46033</v>
      </c>
      <c r="D124" s="1" t="s">
        <v>72</v>
      </c>
      <c r="E124" s="1" t="s">
        <v>38</v>
      </c>
      <c r="F124" s="1" t="s">
        <v>54</v>
      </c>
      <c r="G124" s="1" t="s">
        <v>39</v>
      </c>
      <c r="H124" s="1" t="s">
        <v>112</v>
      </c>
      <c r="I124" s="1" t="s">
        <v>41</v>
      </c>
      <c r="J124" s="1" t="s">
        <v>42</v>
      </c>
      <c r="K124" s="1" t="s">
        <v>43</v>
      </c>
      <c r="L124" s="1" t="s">
        <v>44</v>
      </c>
      <c r="M124" s="1" t="s">
        <v>45</v>
      </c>
      <c r="N124" s="1" t="s">
        <v>41</v>
      </c>
      <c r="O124" s="1" t="s">
        <v>58</v>
      </c>
      <c r="P124" s="1" t="s">
        <v>59</v>
      </c>
      <c r="Q124" s="1" t="s">
        <v>60</v>
      </c>
      <c r="R124" s="1" t="s">
        <v>45</v>
      </c>
      <c r="S124" s="1">
        <v>342</v>
      </c>
      <c r="T124" s="1">
        <v>0</v>
      </c>
      <c r="U124" s="4">
        <v>4.7222222222222221E-2</v>
      </c>
      <c r="V124" s="1">
        <v>1930</v>
      </c>
      <c r="W124" s="1">
        <v>0</v>
      </c>
      <c r="X124" s="1">
        <v>1930</v>
      </c>
      <c r="Y124" s="1" t="s">
        <v>51</v>
      </c>
      <c r="Z124" s="1">
        <v>1130</v>
      </c>
      <c r="AA124" s="1">
        <v>800</v>
      </c>
      <c r="AB124" s="1">
        <v>0</v>
      </c>
      <c r="AC124" s="1">
        <v>0</v>
      </c>
      <c r="AD124" s="1">
        <v>0</v>
      </c>
      <c r="AE124" s="1">
        <v>0</v>
      </c>
      <c r="AF124" s="1"/>
      <c r="AG124" s="1">
        <v>0</v>
      </c>
      <c r="AH124" s="1">
        <v>0</v>
      </c>
      <c r="AI124" s="1">
        <v>0</v>
      </c>
      <c r="AJ124" s="1">
        <v>0</v>
      </c>
      <c r="AK124" s="1">
        <v>2.528</v>
      </c>
      <c r="AL124" s="1">
        <v>2.528</v>
      </c>
      <c r="AM124" s="1">
        <v>2.528</v>
      </c>
    </row>
    <row r="125" spans="1:39" x14ac:dyDescent="0.3">
      <c r="A125" s="21" t="str">
        <f t="shared" si="1"/>
        <v>HFA604LLER2026-01-11</v>
      </c>
      <c r="B125" t="str">
        <f>VLOOKUP(A125,Sheet1!A125:B1467,1,FALSE)</f>
        <v>HFA604LLER2026-01-11</v>
      </c>
      <c r="C125" s="3">
        <v>46033</v>
      </c>
      <c r="D125" s="1" t="s">
        <v>73</v>
      </c>
      <c r="E125" s="1" t="s">
        <v>38</v>
      </c>
      <c r="F125" s="1" t="s">
        <v>54</v>
      </c>
      <c r="G125" s="1" t="s">
        <v>39</v>
      </c>
      <c r="H125" s="1" t="s">
        <v>112</v>
      </c>
      <c r="I125" s="1" t="s">
        <v>41</v>
      </c>
      <c r="J125" s="1" t="s">
        <v>58</v>
      </c>
      <c r="K125" s="1" t="s">
        <v>59</v>
      </c>
      <c r="L125" s="1" t="s">
        <v>60</v>
      </c>
      <c r="M125" s="1" t="s">
        <v>45</v>
      </c>
      <c r="N125" s="1" t="s">
        <v>41</v>
      </c>
      <c r="O125" s="1" t="s">
        <v>42</v>
      </c>
      <c r="P125" s="1" t="s">
        <v>43</v>
      </c>
      <c r="Q125" s="1" t="s">
        <v>44</v>
      </c>
      <c r="R125" s="1" t="s">
        <v>45</v>
      </c>
      <c r="S125" s="1">
        <v>342</v>
      </c>
      <c r="T125" s="1">
        <v>0</v>
      </c>
      <c r="U125" s="4">
        <v>4.0972222222222222E-2</v>
      </c>
      <c r="V125" s="1">
        <v>1130</v>
      </c>
      <c r="W125" s="1">
        <v>1370</v>
      </c>
      <c r="X125" s="1">
        <v>2500</v>
      </c>
      <c r="Y125" s="1" t="s">
        <v>51</v>
      </c>
      <c r="Z125" s="1">
        <v>1830</v>
      </c>
      <c r="AA125" s="1">
        <v>670</v>
      </c>
      <c r="AB125" s="1">
        <v>0</v>
      </c>
      <c r="AC125" s="1">
        <v>0</v>
      </c>
      <c r="AD125" s="1">
        <v>0</v>
      </c>
      <c r="AE125" s="1">
        <v>0</v>
      </c>
      <c r="AF125" s="1"/>
      <c r="AG125" s="1">
        <v>0</v>
      </c>
      <c r="AH125" s="1">
        <v>0</v>
      </c>
      <c r="AI125" s="1">
        <v>0</v>
      </c>
      <c r="AJ125" s="1">
        <v>0</v>
      </c>
      <c r="AK125" s="1">
        <v>2.1172</v>
      </c>
      <c r="AL125" s="1">
        <v>2.1172</v>
      </c>
      <c r="AM125" s="1">
        <v>2.1172</v>
      </c>
    </row>
    <row r="126" spans="1:39" x14ac:dyDescent="0.3">
      <c r="A126" s="21" t="str">
        <f t="shared" si="1"/>
        <v>HFA701LLHA2026-01-12</v>
      </c>
      <c r="B126" t="str">
        <f>VLOOKUP(A126,Sheet1!A126:B1468,1,FALSE)</f>
        <v>HFA701LLHA2026-01-12</v>
      </c>
      <c r="C126" s="3">
        <v>46034</v>
      </c>
      <c r="D126" s="1" t="s">
        <v>53</v>
      </c>
      <c r="E126" s="1" t="s">
        <v>38</v>
      </c>
      <c r="F126" s="1"/>
      <c r="G126" s="1" t="s">
        <v>39</v>
      </c>
      <c r="H126" s="1" t="s">
        <v>112</v>
      </c>
      <c r="I126" s="1" t="s">
        <v>41</v>
      </c>
      <c r="J126" s="1" t="s">
        <v>42</v>
      </c>
      <c r="K126" s="1" t="s">
        <v>43</v>
      </c>
      <c r="L126" s="1" t="s">
        <v>44</v>
      </c>
      <c r="M126" s="1" t="s">
        <v>45</v>
      </c>
      <c r="N126" s="1" t="s">
        <v>46</v>
      </c>
      <c r="O126" s="1" t="s">
        <v>47</v>
      </c>
      <c r="P126" s="1" t="s">
        <v>48</v>
      </c>
      <c r="Q126" s="1" t="s">
        <v>49</v>
      </c>
      <c r="R126" s="1" t="s">
        <v>50</v>
      </c>
      <c r="S126" s="1">
        <v>1157</v>
      </c>
      <c r="T126" s="1">
        <v>0</v>
      </c>
      <c r="U126" s="4">
        <v>0.12708333333333333</v>
      </c>
      <c r="V126" s="1">
        <v>1830</v>
      </c>
      <c r="W126" s="1">
        <v>1570</v>
      </c>
      <c r="X126" s="1">
        <v>3400</v>
      </c>
      <c r="Y126" s="1" t="s">
        <v>51</v>
      </c>
      <c r="Z126" s="1">
        <v>1500</v>
      </c>
      <c r="AA126" s="1">
        <v>1900</v>
      </c>
      <c r="AB126" s="1">
        <v>0</v>
      </c>
      <c r="AC126" s="1">
        <v>0</v>
      </c>
      <c r="AD126" s="1">
        <v>0</v>
      </c>
      <c r="AE126" s="1">
        <v>0</v>
      </c>
      <c r="AF126" s="1"/>
      <c r="AG126" s="1">
        <v>0</v>
      </c>
      <c r="AH126" s="1">
        <v>0</v>
      </c>
      <c r="AI126" s="1">
        <v>0</v>
      </c>
      <c r="AJ126" s="1">
        <v>0</v>
      </c>
      <c r="AK126" s="1">
        <v>6.0039999999999996</v>
      </c>
      <c r="AL126" s="1">
        <v>6.0039999999999996</v>
      </c>
      <c r="AM126" s="1">
        <v>6.0039999999999996</v>
      </c>
    </row>
    <row r="127" spans="1:39" x14ac:dyDescent="0.3">
      <c r="A127" s="21" t="str">
        <f t="shared" si="1"/>
        <v>HFA702LGAV2026-01-12</v>
      </c>
      <c r="B127" t="str">
        <f>VLOOKUP(A127,Sheet1!A127:B1469,1,FALSE)</f>
        <v>HFA702LGAV2026-01-12</v>
      </c>
      <c r="C127" s="3">
        <v>46034</v>
      </c>
      <c r="D127" s="1" t="s">
        <v>56</v>
      </c>
      <c r="E127" s="1" t="s">
        <v>38</v>
      </c>
      <c r="F127" s="1"/>
      <c r="G127" s="1" t="s">
        <v>39</v>
      </c>
      <c r="H127" s="1" t="s">
        <v>112</v>
      </c>
      <c r="I127" s="1" t="s">
        <v>46</v>
      </c>
      <c r="J127" s="1" t="s">
        <v>47</v>
      </c>
      <c r="K127" s="1" t="s">
        <v>48</v>
      </c>
      <c r="L127" s="1" t="s">
        <v>49</v>
      </c>
      <c r="M127" s="1" t="s">
        <v>50</v>
      </c>
      <c r="N127" s="1" t="s">
        <v>41</v>
      </c>
      <c r="O127" s="1" t="s">
        <v>82</v>
      </c>
      <c r="P127" s="1" t="s">
        <v>83</v>
      </c>
      <c r="Q127" s="1" t="s">
        <v>84</v>
      </c>
      <c r="R127" s="1" t="s">
        <v>45</v>
      </c>
      <c r="S127" s="1">
        <v>1195</v>
      </c>
      <c r="T127" s="1">
        <v>1158</v>
      </c>
      <c r="U127" s="4">
        <v>0.1451388888888889</v>
      </c>
      <c r="V127" s="1">
        <v>1500</v>
      </c>
      <c r="W127" s="1">
        <v>2100</v>
      </c>
      <c r="X127" s="1">
        <v>3600</v>
      </c>
      <c r="Y127" s="1" t="s">
        <v>51</v>
      </c>
      <c r="Z127" s="1">
        <v>1470</v>
      </c>
      <c r="AA127" s="1">
        <v>2130</v>
      </c>
      <c r="AB127" s="1">
        <v>0</v>
      </c>
      <c r="AC127" s="1">
        <v>0</v>
      </c>
      <c r="AD127" s="1">
        <v>0</v>
      </c>
      <c r="AE127" s="1">
        <v>0</v>
      </c>
      <c r="AF127" s="1"/>
      <c r="AG127" s="1">
        <v>0</v>
      </c>
      <c r="AH127" s="1">
        <v>0</v>
      </c>
      <c r="AI127" s="1">
        <v>0</v>
      </c>
      <c r="AJ127" s="1">
        <v>0</v>
      </c>
      <c r="AK127" s="1">
        <v>6.7308000000000003</v>
      </c>
      <c r="AL127" s="1">
        <v>6.7308000000000003</v>
      </c>
      <c r="AM127" s="1">
        <v>6.7308000000000003</v>
      </c>
    </row>
    <row r="128" spans="1:39" x14ac:dyDescent="0.3">
      <c r="A128" s="21" t="str">
        <f t="shared" si="1"/>
        <v>HFA204LLBG2026-01-14</v>
      </c>
      <c r="B128" t="e">
        <f>VLOOKUP(A128,Sheet1!A128:B1470,1,FALSE)</f>
        <v>#N/A</v>
      </c>
      <c r="C128" s="3">
        <v>46036</v>
      </c>
      <c r="D128" s="1" t="s">
        <v>113</v>
      </c>
      <c r="E128" s="1" t="s">
        <v>65</v>
      </c>
      <c r="F128" s="1" t="s">
        <v>54</v>
      </c>
      <c r="G128" s="1" t="s">
        <v>39</v>
      </c>
      <c r="H128" s="1" t="s">
        <v>112</v>
      </c>
      <c r="I128" s="1" t="s">
        <v>41</v>
      </c>
      <c r="J128" s="1" t="s">
        <v>82</v>
      </c>
      <c r="K128" s="1" t="s">
        <v>83</v>
      </c>
      <c r="L128" s="1" t="s">
        <v>84</v>
      </c>
      <c r="M128" s="1" t="s">
        <v>45</v>
      </c>
      <c r="N128" s="1" t="s">
        <v>41</v>
      </c>
      <c r="O128" s="1" t="s">
        <v>42</v>
      </c>
      <c r="P128" s="1" t="s">
        <v>43</v>
      </c>
      <c r="Q128" s="1" t="s">
        <v>44</v>
      </c>
      <c r="R128" s="1" t="s">
        <v>45</v>
      </c>
      <c r="S128" s="1">
        <v>90</v>
      </c>
      <c r="T128" s="1">
        <v>91</v>
      </c>
      <c r="U128" s="4">
        <v>2.8472222222222222E-2</v>
      </c>
      <c r="V128" s="1">
        <v>1470</v>
      </c>
      <c r="W128" s="1">
        <v>0</v>
      </c>
      <c r="X128" s="1">
        <v>1470</v>
      </c>
      <c r="Y128" s="1" t="s">
        <v>51</v>
      </c>
      <c r="Z128" s="1">
        <v>1140</v>
      </c>
      <c r="AA128" s="1">
        <v>330</v>
      </c>
      <c r="AB128" s="1">
        <v>0</v>
      </c>
      <c r="AC128" s="1">
        <v>0</v>
      </c>
      <c r="AD128" s="1">
        <v>0</v>
      </c>
      <c r="AE128" s="1">
        <v>0</v>
      </c>
      <c r="AF128" s="1"/>
      <c r="AG128" s="1">
        <v>0</v>
      </c>
      <c r="AH128" s="1">
        <v>0</v>
      </c>
      <c r="AI128" s="1">
        <v>0</v>
      </c>
      <c r="AJ128" s="1">
        <v>0</v>
      </c>
      <c r="AK128" s="1">
        <v>1.0427999999999999</v>
      </c>
      <c r="AL128" s="1">
        <v>1.0427999999999999</v>
      </c>
      <c r="AM128" s="1">
        <v>1.0427999999999999</v>
      </c>
    </row>
    <row r="129" spans="1:39" x14ac:dyDescent="0.3">
      <c r="A129" s="21" t="str">
        <f t="shared" si="1"/>
        <v>HFA951LLHA2026-01-14</v>
      </c>
      <c r="B129" t="str">
        <f>VLOOKUP(A129,Sheet1!A129:B1471,1,FALSE)</f>
        <v>HFA951LLHA2026-01-14</v>
      </c>
      <c r="C129" s="3">
        <v>46036</v>
      </c>
      <c r="D129" s="1" t="s">
        <v>74</v>
      </c>
      <c r="E129" s="1" t="s">
        <v>38</v>
      </c>
      <c r="F129" s="1"/>
      <c r="G129" s="1" t="s">
        <v>39</v>
      </c>
      <c r="H129" s="1" t="s">
        <v>112</v>
      </c>
      <c r="I129" s="1" t="s">
        <v>41</v>
      </c>
      <c r="J129" s="1" t="s">
        <v>42</v>
      </c>
      <c r="K129" s="1" t="s">
        <v>43</v>
      </c>
      <c r="L129" s="1" t="s">
        <v>44</v>
      </c>
      <c r="M129" s="1" t="s">
        <v>45</v>
      </c>
      <c r="N129" s="1" t="s">
        <v>75</v>
      </c>
      <c r="O129" s="1" t="s">
        <v>76</v>
      </c>
      <c r="P129" s="1" t="s">
        <v>77</v>
      </c>
      <c r="Q129" s="1" t="s">
        <v>78</v>
      </c>
      <c r="R129" s="1" t="s">
        <v>50</v>
      </c>
      <c r="S129" s="1">
        <v>1499</v>
      </c>
      <c r="T129" s="1">
        <v>0</v>
      </c>
      <c r="U129" s="4">
        <v>0.16388888888888889</v>
      </c>
      <c r="V129" s="1">
        <v>1140</v>
      </c>
      <c r="W129" s="1">
        <v>3140</v>
      </c>
      <c r="X129" s="1">
        <v>4280</v>
      </c>
      <c r="Y129" s="1" t="s">
        <v>51</v>
      </c>
      <c r="Z129" s="1">
        <v>1450</v>
      </c>
      <c r="AA129" s="1">
        <v>2830</v>
      </c>
      <c r="AB129" s="1">
        <v>0</v>
      </c>
      <c r="AC129" s="1">
        <v>0</v>
      </c>
      <c r="AD129" s="1">
        <v>0</v>
      </c>
      <c r="AE129" s="1">
        <v>0</v>
      </c>
      <c r="AF129" s="1"/>
      <c r="AG129" s="1">
        <v>0</v>
      </c>
      <c r="AH129" s="1">
        <v>0</v>
      </c>
      <c r="AI129" s="1">
        <v>0</v>
      </c>
      <c r="AJ129" s="1">
        <v>0</v>
      </c>
      <c r="AK129" s="1">
        <v>8.9428000000000001</v>
      </c>
      <c r="AL129" s="1">
        <v>8.9428000000000001</v>
      </c>
      <c r="AM129" s="1">
        <v>8.9428000000000001</v>
      </c>
    </row>
    <row r="130" spans="1:39" x14ac:dyDescent="0.3">
      <c r="A130" s="21" t="str">
        <f t="shared" si="1"/>
        <v>HFA952LBSF2026-01-14</v>
      </c>
      <c r="B130" t="str">
        <f>VLOOKUP(A130,Sheet1!A130:B1472,1,FALSE)</f>
        <v>HFA952LBSF2026-01-14</v>
      </c>
      <c r="C130" s="3">
        <v>46036</v>
      </c>
      <c r="D130" s="1" t="s">
        <v>79</v>
      </c>
      <c r="E130" s="1" t="s">
        <v>38</v>
      </c>
      <c r="F130" s="1"/>
      <c r="G130" s="1" t="s">
        <v>39</v>
      </c>
      <c r="H130" s="1" t="s">
        <v>112</v>
      </c>
      <c r="I130" s="1" t="s">
        <v>75</v>
      </c>
      <c r="J130" s="1" t="s">
        <v>76</v>
      </c>
      <c r="K130" s="1" t="s">
        <v>77</v>
      </c>
      <c r="L130" s="1" t="s">
        <v>78</v>
      </c>
      <c r="M130" s="1" t="s">
        <v>50</v>
      </c>
      <c r="N130" s="1" t="s">
        <v>41</v>
      </c>
      <c r="O130" s="1" t="s">
        <v>42</v>
      </c>
      <c r="P130" s="1" t="s">
        <v>43</v>
      </c>
      <c r="Q130" s="1" t="s">
        <v>44</v>
      </c>
      <c r="R130" s="1" t="s">
        <v>45</v>
      </c>
      <c r="S130" s="1">
        <v>1499</v>
      </c>
      <c r="T130" s="1">
        <v>0</v>
      </c>
      <c r="U130" s="4">
        <v>0.13402777777777777</v>
      </c>
      <c r="V130" s="1">
        <v>1450</v>
      </c>
      <c r="W130" s="1">
        <v>2750</v>
      </c>
      <c r="X130" s="1">
        <v>4200</v>
      </c>
      <c r="Y130" s="1" t="s">
        <v>51</v>
      </c>
      <c r="Z130" s="1">
        <v>2280</v>
      </c>
      <c r="AA130" s="1">
        <v>1920</v>
      </c>
      <c r="AB130" s="1">
        <v>0</v>
      </c>
      <c r="AC130" s="1">
        <v>0</v>
      </c>
      <c r="AD130" s="1">
        <v>0</v>
      </c>
      <c r="AE130" s="1">
        <v>0</v>
      </c>
      <c r="AF130" s="1"/>
      <c r="AG130" s="1">
        <v>0</v>
      </c>
      <c r="AH130" s="1">
        <v>0</v>
      </c>
      <c r="AI130" s="1">
        <v>0</v>
      </c>
      <c r="AJ130" s="1">
        <v>0</v>
      </c>
      <c r="AK130" s="1">
        <v>6.0671999999999997</v>
      </c>
      <c r="AL130" s="1">
        <v>6.0671999999999997</v>
      </c>
      <c r="AM130" s="1">
        <v>6.0671999999999997</v>
      </c>
    </row>
    <row r="131" spans="1:39" x14ac:dyDescent="0.3">
      <c r="A131" s="21" t="str">
        <f t="shared" ref="A131:A194" si="2">CONCATENATE(D131,K131,TEXT(C131,"YYYY-MM-DD"))</f>
        <v>HFA603LLHA2026-01-15</v>
      </c>
      <c r="B131" t="str">
        <f>VLOOKUP(A131,Sheet1!A131:B1473,1,FALSE)</f>
        <v>HFA603LLHA2026-01-15</v>
      </c>
      <c r="C131" s="3">
        <v>46037</v>
      </c>
      <c r="D131" s="1" t="s">
        <v>72</v>
      </c>
      <c r="E131" s="1" t="s">
        <v>38</v>
      </c>
      <c r="F131" s="1" t="s">
        <v>54</v>
      </c>
      <c r="G131" s="1" t="s">
        <v>39</v>
      </c>
      <c r="H131" s="1" t="s">
        <v>112</v>
      </c>
      <c r="I131" s="1" t="s">
        <v>41</v>
      </c>
      <c r="J131" s="1" t="s">
        <v>42</v>
      </c>
      <c r="K131" s="1" t="s">
        <v>43</v>
      </c>
      <c r="L131" s="1" t="s">
        <v>44</v>
      </c>
      <c r="M131" s="1" t="s">
        <v>45</v>
      </c>
      <c r="N131" s="1" t="s">
        <v>41</v>
      </c>
      <c r="O131" s="1" t="s">
        <v>58</v>
      </c>
      <c r="P131" s="1" t="s">
        <v>59</v>
      </c>
      <c r="Q131" s="1" t="s">
        <v>60</v>
      </c>
      <c r="R131" s="1" t="s">
        <v>45</v>
      </c>
      <c r="S131" s="1">
        <v>342</v>
      </c>
      <c r="T131" s="1">
        <v>0</v>
      </c>
      <c r="U131" s="4">
        <v>4.8611111111111105E-2</v>
      </c>
      <c r="V131" s="1">
        <v>2280</v>
      </c>
      <c r="W131" s="1">
        <v>0</v>
      </c>
      <c r="X131" s="1">
        <v>2280</v>
      </c>
      <c r="Y131" s="1" t="s">
        <v>51</v>
      </c>
      <c r="Z131" s="1">
        <v>1610</v>
      </c>
      <c r="AA131" s="1">
        <v>670</v>
      </c>
      <c r="AB131" s="1">
        <v>0</v>
      </c>
      <c r="AC131" s="1">
        <v>0</v>
      </c>
      <c r="AD131" s="1">
        <v>0</v>
      </c>
      <c r="AE131" s="1">
        <v>0</v>
      </c>
      <c r="AF131" s="1"/>
      <c r="AG131" s="1">
        <v>0</v>
      </c>
      <c r="AH131" s="1">
        <v>0</v>
      </c>
      <c r="AI131" s="1">
        <v>0</v>
      </c>
      <c r="AJ131" s="1">
        <v>0</v>
      </c>
      <c r="AK131" s="1">
        <v>2.1172</v>
      </c>
      <c r="AL131" s="1">
        <v>2.1172</v>
      </c>
      <c r="AM131" s="1">
        <v>2.1172</v>
      </c>
    </row>
    <row r="132" spans="1:39" x14ac:dyDescent="0.3">
      <c r="A132" s="21" t="str">
        <f t="shared" si="2"/>
        <v>HFA604LLER2026-01-15</v>
      </c>
      <c r="B132" t="str">
        <f>VLOOKUP(A132,Sheet1!A132:B1474,1,FALSE)</f>
        <v>HFA604LLER2026-01-15</v>
      </c>
      <c r="C132" s="3">
        <v>46037</v>
      </c>
      <c r="D132" s="1" t="s">
        <v>73</v>
      </c>
      <c r="E132" s="1" t="s">
        <v>38</v>
      </c>
      <c r="F132" s="1" t="s">
        <v>54</v>
      </c>
      <c r="G132" s="1" t="s">
        <v>39</v>
      </c>
      <c r="H132" s="1" t="s">
        <v>112</v>
      </c>
      <c r="I132" s="1" t="s">
        <v>41</v>
      </c>
      <c r="J132" s="1" t="s">
        <v>58</v>
      </c>
      <c r="K132" s="1" t="s">
        <v>59</v>
      </c>
      <c r="L132" s="1" t="s">
        <v>60</v>
      </c>
      <c r="M132" s="1" t="s">
        <v>45</v>
      </c>
      <c r="N132" s="1" t="s">
        <v>41</v>
      </c>
      <c r="O132" s="1" t="s">
        <v>42</v>
      </c>
      <c r="P132" s="1" t="s">
        <v>43</v>
      </c>
      <c r="Q132" s="1" t="s">
        <v>44</v>
      </c>
      <c r="R132" s="1" t="s">
        <v>45</v>
      </c>
      <c r="S132" s="1">
        <v>342</v>
      </c>
      <c r="T132" s="1">
        <v>0</v>
      </c>
      <c r="U132" s="4">
        <v>4.7222222222222221E-2</v>
      </c>
      <c r="V132" s="1">
        <v>1610</v>
      </c>
      <c r="W132" s="1">
        <v>590</v>
      </c>
      <c r="X132" s="1">
        <v>2200</v>
      </c>
      <c r="Y132" s="1" t="s">
        <v>51</v>
      </c>
      <c r="Z132" s="1">
        <v>1410</v>
      </c>
      <c r="AA132" s="1">
        <v>790</v>
      </c>
      <c r="AB132" s="1">
        <v>0</v>
      </c>
      <c r="AC132" s="1">
        <v>0</v>
      </c>
      <c r="AD132" s="1">
        <v>0</v>
      </c>
      <c r="AE132" s="1">
        <v>0</v>
      </c>
      <c r="AF132" s="1"/>
      <c r="AG132" s="1">
        <v>0</v>
      </c>
      <c r="AH132" s="1">
        <v>0</v>
      </c>
      <c r="AI132" s="1">
        <v>0</v>
      </c>
      <c r="AJ132" s="1">
        <v>0</v>
      </c>
      <c r="AK132" s="1">
        <v>2.4964</v>
      </c>
      <c r="AL132" s="1">
        <v>2.4964</v>
      </c>
      <c r="AM132" s="1">
        <v>2.4964</v>
      </c>
    </row>
    <row r="133" spans="1:39" x14ac:dyDescent="0.3">
      <c r="A133" s="21" t="str">
        <f t="shared" si="2"/>
        <v>HFA851LLHA2026-01-18</v>
      </c>
      <c r="B133" t="str">
        <f>VLOOKUP(A133,Sheet1!A133:B1475,1,FALSE)</f>
        <v>HFA851LLHA2026-01-18</v>
      </c>
      <c r="C133" s="3">
        <v>46040</v>
      </c>
      <c r="D133" s="1" t="s">
        <v>66</v>
      </c>
      <c r="E133" s="1" t="s">
        <v>38</v>
      </c>
      <c r="F133" s="1"/>
      <c r="G133" s="1" t="s">
        <v>39</v>
      </c>
      <c r="H133" s="1" t="s">
        <v>112</v>
      </c>
      <c r="I133" s="1" t="s">
        <v>41</v>
      </c>
      <c r="J133" s="1" t="s">
        <v>42</v>
      </c>
      <c r="K133" s="1" t="s">
        <v>43</v>
      </c>
      <c r="L133" s="1" t="s">
        <v>44</v>
      </c>
      <c r="M133" s="1" t="s">
        <v>45</v>
      </c>
      <c r="N133" s="1" t="s">
        <v>67</v>
      </c>
      <c r="O133" s="1" t="s">
        <v>68</v>
      </c>
      <c r="P133" s="1" t="s">
        <v>69</v>
      </c>
      <c r="Q133" s="1" t="s">
        <v>70</v>
      </c>
      <c r="R133" s="1" t="s">
        <v>50</v>
      </c>
      <c r="S133" s="1">
        <v>318</v>
      </c>
      <c r="T133" s="1">
        <v>0</v>
      </c>
      <c r="U133" s="4">
        <v>4.5138888888888888E-2</v>
      </c>
      <c r="V133" s="1">
        <v>1410</v>
      </c>
      <c r="W133" s="1">
        <v>290</v>
      </c>
      <c r="X133" s="1">
        <v>1700</v>
      </c>
      <c r="Y133" s="1" t="s">
        <v>51</v>
      </c>
      <c r="Z133" s="1">
        <v>910</v>
      </c>
      <c r="AA133" s="1">
        <v>790</v>
      </c>
      <c r="AB133" s="1">
        <v>0</v>
      </c>
      <c r="AC133" s="1">
        <v>0</v>
      </c>
      <c r="AD133" s="1">
        <v>0</v>
      </c>
      <c r="AE133" s="1">
        <v>0</v>
      </c>
      <c r="AF133" s="1"/>
      <c r="AG133" s="1">
        <v>0</v>
      </c>
      <c r="AH133" s="1">
        <v>0</v>
      </c>
      <c r="AI133" s="1">
        <v>0</v>
      </c>
      <c r="AJ133" s="1">
        <v>0</v>
      </c>
      <c r="AK133" s="1">
        <v>2.4964</v>
      </c>
      <c r="AL133" s="1">
        <v>2.4964</v>
      </c>
      <c r="AM133" s="1">
        <v>2.4964</v>
      </c>
    </row>
    <row r="134" spans="1:39" x14ac:dyDescent="0.3">
      <c r="A134" s="21" t="str">
        <f t="shared" si="2"/>
        <v>HFA852LCPH2026-01-18</v>
      </c>
      <c r="B134" t="str">
        <f>VLOOKUP(A134,Sheet1!A134:B1476,1,FALSE)</f>
        <v>HFA852LCPH2026-01-18</v>
      </c>
      <c r="C134" s="3">
        <v>46040</v>
      </c>
      <c r="D134" s="1" t="s">
        <v>71</v>
      </c>
      <c r="E134" s="1" t="s">
        <v>38</v>
      </c>
      <c r="F134" s="1"/>
      <c r="G134" s="1" t="s">
        <v>39</v>
      </c>
      <c r="H134" s="1" t="s">
        <v>112</v>
      </c>
      <c r="I134" s="1" t="s">
        <v>67</v>
      </c>
      <c r="J134" s="1" t="s">
        <v>68</v>
      </c>
      <c r="K134" s="1" t="s">
        <v>69</v>
      </c>
      <c r="L134" s="1" t="s">
        <v>70</v>
      </c>
      <c r="M134" s="1" t="s">
        <v>50</v>
      </c>
      <c r="N134" s="1" t="s">
        <v>41</v>
      </c>
      <c r="O134" s="1" t="s">
        <v>42</v>
      </c>
      <c r="P134" s="1" t="s">
        <v>43</v>
      </c>
      <c r="Q134" s="1" t="s">
        <v>44</v>
      </c>
      <c r="R134" s="1" t="s">
        <v>45</v>
      </c>
      <c r="S134" s="1">
        <v>318</v>
      </c>
      <c r="T134" s="1">
        <v>0</v>
      </c>
      <c r="U134" s="4">
        <v>4.0972222222222222E-2</v>
      </c>
      <c r="V134" s="1">
        <v>910</v>
      </c>
      <c r="W134" s="1">
        <v>1690</v>
      </c>
      <c r="X134" s="1">
        <v>2600</v>
      </c>
      <c r="Y134" s="1" t="s">
        <v>51</v>
      </c>
      <c r="Z134" s="1">
        <v>2030</v>
      </c>
      <c r="AA134" s="1">
        <v>570</v>
      </c>
      <c r="AB134" s="1">
        <v>0</v>
      </c>
      <c r="AC134" s="1">
        <v>0</v>
      </c>
      <c r="AD134" s="1">
        <v>0</v>
      </c>
      <c r="AE134" s="1">
        <v>0</v>
      </c>
      <c r="AF134" s="1"/>
      <c r="AG134" s="1">
        <v>0</v>
      </c>
      <c r="AH134" s="1">
        <v>0</v>
      </c>
      <c r="AI134" s="1">
        <v>0</v>
      </c>
      <c r="AJ134" s="1">
        <v>0</v>
      </c>
      <c r="AK134" s="1">
        <v>1.8011999999999999</v>
      </c>
      <c r="AL134" s="1">
        <v>1.8011999999999999</v>
      </c>
      <c r="AM134" s="1">
        <v>1.8011999999999999</v>
      </c>
    </row>
    <row r="135" spans="1:39" x14ac:dyDescent="0.3">
      <c r="A135" s="21" t="str">
        <f t="shared" si="2"/>
        <v>HFA605LLHA2026-01-18</v>
      </c>
      <c r="B135" t="str">
        <f>VLOOKUP(A135,Sheet1!A135:B1477,1,FALSE)</f>
        <v>HFA605LLHA2026-01-18</v>
      </c>
      <c r="C135" s="3">
        <v>46040</v>
      </c>
      <c r="D135" s="1" t="s">
        <v>62</v>
      </c>
      <c r="E135" s="1" t="s">
        <v>38</v>
      </c>
      <c r="F135" s="1" t="s">
        <v>54</v>
      </c>
      <c r="G135" s="1" t="s">
        <v>39</v>
      </c>
      <c r="H135" s="1" t="s">
        <v>112</v>
      </c>
      <c r="I135" s="1" t="s">
        <v>41</v>
      </c>
      <c r="J135" s="1" t="s">
        <v>42</v>
      </c>
      <c r="K135" s="1" t="s">
        <v>43</v>
      </c>
      <c r="L135" s="1" t="s">
        <v>44</v>
      </c>
      <c r="M135" s="1" t="s">
        <v>45</v>
      </c>
      <c r="N135" s="1" t="s">
        <v>41</v>
      </c>
      <c r="O135" s="1" t="s">
        <v>58</v>
      </c>
      <c r="P135" s="1" t="s">
        <v>59</v>
      </c>
      <c r="Q135" s="1" t="s">
        <v>60</v>
      </c>
      <c r="R135" s="1" t="s">
        <v>45</v>
      </c>
      <c r="S135" s="1">
        <v>342</v>
      </c>
      <c r="T135" s="1">
        <v>0</v>
      </c>
      <c r="U135" s="4">
        <v>4.2361111111111106E-2</v>
      </c>
      <c r="V135" s="1">
        <v>2030</v>
      </c>
      <c r="W135" s="1">
        <v>0</v>
      </c>
      <c r="X135" s="1">
        <v>2030</v>
      </c>
      <c r="Y135" s="1" t="s">
        <v>51</v>
      </c>
      <c r="Z135" s="1">
        <v>1360</v>
      </c>
      <c r="AA135" s="1">
        <v>670</v>
      </c>
      <c r="AB135" s="1">
        <v>0</v>
      </c>
      <c r="AC135" s="1">
        <v>0</v>
      </c>
      <c r="AD135" s="1">
        <v>0</v>
      </c>
      <c r="AE135" s="1">
        <v>0</v>
      </c>
      <c r="AF135" s="1"/>
      <c r="AG135" s="1">
        <v>0</v>
      </c>
      <c r="AH135" s="1">
        <v>0</v>
      </c>
      <c r="AI135" s="1">
        <v>0</v>
      </c>
      <c r="AJ135" s="1">
        <v>0</v>
      </c>
      <c r="AK135" s="1">
        <v>2.1172</v>
      </c>
      <c r="AL135" s="1">
        <v>2.1172</v>
      </c>
      <c r="AM135" s="1">
        <v>2.1172</v>
      </c>
    </row>
    <row r="136" spans="1:39" x14ac:dyDescent="0.3">
      <c r="A136" s="21" t="str">
        <f t="shared" si="2"/>
        <v>HFA606LLER2026-01-18</v>
      </c>
      <c r="B136" t="str">
        <f>VLOOKUP(A136,Sheet1!A136:B1478,1,FALSE)</f>
        <v>HFA606LLER2026-01-18</v>
      </c>
      <c r="C136" s="3">
        <v>46040</v>
      </c>
      <c r="D136" s="1" t="s">
        <v>63</v>
      </c>
      <c r="E136" s="1" t="s">
        <v>38</v>
      </c>
      <c r="F136" s="1" t="s">
        <v>54</v>
      </c>
      <c r="G136" s="1" t="s">
        <v>39</v>
      </c>
      <c r="H136" s="1" t="s">
        <v>112</v>
      </c>
      <c r="I136" s="1" t="s">
        <v>41</v>
      </c>
      <c r="J136" s="1" t="s">
        <v>58</v>
      </c>
      <c r="K136" s="1" t="s">
        <v>59</v>
      </c>
      <c r="L136" s="1" t="s">
        <v>60</v>
      </c>
      <c r="M136" s="1" t="s">
        <v>45</v>
      </c>
      <c r="N136" s="1" t="s">
        <v>41</v>
      </c>
      <c r="O136" s="1" t="s">
        <v>42</v>
      </c>
      <c r="P136" s="1" t="s">
        <v>43</v>
      </c>
      <c r="Q136" s="1" t="s">
        <v>44</v>
      </c>
      <c r="R136" s="1" t="s">
        <v>45</v>
      </c>
      <c r="S136" s="1">
        <v>342</v>
      </c>
      <c r="T136" s="1">
        <v>0</v>
      </c>
      <c r="U136" s="4">
        <v>4.3749999999999997E-2</v>
      </c>
      <c r="V136" s="1">
        <v>1360</v>
      </c>
      <c r="W136" s="1">
        <v>1140</v>
      </c>
      <c r="X136" s="1">
        <v>2500</v>
      </c>
      <c r="Y136" s="1" t="s">
        <v>51</v>
      </c>
      <c r="Z136" s="1">
        <v>1830</v>
      </c>
      <c r="AA136" s="1">
        <v>670</v>
      </c>
      <c r="AB136" s="1">
        <v>0</v>
      </c>
      <c r="AC136" s="1">
        <v>0</v>
      </c>
      <c r="AD136" s="1">
        <v>0</v>
      </c>
      <c r="AE136" s="1">
        <v>0</v>
      </c>
      <c r="AF136" s="1"/>
      <c r="AG136" s="1">
        <v>0</v>
      </c>
      <c r="AH136" s="1">
        <v>0</v>
      </c>
      <c r="AI136" s="1">
        <v>0</v>
      </c>
      <c r="AJ136" s="1">
        <v>0</v>
      </c>
      <c r="AK136" s="1">
        <v>2.1172</v>
      </c>
      <c r="AL136" s="1">
        <v>2.1172</v>
      </c>
      <c r="AM136" s="1">
        <v>2.1172</v>
      </c>
    </row>
    <row r="137" spans="1:39" x14ac:dyDescent="0.3">
      <c r="A137" s="21" t="str">
        <f t="shared" si="2"/>
        <v>HFA701LLHA2026-01-19</v>
      </c>
      <c r="B137" t="str">
        <f>VLOOKUP(A137,Sheet1!A137:B1479,1,FALSE)</f>
        <v>HFA701LLHA2026-01-19</v>
      </c>
      <c r="C137" s="3">
        <v>46041</v>
      </c>
      <c r="D137" s="1" t="s">
        <v>53</v>
      </c>
      <c r="E137" s="1" t="s">
        <v>38</v>
      </c>
      <c r="F137" s="1"/>
      <c r="G137" s="1" t="s">
        <v>39</v>
      </c>
      <c r="H137" s="1" t="s">
        <v>112</v>
      </c>
      <c r="I137" s="1" t="s">
        <v>41</v>
      </c>
      <c r="J137" s="1" t="s">
        <v>42</v>
      </c>
      <c r="K137" s="1" t="s">
        <v>43</v>
      </c>
      <c r="L137" s="1" t="s">
        <v>44</v>
      </c>
      <c r="M137" s="1" t="s">
        <v>45</v>
      </c>
      <c r="N137" s="1" t="s">
        <v>46</v>
      </c>
      <c r="O137" s="1" t="s">
        <v>47</v>
      </c>
      <c r="P137" s="1" t="s">
        <v>48</v>
      </c>
      <c r="Q137" s="1" t="s">
        <v>49</v>
      </c>
      <c r="R137" s="1" t="s">
        <v>50</v>
      </c>
      <c r="S137" s="1">
        <v>1157</v>
      </c>
      <c r="T137" s="1">
        <v>0</v>
      </c>
      <c r="U137" s="4">
        <v>0.12847222222222221</v>
      </c>
      <c r="V137" s="1">
        <v>1830</v>
      </c>
      <c r="W137" s="1">
        <v>1970</v>
      </c>
      <c r="X137" s="1">
        <v>3800</v>
      </c>
      <c r="Y137" s="1" t="s">
        <v>51</v>
      </c>
      <c r="Z137" s="1">
        <v>1550</v>
      </c>
      <c r="AA137" s="1">
        <v>2250</v>
      </c>
      <c r="AB137" s="1">
        <v>0</v>
      </c>
      <c r="AC137" s="1">
        <v>0</v>
      </c>
      <c r="AD137" s="1">
        <v>0</v>
      </c>
      <c r="AE137" s="1">
        <v>0</v>
      </c>
      <c r="AF137" s="1"/>
      <c r="AG137" s="1">
        <v>0</v>
      </c>
      <c r="AH137" s="1">
        <v>0</v>
      </c>
      <c r="AI137" s="1">
        <v>0</v>
      </c>
      <c r="AJ137" s="1">
        <v>0</v>
      </c>
      <c r="AK137" s="1">
        <v>7.11</v>
      </c>
      <c r="AL137" s="1">
        <v>7.11</v>
      </c>
      <c r="AM137" s="1">
        <v>7.11</v>
      </c>
    </row>
    <row r="138" spans="1:39" x14ac:dyDescent="0.3">
      <c r="A138" s="21" t="str">
        <f t="shared" si="2"/>
        <v>HFA702LGAV2026-01-19</v>
      </c>
      <c r="B138" t="str">
        <f>VLOOKUP(A138,Sheet1!A138:B1480,1,FALSE)</f>
        <v>HFA702LGAV2026-01-19</v>
      </c>
      <c r="C138" s="3">
        <v>46041</v>
      </c>
      <c r="D138" s="1" t="s">
        <v>56</v>
      </c>
      <c r="E138" s="1" t="s">
        <v>38</v>
      </c>
      <c r="F138" s="1"/>
      <c r="G138" s="1" t="s">
        <v>39</v>
      </c>
      <c r="H138" s="1" t="s">
        <v>112</v>
      </c>
      <c r="I138" s="1" t="s">
        <v>46</v>
      </c>
      <c r="J138" s="1" t="s">
        <v>47</v>
      </c>
      <c r="K138" s="1" t="s">
        <v>48</v>
      </c>
      <c r="L138" s="1" t="s">
        <v>49</v>
      </c>
      <c r="M138" s="1" t="s">
        <v>50</v>
      </c>
      <c r="N138" s="1" t="s">
        <v>41</v>
      </c>
      <c r="O138" s="1" t="s">
        <v>42</v>
      </c>
      <c r="P138" s="1" t="s">
        <v>43</v>
      </c>
      <c r="Q138" s="1" t="s">
        <v>44</v>
      </c>
      <c r="R138" s="1" t="s">
        <v>45</v>
      </c>
      <c r="S138" s="1">
        <v>1157</v>
      </c>
      <c r="T138" s="1">
        <v>0</v>
      </c>
      <c r="U138" s="4">
        <v>0.10347222222222222</v>
      </c>
      <c r="V138" s="1">
        <v>1550</v>
      </c>
      <c r="W138" s="1">
        <v>1750</v>
      </c>
      <c r="X138" s="1">
        <v>3300</v>
      </c>
      <c r="Y138" s="1" t="s">
        <v>51</v>
      </c>
      <c r="Z138" s="1">
        <v>1950</v>
      </c>
      <c r="AA138" s="1">
        <v>1350</v>
      </c>
      <c r="AB138" s="1">
        <v>0</v>
      </c>
      <c r="AC138" s="1">
        <v>0</v>
      </c>
      <c r="AD138" s="1">
        <v>0</v>
      </c>
      <c r="AE138" s="1">
        <v>0</v>
      </c>
      <c r="AF138" s="1"/>
      <c r="AG138" s="1">
        <v>0</v>
      </c>
      <c r="AH138" s="1">
        <v>0</v>
      </c>
      <c r="AI138" s="1">
        <v>0</v>
      </c>
      <c r="AJ138" s="1">
        <v>0</v>
      </c>
      <c r="AK138" s="1">
        <v>4.266</v>
      </c>
      <c r="AL138" s="1">
        <v>4.266</v>
      </c>
      <c r="AM138" s="1">
        <v>4.266</v>
      </c>
    </row>
    <row r="139" spans="1:39" x14ac:dyDescent="0.3">
      <c r="A139" s="21" t="str">
        <f t="shared" si="2"/>
        <v>HFA703LLHA2026-01-19</v>
      </c>
      <c r="B139" t="str">
        <f>VLOOKUP(A139,Sheet1!A139:B1481,1,FALSE)</f>
        <v>HFA703LLHA2026-01-19</v>
      </c>
      <c r="C139" s="3">
        <v>46041</v>
      </c>
      <c r="D139" s="1" t="s">
        <v>37</v>
      </c>
      <c r="E139" s="1" t="s">
        <v>38</v>
      </c>
      <c r="F139" s="1"/>
      <c r="G139" s="1" t="s">
        <v>39</v>
      </c>
      <c r="H139" s="1" t="s">
        <v>112</v>
      </c>
      <c r="I139" s="1" t="s">
        <v>41</v>
      </c>
      <c r="J139" s="1" t="s">
        <v>42</v>
      </c>
      <c r="K139" s="1" t="s">
        <v>43</v>
      </c>
      <c r="L139" s="1" t="s">
        <v>44</v>
      </c>
      <c r="M139" s="1" t="s">
        <v>45</v>
      </c>
      <c r="N139" s="1" t="s">
        <v>46</v>
      </c>
      <c r="O139" s="1" t="s">
        <v>47</v>
      </c>
      <c r="P139" s="1" t="s">
        <v>48</v>
      </c>
      <c r="Q139" s="1" t="s">
        <v>49</v>
      </c>
      <c r="R139" s="1" t="s">
        <v>50</v>
      </c>
      <c r="S139" s="1">
        <v>1157</v>
      </c>
      <c r="T139" s="1">
        <v>0</v>
      </c>
      <c r="U139" s="4">
        <v>0.13055555555555556</v>
      </c>
      <c r="V139" s="1">
        <v>1950</v>
      </c>
      <c r="W139" s="1">
        <v>1850</v>
      </c>
      <c r="X139" s="1">
        <v>3800</v>
      </c>
      <c r="Y139" s="1" t="s">
        <v>51</v>
      </c>
      <c r="Z139" s="1">
        <v>1590</v>
      </c>
      <c r="AA139" s="1">
        <v>2210</v>
      </c>
      <c r="AB139" s="1">
        <v>0</v>
      </c>
      <c r="AC139" s="1">
        <v>0</v>
      </c>
      <c r="AD139" s="1">
        <v>0</v>
      </c>
      <c r="AE139" s="1">
        <v>0</v>
      </c>
      <c r="AF139" s="1"/>
      <c r="AG139" s="1">
        <v>0</v>
      </c>
      <c r="AH139" s="1">
        <v>0</v>
      </c>
      <c r="AI139" s="1">
        <v>0</v>
      </c>
      <c r="AJ139" s="1">
        <v>0</v>
      </c>
      <c r="AK139" s="1">
        <v>6.9836</v>
      </c>
      <c r="AL139" s="1">
        <v>6.9836</v>
      </c>
      <c r="AM139" s="1">
        <v>6.9836</v>
      </c>
    </row>
    <row r="140" spans="1:39" x14ac:dyDescent="0.3">
      <c r="A140" s="21" t="str">
        <f t="shared" si="2"/>
        <v>HFA704LGAV2026-01-19</v>
      </c>
      <c r="B140" t="str">
        <f>VLOOKUP(A140,Sheet1!A140:B1482,1,FALSE)</f>
        <v>HFA704LGAV2026-01-19</v>
      </c>
      <c r="C140" s="3">
        <v>46041</v>
      </c>
      <c r="D140" s="1" t="s">
        <v>52</v>
      </c>
      <c r="E140" s="1" t="s">
        <v>38</v>
      </c>
      <c r="F140" s="1"/>
      <c r="G140" s="1" t="s">
        <v>39</v>
      </c>
      <c r="H140" s="1" t="s">
        <v>112</v>
      </c>
      <c r="I140" s="1" t="s">
        <v>46</v>
      </c>
      <c r="J140" s="1" t="s">
        <v>47</v>
      </c>
      <c r="K140" s="1" t="s">
        <v>48</v>
      </c>
      <c r="L140" s="1" t="s">
        <v>49</v>
      </c>
      <c r="M140" s="1" t="s">
        <v>50</v>
      </c>
      <c r="N140" s="1" t="s">
        <v>41</v>
      </c>
      <c r="O140" s="1" t="s">
        <v>42</v>
      </c>
      <c r="P140" s="1" t="s">
        <v>43</v>
      </c>
      <c r="Q140" s="1" t="s">
        <v>44</v>
      </c>
      <c r="R140" s="1" t="s">
        <v>45</v>
      </c>
      <c r="S140" s="1">
        <v>1157</v>
      </c>
      <c r="T140" s="1">
        <v>0</v>
      </c>
      <c r="U140" s="4">
        <v>9.9999999999999992E-2</v>
      </c>
      <c r="V140" s="1">
        <v>1590</v>
      </c>
      <c r="W140" s="1">
        <v>1610</v>
      </c>
      <c r="X140" s="1">
        <v>3200</v>
      </c>
      <c r="Y140" s="1" t="s">
        <v>51</v>
      </c>
      <c r="Z140" s="1">
        <v>1870</v>
      </c>
      <c r="AA140" s="1">
        <v>1330</v>
      </c>
      <c r="AB140" s="1">
        <v>0</v>
      </c>
      <c r="AC140" s="1">
        <v>0</v>
      </c>
      <c r="AD140" s="1">
        <v>0</v>
      </c>
      <c r="AE140" s="1">
        <v>0</v>
      </c>
      <c r="AF140" s="1"/>
      <c r="AG140" s="1">
        <v>0</v>
      </c>
      <c r="AH140" s="1">
        <v>0</v>
      </c>
      <c r="AI140" s="1">
        <v>0</v>
      </c>
      <c r="AJ140" s="1">
        <v>0</v>
      </c>
      <c r="AK140" s="1">
        <v>4.2027999999999999</v>
      </c>
      <c r="AL140" s="1">
        <v>4.2027999999999999</v>
      </c>
      <c r="AM140" s="1">
        <v>4.2027999999999999</v>
      </c>
    </row>
    <row r="141" spans="1:39" x14ac:dyDescent="0.3">
      <c r="A141" s="21" t="str">
        <f t="shared" si="2"/>
        <v>HFA805LLHA2026-01-20</v>
      </c>
      <c r="B141" t="str">
        <f>VLOOKUP(A141,Sheet1!A141:B1483,1,FALSE)</f>
        <v>HFA805LLHA2026-01-20</v>
      </c>
      <c r="C141" s="3">
        <v>46042</v>
      </c>
      <c r="D141" s="1" t="s">
        <v>114</v>
      </c>
      <c r="E141" s="1" t="s">
        <v>38</v>
      </c>
      <c r="F141" s="1"/>
      <c r="G141" s="1" t="s">
        <v>39</v>
      </c>
      <c r="H141" s="1" t="s">
        <v>112</v>
      </c>
      <c r="I141" s="1" t="s">
        <v>41</v>
      </c>
      <c r="J141" s="1" t="s">
        <v>42</v>
      </c>
      <c r="K141" s="1" t="s">
        <v>43</v>
      </c>
      <c r="L141" s="1" t="s">
        <v>44</v>
      </c>
      <c r="M141" s="1" t="s">
        <v>45</v>
      </c>
      <c r="N141" s="1" t="s">
        <v>67</v>
      </c>
      <c r="O141" s="1" t="s">
        <v>86</v>
      </c>
      <c r="P141" s="1" t="s">
        <v>87</v>
      </c>
      <c r="Q141" s="1" t="s">
        <v>88</v>
      </c>
      <c r="R141" s="1" t="s">
        <v>50</v>
      </c>
      <c r="S141" s="1">
        <v>264</v>
      </c>
      <c r="T141" s="1">
        <v>265</v>
      </c>
      <c r="U141" s="4">
        <v>3.5416666666666666E-2</v>
      </c>
      <c r="V141" s="1">
        <v>1870</v>
      </c>
      <c r="W141" s="1">
        <v>330</v>
      </c>
      <c r="X141" s="1">
        <v>2200</v>
      </c>
      <c r="Y141" s="1" t="s">
        <v>51</v>
      </c>
      <c r="Z141" s="1">
        <v>1600</v>
      </c>
      <c r="AA141" s="1">
        <v>600</v>
      </c>
      <c r="AB141" s="1">
        <v>0</v>
      </c>
      <c r="AC141" s="1">
        <v>0</v>
      </c>
      <c r="AD141" s="1">
        <v>0</v>
      </c>
      <c r="AE141" s="1">
        <v>0</v>
      </c>
      <c r="AF141" s="1"/>
      <c r="AG141" s="1">
        <v>0</v>
      </c>
      <c r="AH141" s="1">
        <v>0</v>
      </c>
      <c r="AI141" s="1">
        <v>0</v>
      </c>
      <c r="AJ141" s="1">
        <v>0</v>
      </c>
      <c r="AK141" s="1">
        <v>1.8959999999999999</v>
      </c>
      <c r="AL141" s="1">
        <v>1.8959999999999999</v>
      </c>
      <c r="AM141" s="1">
        <v>1.8959999999999999</v>
      </c>
    </row>
    <row r="142" spans="1:39" x14ac:dyDescent="0.3">
      <c r="A142" s="21" t="str">
        <f t="shared" si="2"/>
        <v>HFA806LCLK2026-01-20</v>
      </c>
      <c r="B142" t="str">
        <f>VLOOKUP(A142,Sheet1!A142:B1484,1,FALSE)</f>
        <v>HFA806LCLK2026-01-20</v>
      </c>
      <c r="C142" s="3">
        <v>46042</v>
      </c>
      <c r="D142" s="1" t="s">
        <v>115</v>
      </c>
      <c r="E142" s="1" t="s">
        <v>38</v>
      </c>
      <c r="F142" s="1"/>
      <c r="G142" s="1" t="s">
        <v>39</v>
      </c>
      <c r="H142" s="1" t="s">
        <v>112</v>
      </c>
      <c r="I142" s="1" t="s">
        <v>67</v>
      </c>
      <c r="J142" s="1" t="s">
        <v>86</v>
      </c>
      <c r="K142" s="1" t="s">
        <v>87</v>
      </c>
      <c r="L142" s="1" t="s">
        <v>88</v>
      </c>
      <c r="M142" s="1" t="s">
        <v>50</v>
      </c>
      <c r="N142" s="1" t="s">
        <v>41</v>
      </c>
      <c r="O142" s="1" t="s">
        <v>42</v>
      </c>
      <c r="P142" s="1" t="s">
        <v>43</v>
      </c>
      <c r="Q142" s="1" t="s">
        <v>44</v>
      </c>
      <c r="R142" s="1" t="s">
        <v>45</v>
      </c>
      <c r="S142" s="1">
        <v>264</v>
      </c>
      <c r="T142" s="1">
        <v>265</v>
      </c>
      <c r="U142" s="4">
        <v>3.4027777777777775E-2</v>
      </c>
      <c r="V142" s="1">
        <v>1600</v>
      </c>
      <c r="W142" s="1">
        <v>0</v>
      </c>
      <c r="X142" s="1">
        <v>1600</v>
      </c>
      <c r="Y142" s="1" t="s">
        <v>51</v>
      </c>
      <c r="Z142" s="1">
        <v>1100</v>
      </c>
      <c r="AA142" s="1">
        <v>500</v>
      </c>
      <c r="AB142" s="1">
        <v>0</v>
      </c>
      <c r="AC142" s="1">
        <v>0</v>
      </c>
      <c r="AD142" s="1">
        <v>0</v>
      </c>
      <c r="AE142" s="1">
        <v>0</v>
      </c>
      <c r="AF142" s="1"/>
      <c r="AG142" s="1">
        <v>0</v>
      </c>
      <c r="AH142" s="1">
        <v>0</v>
      </c>
      <c r="AI142" s="1">
        <v>0</v>
      </c>
      <c r="AJ142" s="1">
        <v>0</v>
      </c>
      <c r="AK142" s="1">
        <v>1.58</v>
      </c>
      <c r="AL142" s="1">
        <v>1.58</v>
      </c>
      <c r="AM142" s="1">
        <v>1.58</v>
      </c>
    </row>
    <row r="143" spans="1:39" x14ac:dyDescent="0.3">
      <c r="A143" s="21" t="str">
        <f t="shared" si="2"/>
        <v>HFA803LLHA2026-01-21</v>
      </c>
      <c r="B143" t="str">
        <f>VLOOKUP(A143,Sheet1!A143:B1485,1,FALSE)</f>
        <v>HFA803LLHA2026-01-21</v>
      </c>
      <c r="C143" s="3">
        <v>46043</v>
      </c>
      <c r="D143" s="1" t="s">
        <v>116</v>
      </c>
      <c r="E143" s="1" t="s">
        <v>38</v>
      </c>
      <c r="F143" s="1"/>
      <c r="G143" s="1" t="s">
        <v>39</v>
      </c>
      <c r="H143" s="1" t="s">
        <v>112</v>
      </c>
      <c r="I143" s="1" t="s">
        <v>41</v>
      </c>
      <c r="J143" s="1" t="s">
        <v>42</v>
      </c>
      <c r="K143" s="1" t="s">
        <v>43</v>
      </c>
      <c r="L143" s="1" t="s">
        <v>44</v>
      </c>
      <c r="M143" s="1" t="s">
        <v>45</v>
      </c>
      <c r="N143" s="1" t="s">
        <v>67</v>
      </c>
      <c r="O143" s="1" t="s">
        <v>86</v>
      </c>
      <c r="P143" s="1" t="s">
        <v>87</v>
      </c>
      <c r="Q143" s="1" t="s">
        <v>88</v>
      </c>
      <c r="R143" s="1" t="s">
        <v>50</v>
      </c>
      <c r="S143" s="1">
        <v>264</v>
      </c>
      <c r="T143" s="1">
        <v>0</v>
      </c>
      <c r="U143" s="4">
        <v>4.9305555555555554E-2</v>
      </c>
      <c r="V143" s="1">
        <v>1100</v>
      </c>
      <c r="W143" s="1">
        <v>1200</v>
      </c>
      <c r="X143" s="1">
        <v>2300</v>
      </c>
      <c r="Y143" s="1" t="s">
        <v>51</v>
      </c>
      <c r="Z143" s="1">
        <v>1640</v>
      </c>
      <c r="AA143" s="1">
        <v>660</v>
      </c>
      <c r="AB143" s="1">
        <v>0</v>
      </c>
      <c r="AC143" s="1">
        <v>0</v>
      </c>
      <c r="AD143" s="1">
        <v>0</v>
      </c>
      <c r="AE143" s="1">
        <v>0</v>
      </c>
      <c r="AF143" s="1"/>
      <c r="AG143" s="1">
        <v>0</v>
      </c>
      <c r="AH143" s="1">
        <v>0</v>
      </c>
      <c r="AI143" s="1">
        <v>0</v>
      </c>
      <c r="AJ143" s="1">
        <v>0</v>
      </c>
      <c r="AK143" s="1">
        <v>2.0855999999999999</v>
      </c>
      <c r="AL143" s="1">
        <v>2.0855999999999999</v>
      </c>
      <c r="AM143" s="1">
        <v>2.0855999999999999</v>
      </c>
    </row>
    <row r="144" spans="1:39" x14ac:dyDescent="0.3">
      <c r="A144" s="21" t="str">
        <f t="shared" si="2"/>
        <v>HFA804LCLK2026-01-21</v>
      </c>
      <c r="B144" t="str">
        <f>VLOOKUP(A144,Sheet1!A144:B1486,1,FALSE)</f>
        <v>HFA804LCLK2026-01-21</v>
      </c>
      <c r="C144" s="3">
        <v>46043</v>
      </c>
      <c r="D144" s="1" t="s">
        <v>117</v>
      </c>
      <c r="E144" s="1" t="s">
        <v>38</v>
      </c>
      <c r="F144" s="1"/>
      <c r="G144" s="1" t="s">
        <v>39</v>
      </c>
      <c r="H144" s="1" t="s">
        <v>112</v>
      </c>
      <c r="I144" s="1" t="s">
        <v>67</v>
      </c>
      <c r="J144" s="1" t="s">
        <v>86</v>
      </c>
      <c r="K144" s="1" t="s">
        <v>87</v>
      </c>
      <c r="L144" s="1" t="s">
        <v>88</v>
      </c>
      <c r="M144" s="1" t="s">
        <v>50</v>
      </c>
      <c r="N144" s="1" t="s">
        <v>41</v>
      </c>
      <c r="O144" s="1" t="s">
        <v>42</v>
      </c>
      <c r="P144" s="1" t="s">
        <v>43</v>
      </c>
      <c r="Q144" s="1" t="s">
        <v>44</v>
      </c>
      <c r="R144" s="1" t="s">
        <v>45</v>
      </c>
      <c r="S144" s="1">
        <v>264</v>
      </c>
      <c r="T144" s="1">
        <v>0</v>
      </c>
      <c r="U144" s="4">
        <v>3.9583333333333331E-2</v>
      </c>
      <c r="V144" s="1">
        <v>1640</v>
      </c>
      <c r="W144" s="1">
        <v>0</v>
      </c>
      <c r="X144" s="1">
        <v>1640</v>
      </c>
      <c r="Y144" s="1" t="s">
        <v>51</v>
      </c>
      <c r="Z144" s="1">
        <v>1050</v>
      </c>
      <c r="AA144" s="1">
        <v>590</v>
      </c>
      <c r="AB144" s="1">
        <v>0</v>
      </c>
      <c r="AC144" s="1">
        <v>0</v>
      </c>
      <c r="AD144" s="1">
        <v>0</v>
      </c>
      <c r="AE144" s="1">
        <v>0</v>
      </c>
      <c r="AF144" s="1"/>
      <c r="AG144" s="1">
        <v>0</v>
      </c>
      <c r="AH144" s="1">
        <v>0</v>
      </c>
      <c r="AI144" s="1">
        <v>0</v>
      </c>
      <c r="AJ144" s="1">
        <v>0</v>
      </c>
      <c r="AK144" s="1">
        <v>1.8644000000000001</v>
      </c>
      <c r="AL144" s="1">
        <v>1.8644000000000001</v>
      </c>
      <c r="AM144" s="1">
        <v>1.8644000000000001</v>
      </c>
    </row>
    <row r="145" spans="1:39" x14ac:dyDescent="0.3">
      <c r="A145" s="21" t="str">
        <f t="shared" si="2"/>
        <v>HFA605LLHA2026-01-21</v>
      </c>
      <c r="B145" t="str">
        <f>VLOOKUP(A145,Sheet1!A145:B1487,1,FALSE)</f>
        <v>HFA605LLHA2026-01-21</v>
      </c>
      <c r="C145" s="3">
        <v>46043</v>
      </c>
      <c r="D145" s="1" t="s">
        <v>62</v>
      </c>
      <c r="E145" s="1" t="s">
        <v>38</v>
      </c>
      <c r="F145" s="1" t="s">
        <v>54</v>
      </c>
      <c r="G145" s="1" t="s">
        <v>39</v>
      </c>
      <c r="H145" s="1" t="s">
        <v>112</v>
      </c>
      <c r="I145" s="1" t="s">
        <v>41</v>
      </c>
      <c r="J145" s="1" t="s">
        <v>42</v>
      </c>
      <c r="K145" s="1" t="s">
        <v>43</v>
      </c>
      <c r="L145" s="1" t="s">
        <v>44</v>
      </c>
      <c r="M145" s="1" t="s">
        <v>45</v>
      </c>
      <c r="N145" s="1" t="s">
        <v>41</v>
      </c>
      <c r="O145" s="1" t="s">
        <v>58</v>
      </c>
      <c r="P145" s="1" t="s">
        <v>59</v>
      </c>
      <c r="Q145" s="1" t="s">
        <v>60</v>
      </c>
      <c r="R145" s="1" t="s">
        <v>45</v>
      </c>
      <c r="S145" s="1">
        <v>342</v>
      </c>
      <c r="T145" s="1">
        <v>0</v>
      </c>
      <c r="U145" s="4">
        <v>4.8611111111111105E-2</v>
      </c>
      <c r="V145" s="1">
        <v>1050</v>
      </c>
      <c r="W145" s="1">
        <v>1750</v>
      </c>
      <c r="X145" s="1">
        <v>2800</v>
      </c>
      <c r="Y145" s="1" t="s">
        <v>51</v>
      </c>
      <c r="Z145" s="1">
        <v>2140</v>
      </c>
      <c r="AA145" s="1">
        <v>660</v>
      </c>
      <c r="AB145" s="1">
        <v>0</v>
      </c>
      <c r="AC145" s="1">
        <v>0</v>
      </c>
      <c r="AD145" s="1">
        <v>0</v>
      </c>
      <c r="AE145" s="1">
        <v>0</v>
      </c>
      <c r="AF145" s="1"/>
      <c r="AG145" s="1">
        <v>0</v>
      </c>
      <c r="AH145" s="1">
        <v>0</v>
      </c>
      <c r="AI145" s="1">
        <v>0</v>
      </c>
      <c r="AJ145" s="1">
        <v>0</v>
      </c>
      <c r="AK145" s="1">
        <v>2.0855999999999999</v>
      </c>
      <c r="AL145" s="1">
        <v>2.0855999999999999</v>
      </c>
      <c r="AM145" s="1">
        <v>2.0855999999999999</v>
      </c>
    </row>
    <row r="146" spans="1:39" x14ac:dyDescent="0.3">
      <c r="A146" s="21" t="str">
        <f t="shared" si="2"/>
        <v>HFA606LLER2026-01-21</v>
      </c>
      <c r="B146" t="str">
        <f>VLOOKUP(A146,Sheet1!A146:B1488,1,FALSE)</f>
        <v>HFA606LLER2026-01-21</v>
      </c>
      <c r="C146" s="3">
        <v>46043</v>
      </c>
      <c r="D146" s="1" t="s">
        <v>63</v>
      </c>
      <c r="E146" s="1" t="s">
        <v>38</v>
      </c>
      <c r="F146" s="1" t="s">
        <v>54</v>
      </c>
      <c r="G146" s="1" t="s">
        <v>39</v>
      </c>
      <c r="H146" s="1" t="s">
        <v>112</v>
      </c>
      <c r="I146" s="1" t="s">
        <v>41</v>
      </c>
      <c r="J146" s="1" t="s">
        <v>58</v>
      </c>
      <c r="K146" s="1" t="s">
        <v>59</v>
      </c>
      <c r="L146" s="1" t="s">
        <v>60</v>
      </c>
      <c r="M146" s="1" t="s">
        <v>45</v>
      </c>
      <c r="N146" s="1" t="s">
        <v>41</v>
      </c>
      <c r="O146" s="1" t="s">
        <v>42</v>
      </c>
      <c r="P146" s="1" t="s">
        <v>43</v>
      </c>
      <c r="Q146" s="1" t="s">
        <v>44</v>
      </c>
      <c r="R146" s="1" t="s">
        <v>45</v>
      </c>
      <c r="S146" s="1">
        <v>342</v>
      </c>
      <c r="T146" s="1">
        <v>0</v>
      </c>
      <c r="U146" s="4">
        <v>5.2083333333333329E-2</v>
      </c>
      <c r="V146" s="1">
        <v>2140</v>
      </c>
      <c r="W146" s="1">
        <v>0</v>
      </c>
      <c r="X146" s="1">
        <v>2140</v>
      </c>
      <c r="Y146" s="1" t="s">
        <v>51</v>
      </c>
      <c r="Z146" s="1">
        <v>1360</v>
      </c>
      <c r="AA146" s="1">
        <v>780</v>
      </c>
      <c r="AB146" s="1">
        <v>0</v>
      </c>
      <c r="AC146" s="1">
        <v>0</v>
      </c>
      <c r="AD146" s="1">
        <v>0</v>
      </c>
      <c r="AE146" s="1">
        <v>0</v>
      </c>
      <c r="AF146" s="1"/>
      <c r="AG146" s="1">
        <v>0</v>
      </c>
      <c r="AH146" s="1">
        <v>0</v>
      </c>
      <c r="AI146" s="1">
        <v>0</v>
      </c>
      <c r="AJ146" s="1">
        <v>0</v>
      </c>
      <c r="AK146" s="1">
        <v>2.4647999999999999</v>
      </c>
      <c r="AL146" s="1">
        <v>2.4647999999999999</v>
      </c>
      <c r="AM146" s="1">
        <v>2.4647999999999999</v>
      </c>
    </row>
    <row r="147" spans="1:39" x14ac:dyDescent="0.3">
      <c r="A147" s="21" t="str">
        <f t="shared" si="2"/>
        <v>HFA807LLHA2026-01-21</v>
      </c>
      <c r="B147" t="str">
        <f>VLOOKUP(A147,Sheet1!A147:B1489,1,FALSE)</f>
        <v>HFA807LLHA2026-01-21</v>
      </c>
      <c r="C147" s="3">
        <v>46043</v>
      </c>
      <c r="D147" s="1" t="s">
        <v>118</v>
      </c>
      <c r="E147" s="1" t="s">
        <v>38</v>
      </c>
      <c r="F147" s="1"/>
      <c r="G147" s="1" t="s">
        <v>39</v>
      </c>
      <c r="H147" s="1" t="s">
        <v>112</v>
      </c>
      <c r="I147" s="1" t="s">
        <v>41</v>
      </c>
      <c r="J147" s="1" t="s">
        <v>42</v>
      </c>
      <c r="K147" s="1" t="s">
        <v>43</v>
      </c>
      <c r="L147" s="1" t="s">
        <v>44</v>
      </c>
      <c r="M147" s="1" t="s">
        <v>45</v>
      </c>
      <c r="N147" s="1" t="s">
        <v>67</v>
      </c>
      <c r="O147" s="1" t="s">
        <v>86</v>
      </c>
      <c r="P147" s="1" t="s">
        <v>87</v>
      </c>
      <c r="Q147" s="1" t="s">
        <v>88</v>
      </c>
      <c r="R147" s="1" t="s">
        <v>50</v>
      </c>
      <c r="S147" s="1">
        <v>264</v>
      </c>
      <c r="T147" s="1">
        <v>0</v>
      </c>
      <c r="U147" s="4">
        <v>3.888888888888889E-2</v>
      </c>
      <c r="V147" s="1">
        <v>1360</v>
      </c>
      <c r="W147" s="1">
        <v>1140</v>
      </c>
      <c r="X147" s="1">
        <v>2500</v>
      </c>
      <c r="Y147" s="1" t="s">
        <v>51</v>
      </c>
      <c r="Z147" s="1">
        <v>1970</v>
      </c>
      <c r="AA147" s="1">
        <v>530</v>
      </c>
      <c r="AB147" s="1">
        <v>0</v>
      </c>
      <c r="AC147" s="1">
        <v>0</v>
      </c>
      <c r="AD147" s="1">
        <v>0</v>
      </c>
      <c r="AE147" s="1">
        <v>0</v>
      </c>
      <c r="AF147" s="1"/>
      <c r="AG147" s="1">
        <v>0</v>
      </c>
      <c r="AH147" s="1">
        <v>0</v>
      </c>
      <c r="AI147" s="1">
        <v>0</v>
      </c>
      <c r="AJ147" s="1">
        <v>0</v>
      </c>
      <c r="AK147" s="1">
        <v>1.6748000000000001</v>
      </c>
      <c r="AL147" s="1">
        <v>1.6748000000000001</v>
      </c>
      <c r="AM147" s="1">
        <v>1.6748000000000001</v>
      </c>
    </row>
    <row r="148" spans="1:39" x14ac:dyDescent="0.3">
      <c r="A148" s="21" t="str">
        <f t="shared" si="2"/>
        <v>HFA808LCLK2026-01-21</v>
      </c>
      <c r="B148" t="str">
        <f>VLOOKUP(A148,Sheet1!A148:B1490,1,FALSE)</f>
        <v>HFA808LCLK2026-01-21</v>
      </c>
      <c r="C148" s="3">
        <v>46043</v>
      </c>
      <c r="D148" s="1" t="s">
        <v>119</v>
      </c>
      <c r="E148" s="1" t="s">
        <v>38</v>
      </c>
      <c r="F148" s="1"/>
      <c r="G148" s="1" t="s">
        <v>39</v>
      </c>
      <c r="H148" s="1" t="s">
        <v>112</v>
      </c>
      <c r="I148" s="1" t="s">
        <v>67</v>
      </c>
      <c r="J148" s="1" t="s">
        <v>86</v>
      </c>
      <c r="K148" s="1" t="s">
        <v>87</v>
      </c>
      <c r="L148" s="1" t="s">
        <v>88</v>
      </c>
      <c r="M148" s="1" t="s">
        <v>50</v>
      </c>
      <c r="N148" s="1" t="s">
        <v>41</v>
      </c>
      <c r="O148" s="1" t="s">
        <v>82</v>
      </c>
      <c r="P148" s="1" t="s">
        <v>83</v>
      </c>
      <c r="Q148" s="1" t="s">
        <v>84</v>
      </c>
      <c r="R148" s="1" t="s">
        <v>45</v>
      </c>
      <c r="S148" s="1">
        <v>339</v>
      </c>
      <c r="T148" s="1">
        <v>0</v>
      </c>
      <c r="U148" s="4">
        <v>5.8333333333333334E-2</v>
      </c>
      <c r="V148" s="1">
        <v>1970</v>
      </c>
      <c r="W148" s="1">
        <v>0</v>
      </c>
      <c r="X148" s="1">
        <v>1970</v>
      </c>
      <c r="Y148" s="1" t="s">
        <v>51</v>
      </c>
      <c r="Z148" s="1">
        <v>1170</v>
      </c>
      <c r="AA148" s="1">
        <v>800</v>
      </c>
      <c r="AB148" s="1">
        <v>0</v>
      </c>
      <c r="AC148" s="1">
        <v>0</v>
      </c>
      <c r="AD148" s="1">
        <v>0</v>
      </c>
      <c r="AE148" s="1">
        <v>0</v>
      </c>
      <c r="AF148" s="1"/>
      <c r="AG148" s="1">
        <v>0</v>
      </c>
      <c r="AH148" s="1">
        <v>0</v>
      </c>
      <c r="AI148" s="1">
        <v>0</v>
      </c>
      <c r="AJ148" s="1">
        <v>0</v>
      </c>
      <c r="AK148" s="1">
        <v>2.528</v>
      </c>
      <c r="AL148" s="1">
        <v>2.528</v>
      </c>
      <c r="AM148" s="1">
        <v>2.528</v>
      </c>
    </row>
    <row r="149" spans="1:39" x14ac:dyDescent="0.3">
      <c r="A149" s="21" t="str">
        <f t="shared" si="2"/>
        <v>HFA201LLBG2026-01-22</v>
      </c>
      <c r="B149" t="e">
        <f>VLOOKUP(A149,Sheet1!A149:B1491,1,FALSE)</f>
        <v>#N/A</v>
      </c>
      <c r="C149" s="3">
        <v>46044</v>
      </c>
      <c r="D149" s="1" t="s">
        <v>80</v>
      </c>
      <c r="E149" s="1" t="s">
        <v>38</v>
      </c>
      <c r="F149" s="1" t="s">
        <v>54</v>
      </c>
      <c r="G149" s="1" t="s">
        <v>39</v>
      </c>
      <c r="H149" s="1" t="s">
        <v>112</v>
      </c>
      <c r="I149" s="1" t="s">
        <v>41</v>
      </c>
      <c r="J149" s="1" t="s">
        <v>82</v>
      </c>
      <c r="K149" s="1" t="s">
        <v>83</v>
      </c>
      <c r="L149" s="1" t="s">
        <v>84</v>
      </c>
      <c r="M149" s="1" t="s">
        <v>45</v>
      </c>
      <c r="N149" s="1" t="s">
        <v>41</v>
      </c>
      <c r="O149" s="1" t="s">
        <v>42</v>
      </c>
      <c r="P149" s="1" t="s">
        <v>43</v>
      </c>
      <c r="Q149" s="1" t="s">
        <v>44</v>
      </c>
      <c r="R149" s="1" t="s">
        <v>45</v>
      </c>
      <c r="S149" s="1">
        <v>90</v>
      </c>
      <c r="T149" s="1">
        <v>91</v>
      </c>
      <c r="U149" s="4">
        <v>3.6111111111111108E-2</v>
      </c>
      <c r="V149" s="1">
        <v>1170</v>
      </c>
      <c r="W149" s="1">
        <v>60</v>
      </c>
      <c r="X149" s="1">
        <v>1230</v>
      </c>
      <c r="Y149" s="1" t="s">
        <v>51</v>
      </c>
      <c r="Z149" s="1">
        <v>850</v>
      </c>
      <c r="AA149" s="1">
        <v>380</v>
      </c>
      <c r="AB149" s="1">
        <v>0</v>
      </c>
      <c r="AC149" s="1">
        <v>0</v>
      </c>
      <c r="AD149" s="1">
        <v>0</v>
      </c>
      <c r="AE149" s="1">
        <v>0</v>
      </c>
      <c r="AF149" s="1"/>
      <c r="AG149" s="1">
        <v>0</v>
      </c>
      <c r="AH149" s="1">
        <v>0</v>
      </c>
      <c r="AI149" s="1">
        <v>0</v>
      </c>
      <c r="AJ149" s="1">
        <v>0</v>
      </c>
      <c r="AK149" s="1">
        <v>1.2008000000000001</v>
      </c>
      <c r="AL149" s="1">
        <v>1.2008000000000001</v>
      </c>
      <c r="AM149" s="1">
        <v>1.2008000000000001</v>
      </c>
    </row>
    <row r="150" spans="1:39" x14ac:dyDescent="0.3">
      <c r="A150" s="21" t="str">
        <f t="shared" si="2"/>
        <v>HFA803LLHA2026-01-22</v>
      </c>
      <c r="B150" t="str">
        <f>VLOOKUP(A150,Sheet1!A150:B1492,1,FALSE)</f>
        <v>HFA803LLHA2026-01-22</v>
      </c>
      <c r="C150" s="3">
        <v>46044</v>
      </c>
      <c r="D150" s="1" t="s">
        <v>116</v>
      </c>
      <c r="E150" s="1" t="s">
        <v>38</v>
      </c>
      <c r="F150" s="1"/>
      <c r="G150" s="1" t="s">
        <v>39</v>
      </c>
      <c r="H150" s="1" t="s">
        <v>112</v>
      </c>
      <c r="I150" s="1" t="s">
        <v>41</v>
      </c>
      <c r="J150" s="1" t="s">
        <v>42</v>
      </c>
      <c r="K150" s="1" t="s">
        <v>43</v>
      </c>
      <c r="L150" s="1" t="s">
        <v>44</v>
      </c>
      <c r="M150" s="1" t="s">
        <v>45</v>
      </c>
      <c r="N150" s="1" t="s">
        <v>67</v>
      </c>
      <c r="O150" s="1" t="s">
        <v>86</v>
      </c>
      <c r="P150" s="1" t="s">
        <v>87</v>
      </c>
      <c r="Q150" s="1" t="s">
        <v>88</v>
      </c>
      <c r="R150" s="1" t="s">
        <v>50</v>
      </c>
      <c r="S150" s="1">
        <v>264</v>
      </c>
      <c r="T150" s="1">
        <v>0</v>
      </c>
      <c r="U150" s="4">
        <v>4.3055555555555555E-2</v>
      </c>
      <c r="V150" s="1">
        <v>850</v>
      </c>
      <c r="W150" s="1">
        <v>1950</v>
      </c>
      <c r="X150" s="1">
        <v>2800</v>
      </c>
      <c r="Y150" s="1" t="s">
        <v>51</v>
      </c>
      <c r="Z150" s="1">
        <v>2200</v>
      </c>
      <c r="AA150" s="1">
        <v>600</v>
      </c>
      <c r="AB150" s="1">
        <v>0</v>
      </c>
      <c r="AC150" s="1">
        <v>0</v>
      </c>
      <c r="AD150" s="1">
        <v>0</v>
      </c>
      <c r="AE150" s="1">
        <v>0</v>
      </c>
      <c r="AF150" s="1"/>
      <c r="AG150" s="1">
        <v>0</v>
      </c>
      <c r="AH150" s="1">
        <v>0</v>
      </c>
      <c r="AI150" s="1">
        <v>0</v>
      </c>
      <c r="AJ150" s="1">
        <v>0</v>
      </c>
      <c r="AK150" s="1">
        <v>1.8959999999999999</v>
      </c>
      <c r="AL150" s="1">
        <v>1.8959999999999999</v>
      </c>
      <c r="AM150" s="1">
        <v>1.8959999999999999</v>
      </c>
    </row>
    <row r="151" spans="1:39" x14ac:dyDescent="0.3">
      <c r="A151" s="21" t="str">
        <f t="shared" si="2"/>
        <v>HFA201LCLK2026-01-25</v>
      </c>
      <c r="B151" t="e">
        <f>VLOOKUP(A151,Sheet1!A151:B1493,1,FALSE)</f>
        <v>#N/A</v>
      </c>
      <c r="C151" s="3">
        <v>46047</v>
      </c>
      <c r="D151" s="1" t="s">
        <v>80</v>
      </c>
      <c r="E151" s="1" t="s">
        <v>38</v>
      </c>
      <c r="F151" s="1"/>
      <c r="G151" s="1" t="s">
        <v>39</v>
      </c>
      <c r="H151" s="1" t="s">
        <v>112</v>
      </c>
      <c r="I151" s="1" t="s">
        <v>67</v>
      </c>
      <c r="J151" s="1" t="s">
        <v>86</v>
      </c>
      <c r="K151" s="1" t="s">
        <v>87</v>
      </c>
      <c r="L151" s="1" t="s">
        <v>88</v>
      </c>
      <c r="M151" s="1" t="s">
        <v>50</v>
      </c>
      <c r="N151" s="1" t="s">
        <v>41</v>
      </c>
      <c r="O151" s="1" t="s">
        <v>42</v>
      </c>
      <c r="P151" s="1" t="s">
        <v>43</v>
      </c>
      <c r="Q151" s="1" t="s">
        <v>44</v>
      </c>
      <c r="R151" s="1" t="s">
        <v>45</v>
      </c>
      <c r="S151" s="1">
        <v>264</v>
      </c>
      <c r="T151" s="1">
        <v>265</v>
      </c>
      <c r="U151" s="4">
        <v>4.027777777777778E-2</v>
      </c>
      <c r="V151" s="1">
        <v>2200</v>
      </c>
      <c r="W151" s="1">
        <v>-20</v>
      </c>
      <c r="X151" s="1">
        <v>2180</v>
      </c>
      <c r="Y151" s="1" t="s">
        <v>51</v>
      </c>
      <c r="Z151" s="1">
        <v>1680</v>
      </c>
      <c r="AA151" s="1">
        <v>500</v>
      </c>
      <c r="AB151" s="1">
        <v>0</v>
      </c>
      <c r="AC151" s="1">
        <v>0</v>
      </c>
      <c r="AD151" s="1">
        <v>0</v>
      </c>
      <c r="AE151" s="1">
        <v>0</v>
      </c>
      <c r="AF151" s="1"/>
      <c r="AG151" s="1">
        <v>0</v>
      </c>
      <c r="AH151" s="1">
        <v>0</v>
      </c>
      <c r="AI151" s="1">
        <v>0</v>
      </c>
      <c r="AJ151" s="1">
        <v>0</v>
      </c>
      <c r="AK151" s="1">
        <v>1.58</v>
      </c>
      <c r="AL151" s="1">
        <v>1.58</v>
      </c>
      <c r="AM151" s="1">
        <v>1.58</v>
      </c>
    </row>
    <row r="152" spans="1:39" x14ac:dyDescent="0.3">
      <c r="A152" s="21" t="str">
        <f t="shared" si="2"/>
        <v>HFA851LLHA2026-02-01</v>
      </c>
      <c r="B152" t="str">
        <f>VLOOKUP(A152,Sheet1!A152:B1494,1,FALSE)</f>
        <v>HFA851LLHA2026-02-01</v>
      </c>
      <c r="C152" s="3">
        <v>46054</v>
      </c>
      <c r="D152" s="1" t="s">
        <v>66</v>
      </c>
      <c r="E152" s="1" t="s">
        <v>38</v>
      </c>
      <c r="F152" s="1"/>
      <c r="G152" s="1" t="s">
        <v>39</v>
      </c>
      <c r="H152" s="1" t="s">
        <v>112</v>
      </c>
      <c r="I152" s="1" t="s">
        <v>41</v>
      </c>
      <c r="J152" s="1" t="s">
        <v>42</v>
      </c>
      <c r="K152" s="1" t="s">
        <v>43</v>
      </c>
      <c r="L152" s="1" t="s">
        <v>44</v>
      </c>
      <c r="M152" s="1" t="s">
        <v>45</v>
      </c>
      <c r="N152" s="1" t="s">
        <v>67</v>
      </c>
      <c r="O152" s="1" t="s">
        <v>68</v>
      </c>
      <c r="P152" s="1" t="s">
        <v>69</v>
      </c>
      <c r="Q152" s="1" t="s">
        <v>70</v>
      </c>
      <c r="R152" s="1" t="s">
        <v>50</v>
      </c>
      <c r="S152" s="1">
        <v>318</v>
      </c>
      <c r="T152" s="1">
        <v>0</v>
      </c>
      <c r="U152" s="4">
        <v>4.7222222222222221E-2</v>
      </c>
      <c r="V152" s="1">
        <v>1680</v>
      </c>
      <c r="W152" s="1">
        <v>-80</v>
      </c>
      <c r="X152" s="1">
        <v>1600</v>
      </c>
      <c r="Y152" s="1" t="s">
        <v>51</v>
      </c>
      <c r="Z152" s="1">
        <v>810</v>
      </c>
      <c r="AA152" s="1">
        <v>790</v>
      </c>
      <c r="AB152" s="1">
        <v>0</v>
      </c>
      <c r="AC152" s="1">
        <v>0</v>
      </c>
      <c r="AD152" s="1">
        <v>0</v>
      </c>
      <c r="AE152" s="1">
        <v>0</v>
      </c>
      <c r="AF152" s="1"/>
      <c r="AG152" s="1">
        <v>0</v>
      </c>
      <c r="AH152" s="1">
        <v>0</v>
      </c>
      <c r="AI152" s="1">
        <v>0</v>
      </c>
      <c r="AJ152" s="1">
        <v>0</v>
      </c>
      <c r="AK152" s="1">
        <v>2.4964</v>
      </c>
      <c r="AL152" s="1">
        <v>2.4964</v>
      </c>
      <c r="AM152" s="1">
        <v>2.4964</v>
      </c>
    </row>
    <row r="153" spans="1:39" x14ac:dyDescent="0.3">
      <c r="A153" s="21" t="str">
        <f t="shared" si="2"/>
        <v>HFA852LCPH2026-02-01</v>
      </c>
      <c r="B153" t="str">
        <f>VLOOKUP(A153,Sheet1!A153:B1495,1,FALSE)</f>
        <v>HFA852LCPH2026-02-01</v>
      </c>
      <c r="C153" s="3">
        <v>46054</v>
      </c>
      <c r="D153" s="1" t="s">
        <v>71</v>
      </c>
      <c r="E153" s="1" t="s">
        <v>38</v>
      </c>
      <c r="F153" s="1"/>
      <c r="G153" s="1" t="s">
        <v>39</v>
      </c>
      <c r="H153" s="1" t="s">
        <v>112</v>
      </c>
      <c r="I153" s="1" t="s">
        <v>67</v>
      </c>
      <c r="J153" s="1" t="s">
        <v>68</v>
      </c>
      <c r="K153" s="1" t="s">
        <v>69</v>
      </c>
      <c r="L153" s="1" t="s">
        <v>70</v>
      </c>
      <c r="M153" s="1" t="s">
        <v>50</v>
      </c>
      <c r="N153" s="1" t="s">
        <v>41</v>
      </c>
      <c r="O153" s="1" t="s">
        <v>42</v>
      </c>
      <c r="P153" s="1" t="s">
        <v>43</v>
      </c>
      <c r="Q153" s="1" t="s">
        <v>44</v>
      </c>
      <c r="R153" s="1" t="s">
        <v>45</v>
      </c>
      <c r="S153" s="1">
        <v>318</v>
      </c>
      <c r="T153" s="1">
        <v>0</v>
      </c>
      <c r="U153" s="4">
        <v>4.7222222222222221E-2</v>
      </c>
      <c r="V153" s="1">
        <v>810</v>
      </c>
      <c r="W153" s="1">
        <v>1490</v>
      </c>
      <c r="X153" s="1">
        <v>2300</v>
      </c>
      <c r="Y153" s="1" t="s">
        <v>51</v>
      </c>
      <c r="Z153" s="1">
        <v>1650</v>
      </c>
      <c r="AA153" s="1">
        <v>650</v>
      </c>
      <c r="AB153" s="1">
        <v>0</v>
      </c>
      <c r="AC153" s="1">
        <v>0</v>
      </c>
      <c r="AD153" s="1">
        <v>0</v>
      </c>
      <c r="AE153" s="1">
        <v>0</v>
      </c>
      <c r="AF153" s="1"/>
      <c r="AG153" s="1">
        <v>0</v>
      </c>
      <c r="AH153" s="1">
        <v>0</v>
      </c>
      <c r="AI153" s="1">
        <v>0</v>
      </c>
      <c r="AJ153" s="1">
        <v>0</v>
      </c>
      <c r="AK153" s="1">
        <v>2.0539999999999998</v>
      </c>
      <c r="AL153" s="1">
        <v>2.0539999999999998</v>
      </c>
      <c r="AM153" s="1">
        <v>2.0539999999999998</v>
      </c>
    </row>
    <row r="154" spans="1:39" x14ac:dyDescent="0.3">
      <c r="A154" s="21" t="str">
        <f t="shared" si="2"/>
        <v>HFA807LLHA2026-02-01</v>
      </c>
      <c r="B154" t="str">
        <f>VLOOKUP(A154,Sheet1!A154:B1496,1,FALSE)</f>
        <v>HFA807LLHA2026-02-01</v>
      </c>
      <c r="C154" s="3">
        <v>46054</v>
      </c>
      <c r="D154" s="1" t="s">
        <v>118</v>
      </c>
      <c r="E154" s="1" t="s">
        <v>38</v>
      </c>
      <c r="F154" s="1"/>
      <c r="G154" s="1" t="s">
        <v>39</v>
      </c>
      <c r="H154" s="1" t="s">
        <v>112</v>
      </c>
      <c r="I154" s="1" t="s">
        <v>41</v>
      </c>
      <c r="J154" s="1" t="s">
        <v>42</v>
      </c>
      <c r="K154" s="1" t="s">
        <v>43</v>
      </c>
      <c r="L154" s="1" t="s">
        <v>44</v>
      </c>
      <c r="M154" s="1" t="s">
        <v>45</v>
      </c>
      <c r="N154" s="1" t="s">
        <v>67</v>
      </c>
      <c r="O154" s="1" t="s">
        <v>86</v>
      </c>
      <c r="P154" s="1" t="s">
        <v>87</v>
      </c>
      <c r="Q154" s="1" t="s">
        <v>88</v>
      </c>
      <c r="R154" s="1" t="s">
        <v>50</v>
      </c>
      <c r="S154" s="1">
        <v>264</v>
      </c>
      <c r="T154" s="1">
        <v>0</v>
      </c>
      <c r="U154" s="4">
        <v>3.6111111111111108E-2</v>
      </c>
      <c r="V154" s="1">
        <v>1650</v>
      </c>
      <c r="W154" s="1">
        <v>0</v>
      </c>
      <c r="X154" s="1">
        <v>1650</v>
      </c>
      <c r="Y154" s="1" t="s">
        <v>51</v>
      </c>
      <c r="Z154" s="1">
        <v>1060</v>
      </c>
      <c r="AA154" s="1">
        <v>590</v>
      </c>
      <c r="AB154" s="1">
        <v>0</v>
      </c>
      <c r="AC154" s="1">
        <v>0</v>
      </c>
      <c r="AD154" s="1">
        <v>0</v>
      </c>
      <c r="AE154" s="1">
        <v>0</v>
      </c>
      <c r="AF154" s="1"/>
      <c r="AG154" s="1">
        <v>0</v>
      </c>
      <c r="AH154" s="1">
        <v>0</v>
      </c>
      <c r="AI154" s="1">
        <v>0</v>
      </c>
      <c r="AJ154" s="1">
        <v>0</v>
      </c>
      <c r="AK154" s="1">
        <v>1.8644000000000001</v>
      </c>
      <c r="AL154" s="1">
        <v>1.8644000000000001</v>
      </c>
      <c r="AM154" s="1">
        <v>1.8644000000000001</v>
      </c>
    </row>
    <row r="155" spans="1:39" x14ac:dyDescent="0.3">
      <c r="A155" s="21" t="str">
        <f t="shared" si="2"/>
        <v>HFA808LCLK2026-02-01</v>
      </c>
      <c r="B155" t="str">
        <f>VLOOKUP(A155,Sheet1!A155:B1497,1,FALSE)</f>
        <v>HFA808LCLK2026-02-01</v>
      </c>
      <c r="C155" s="3">
        <v>46054</v>
      </c>
      <c r="D155" s="1" t="s">
        <v>119</v>
      </c>
      <c r="E155" s="1" t="s">
        <v>38</v>
      </c>
      <c r="F155" s="1"/>
      <c r="G155" s="1" t="s">
        <v>39</v>
      </c>
      <c r="H155" s="1" t="s">
        <v>112</v>
      </c>
      <c r="I155" s="1" t="s">
        <v>67</v>
      </c>
      <c r="J155" s="1" t="s">
        <v>86</v>
      </c>
      <c r="K155" s="1" t="s">
        <v>87</v>
      </c>
      <c r="L155" s="1" t="s">
        <v>88</v>
      </c>
      <c r="M155" s="1" t="s">
        <v>50</v>
      </c>
      <c r="N155" s="1" t="s">
        <v>41</v>
      </c>
      <c r="O155" s="1" t="s">
        <v>42</v>
      </c>
      <c r="P155" s="1" t="s">
        <v>43</v>
      </c>
      <c r="Q155" s="1" t="s">
        <v>44</v>
      </c>
      <c r="R155" s="1" t="s">
        <v>45</v>
      </c>
      <c r="S155" s="1">
        <v>264</v>
      </c>
      <c r="T155" s="1">
        <v>0</v>
      </c>
      <c r="U155" s="4">
        <v>4.3749999999999997E-2</v>
      </c>
      <c r="V155" s="1">
        <v>1060</v>
      </c>
      <c r="W155" s="1">
        <v>1440</v>
      </c>
      <c r="X155" s="1">
        <v>2500</v>
      </c>
      <c r="Y155" s="1" t="s">
        <v>51</v>
      </c>
      <c r="Z155" s="1">
        <v>1940</v>
      </c>
      <c r="AA155" s="1">
        <v>560</v>
      </c>
      <c r="AB155" s="1">
        <v>0</v>
      </c>
      <c r="AC155" s="1">
        <v>0</v>
      </c>
      <c r="AD155" s="1">
        <v>0</v>
      </c>
      <c r="AE155" s="1">
        <v>0</v>
      </c>
      <c r="AF155" s="1"/>
      <c r="AG155" s="1">
        <v>0</v>
      </c>
      <c r="AH155" s="1">
        <v>0</v>
      </c>
      <c r="AI155" s="1">
        <v>0</v>
      </c>
      <c r="AJ155" s="1">
        <v>0</v>
      </c>
      <c r="AK155" s="1">
        <v>1.7696000000000001</v>
      </c>
      <c r="AL155" s="1">
        <v>1.7696000000000001</v>
      </c>
      <c r="AM155" s="1">
        <v>1.7696000000000001</v>
      </c>
    </row>
    <row r="156" spans="1:39" x14ac:dyDescent="0.3">
      <c r="A156" s="21" t="str">
        <f t="shared" si="2"/>
        <v>HFA601LLHA2026-02-05</v>
      </c>
      <c r="B156" t="str">
        <f>VLOOKUP(A156,Sheet1!A156:B1498,1,FALSE)</f>
        <v>HFA601LLHA2026-02-05</v>
      </c>
      <c r="C156" s="3">
        <v>46058</v>
      </c>
      <c r="D156" s="1" t="s">
        <v>57</v>
      </c>
      <c r="E156" s="1" t="s">
        <v>38</v>
      </c>
      <c r="F156" s="1" t="s">
        <v>54</v>
      </c>
      <c r="G156" s="1" t="s">
        <v>39</v>
      </c>
      <c r="H156" s="1" t="s">
        <v>112</v>
      </c>
      <c r="I156" s="1" t="s">
        <v>41</v>
      </c>
      <c r="J156" s="1" t="s">
        <v>42</v>
      </c>
      <c r="K156" s="1" t="s">
        <v>43</v>
      </c>
      <c r="L156" s="1" t="s">
        <v>44</v>
      </c>
      <c r="M156" s="1" t="s">
        <v>45</v>
      </c>
      <c r="N156" s="1" t="s">
        <v>41</v>
      </c>
      <c r="O156" s="1" t="s">
        <v>58</v>
      </c>
      <c r="P156" s="1" t="s">
        <v>59</v>
      </c>
      <c r="Q156" s="1" t="s">
        <v>60</v>
      </c>
      <c r="R156" s="1" t="s">
        <v>45</v>
      </c>
      <c r="S156" s="1">
        <v>342</v>
      </c>
      <c r="T156" s="1">
        <v>0</v>
      </c>
      <c r="U156" s="4">
        <v>4.5138888888888888E-2</v>
      </c>
      <c r="V156" s="1">
        <v>1940</v>
      </c>
      <c r="W156" s="1">
        <v>-60</v>
      </c>
      <c r="X156" s="1">
        <v>1880</v>
      </c>
      <c r="Y156" s="1" t="s">
        <v>51</v>
      </c>
      <c r="Z156" s="1">
        <v>1160</v>
      </c>
      <c r="AA156" s="1">
        <v>720</v>
      </c>
      <c r="AB156" s="1">
        <v>0</v>
      </c>
      <c r="AC156" s="1">
        <v>0</v>
      </c>
      <c r="AD156" s="1">
        <v>0</v>
      </c>
      <c r="AE156" s="1">
        <v>0</v>
      </c>
      <c r="AF156" s="1"/>
      <c r="AG156" s="1">
        <v>0</v>
      </c>
      <c r="AH156" s="1">
        <v>0</v>
      </c>
      <c r="AI156" s="1">
        <v>0</v>
      </c>
      <c r="AJ156" s="1">
        <v>0</v>
      </c>
      <c r="AK156" s="1">
        <v>2.2751999999999999</v>
      </c>
      <c r="AL156" s="1">
        <v>2.2751999999999999</v>
      </c>
      <c r="AM156" s="1">
        <v>2.2751999999999999</v>
      </c>
    </row>
    <row r="157" spans="1:39" x14ac:dyDescent="0.3">
      <c r="A157" s="21" t="str">
        <f t="shared" si="2"/>
        <v>HFA602LLER2026-02-05</v>
      </c>
      <c r="B157" t="str">
        <f>VLOOKUP(A157,Sheet1!A157:B1499,1,FALSE)</f>
        <v>HFA602LLER2026-02-05</v>
      </c>
      <c r="C157" s="3">
        <v>46058</v>
      </c>
      <c r="D157" s="1" t="s">
        <v>61</v>
      </c>
      <c r="E157" s="1" t="s">
        <v>38</v>
      </c>
      <c r="F157" s="1" t="s">
        <v>54</v>
      </c>
      <c r="G157" s="1" t="s">
        <v>39</v>
      </c>
      <c r="H157" s="1" t="s">
        <v>112</v>
      </c>
      <c r="I157" s="1" t="s">
        <v>41</v>
      </c>
      <c r="J157" s="1" t="s">
        <v>58</v>
      </c>
      <c r="K157" s="1" t="s">
        <v>59</v>
      </c>
      <c r="L157" s="1" t="s">
        <v>60</v>
      </c>
      <c r="M157" s="1" t="s">
        <v>45</v>
      </c>
      <c r="N157" s="1" t="s">
        <v>41</v>
      </c>
      <c r="O157" s="1" t="s">
        <v>42</v>
      </c>
      <c r="P157" s="1" t="s">
        <v>43</v>
      </c>
      <c r="Q157" s="1" t="s">
        <v>44</v>
      </c>
      <c r="R157" s="1" t="s">
        <v>45</v>
      </c>
      <c r="S157" s="1">
        <v>342</v>
      </c>
      <c r="T157" s="1">
        <v>0</v>
      </c>
      <c r="U157" s="4">
        <v>4.7222222222222221E-2</v>
      </c>
      <c r="V157" s="1">
        <v>1160</v>
      </c>
      <c r="W157" s="1">
        <v>1440</v>
      </c>
      <c r="X157" s="1">
        <v>2600</v>
      </c>
      <c r="Y157" s="1" t="s">
        <v>51</v>
      </c>
      <c r="Z157" s="1">
        <v>1920</v>
      </c>
      <c r="AA157" s="1">
        <v>680</v>
      </c>
      <c r="AB157" s="1">
        <v>0</v>
      </c>
      <c r="AC157" s="1">
        <v>0</v>
      </c>
      <c r="AD157" s="1">
        <v>0</v>
      </c>
      <c r="AE157" s="1">
        <v>0</v>
      </c>
      <c r="AF157" s="1"/>
      <c r="AG157" s="1">
        <v>0</v>
      </c>
      <c r="AH157" s="1">
        <v>0</v>
      </c>
      <c r="AI157" s="1">
        <v>0</v>
      </c>
      <c r="AJ157" s="1">
        <v>0</v>
      </c>
      <c r="AK157" s="1">
        <v>2.1488</v>
      </c>
      <c r="AL157" s="1">
        <v>2.1488</v>
      </c>
      <c r="AM157" s="1">
        <v>2.1488</v>
      </c>
    </row>
    <row r="158" spans="1:39" x14ac:dyDescent="0.3">
      <c r="A158" s="21" t="str">
        <f t="shared" si="2"/>
        <v>HFA603LLHA2026-02-05</v>
      </c>
      <c r="B158" t="str">
        <f>VLOOKUP(A158,Sheet1!A158:B1500,1,FALSE)</f>
        <v>HFA603LLHA2026-02-05</v>
      </c>
      <c r="C158" s="3">
        <v>46058</v>
      </c>
      <c r="D158" s="1" t="s">
        <v>72</v>
      </c>
      <c r="E158" s="1" t="s">
        <v>38</v>
      </c>
      <c r="F158" s="1" t="s">
        <v>54</v>
      </c>
      <c r="G158" s="1" t="s">
        <v>39</v>
      </c>
      <c r="H158" s="1" t="s">
        <v>112</v>
      </c>
      <c r="I158" s="1" t="s">
        <v>41</v>
      </c>
      <c r="J158" s="1" t="s">
        <v>42</v>
      </c>
      <c r="K158" s="1" t="s">
        <v>43</v>
      </c>
      <c r="L158" s="1" t="s">
        <v>44</v>
      </c>
      <c r="M158" s="1" t="s">
        <v>45</v>
      </c>
      <c r="N158" s="1" t="s">
        <v>41</v>
      </c>
      <c r="O158" s="1" t="s">
        <v>58</v>
      </c>
      <c r="P158" s="1" t="s">
        <v>59</v>
      </c>
      <c r="Q158" s="1" t="s">
        <v>60</v>
      </c>
      <c r="R158" s="1" t="s">
        <v>45</v>
      </c>
      <c r="S158" s="1">
        <v>342</v>
      </c>
      <c r="T158" s="1">
        <v>0</v>
      </c>
      <c r="U158" s="4">
        <v>4.6527777777777779E-2</v>
      </c>
      <c r="V158" s="1">
        <v>1920</v>
      </c>
      <c r="W158" s="1">
        <v>0</v>
      </c>
      <c r="X158" s="1">
        <v>1920</v>
      </c>
      <c r="Y158" s="1" t="s">
        <v>51</v>
      </c>
      <c r="Z158" s="1">
        <v>1090</v>
      </c>
      <c r="AA158" s="1">
        <v>830</v>
      </c>
      <c r="AB158" s="1">
        <v>0</v>
      </c>
      <c r="AC158" s="1">
        <v>0</v>
      </c>
      <c r="AD158" s="1">
        <v>0</v>
      </c>
      <c r="AE158" s="1">
        <v>0</v>
      </c>
      <c r="AF158" s="1"/>
      <c r="AG158" s="1">
        <v>0</v>
      </c>
      <c r="AH158" s="1">
        <v>0</v>
      </c>
      <c r="AI158" s="1">
        <v>0</v>
      </c>
      <c r="AJ158" s="1">
        <v>0</v>
      </c>
      <c r="AK158" s="1">
        <v>2.6227999999999998</v>
      </c>
      <c r="AL158" s="1">
        <v>2.6227999999999998</v>
      </c>
      <c r="AM158" s="1">
        <v>2.6227999999999998</v>
      </c>
    </row>
    <row r="159" spans="1:39" x14ac:dyDescent="0.3">
      <c r="A159" s="21" t="str">
        <f t="shared" si="2"/>
        <v>HFA604LLER2026-02-05</v>
      </c>
      <c r="B159" t="str">
        <f>VLOOKUP(A159,Sheet1!A159:B1501,1,FALSE)</f>
        <v>HFA604LLER2026-02-05</v>
      </c>
      <c r="C159" s="3">
        <v>46058</v>
      </c>
      <c r="D159" s="1" t="s">
        <v>73</v>
      </c>
      <c r="E159" s="1" t="s">
        <v>38</v>
      </c>
      <c r="F159" s="1" t="s">
        <v>54</v>
      </c>
      <c r="G159" s="1" t="s">
        <v>39</v>
      </c>
      <c r="H159" s="1" t="s">
        <v>112</v>
      </c>
      <c r="I159" s="1" t="s">
        <v>41</v>
      </c>
      <c r="J159" s="1" t="s">
        <v>58</v>
      </c>
      <c r="K159" s="1" t="s">
        <v>59</v>
      </c>
      <c r="L159" s="1" t="s">
        <v>60</v>
      </c>
      <c r="M159" s="1" t="s">
        <v>45</v>
      </c>
      <c r="N159" s="1" t="s">
        <v>41</v>
      </c>
      <c r="O159" s="1" t="s">
        <v>42</v>
      </c>
      <c r="P159" s="1" t="s">
        <v>43</v>
      </c>
      <c r="Q159" s="1" t="s">
        <v>44</v>
      </c>
      <c r="R159" s="1" t="s">
        <v>45</v>
      </c>
      <c r="S159" s="1">
        <v>342</v>
      </c>
      <c r="T159" s="1">
        <v>0</v>
      </c>
      <c r="U159" s="4">
        <v>4.4444444444444439E-2</v>
      </c>
      <c r="V159" s="1">
        <v>1090</v>
      </c>
      <c r="W159" s="1">
        <v>1410</v>
      </c>
      <c r="X159" s="1">
        <v>2500</v>
      </c>
      <c r="Y159" s="1" t="s">
        <v>51</v>
      </c>
      <c r="Z159" s="1">
        <v>1840</v>
      </c>
      <c r="AA159" s="1">
        <v>660</v>
      </c>
      <c r="AB159" s="1">
        <v>0</v>
      </c>
      <c r="AC159" s="1">
        <v>0</v>
      </c>
      <c r="AD159" s="1">
        <v>0</v>
      </c>
      <c r="AE159" s="1">
        <v>0</v>
      </c>
      <c r="AF159" s="1"/>
      <c r="AG159" s="1">
        <v>0</v>
      </c>
      <c r="AH159" s="1">
        <v>0</v>
      </c>
      <c r="AI159" s="1">
        <v>0</v>
      </c>
      <c r="AJ159" s="1">
        <v>0</v>
      </c>
      <c r="AK159" s="1">
        <v>2.0855999999999999</v>
      </c>
      <c r="AL159" s="1">
        <v>2.0855999999999999</v>
      </c>
      <c r="AM159" s="1">
        <v>2.0855999999999999</v>
      </c>
    </row>
    <row r="160" spans="1:39" x14ac:dyDescent="0.3">
      <c r="A160" s="21" t="str">
        <f t="shared" si="2"/>
        <v>HFA601LLHA2026-02-08</v>
      </c>
      <c r="B160" t="str">
        <f>VLOOKUP(A160,Sheet1!A160:B1502,1,FALSE)</f>
        <v>HFA601LLHA2026-02-08</v>
      </c>
      <c r="C160" s="3">
        <v>46061</v>
      </c>
      <c r="D160" s="1" t="s">
        <v>57</v>
      </c>
      <c r="E160" s="1" t="s">
        <v>38</v>
      </c>
      <c r="F160" s="1" t="s">
        <v>54</v>
      </c>
      <c r="G160" s="1" t="s">
        <v>39</v>
      </c>
      <c r="H160" s="1" t="s">
        <v>112</v>
      </c>
      <c r="I160" s="1" t="s">
        <v>41</v>
      </c>
      <c r="J160" s="1" t="s">
        <v>42</v>
      </c>
      <c r="K160" s="1" t="s">
        <v>43</v>
      </c>
      <c r="L160" s="1" t="s">
        <v>44</v>
      </c>
      <c r="M160" s="1" t="s">
        <v>45</v>
      </c>
      <c r="N160" s="1" t="s">
        <v>41</v>
      </c>
      <c r="O160" s="1" t="s">
        <v>58</v>
      </c>
      <c r="P160" s="1" t="s">
        <v>59</v>
      </c>
      <c r="Q160" s="1" t="s">
        <v>60</v>
      </c>
      <c r="R160" s="1" t="s">
        <v>45</v>
      </c>
      <c r="S160" s="1">
        <v>342</v>
      </c>
      <c r="T160" s="1">
        <v>0</v>
      </c>
      <c r="U160" s="4">
        <v>4.3749999999999997E-2</v>
      </c>
      <c r="V160" s="1">
        <v>1840</v>
      </c>
      <c r="W160" s="1">
        <v>60</v>
      </c>
      <c r="X160" s="1">
        <v>1900</v>
      </c>
      <c r="Y160" s="1" t="s">
        <v>51</v>
      </c>
      <c r="Z160" s="1">
        <v>1170</v>
      </c>
      <c r="AA160" s="1">
        <v>730</v>
      </c>
      <c r="AB160" s="1">
        <v>0</v>
      </c>
      <c r="AC160" s="1">
        <v>0</v>
      </c>
      <c r="AD160" s="1">
        <v>0</v>
      </c>
      <c r="AE160" s="1">
        <v>0</v>
      </c>
      <c r="AF160" s="1"/>
      <c r="AG160" s="1">
        <v>0</v>
      </c>
      <c r="AH160" s="1">
        <v>0</v>
      </c>
      <c r="AI160" s="1">
        <v>0</v>
      </c>
      <c r="AJ160" s="1">
        <v>0</v>
      </c>
      <c r="AK160" s="1">
        <v>2.3068</v>
      </c>
      <c r="AL160" s="1">
        <v>2.3068</v>
      </c>
      <c r="AM160" s="1">
        <v>2.3068</v>
      </c>
    </row>
    <row r="161" spans="1:39" x14ac:dyDescent="0.3">
      <c r="A161" s="21" t="str">
        <f t="shared" si="2"/>
        <v>HFA602LLER2026-02-08</v>
      </c>
      <c r="B161" t="str">
        <f>VLOOKUP(A161,Sheet1!A161:B1503,1,FALSE)</f>
        <v>HFA602LLER2026-02-08</v>
      </c>
      <c r="C161" s="3">
        <v>46061</v>
      </c>
      <c r="D161" s="1" t="s">
        <v>61</v>
      </c>
      <c r="E161" s="1" t="s">
        <v>38</v>
      </c>
      <c r="F161" s="1" t="s">
        <v>54</v>
      </c>
      <c r="G161" s="1" t="s">
        <v>39</v>
      </c>
      <c r="H161" s="1" t="s">
        <v>112</v>
      </c>
      <c r="I161" s="1" t="s">
        <v>41</v>
      </c>
      <c r="J161" s="1" t="s">
        <v>58</v>
      </c>
      <c r="K161" s="1" t="s">
        <v>59</v>
      </c>
      <c r="L161" s="1" t="s">
        <v>60</v>
      </c>
      <c r="M161" s="1" t="s">
        <v>45</v>
      </c>
      <c r="N161" s="1" t="s">
        <v>41</v>
      </c>
      <c r="O161" s="1" t="s">
        <v>42</v>
      </c>
      <c r="P161" s="1" t="s">
        <v>43</v>
      </c>
      <c r="Q161" s="1" t="s">
        <v>44</v>
      </c>
      <c r="R161" s="1" t="s">
        <v>45</v>
      </c>
      <c r="S161" s="1">
        <v>342</v>
      </c>
      <c r="T161" s="1">
        <v>0</v>
      </c>
      <c r="U161" s="4">
        <v>4.583333333333333E-2</v>
      </c>
      <c r="V161" s="1">
        <v>1170</v>
      </c>
      <c r="W161" s="1">
        <v>1430</v>
      </c>
      <c r="X161" s="1">
        <v>2600</v>
      </c>
      <c r="Y161" s="1" t="s">
        <v>51</v>
      </c>
      <c r="Z161" s="1">
        <v>1890</v>
      </c>
      <c r="AA161" s="1">
        <v>710</v>
      </c>
      <c r="AB161" s="1">
        <v>0</v>
      </c>
      <c r="AC161" s="1">
        <v>0</v>
      </c>
      <c r="AD161" s="1">
        <v>0</v>
      </c>
      <c r="AE161" s="1">
        <v>0</v>
      </c>
      <c r="AF161" s="1"/>
      <c r="AG161" s="1">
        <v>0</v>
      </c>
      <c r="AH161" s="1">
        <v>0</v>
      </c>
      <c r="AI161" s="1">
        <v>0</v>
      </c>
      <c r="AJ161" s="1">
        <v>0</v>
      </c>
      <c r="AK161" s="1">
        <v>2.2435999999999998</v>
      </c>
      <c r="AL161" s="1">
        <v>2.2435999999999998</v>
      </c>
      <c r="AM161" s="1">
        <v>2.2435999999999998</v>
      </c>
    </row>
    <row r="162" spans="1:39" x14ac:dyDescent="0.3">
      <c r="A162" s="21" t="str">
        <f t="shared" si="2"/>
        <v>HFA603LLHA2026-02-08</v>
      </c>
      <c r="B162" t="str">
        <f>VLOOKUP(A162,Sheet1!A162:B1504,1,FALSE)</f>
        <v>HFA603LLHA2026-02-08</v>
      </c>
      <c r="C162" s="3">
        <v>46061</v>
      </c>
      <c r="D162" s="1" t="s">
        <v>72</v>
      </c>
      <c r="E162" s="1" t="s">
        <v>38</v>
      </c>
      <c r="F162" s="1" t="s">
        <v>54</v>
      </c>
      <c r="G162" s="1" t="s">
        <v>39</v>
      </c>
      <c r="H162" s="1" t="s">
        <v>112</v>
      </c>
      <c r="I162" s="1" t="s">
        <v>41</v>
      </c>
      <c r="J162" s="1" t="s">
        <v>42</v>
      </c>
      <c r="K162" s="1" t="s">
        <v>43</v>
      </c>
      <c r="L162" s="1" t="s">
        <v>44</v>
      </c>
      <c r="M162" s="1" t="s">
        <v>45</v>
      </c>
      <c r="N162" s="1" t="s">
        <v>41</v>
      </c>
      <c r="O162" s="1" t="s">
        <v>58</v>
      </c>
      <c r="P162" s="1" t="s">
        <v>59</v>
      </c>
      <c r="Q162" s="1" t="s">
        <v>60</v>
      </c>
      <c r="R162" s="1" t="s">
        <v>45</v>
      </c>
      <c r="S162" s="1">
        <v>342</v>
      </c>
      <c r="T162" s="1">
        <v>0</v>
      </c>
      <c r="U162" s="4">
        <v>4.4444444444444439E-2</v>
      </c>
      <c r="V162" s="1">
        <v>1890</v>
      </c>
      <c r="W162" s="1">
        <v>0</v>
      </c>
      <c r="X162" s="1">
        <v>1890</v>
      </c>
      <c r="Y162" s="1" t="s">
        <v>51</v>
      </c>
      <c r="Z162" s="1">
        <v>1120</v>
      </c>
      <c r="AA162" s="1">
        <v>770</v>
      </c>
      <c r="AB162" s="1">
        <v>0</v>
      </c>
      <c r="AC162" s="1">
        <v>0</v>
      </c>
      <c r="AD162" s="1">
        <v>0</v>
      </c>
      <c r="AE162" s="1">
        <v>0</v>
      </c>
      <c r="AF162" s="1"/>
      <c r="AG162" s="1">
        <v>0</v>
      </c>
      <c r="AH162" s="1">
        <v>0</v>
      </c>
      <c r="AI162" s="1">
        <v>0</v>
      </c>
      <c r="AJ162" s="1">
        <v>0</v>
      </c>
      <c r="AK162" s="1">
        <v>2.4331999999999998</v>
      </c>
      <c r="AL162" s="1">
        <v>2.4331999999999998</v>
      </c>
      <c r="AM162" s="1">
        <v>2.4331999999999998</v>
      </c>
    </row>
    <row r="163" spans="1:39" x14ac:dyDescent="0.3">
      <c r="A163" s="21" t="str">
        <f t="shared" si="2"/>
        <v>HFA604LLER2026-02-08</v>
      </c>
      <c r="B163" t="str">
        <f>VLOOKUP(A163,Sheet1!A163:B1505,1,FALSE)</f>
        <v>HFA604LLER2026-02-08</v>
      </c>
      <c r="C163" s="3">
        <v>46061</v>
      </c>
      <c r="D163" s="1" t="s">
        <v>73</v>
      </c>
      <c r="E163" s="1" t="s">
        <v>38</v>
      </c>
      <c r="F163" s="1" t="s">
        <v>54</v>
      </c>
      <c r="G163" s="1" t="s">
        <v>39</v>
      </c>
      <c r="H163" s="1" t="s">
        <v>112</v>
      </c>
      <c r="I163" s="1" t="s">
        <v>41</v>
      </c>
      <c r="J163" s="1" t="s">
        <v>58</v>
      </c>
      <c r="K163" s="1" t="s">
        <v>59</v>
      </c>
      <c r="L163" s="1" t="s">
        <v>60</v>
      </c>
      <c r="M163" s="1" t="s">
        <v>45</v>
      </c>
      <c r="N163" s="1" t="s">
        <v>41</v>
      </c>
      <c r="O163" s="1" t="s">
        <v>42</v>
      </c>
      <c r="P163" s="1" t="s">
        <v>43</v>
      </c>
      <c r="Q163" s="1" t="s">
        <v>44</v>
      </c>
      <c r="R163" s="1" t="s">
        <v>45</v>
      </c>
      <c r="S163" s="1">
        <v>342</v>
      </c>
      <c r="T163" s="1">
        <v>0</v>
      </c>
      <c r="U163" s="4">
        <v>4.9305555555555554E-2</v>
      </c>
      <c r="V163" s="1">
        <v>1120</v>
      </c>
      <c r="W163" s="1">
        <v>1180</v>
      </c>
      <c r="X163" s="1">
        <v>2300</v>
      </c>
      <c r="Y163" s="1" t="s">
        <v>51</v>
      </c>
      <c r="Z163" s="1">
        <v>1580</v>
      </c>
      <c r="AA163" s="1">
        <v>720</v>
      </c>
      <c r="AB163" s="1">
        <v>0</v>
      </c>
      <c r="AC163" s="1">
        <v>0</v>
      </c>
      <c r="AD163" s="1">
        <v>0</v>
      </c>
      <c r="AE163" s="1">
        <v>0</v>
      </c>
      <c r="AF163" s="1"/>
      <c r="AG163" s="1">
        <v>0</v>
      </c>
      <c r="AH163" s="1">
        <v>0</v>
      </c>
      <c r="AI163" s="1">
        <v>0</v>
      </c>
      <c r="AJ163" s="1">
        <v>0</v>
      </c>
      <c r="AK163" s="1">
        <v>2.2751999999999999</v>
      </c>
      <c r="AL163" s="1">
        <v>2.2751999999999999</v>
      </c>
      <c r="AM163" s="1">
        <v>2.2751999999999999</v>
      </c>
    </row>
    <row r="164" spans="1:39" x14ac:dyDescent="0.3">
      <c r="A164" s="21" t="str">
        <f t="shared" si="2"/>
        <v>HFA701LLHA2026-02-11</v>
      </c>
      <c r="B164" t="str">
        <f>VLOOKUP(A164,Sheet1!A164:B1506,1,FALSE)</f>
        <v>HFA701LLHA2026-02-11</v>
      </c>
      <c r="C164" s="3">
        <v>46064</v>
      </c>
      <c r="D164" s="1" t="s">
        <v>53</v>
      </c>
      <c r="E164" s="1" t="s">
        <v>38</v>
      </c>
      <c r="F164" s="1"/>
      <c r="G164" s="1" t="s">
        <v>39</v>
      </c>
      <c r="H164" s="1" t="s">
        <v>112</v>
      </c>
      <c r="I164" s="1" t="s">
        <v>41</v>
      </c>
      <c r="J164" s="1" t="s">
        <v>42</v>
      </c>
      <c r="K164" s="1" t="s">
        <v>43</v>
      </c>
      <c r="L164" s="1" t="s">
        <v>44</v>
      </c>
      <c r="M164" s="1" t="s">
        <v>45</v>
      </c>
      <c r="N164" s="1" t="s">
        <v>46</v>
      </c>
      <c r="O164" s="1" t="s">
        <v>47</v>
      </c>
      <c r="P164" s="1" t="s">
        <v>48</v>
      </c>
      <c r="Q164" s="1" t="s">
        <v>49</v>
      </c>
      <c r="R164" s="1" t="s">
        <v>50</v>
      </c>
      <c r="S164" s="1">
        <v>1157</v>
      </c>
      <c r="T164" s="1">
        <v>0</v>
      </c>
      <c r="U164" s="4">
        <v>0.12083333333333332</v>
      </c>
      <c r="V164" s="1">
        <v>1580</v>
      </c>
      <c r="W164" s="1">
        <v>1920</v>
      </c>
      <c r="X164" s="1">
        <v>3500</v>
      </c>
      <c r="Y164" s="1" t="s">
        <v>51</v>
      </c>
      <c r="Z164" s="1">
        <v>1380</v>
      </c>
      <c r="AA164" s="1">
        <v>2120</v>
      </c>
      <c r="AB164" s="1">
        <v>0</v>
      </c>
      <c r="AC164" s="1">
        <v>0</v>
      </c>
      <c r="AD164" s="1">
        <v>0</v>
      </c>
      <c r="AE164" s="1">
        <v>0</v>
      </c>
      <c r="AF164" s="1"/>
      <c r="AG164" s="1">
        <v>0</v>
      </c>
      <c r="AH164" s="1">
        <v>0</v>
      </c>
      <c r="AI164" s="1">
        <v>0</v>
      </c>
      <c r="AJ164" s="1">
        <v>0</v>
      </c>
      <c r="AK164" s="1">
        <v>6.6992000000000003</v>
      </c>
      <c r="AL164" s="1">
        <v>6.6992000000000003</v>
      </c>
      <c r="AM164" s="1">
        <v>6.6992000000000003</v>
      </c>
    </row>
    <row r="165" spans="1:39" x14ac:dyDescent="0.3">
      <c r="A165" s="21" t="str">
        <f t="shared" si="2"/>
        <v>HFA702LGAV2026-02-11</v>
      </c>
      <c r="B165" t="str">
        <f>VLOOKUP(A165,Sheet1!A165:B1507,1,FALSE)</f>
        <v>HFA702LGAV2026-02-11</v>
      </c>
      <c r="C165" s="3">
        <v>46064</v>
      </c>
      <c r="D165" s="1" t="s">
        <v>56</v>
      </c>
      <c r="E165" s="1" t="s">
        <v>38</v>
      </c>
      <c r="F165" s="1"/>
      <c r="G165" s="1" t="s">
        <v>39</v>
      </c>
      <c r="H165" s="1" t="s">
        <v>112</v>
      </c>
      <c r="I165" s="1" t="s">
        <v>46</v>
      </c>
      <c r="J165" s="1" t="s">
        <v>47</v>
      </c>
      <c r="K165" s="1" t="s">
        <v>48</v>
      </c>
      <c r="L165" s="1" t="s">
        <v>49</v>
      </c>
      <c r="M165" s="1" t="s">
        <v>50</v>
      </c>
      <c r="N165" s="1" t="s">
        <v>41</v>
      </c>
      <c r="O165" s="1" t="s">
        <v>42</v>
      </c>
      <c r="P165" s="1" t="s">
        <v>43</v>
      </c>
      <c r="Q165" s="1" t="s">
        <v>44</v>
      </c>
      <c r="R165" s="1" t="s">
        <v>45</v>
      </c>
      <c r="S165" s="1">
        <v>1157</v>
      </c>
      <c r="T165" s="1">
        <v>0</v>
      </c>
      <c r="U165" s="4">
        <v>0.10347222222222222</v>
      </c>
      <c r="V165" s="1">
        <v>1380</v>
      </c>
      <c r="W165" s="1">
        <v>1820</v>
      </c>
      <c r="X165" s="1">
        <v>3200</v>
      </c>
      <c r="Y165" s="1" t="s">
        <v>51</v>
      </c>
      <c r="Z165" s="1">
        <v>1720</v>
      </c>
      <c r="AA165" s="1">
        <v>1480</v>
      </c>
      <c r="AB165" s="1">
        <v>0</v>
      </c>
      <c r="AC165" s="1">
        <v>0</v>
      </c>
      <c r="AD165" s="1">
        <v>0</v>
      </c>
      <c r="AE165" s="1">
        <v>0</v>
      </c>
      <c r="AF165" s="1"/>
      <c r="AG165" s="1">
        <v>0</v>
      </c>
      <c r="AH165" s="1">
        <v>0</v>
      </c>
      <c r="AI165" s="1">
        <v>0</v>
      </c>
      <c r="AJ165" s="1">
        <v>0</v>
      </c>
      <c r="AK165" s="1">
        <v>4.6768000000000001</v>
      </c>
      <c r="AL165" s="1">
        <v>4.6768000000000001</v>
      </c>
      <c r="AM165" s="1">
        <v>4.6768000000000001</v>
      </c>
    </row>
    <row r="166" spans="1:39" x14ac:dyDescent="0.3">
      <c r="A166" s="21" t="str">
        <f t="shared" si="2"/>
        <v>HFA851LLHA2026-02-12</v>
      </c>
      <c r="B166" t="str">
        <f>VLOOKUP(A166,Sheet1!A166:B1508,1,FALSE)</f>
        <v>HFA851LLHA2026-02-12</v>
      </c>
      <c r="C166" s="3">
        <v>46065</v>
      </c>
      <c r="D166" s="1" t="s">
        <v>66</v>
      </c>
      <c r="E166" s="1" t="s">
        <v>38</v>
      </c>
      <c r="F166" s="1"/>
      <c r="G166" s="1" t="s">
        <v>39</v>
      </c>
      <c r="H166" s="1" t="s">
        <v>112</v>
      </c>
      <c r="I166" s="1" t="s">
        <v>41</v>
      </c>
      <c r="J166" s="1" t="s">
        <v>42</v>
      </c>
      <c r="K166" s="1" t="s">
        <v>43</v>
      </c>
      <c r="L166" s="1" t="s">
        <v>44</v>
      </c>
      <c r="M166" s="1" t="s">
        <v>45</v>
      </c>
      <c r="N166" s="1" t="s">
        <v>67</v>
      </c>
      <c r="O166" s="1" t="s">
        <v>68</v>
      </c>
      <c r="P166" s="1" t="s">
        <v>69</v>
      </c>
      <c r="Q166" s="1" t="s">
        <v>70</v>
      </c>
      <c r="R166" s="1" t="s">
        <v>50</v>
      </c>
      <c r="S166" s="1">
        <v>318</v>
      </c>
      <c r="T166" s="1">
        <v>0</v>
      </c>
      <c r="U166" s="4">
        <v>4.7916666666666663E-2</v>
      </c>
      <c r="V166" s="1">
        <v>1720</v>
      </c>
      <c r="W166" s="1">
        <v>380</v>
      </c>
      <c r="X166" s="1">
        <v>2100</v>
      </c>
      <c r="Y166" s="1" t="s">
        <v>51</v>
      </c>
      <c r="Z166" s="1">
        <v>1330</v>
      </c>
      <c r="AA166" s="1">
        <v>770</v>
      </c>
      <c r="AB166" s="1">
        <v>0</v>
      </c>
      <c r="AC166" s="1">
        <v>0</v>
      </c>
      <c r="AD166" s="1">
        <v>0</v>
      </c>
      <c r="AE166" s="1">
        <v>0</v>
      </c>
      <c r="AF166" s="1"/>
      <c r="AG166" s="1">
        <v>0</v>
      </c>
      <c r="AH166" s="1">
        <v>0</v>
      </c>
      <c r="AI166" s="1">
        <v>0</v>
      </c>
      <c r="AJ166" s="1">
        <v>0</v>
      </c>
      <c r="AK166" s="1">
        <v>2.4331999999999998</v>
      </c>
      <c r="AL166" s="1">
        <v>2.4331999999999998</v>
      </c>
      <c r="AM166" s="1">
        <v>2.4331999999999998</v>
      </c>
    </row>
    <row r="167" spans="1:39" x14ac:dyDescent="0.3">
      <c r="A167" s="21" t="str">
        <f t="shared" si="2"/>
        <v>HFA852LCPH2026-02-12</v>
      </c>
      <c r="B167" t="str">
        <f>VLOOKUP(A167,Sheet1!A167:B1509,1,FALSE)</f>
        <v>HFA852LCPH2026-02-12</v>
      </c>
      <c r="C167" s="3">
        <v>46065</v>
      </c>
      <c r="D167" s="1" t="s">
        <v>71</v>
      </c>
      <c r="E167" s="1" t="s">
        <v>38</v>
      </c>
      <c r="F167" s="1"/>
      <c r="G167" s="1" t="s">
        <v>39</v>
      </c>
      <c r="H167" s="1" t="s">
        <v>112</v>
      </c>
      <c r="I167" s="1" t="s">
        <v>67</v>
      </c>
      <c r="J167" s="1" t="s">
        <v>68</v>
      </c>
      <c r="K167" s="1" t="s">
        <v>69</v>
      </c>
      <c r="L167" s="1" t="s">
        <v>70</v>
      </c>
      <c r="M167" s="1" t="s">
        <v>50</v>
      </c>
      <c r="N167" s="1" t="s">
        <v>41</v>
      </c>
      <c r="O167" s="1" t="s">
        <v>42</v>
      </c>
      <c r="P167" s="1" t="s">
        <v>43</v>
      </c>
      <c r="Q167" s="1" t="s">
        <v>44</v>
      </c>
      <c r="R167" s="1" t="s">
        <v>45</v>
      </c>
      <c r="S167" s="1">
        <v>318</v>
      </c>
      <c r="T167" s="1">
        <v>0</v>
      </c>
      <c r="U167" s="4">
        <v>4.0972222222222222E-2</v>
      </c>
      <c r="V167" s="1">
        <v>1330</v>
      </c>
      <c r="W167" s="1">
        <v>1370</v>
      </c>
      <c r="X167" s="1">
        <v>2700</v>
      </c>
      <c r="Y167" s="1" t="s">
        <v>51</v>
      </c>
      <c r="Z167" s="1">
        <v>2100</v>
      </c>
      <c r="AA167" s="1">
        <v>600</v>
      </c>
      <c r="AB167" s="1">
        <v>0</v>
      </c>
      <c r="AC167" s="1">
        <v>0</v>
      </c>
      <c r="AD167" s="1">
        <v>0</v>
      </c>
      <c r="AE167" s="1">
        <v>0</v>
      </c>
      <c r="AF167" s="1"/>
      <c r="AG167" s="1">
        <v>0</v>
      </c>
      <c r="AH167" s="1">
        <v>0</v>
      </c>
      <c r="AI167" s="1">
        <v>0</v>
      </c>
      <c r="AJ167" s="1">
        <v>0</v>
      </c>
      <c r="AK167" s="1">
        <v>1.8959999999999999</v>
      </c>
      <c r="AL167" s="1">
        <v>1.8959999999999999</v>
      </c>
      <c r="AM167" s="1">
        <v>1.8959999999999999</v>
      </c>
    </row>
    <row r="168" spans="1:39" x14ac:dyDescent="0.3">
      <c r="A168" s="21" t="str">
        <f t="shared" si="2"/>
        <v>HFA603LLHA2026-02-12</v>
      </c>
      <c r="B168" t="str">
        <f>VLOOKUP(A168,Sheet1!A168:B1510,1,FALSE)</f>
        <v>HFA603LLHA2026-02-12</v>
      </c>
      <c r="C168" s="3">
        <v>46065</v>
      </c>
      <c r="D168" s="1" t="s">
        <v>72</v>
      </c>
      <c r="E168" s="1" t="s">
        <v>38</v>
      </c>
      <c r="F168" s="1" t="s">
        <v>54</v>
      </c>
      <c r="G168" s="1" t="s">
        <v>39</v>
      </c>
      <c r="H168" s="1" t="s">
        <v>112</v>
      </c>
      <c r="I168" s="1" t="s">
        <v>41</v>
      </c>
      <c r="J168" s="1" t="s">
        <v>42</v>
      </c>
      <c r="K168" s="1" t="s">
        <v>43</v>
      </c>
      <c r="L168" s="1" t="s">
        <v>44</v>
      </c>
      <c r="M168" s="1" t="s">
        <v>45</v>
      </c>
      <c r="N168" s="1" t="s">
        <v>41</v>
      </c>
      <c r="O168" s="1" t="s">
        <v>58</v>
      </c>
      <c r="P168" s="1" t="s">
        <v>59</v>
      </c>
      <c r="Q168" s="1" t="s">
        <v>60</v>
      </c>
      <c r="R168" s="1" t="s">
        <v>45</v>
      </c>
      <c r="S168" s="1">
        <v>342</v>
      </c>
      <c r="T168" s="1">
        <v>0</v>
      </c>
      <c r="U168" s="4">
        <v>4.7222222222222221E-2</v>
      </c>
      <c r="V168" s="1">
        <v>2100</v>
      </c>
      <c r="W168" s="1">
        <v>-20</v>
      </c>
      <c r="X168" s="1">
        <v>2080</v>
      </c>
      <c r="Y168" s="1" t="s">
        <v>51</v>
      </c>
      <c r="Z168" s="1">
        <v>1330</v>
      </c>
      <c r="AA168" s="1">
        <v>750</v>
      </c>
      <c r="AB168" s="1">
        <v>0</v>
      </c>
      <c r="AC168" s="1">
        <v>0</v>
      </c>
      <c r="AD168" s="1">
        <v>0</v>
      </c>
      <c r="AE168" s="1">
        <v>0</v>
      </c>
      <c r="AF168" s="1"/>
      <c r="AG168" s="1">
        <v>0</v>
      </c>
      <c r="AH168" s="1">
        <v>0</v>
      </c>
      <c r="AI168" s="1">
        <v>0</v>
      </c>
      <c r="AJ168" s="1">
        <v>0</v>
      </c>
      <c r="AK168" s="1">
        <v>2.37</v>
      </c>
      <c r="AL168" s="1">
        <v>2.37</v>
      </c>
      <c r="AM168" s="1">
        <v>2.37</v>
      </c>
    </row>
    <row r="169" spans="1:39" x14ac:dyDescent="0.3">
      <c r="A169" s="21" t="str">
        <f t="shared" si="2"/>
        <v>HFA604LLER2026-02-12</v>
      </c>
      <c r="B169" t="str">
        <f>VLOOKUP(A169,Sheet1!A169:B1511,1,FALSE)</f>
        <v>HFA604LLER2026-02-12</v>
      </c>
      <c r="C169" s="3">
        <v>46065</v>
      </c>
      <c r="D169" s="1" t="s">
        <v>73</v>
      </c>
      <c r="E169" s="1" t="s">
        <v>38</v>
      </c>
      <c r="F169" s="1" t="s">
        <v>54</v>
      </c>
      <c r="G169" s="1" t="s">
        <v>39</v>
      </c>
      <c r="H169" s="1" t="s">
        <v>112</v>
      </c>
      <c r="I169" s="1" t="s">
        <v>41</v>
      </c>
      <c r="J169" s="1" t="s">
        <v>58</v>
      </c>
      <c r="K169" s="1" t="s">
        <v>59</v>
      </c>
      <c r="L169" s="1" t="s">
        <v>60</v>
      </c>
      <c r="M169" s="1" t="s">
        <v>45</v>
      </c>
      <c r="N169" s="1" t="s">
        <v>41</v>
      </c>
      <c r="O169" s="1" t="s">
        <v>42</v>
      </c>
      <c r="P169" s="1" t="s">
        <v>43</v>
      </c>
      <c r="Q169" s="1" t="s">
        <v>44</v>
      </c>
      <c r="R169" s="1" t="s">
        <v>45</v>
      </c>
      <c r="S169" s="1">
        <v>342</v>
      </c>
      <c r="T169" s="1">
        <v>0</v>
      </c>
      <c r="U169" s="4">
        <v>4.7222222222222221E-2</v>
      </c>
      <c r="V169" s="1">
        <v>1330</v>
      </c>
      <c r="W169" s="1">
        <v>1170</v>
      </c>
      <c r="X169" s="1">
        <v>2500</v>
      </c>
      <c r="Y169" s="1" t="s">
        <v>51</v>
      </c>
      <c r="Z169" s="1">
        <v>1790</v>
      </c>
      <c r="AA169" s="1">
        <v>710</v>
      </c>
      <c r="AB169" s="1">
        <v>0</v>
      </c>
      <c r="AC169" s="1">
        <v>0</v>
      </c>
      <c r="AD169" s="1">
        <v>0</v>
      </c>
      <c r="AE169" s="1">
        <v>0</v>
      </c>
      <c r="AF169" s="1"/>
      <c r="AG169" s="1">
        <v>0</v>
      </c>
      <c r="AH169" s="1">
        <v>0</v>
      </c>
      <c r="AI169" s="1">
        <v>0</v>
      </c>
      <c r="AJ169" s="1">
        <v>0</v>
      </c>
      <c r="AK169" s="1">
        <v>2.2435999999999998</v>
      </c>
      <c r="AL169" s="1">
        <v>2.2435999999999998</v>
      </c>
      <c r="AM169" s="1">
        <v>2.2435999999999998</v>
      </c>
    </row>
    <row r="170" spans="1:39" x14ac:dyDescent="0.3">
      <c r="A170" s="21" t="str">
        <f t="shared" si="2"/>
        <v>HFA603LLHA2026-02-15</v>
      </c>
      <c r="B170" t="str">
        <f>VLOOKUP(A170,Sheet1!A170:B1512,1,FALSE)</f>
        <v>HFA603LLHA2026-02-15</v>
      </c>
      <c r="C170" s="3">
        <v>46068</v>
      </c>
      <c r="D170" s="1" t="s">
        <v>72</v>
      </c>
      <c r="E170" s="1" t="s">
        <v>38</v>
      </c>
      <c r="F170" s="1" t="s">
        <v>54</v>
      </c>
      <c r="G170" s="1" t="s">
        <v>39</v>
      </c>
      <c r="H170" s="1" t="s">
        <v>112</v>
      </c>
      <c r="I170" s="1" t="s">
        <v>41</v>
      </c>
      <c r="J170" s="1" t="s">
        <v>42</v>
      </c>
      <c r="K170" s="1" t="s">
        <v>43</v>
      </c>
      <c r="L170" s="1" t="s">
        <v>44</v>
      </c>
      <c r="M170" s="1" t="s">
        <v>45</v>
      </c>
      <c r="N170" s="1" t="s">
        <v>41</v>
      </c>
      <c r="O170" s="1" t="s">
        <v>58</v>
      </c>
      <c r="P170" s="1" t="s">
        <v>59</v>
      </c>
      <c r="Q170" s="1" t="s">
        <v>60</v>
      </c>
      <c r="R170" s="1" t="s">
        <v>45</v>
      </c>
      <c r="S170" s="1">
        <v>342</v>
      </c>
      <c r="T170" s="1">
        <v>0</v>
      </c>
      <c r="U170" s="4">
        <v>4.7916666666666663E-2</v>
      </c>
      <c r="V170" s="1">
        <v>1790</v>
      </c>
      <c r="W170" s="1">
        <v>-30</v>
      </c>
      <c r="X170" s="1">
        <v>1760</v>
      </c>
      <c r="Y170" s="1" t="s">
        <v>51</v>
      </c>
      <c r="Z170" s="1">
        <v>920</v>
      </c>
      <c r="AA170" s="1">
        <v>840</v>
      </c>
      <c r="AB170" s="1">
        <v>0</v>
      </c>
      <c r="AC170" s="1">
        <v>0</v>
      </c>
      <c r="AD170" s="1">
        <v>0</v>
      </c>
      <c r="AE170" s="1">
        <v>0</v>
      </c>
      <c r="AF170" s="1"/>
      <c r="AG170" s="1">
        <v>0</v>
      </c>
      <c r="AH170" s="1">
        <v>0</v>
      </c>
      <c r="AI170" s="1">
        <v>0</v>
      </c>
      <c r="AJ170" s="1">
        <v>0</v>
      </c>
      <c r="AK170" s="1">
        <v>2.6543999999999999</v>
      </c>
      <c r="AL170" s="1">
        <v>2.6543999999999999</v>
      </c>
      <c r="AM170" s="1">
        <v>2.6543999999999999</v>
      </c>
    </row>
    <row r="171" spans="1:39" x14ac:dyDescent="0.3">
      <c r="A171" s="21" t="str">
        <f t="shared" si="2"/>
        <v>HFA604LLER2026-02-15</v>
      </c>
      <c r="B171" t="str">
        <f>VLOOKUP(A171,Sheet1!A171:B1513,1,FALSE)</f>
        <v>HFA604LLER2026-02-15</v>
      </c>
      <c r="C171" s="3">
        <v>46068</v>
      </c>
      <c r="D171" s="1" t="s">
        <v>73</v>
      </c>
      <c r="E171" s="1" t="s">
        <v>38</v>
      </c>
      <c r="F171" s="1" t="s">
        <v>54</v>
      </c>
      <c r="G171" s="1" t="s">
        <v>39</v>
      </c>
      <c r="H171" s="1" t="s">
        <v>112</v>
      </c>
      <c r="I171" s="1" t="s">
        <v>41</v>
      </c>
      <c r="J171" s="1" t="s">
        <v>58</v>
      </c>
      <c r="K171" s="1" t="s">
        <v>59</v>
      </c>
      <c r="L171" s="1" t="s">
        <v>60</v>
      </c>
      <c r="M171" s="1" t="s">
        <v>45</v>
      </c>
      <c r="N171" s="1" t="s">
        <v>41</v>
      </c>
      <c r="O171" s="1" t="s">
        <v>42</v>
      </c>
      <c r="P171" s="1" t="s">
        <v>43</v>
      </c>
      <c r="Q171" s="1" t="s">
        <v>44</v>
      </c>
      <c r="R171" s="1" t="s">
        <v>45</v>
      </c>
      <c r="S171" s="1">
        <v>342</v>
      </c>
      <c r="T171" s="1">
        <v>0</v>
      </c>
      <c r="U171" s="4">
        <v>4.0972222222222222E-2</v>
      </c>
      <c r="V171" s="1">
        <v>920</v>
      </c>
      <c r="W171" s="1">
        <v>1580</v>
      </c>
      <c r="X171" s="1">
        <v>2500</v>
      </c>
      <c r="Y171" s="1" t="s">
        <v>51</v>
      </c>
      <c r="Z171" s="1">
        <v>1850</v>
      </c>
      <c r="AA171" s="1">
        <v>650</v>
      </c>
      <c r="AB171" s="1">
        <v>0</v>
      </c>
      <c r="AC171" s="1">
        <v>0</v>
      </c>
      <c r="AD171" s="1">
        <v>0</v>
      </c>
      <c r="AE171" s="1">
        <v>0</v>
      </c>
      <c r="AF171" s="1"/>
      <c r="AG171" s="1">
        <v>0</v>
      </c>
      <c r="AH171" s="1">
        <v>0</v>
      </c>
      <c r="AI171" s="1">
        <v>0</v>
      </c>
      <c r="AJ171" s="1">
        <v>0</v>
      </c>
      <c r="AK171" s="1">
        <v>2.0539999999999998</v>
      </c>
      <c r="AL171" s="1">
        <v>2.0539999999999998</v>
      </c>
      <c r="AM171" s="1">
        <v>2.0539999999999998</v>
      </c>
    </row>
    <row r="172" spans="1:39" x14ac:dyDescent="0.3">
      <c r="A172" s="21" t="str">
        <f t="shared" si="2"/>
        <v>HFA703LLHA2026-02-16</v>
      </c>
      <c r="B172" t="str">
        <f>VLOOKUP(A172,Sheet1!A172:B1514,1,FALSE)</f>
        <v>HFA703LLHA2026-02-16</v>
      </c>
      <c r="C172" s="3">
        <v>46069</v>
      </c>
      <c r="D172" s="1" t="s">
        <v>37</v>
      </c>
      <c r="E172" s="1" t="s">
        <v>38</v>
      </c>
      <c r="F172" s="1"/>
      <c r="G172" s="1" t="s">
        <v>39</v>
      </c>
      <c r="H172" s="1" t="s">
        <v>112</v>
      </c>
      <c r="I172" s="1" t="s">
        <v>41</v>
      </c>
      <c r="J172" s="1" t="s">
        <v>42</v>
      </c>
      <c r="K172" s="1" t="s">
        <v>43</v>
      </c>
      <c r="L172" s="1" t="s">
        <v>44</v>
      </c>
      <c r="M172" s="1" t="s">
        <v>45</v>
      </c>
      <c r="N172" s="1" t="s">
        <v>46</v>
      </c>
      <c r="O172" s="1" t="s">
        <v>47</v>
      </c>
      <c r="P172" s="1" t="s">
        <v>48</v>
      </c>
      <c r="Q172" s="1" t="s">
        <v>49</v>
      </c>
      <c r="R172" s="1" t="s">
        <v>50</v>
      </c>
      <c r="S172" s="1">
        <v>1157</v>
      </c>
      <c r="T172" s="1">
        <v>0</v>
      </c>
      <c r="U172" s="4">
        <v>0.12430555555555556</v>
      </c>
      <c r="V172" s="1">
        <v>1850</v>
      </c>
      <c r="W172" s="1">
        <v>1350</v>
      </c>
      <c r="X172" s="1">
        <v>3200</v>
      </c>
      <c r="Y172" s="1" t="s">
        <v>51</v>
      </c>
      <c r="Z172" s="1">
        <v>1250</v>
      </c>
      <c r="AA172" s="1">
        <v>1950</v>
      </c>
      <c r="AB172" s="1">
        <v>0</v>
      </c>
      <c r="AC172" s="1">
        <v>0</v>
      </c>
      <c r="AD172" s="1">
        <v>0</v>
      </c>
      <c r="AE172" s="1">
        <v>0</v>
      </c>
      <c r="AF172" s="1"/>
      <c r="AG172" s="1">
        <v>0</v>
      </c>
      <c r="AH172" s="1">
        <v>0</v>
      </c>
      <c r="AI172" s="1">
        <v>0</v>
      </c>
      <c r="AJ172" s="1">
        <v>0</v>
      </c>
      <c r="AK172" s="1">
        <v>6.1619999999999999</v>
      </c>
      <c r="AL172" s="1">
        <v>6.1619999999999999</v>
      </c>
      <c r="AM172" s="1">
        <v>6.1619999999999999</v>
      </c>
    </row>
    <row r="173" spans="1:39" x14ac:dyDescent="0.3">
      <c r="A173" s="21" t="str">
        <f t="shared" si="2"/>
        <v>HFA704LGAV2026-02-16</v>
      </c>
      <c r="B173" t="str">
        <f>VLOOKUP(A173,Sheet1!A173:B1515,1,FALSE)</f>
        <v>HFA704LGAV2026-02-16</v>
      </c>
      <c r="C173" s="3">
        <v>46069</v>
      </c>
      <c r="D173" s="1" t="s">
        <v>52</v>
      </c>
      <c r="E173" s="1" t="s">
        <v>38</v>
      </c>
      <c r="F173" s="1"/>
      <c r="G173" s="1" t="s">
        <v>39</v>
      </c>
      <c r="H173" s="1" t="s">
        <v>112</v>
      </c>
      <c r="I173" s="1" t="s">
        <v>46</v>
      </c>
      <c r="J173" s="1" t="s">
        <v>47</v>
      </c>
      <c r="K173" s="1" t="s">
        <v>48</v>
      </c>
      <c r="L173" s="1" t="s">
        <v>49</v>
      </c>
      <c r="M173" s="1" t="s">
        <v>50</v>
      </c>
      <c r="N173" s="1" t="s">
        <v>41</v>
      </c>
      <c r="O173" s="1" t="s">
        <v>42</v>
      </c>
      <c r="P173" s="1" t="s">
        <v>43</v>
      </c>
      <c r="Q173" s="1" t="s">
        <v>44</v>
      </c>
      <c r="R173" s="1" t="s">
        <v>45</v>
      </c>
      <c r="S173" s="1">
        <v>1157</v>
      </c>
      <c r="T173" s="1">
        <v>0</v>
      </c>
      <c r="U173" s="4">
        <v>0.11388888888888889</v>
      </c>
      <c r="V173" s="1">
        <v>1250</v>
      </c>
      <c r="W173" s="1">
        <v>2150</v>
      </c>
      <c r="X173" s="1">
        <v>3400</v>
      </c>
      <c r="Y173" s="1" t="s">
        <v>51</v>
      </c>
      <c r="Z173" s="1">
        <v>1680</v>
      </c>
      <c r="AA173" s="1">
        <v>1720</v>
      </c>
      <c r="AB173" s="1">
        <v>0</v>
      </c>
      <c r="AC173" s="1">
        <v>0</v>
      </c>
      <c r="AD173" s="1">
        <v>0</v>
      </c>
      <c r="AE173" s="1">
        <v>0</v>
      </c>
      <c r="AF173" s="1"/>
      <c r="AG173" s="1">
        <v>0</v>
      </c>
      <c r="AH173" s="1">
        <v>0</v>
      </c>
      <c r="AI173" s="1">
        <v>0</v>
      </c>
      <c r="AJ173" s="1">
        <v>0</v>
      </c>
      <c r="AK173" s="1">
        <v>5.4352</v>
      </c>
      <c r="AL173" s="1">
        <v>5.4352</v>
      </c>
      <c r="AM173" s="1">
        <v>5.4352</v>
      </c>
    </row>
    <row r="174" spans="1:39" x14ac:dyDescent="0.3">
      <c r="A174" s="21" t="str">
        <f t="shared" si="2"/>
        <v>HFA701LLHA2026-02-18</v>
      </c>
      <c r="B174" t="str">
        <f>VLOOKUP(A174,Sheet1!A174:B1516,1,FALSE)</f>
        <v>HFA701LLHA2026-02-18</v>
      </c>
      <c r="C174" s="3">
        <v>46071</v>
      </c>
      <c r="D174" s="1" t="s">
        <v>53</v>
      </c>
      <c r="E174" s="1" t="s">
        <v>38</v>
      </c>
      <c r="F174" s="1"/>
      <c r="G174" s="1" t="s">
        <v>39</v>
      </c>
      <c r="H174" s="1" t="s">
        <v>112</v>
      </c>
      <c r="I174" s="1" t="s">
        <v>41</v>
      </c>
      <c r="J174" s="1" t="s">
        <v>42</v>
      </c>
      <c r="K174" s="1" t="s">
        <v>43</v>
      </c>
      <c r="L174" s="1" t="s">
        <v>44</v>
      </c>
      <c r="M174" s="1" t="s">
        <v>45</v>
      </c>
      <c r="N174" s="1" t="s">
        <v>46</v>
      </c>
      <c r="O174" s="1" t="s">
        <v>47</v>
      </c>
      <c r="P174" s="1" t="s">
        <v>48</v>
      </c>
      <c r="Q174" s="1" t="s">
        <v>49</v>
      </c>
      <c r="R174" s="1" t="s">
        <v>50</v>
      </c>
      <c r="S174" s="1">
        <v>1157</v>
      </c>
      <c r="T174" s="1">
        <v>0</v>
      </c>
      <c r="U174" s="4">
        <v>0.13333333333333333</v>
      </c>
      <c r="V174" s="1">
        <v>1680</v>
      </c>
      <c r="W174" s="1">
        <v>1920</v>
      </c>
      <c r="X174" s="1">
        <v>3600</v>
      </c>
      <c r="Y174" s="1" t="s">
        <v>51</v>
      </c>
      <c r="Z174" s="1">
        <v>1460</v>
      </c>
      <c r="AA174" s="1">
        <v>2140</v>
      </c>
      <c r="AB174" s="1">
        <v>0</v>
      </c>
      <c r="AC174" s="1">
        <v>0</v>
      </c>
      <c r="AD174" s="1">
        <v>0</v>
      </c>
      <c r="AE174" s="1">
        <v>0</v>
      </c>
      <c r="AF174" s="1"/>
      <c r="AG174" s="1">
        <v>0</v>
      </c>
      <c r="AH174" s="1">
        <v>0</v>
      </c>
      <c r="AI174" s="1">
        <v>0</v>
      </c>
      <c r="AJ174" s="1">
        <v>0</v>
      </c>
      <c r="AK174" s="1">
        <v>6.7624000000000004</v>
      </c>
      <c r="AL174" s="1">
        <v>6.7624000000000004</v>
      </c>
      <c r="AM174" s="1">
        <v>6.7624000000000004</v>
      </c>
    </row>
    <row r="175" spans="1:39" x14ac:dyDescent="0.3">
      <c r="A175" s="21" t="str">
        <f t="shared" si="2"/>
        <v>HFA702LGAV2026-02-18</v>
      </c>
      <c r="B175" t="str">
        <f>VLOOKUP(A175,Sheet1!A175:B1517,1,FALSE)</f>
        <v>HFA702LGAV2026-02-18</v>
      </c>
      <c r="C175" s="3">
        <v>46071</v>
      </c>
      <c r="D175" s="1" t="s">
        <v>56</v>
      </c>
      <c r="E175" s="1" t="s">
        <v>38</v>
      </c>
      <c r="F175" s="1"/>
      <c r="G175" s="1" t="s">
        <v>39</v>
      </c>
      <c r="H175" s="1" t="s">
        <v>112</v>
      </c>
      <c r="I175" s="1" t="s">
        <v>46</v>
      </c>
      <c r="J175" s="1" t="s">
        <v>47</v>
      </c>
      <c r="K175" s="1" t="s">
        <v>48</v>
      </c>
      <c r="L175" s="1" t="s">
        <v>49</v>
      </c>
      <c r="M175" s="1" t="s">
        <v>50</v>
      </c>
      <c r="N175" s="1" t="s">
        <v>41</v>
      </c>
      <c r="O175" s="1" t="s">
        <v>42</v>
      </c>
      <c r="P175" s="1" t="s">
        <v>43</v>
      </c>
      <c r="Q175" s="1" t="s">
        <v>44</v>
      </c>
      <c r="R175" s="1" t="s">
        <v>45</v>
      </c>
      <c r="S175" s="1">
        <v>1157</v>
      </c>
      <c r="T175" s="1">
        <v>0</v>
      </c>
      <c r="U175" s="4">
        <v>0.10208333333333333</v>
      </c>
      <c r="V175" s="1">
        <v>1460</v>
      </c>
      <c r="W175" s="1">
        <v>1840</v>
      </c>
      <c r="X175" s="1">
        <v>3300</v>
      </c>
      <c r="Y175" s="1" t="s">
        <v>51</v>
      </c>
      <c r="Z175" s="1">
        <v>1950</v>
      </c>
      <c r="AA175" s="1">
        <v>1350</v>
      </c>
      <c r="AB175" s="1">
        <v>0</v>
      </c>
      <c r="AC175" s="1">
        <v>0</v>
      </c>
      <c r="AD175" s="1">
        <v>0</v>
      </c>
      <c r="AE175" s="1">
        <v>0</v>
      </c>
      <c r="AF175" s="1"/>
      <c r="AG175" s="1">
        <v>0</v>
      </c>
      <c r="AH175" s="1">
        <v>0</v>
      </c>
      <c r="AI175" s="1">
        <v>0</v>
      </c>
      <c r="AJ175" s="1">
        <v>0</v>
      </c>
      <c r="AK175" s="1">
        <v>4.266</v>
      </c>
      <c r="AL175" s="1">
        <v>4.266</v>
      </c>
      <c r="AM175" s="1">
        <v>4.266</v>
      </c>
    </row>
    <row r="176" spans="1:39" x14ac:dyDescent="0.3">
      <c r="A176" s="21" t="str">
        <f t="shared" si="2"/>
        <v>HFA851LLHA2026-02-18</v>
      </c>
      <c r="B176" t="str">
        <f>VLOOKUP(A176,Sheet1!A176:B1518,1,FALSE)</f>
        <v>HFA851LLHA2026-02-18</v>
      </c>
      <c r="C176" s="3">
        <v>46071</v>
      </c>
      <c r="D176" s="1" t="s">
        <v>66</v>
      </c>
      <c r="E176" s="1" t="s">
        <v>38</v>
      </c>
      <c r="F176" s="1"/>
      <c r="G176" s="1" t="s">
        <v>39</v>
      </c>
      <c r="H176" s="1" t="s">
        <v>112</v>
      </c>
      <c r="I176" s="1" t="s">
        <v>41</v>
      </c>
      <c r="J176" s="1" t="s">
        <v>42</v>
      </c>
      <c r="K176" s="1" t="s">
        <v>43</v>
      </c>
      <c r="L176" s="1" t="s">
        <v>44</v>
      </c>
      <c r="M176" s="1" t="s">
        <v>45</v>
      </c>
      <c r="N176" s="1" t="s">
        <v>67</v>
      </c>
      <c r="O176" s="1" t="s">
        <v>68</v>
      </c>
      <c r="P176" s="1" t="s">
        <v>69</v>
      </c>
      <c r="Q176" s="1" t="s">
        <v>70</v>
      </c>
      <c r="R176" s="1" t="s">
        <v>50</v>
      </c>
      <c r="S176" s="1">
        <v>318</v>
      </c>
      <c r="T176" s="1">
        <v>0</v>
      </c>
      <c r="U176" s="4">
        <v>4.6527777777777779E-2</v>
      </c>
      <c r="V176" s="1">
        <v>1950</v>
      </c>
      <c r="W176" s="1">
        <v>-20</v>
      </c>
      <c r="X176" s="1">
        <v>1930</v>
      </c>
      <c r="Y176" s="1" t="s">
        <v>51</v>
      </c>
      <c r="Z176" s="1">
        <v>1220</v>
      </c>
      <c r="AA176" s="1">
        <v>710</v>
      </c>
      <c r="AB176" s="1">
        <v>0</v>
      </c>
      <c r="AC176" s="1">
        <v>0</v>
      </c>
      <c r="AD176" s="1">
        <v>0</v>
      </c>
      <c r="AE176" s="1">
        <v>0</v>
      </c>
      <c r="AF176" s="1"/>
      <c r="AG176" s="1">
        <v>0</v>
      </c>
      <c r="AH176" s="1">
        <v>0</v>
      </c>
      <c r="AI176" s="1">
        <v>0</v>
      </c>
      <c r="AJ176" s="1">
        <v>0</v>
      </c>
      <c r="AK176" s="1">
        <v>2.2435999999999998</v>
      </c>
      <c r="AL176" s="1">
        <v>2.2435999999999998</v>
      </c>
      <c r="AM176" s="1">
        <v>2.2435999999999998</v>
      </c>
    </row>
    <row r="177" spans="1:39" x14ac:dyDescent="0.3">
      <c r="A177" s="21" t="str">
        <f t="shared" si="2"/>
        <v>HFA852LCPH2026-02-18</v>
      </c>
      <c r="B177" t="str">
        <f>VLOOKUP(A177,Sheet1!A177:B1519,1,FALSE)</f>
        <v>HFA852LCPH2026-02-18</v>
      </c>
      <c r="C177" s="3">
        <v>46071</v>
      </c>
      <c r="D177" s="1" t="s">
        <v>71</v>
      </c>
      <c r="E177" s="1" t="s">
        <v>38</v>
      </c>
      <c r="F177" s="1"/>
      <c r="G177" s="1" t="s">
        <v>39</v>
      </c>
      <c r="H177" s="1" t="s">
        <v>112</v>
      </c>
      <c r="I177" s="1" t="s">
        <v>67</v>
      </c>
      <c r="J177" s="1" t="s">
        <v>68</v>
      </c>
      <c r="K177" s="1" t="s">
        <v>69</v>
      </c>
      <c r="L177" s="1" t="s">
        <v>70</v>
      </c>
      <c r="M177" s="1" t="s">
        <v>50</v>
      </c>
      <c r="N177" s="1" t="s">
        <v>41</v>
      </c>
      <c r="O177" s="1" t="s">
        <v>42</v>
      </c>
      <c r="P177" s="1" t="s">
        <v>43</v>
      </c>
      <c r="Q177" s="1" t="s">
        <v>44</v>
      </c>
      <c r="R177" s="1" t="s">
        <v>45</v>
      </c>
      <c r="S177" s="1">
        <v>318</v>
      </c>
      <c r="T177" s="1">
        <v>0</v>
      </c>
      <c r="U177" s="4">
        <v>4.3055555555555555E-2</v>
      </c>
      <c r="V177" s="1">
        <v>1220</v>
      </c>
      <c r="W177" s="1">
        <v>980</v>
      </c>
      <c r="X177" s="1">
        <v>2200</v>
      </c>
      <c r="Y177" s="1" t="s">
        <v>51</v>
      </c>
      <c r="Z177" s="1">
        <v>1560</v>
      </c>
      <c r="AA177" s="1">
        <v>640</v>
      </c>
      <c r="AB177" s="1">
        <v>0</v>
      </c>
      <c r="AC177" s="1">
        <v>0</v>
      </c>
      <c r="AD177" s="1">
        <v>0</v>
      </c>
      <c r="AE177" s="1">
        <v>0</v>
      </c>
      <c r="AF177" s="1"/>
      <c r="AG177" s="1">
        <v>0</v>
      </c>
      <c r="AH177" s="1">
        <v>0</v>
      </c>
      <c r="AI177" s="1">
        <v>0</v>
      </c>
      <c r="AJ177" s="1">
        <v>0</v>
      </c>
      <c r="AK177" s="1">
        <v>2.0224000000000002</v>
      </c>
      <c r="AL177" s="1">
        <v>2.0224000000000002</v>
      </c>
      <c r="AM177" s="1">
        <v>2.0224000000000002</v>
      </c>
    </row>
    <row r="178" spans="1:39" x14ac:dyDescent="0.3">
      <c r="A178" s="21" t="str">
        <f t="shared" si="2"/>
        <v>HFA807LLHA2026-02-18</v>
      </c>
      <c r="B178" t="str">
        <f>VLOOKUP(A178,Sheet1!A178:B1520,1,FALSE)</f>
        <v>HFA807LLHA2026-02-18</v>
      </c>
      <c r="C178" s="3">
        <v>46071</v>
      </c>
      <c r="D178" s="1" t="s">
        <v>118</v>
      </c>
      <c r="E178" s="1" t="s">
        <v>38</v>
      </c>
      <c r="F178" s="1"/>
      <c r="G178" s="1" t="s">
        <v>39</v>
      </c>
      <c r="H178" s="1" t="s">
        <v>112</v>
      </c>
      <c r="I178" s="1" t="s">
        <v>41</v>
      </c>
      <c r="J178" s="1" t="s">
        <v>42</v>
      </c>
      <c r="K178" s="1" t="s">
        <v>43</v>
      </c>
      <c r="L178" s="1" t="s">
        <v>44</v>
      </c>
      <c r="M178" s="1" t="s">
        <v>45</v>
      </c>
      <c r="N178" s="1" t="s">
        <v>67</v>
      </c>
      <c r="O178" s="1" t="s">
        <v>86</v>
      </c>
      <c r="P178" s="1" t="s">
        <v>87</v>
      </c>
      <c r="Q178" s="1" t="s">
        <v>88</v>
      </c>
      <c r="R178" s="1" t="s">
        <v>50</v>
      </c>
      <c r="S178" s="1">
        <v>264</v>
      </c>
      <c r="T178" s="1">
        <v>265</v>
      </c>
      <c r="U178" s="4">
        <v>3.7499999999999999E-2</v>
      </c>
      <c r="V178" s="1">
        <v>1560</v>
      </c>
      <c r="W178" s="1">
        <v>0</v>
      </c>
      <c r="X178" s="1">
        <v>1560</v>
      </c>
      <c r="Y178" s="1" t="s">
        <v>51</v>
      </c>
      <c r="Z178" s="1">
        <v>920</v>
      </c>
      <c r="AA178" s="1">
        <v>640</v>
      </c>
      <c r="AB178" s="1">
        <v>0</v>
      </c>
      <c r="AC178" s="1">
        <v>0</v>
      </c>
      <c r="AD178" s="1">
        <v>0</v>
      </c>
      <c r="AE178" s="1">
        <v>0</v>
      </c>
      <c r="AF178" s="1"/>
      <c r="AG178" s="1">
        <v>0</v>
      </c>
      <c r="AH178" s="1">
        <v>0</v>
      </c>
      <c r="AI178" s="1">
        <v>0</v>
      </c>
      <c r="AJ178" s="1">
        <v>0</v>
      </c>
      <c r="AK178" s="1">
        <v>2.0224000000000002</v>
      </c>
      <c r="AL178" s="1">
        <v>2.0224000000000002</v>
      </c>
      <c r="AM178" s="1">
        <v>2.0224000000000002</v>
      </c>
    </row>
    <row r="179" spans="1:39" x14ac:dyDescent="0.3">
      <c r="A179" s="21" t="str">
        <f t="shared" si="2"/>
        <v>HFA808LCLK2026-02-18</v>
      </c>
      <c r="B179" t="str">
        <f>VLOOKUP(A179,Sheet1!A179:B1521,1,FALSE)</f>
        <v>HFA808LCLK2026-02-18</v>
      </c>
      <c r="C179" s="3">
        <v>46071</v>
      </c>
      <c r="D179" s="1" t="s">
        <v>119</v>
      </c>
      <c r="E179" s="1" t="s">
        <v>38</v>
      </c>
      <c r="F179" s="1"/>
      <c r="G179" s="1" t="s">
        <v>39</v>
      </c>
      <c r="H179" s="1" t="s">
        <v>112</v>
      </c>
      <c r="I179" s="1" t="s">
        <v>67</v>
      </c>
      <c r="J179" s="1" t="s">
        <v>86</v>
      </c>
      <c r="K179" s="1" t="s">
        <v>87</v>
      </c>
      <c r="L179" s="1" t="s">
        <v>88</v>
      </c>
      <c r="M179" s="1" t="s">
        <v>50</v>
      </c>
      <c r="N179" s="1" t="s">
        <v>41</v>
      </c>
      <c r="O179" s="1" t="s">
        <v>42</v>
      </c>
      <c r="P179" s="1" t="s">
        <v>43</v>
      </c>
      <c r="Q179" s="1" t="s">
        <v>44</v>
      </c>
      <c r="R179" s="1" t="s">
        <v>45</v>
      </c>
      <c r="S179" s="1">
        <v>264</v>
      </c>
      <c r="T179" s="1">
        <v>265</v>
      </c>
      <c r="U179" s="4">
        <v>3.8194444444444448E-2</v>
      </c>
      <c r="V179" s="1">
        <v>920</v>
      </c>
      <c r="W179" s="1">
        <v>1280</v>
      </c>
      <c r="X179" s="1">
        <v>2200</v>
      </c>
      <c r="Y179" s="1" t="s">
        <v>51</v>
      </c>
      <c r="Z179" s="1">
        <v>1610</v>
      </c>
      <c r="AA179" s="1">
        <v>590</v>
      </c>
      <c r="AB179" s="1">
        <v>0</v>
      </c>
      <c r="AC179" s="1">
        <v>0</v>
      </c>
      <c r="AD179" s="1">
        <v>0</v>
      </c>
      <c r="AE179" s="1">
        <v>0</v>
      </c>
      <c r="AF179" s="1"/>
      <c r="AG179" s="1">
        <v>0</v>
      </c>
      <c r="AH179" s="1">
        <v>0</v>
      </c>
      <c r="AI179" s="1">
        <v>0</v>
      </c>
      <c r="AJ179" s="1">
        <v>0</v>
      </c>
      <c r="AK179" s="1">
        <v>1.8644000000000001</v>
      </c>
      <c r="AL179" s="1">
        <v>1.8644000000000001</v>
      </c>
      <c r="AM179" s="1">
        <v>1.8644000000000001</v>
      </c>
    </row>
    <row r="180" spans="1:39" x14ac:dyDescent="0.3">
      <c r="A180" s="21" t="str">
        <f t="shared" si="2"/>
        <v>HFA851LLHA2026-02-19</v>
      </c>
      <c r="B180" t="str">
        <f>VLOOKUP(A180,Sheet1!A180:B1522,1,FALSE)</f>
        <v>HFA851LLHA2026-02-19</v>
      </c>
      <c r="C180" s="3">
        <v>46072</v>
      </c>
      <c r="D180" s="1" t="s">
        <v>66</v>
      </c>
      <c r="E180" s="1" t="s">
        <v>38</v>
      </c>
      <c r="F180" s="1"/>
      <c r="G180" s="1" t="s">
        <v>39</v>
      </c>
      <c r="H180" s="1" t="s">
        <v>112</v>
      </c>
      <c r="I180" s="1" t="s">
        <v>41</v>
      </c>
      <c r="J180" s="1" t="s">
        <v>42</v>
      </c>
      <c r="K180" s="1" t="s">
        <v>43</v>
      </c>
      <c r="L180" s="1" t="s">
        <v>44</v>
      </c>
      <c r="M180" s="1" t="s">
        <v>45</v>
      </c>
      <c r="N180" s="1" t="s">
        <v>67</v>
      </c>
      <c r="O180" s="1" t="s">
        <v>68</v>
      </c>
      <c r="P180" s="1" t="s">
        <v>69</v>
      </c>
      <c r="Q180" s="1" t="s">
        <v>70</v>
      </c>
      <c r="R180" s="1" t="s">
        <v>50</v>
      </c>
      <c r="S180" s="1">
        <v>318</v>
      </c>
      <c r="T180" s="1">
        <v>0</v>
      </c>
      <c r="U180" s="4">
        <v>4.6527777777777779E-2</v>
      </c>
      <c r="V180" s="1">
        <v>1610</v>
      </c>
      <c r="W180" s="1">
        <v>0</v>
      </c>
      <c r="X180" s="1">
        <v>1610</v>
      </c>
      <c r="Y180" s="1" t="s">
        <v>51</v>
      </c>
      <c r="Z180" s="1">
        <v>830</v>
      </c>
      <c r="AA180" s="1">
        <v>780</v>
      </c>
      <c r="AB180" s="1">
        <v>0</v>
      </c>
      <c r="AC180" s="1">
        <v>0</v>
      </c>
      <c r="AD180" s="1">
        <v>0</v>
      </c>
      <c r="AE180" s="1">
        <v>0</v>
      </c>
      <c r="AF180" s="1"/>
      <c r="AG180" s="1">
        <v>0</v>
      </c>
      <c r="AH180" s="1">
        <v>0</v>
      </c>
      <c r="AI180" s="1">
        <v>0</v>
      </c>
      <c r="AJ180" s="1">
        <v>0</v>
      </c>
      <c r="AK180" s="1">
        <v>2.4647999999999999</v>
      </c>
      <c r="AL180" s="1">
        <v>2.4647999999999999</v>
      </c>
      <c r="AM180" s="1">
        <v>2.4647999999999999</v>
      </c>
    </row>
    <row r="181" spans="1:39" x14ac:dyDescent="0.3">
      <c r="A181" s="21" t="str">
        <f t="shared" si="2"/>
        <v>HFA852LCPH2026-02-19</v>
      </c>
      <c r="B181" t="str">
        <f>VLOOKUP(A181,Sheet1!A181:B1523,1,FALSE)</f>
        <v>HFA852LCPH2026-02-19</v>
      </c>
      <c r="C181" s="3">
        <v>46072</v>
      </c>
      <c r="D181" s="1" t="s">
        <v>71</v>
      </c>
      <c r="E181" s="1" t="s">
        <v>38</v>
      </c>
      <c r="F181" s="1"/>
      <c r="G181" s="1" t="s">
        <v>39</v>
      </c>
      <c r="H181" s="1" t="s">
        <v>112</v>
      </c>
      <c r="I181" s="1" t="s">
        <v>67</v>
      </c>
      <c r="J181" s="1" t="s">
        <v>68</v>
      </c>
      <c r="K181" s="1" t="s">
        <v>69</v>
      </c>
      <c r="L181" s="1" t="s">
        <v>70</v>
      </c>
      <c r="M181" s="1" t="s">
        <v>50</v>
      </c>
      <c r="N181" s="1" t="s">
        <v>41</v>
      </c>
      <c r="O181" s="1" t="s">
        <v>42</v>
      </c>
      <c r="P181" s="1" t="s">
        <v>43</v>
      </c>
      <c r="Q181" s="1" t="s">
        <v>44</v>
      </c>
      <c r="R181" s="1" t="s">
        <v>45</v>
      </c>
      <c r="S181" s="1">
        <v>318</v>
      </c>
      <c r="T181" s="1">
        <v>0</v>
      </c>
      <c r="U181" s="4">
        <v>3.9583333333333331E-2</v>
      </c>
      <c r="V181" s="1">
        <v>830</v>
      </c>
      <c r="W181" s="1">
        <v>1670</v>
      </c>
      <c r="X181" s="1">
        <v>2500</v>
      </c>
      <c r="Y181" s="1" t="s">
        <v>51</v>
      </c>
      <c r="Z181" s="1">
        <v>1910</v>
      </c>
      <c r="AA181" s="1">
        <v>590</v>
      </c>
      <c r="AB181" s="1">
        <v>0</v>
      </c>
      <c r="AC181" s="1">
        <v>0</v>
      </c>
      <c r="AD181" s="1">
        <v>0</v>
      </c>
      <c r="AE181" s="1">
        <v>0</v>
      </c>
      <c r="AF181" s="1"/>
      <c r="AG181" s="1">
        <v>0</v>
      </c>
      <c r="AH181" s="1">
        <v>0</v>
      </c>
      <c r="AI181" s="1">
        <v>0</v>
      </c>
      <c r="AJ181" s="1">
        <v>0</v>
      </c>
      <c r="AK181" s="1">
        <v>1.8644000000000001</v>
      </c>
      <c r="AL181" s="1">
        <v>1.8644000000000001</v>
      </c>
      <c r="AM181" s="1">
        <v>1.8644000000000001</v>
      </c>
    </row>
    <row r="182" spans="1:39" x14ac:dyDescent="0.3">
      <c r="A182" s="21" t="str">
        <f t="shared" si="2"/>
        <v>HFA703LLHA2026-02-19</v>
      </c>
      <c r="B182" t="str">
        <f>VLOOKUP(A182,Sheet1!A182:B1524,1,FALSE)</f>
        <v>HFA703LLHA2026-02-19</v>
      </c>
      <c r="C182" s="3">
        <v>46072</v>
      </c>
      <c r="D182" s="1" t="s">
        <v>37</v>
      </c>
      <c r="E182" s="1" t="s">
        <v>38</v>
      </c>
      <c r="F182" s="1"/>
      <c r="G182" s="1" t="s">
        <v>39</v>
      </c>
      <c r="H182" s="1" t="s">
        <v>112</v>
      </c>
      <c r="I182" s="1" t="s">
        <v>41</v>
      </c>
      <c r="J182" s="1" t="s">
        <v>42</v>
      </c>
      <c r="K182" s="1" t="s">
        <v>43</v>
      </c>
      <c r="L182" s="1" t="s">
        <v>44</v>
      </c>
      <c r="M182" s="1" t="s">
        <v>45</v>
      </c>
      <c r="N182" s="1" t="s">
        <v>46</v>
      </c>
      <c r="O182" s="1" t="s">
        <v>47</v>
      </c>
      <c r="P182" s="1" t="s">
        <v>48</v>
      </c>
      <c r="Q182" s="1" t="s">
        <v>49</v>
      </c>
      <c r="R182" s="1" t="s">
        <v>50</v>
      </c>
      <c r="S182" s="1">
        <v>1157</v>
      </c>
      <c r="T182" s="1">
        <v>0</v>
      </c>
      <c r="U182" s="4">
        <v>0.12083333333333332</v>
      </c>
      <c r="V182" s="1">
        <v>1910</v>
      </c>
      <c r="W182" s="1">
        <v>1390</v>
      </c>
      <c r="X182" s="1">
        <v>3300</v>
      </c>
      <c r="Y182" s="1" t="s">
        <v>51</v>
      </c>
      <c r="Z182" s="1">
        <v>1200</v>
      </c>
      <c r="AA182" s="1">
        <v>2100</v>
      </c>
      <c r="AB182" s="1">
        <v>0</v>
      </c>
      <c r="AC182" s="1">
        <v>0</v>
      </c>
      <c r="AD182" s="1">
        <v>0</v>
      </c>
      <c r="AE182" s="1">
        <v>0</v>
      </c>
      <c r="AF182" s="1"/>
      <c r="AG182" s="1">
        <v>0</v>
      </c>
      <c r="AH182" s="1">
        <v>0</v>
      </c>
      <c r="AI182" s="1">
        <v>0</v>
      </c>
      <c r="AJ182" s="1">
        <v>0</v>
      </c>
      <c r="AK182" s="1">
        <v>6.6360000000000001</v>
      </c>
      <c r="AL182" s="1">
        <v>6.6360000000000001</v>
      </c>
      <c r="AM182" s="1">
        <v>6.6360000000000001</v>
      </c>
    </row>
    <row r="183" spans="1:39" x14ac:dyDescent="0.3">
      <c r="A183" s="21" t="str">
        <f t="shared" si="2"/>
        <v>HFA704LGAV2026-02-19</v>
      </c>
      <c r="B183" t="str">
        <f>VLOOKUP(A183,Sheet1!A183:B1525,1,FALSE)</f>
        <v>HFA704LGAV2026-02-19</v>
      </c>
      <c r="C183" s="3">
        <v>46072</v>
      </c>
      <c r="D183" s="1" t="s">
        <v>52</v>
      </c>
      <c r="E183" s="1" t="s">
        <v>38</v>
      </c>
      <c r="F183" s="1"/>
      <c r="G183" s="1" t="s">
        <v>39</v>
      </c>
      <c r="H183" s="1" t="s">
        <v>112</v>
      </c>
      <c r="I183" s="1" t="s">
        <v>46</v>
      </c>
      <c r="J183" s="1" t="s">
        <v>47</v>
      </c>
      <c r="K183" s="1" t="s">
        <v>48</v>
      </c>
      <c r="L183" s="1" t="s">
        <v>49</v>
      </c>
      <c r="M183" s="1" t="s">
        <v>50</v>
      </c>
      <c r="N183" s="1" t="s">
        <v>41</v>
      </c>
      <c r="O183" s="1" t="s">
        <v>42</v>
      </c>
      <c r="P183" s="1" t="s">
        <v>43</v>
      </c>
      <c r="Q183" s="1" t="s">
        <v>44</v>
      </c>
      <c r="R183" s="1" t="s">
        <v>45</v>
      </c>
      <c r="S183" s="1">
        <v>1157</v>
      </c>
      <c r="T183" s="1">
        <v>0</v>
      </c>
      <c r="U183" s="4">
        <v>0.10972222222222222</v>
      </c>
      <c r="V183" s="1">
        <v>1200</v>
      </c>
      <c r="W183" s="1">
        <v>2100</v>
      </c>
      <c r="X183" s="1">
        <v>3300</v>
      </c>
      <c r="Y183" s="1" t="s">
        <v>51</v>
      </c>
      <c r="Z183" s="1">
        <v>1720</v>
      </c>
      <c r="AA183" s="1">
        <v>1580</v>
      </c>
      <c r="AB183" s="1">
        <v>0</v>
      </c>
      <c r="AC183" s="1">
        <v>0</v>
      </c>
      <c r="AD183" s="1">
        <v>0</v>
      </c>
      <c r="AE183" s="1">
        <v>0</v>
      </c>
      <c r="AF183" s="1"/>
      <c r="AG183" s="1">
        <v>0</v>
      </c>
      <c r="AH183" s="1">
        <v>0</v>
      </c>
      <c r="AI183" s="1">
        <v>0</v>
      </c>
      <c r="AJ183" s="1">
        <v>0</v>
      </c>
      <c r="AK183" s="1">
        <v>4.9927999999999999</v>
      </c>
      <c r="AL183" s="1">
        <v>4.9927999999999999</v>
      </c>
      <c r="AM183" s="1">
        <v>4.9927999999999999</v>
      </c>
    </row>
    <row r="184" spans="1:39" x14ac:dyDescent="0.3">
      <c r="A184" s="21" t="str">
        <f t="shared" si="2"/>
        <v>HFA601LLHA2026-02-20</v>
      </c>
      <c r="B184" t="str">
        <f>VLOOKUP(A184,Sheet1!A184:B1526,1,FALSE)</f>
        <v>HFA601LLHA2026-02-20</v>
      </c>
      <c r="C184" s="3">
        <v>46073</v>
      </c>
      <c r="D184" s="1" t="s">
        <v>57</v>
      </c>
      <c r="E184" s="1" t="s">
        <v>38</v>
      </c>
      <c r="F184" s="1" t="s">
        <v>54</v>
      </c>
      <c r="G184" s="1" t="s">
        <v>39</v>
      </c>
      <c r="H184" s="1" t="s">
        <v>112</v>
      </c>
      <c r="I184" s="1" t="s">
        <v>41</v>
      </c>
      <c r="J184" s="1" t="s">
        <v>42</v>
      </c>
      <c r="K184" s="1" t="s">
        <v>43</v>
      </c>
      <c r="L184" s="1" t="s">
        <v>44</v>
      </c>
      <c r="M184" s="1" t="s">
        <v>45</v>
      </c>
      <c r="N184" s="1" t="s">
        <v>41</v>
      </c>
      <c r="O184" s="1" t="s">
        <v>58</v>
      </c>
      <c r="P184" s="1" t="s">
        <v>59</v>
      </c>
      <c r="Q184" s="1" t="s">
        <v>60</v>
      </c>
      <c r="R184" s="1" t="s">
        <v>45</v>
      </c>
      <c r="S184" s="1">
        <v>342</v>
      </c>
      <c r="T184" s="1">
        <v>0</v>
      </c>
      <c r="U184" s="4">
        <v>4.8611111111111105E-2</v>
      </c>
      <c r="V184" s="1">
        <v>1720</v>
      </c>
      <c r="W184" s="1">
        <v>180</v>
      </c>
      <c r="X184" s="1">
        <v>1900</v>
      </c>
      <c r="Y184" s="1" t="s">
        <v>51</v>
      </c>
      <c r="Z184" s="1">
        <v>1100</v>
      </c>
      <c r="AA184" s="1">
        <v>800</v>
      </c>
      <c r="AB184" s="1">
        <v>0</v>
      </c>
      <c r="AC184" s="1">
        <v>0</v>
      </c>
      <c r="AD184" s="1">
        <v>0</v>
      </c>
      <c r="AE184" s="1">
        <v>0</v>
      </c>
      <c r="AF184" s="1"/>
      <c r="AG184" s="1">
        <v>0</v>
      </c>
      <c r="AH184" s="1">
        <v>0</v>
      </c>
      <c r="AI184" s="1">
        <v>0</v>
      </c>
      <c r="AJ184" s="1">
        <v>0</v>
      </c>
      <c r="AK184" s="1">
        <v>2.528</v>
      </c>
      <c r="AL184" s="1">
        <v>2.528</v>
      </c>
      <c r="AM184" s="1">
        <v>2.528</v>
      </c>
    </row>
    <row r="185" spans="1:39" x14ac:dyDescent="0.3">
      <c r="A185" s="21" t="str">
        <f t="shared" si="2"/>
        <v>HFA602LLER2026-02-20</v>
      </c>
      <c r="B185" t="str">
        <f>VLOOKUP(A185,Sheet1!A185:B1527,1,FALSE)</f>
        <v>HFA602LLER2026-02-20</v>
      </c>
      <c r="C185" s="3">
        <v>46073</v>
      </c>
      <c r="D185" s="1" t="s">
        <v>61</v>
      </c>
      <c r="E185" s="1" t="s">
        <v>38</v>
      </c>
      <c r="F185" s="1" t="s">
        <v>54</v>
      </c>
      <c r="G185" s="1" t="s">
        <v>39</v>
      </c>
      <c r="H185" s="1" t="s">
        <v>112</v>
      </c>
      <c r="I185" s="1" t="s">
        <v>41</v>
      </c>
      <c r="J185" s="1" t="s">
        <v>58</v>
      </c>
      <c r="K185" s="1" t="s">
        <v>59</v>
      </c>
      <c r="L185" s="1" t="s">
        <v>60</v>
      </c>
      <c r="M185" s="1" t="s">
        <v>45</v>
      </c>
      <c r="N185" s="1" t="s">
        <v>41</v>
      </c>
      <c r="O185" s="1" t="s">
        <v>42</v>
      </c>
      <c r="P185" s="1" t="s">
        <v>43</v>
      </c>
      <c r="Q185" s="1" t="s">
        <v>44</v>
      </c>
      <c r="R185" s="1" t="s">
        <v>45</v>
      </c>
      <c r="S185" s="1">
        <v>342</v>
      </c>
      <c r="T185" s="1">
        <v>0</v>
      </c>
      <c r="U185" s="4">
        <v>4.3055555555555555E-2</v>
      </c>
      <c r="V185" s="1">
        <v>1100</v>
      </c>
      <c r="W185" s="1">
        <v>1200</v>
      </c>
      <c r="X185" s="1">
        <v>2300</v>
      </c>
      <c r="Y185" s="1" t="s">
        <v>51</v>
      </c>
      <c r="Z185" s="1">
        <v>1620</v>
      </c>
      <c r="AA185" s="1">
        <v>680</v>
      </c>
      <c r="AB185" s="1">
        <v>0</v>
      </c>
      <c r="AC185" s="1">
        <v>0</v>
      </c>
      <c r="AD185" s="1">
        <v>0</v>
      </c>
      <c r="AE185" s="1">
        <v>0</v>
      </c>
      <c r="AF185" s="1"/>
      <c r="AG185" s="1">
        <v>0</v>
      </c>
      <c r="AH185" s="1">
        <v>0</v>
      </c>
      <c r="AI185" s="1">
        <v>0</v>
      </c>
      <c r="AJ185" s="1">
        <v>0</v>
      </c>
      <c r="AK185" s="1">
        <v>2.1488</v>
      </c>
      <c r="AL185" s="1">
        <v>2.1488</v>
      </c>
      <c r="AM185" s="1">
        <v>2.1488</v>
      </c>
    </row>
    <row r="186" spans="1:39" x14ac:dyDescent="0.3">
      <c r="A186" s="21" t="str">
        <f t="shared" si="2"/>
        <v>HFA851LLHA2026-02-22</v>
      </c>
      <c r="B186" t="str">
        <f>VLOOKUP(A186,Sheet1!A186:B1528,1,FALSE)</f>
        <v>HFA851LLHA2026-02-22</v>
      </c>
      <c r="C186" s="3">
        <v>46075</v>
      </c>
      <c r="D186" s="1" t="s">
        <v>66</v>
      </c>
      <c r="E186" s="1" t="s">
        <v>38</v>
      </c>
      <c r="F186" s="1"/>
      <c r="G186" s="1" t="s">
        <v>39</v>
      </c>
      <c r="H186" s="1" t="s">
        <v>112</v>
      </c>
      <c r="I186" s="1" t="s">
        <v>41</v>
      </c>
      <c r="J186" s="1" t="s">
        <v>42</v>
      </c>
      <c r="K186" s="1" t="s">
        <v>43</v>
      </c>
      <c r="L186" s="1" t="s">
        <v>44</v>
      </c>
      <c r="M186" s="1" t="s">
        <v>45</v>
      </c>
      <c r="N186" s="1" t="s">
        <v>67</v>
      </c>
      <c r="O186" s="1" t="s">
        <v>68</v>
      </c>
      <c r="P186" s="1" t="s">
        <v>69</v>
      </c>
      <c r="Q186" s="1" t="s">
        <v>70</v>
      </c>
      <c r="R186" s="1" t="s">
        <v>50</v>
      </c>
      <c r="S186" s="1">
        <v>318</v>
      </c>
      <c r="T186" s="1">
        <v>0</v>
      </c>
      <c r="U186" s="4">
        <v>4.0972222222222222E-2</v>
      </c>
      <c r="V186" s="1">
        <v>1620</v>
      </c>
      <c r="W186" s="1">
        <v>-10</v>
      </c>
      <c r="X186" s="1">
        <v>1610</v>
      </c>
      <c r="Y186" s="1" t="s">
        <v>51</v>
      </c>
      <c r="Z186" s="1">
        <v>920</v>
      </c>
      <c r="AA186" s="1">
        <v>690</v>
      </c>
      <c r="AB186" s="1">
        <v>0</v>
      </c>
      <c r="AC186" s="1">
        <v>0</v>
      </c>
      <c r="AD186" s="1">
        <v>0</v>
      </c>
      <c r="AE186" s="1">
        <v>0</v>
      </c>
      <c r="AF186" s="1"/>
      <c r="AG186" s="1">
        <v>0</v>
      </c>
      <c r="AH186" s="1">
        <v>0</v>
      </c>
      <c r="AI186" s="1">
        <v>0</v>
      </c>
      <c r="AJ186" s="1">
        <v>0</v>
      </c>
      <c r="AK186" s="1">
        <v>2.1804000000000001</v>
      </c>
      <c r="AL186" s="1">
        <v>2.1804000000000001</v>
      </c>
      <c r="AM186" s="1">
        <v>2.1804000000000001</v>
      </c>
    </row>
    <row r="187" spans="1:39" x14ac:dyDescent="0.3">
      <c r="A187" s="21" t="str">
        <f t="shared" si="2"/>
        <v>HFA852LCPH2026-02-22</v>
      </c>
      <c r="B187" t="str">
        <f>VLOOKUP(A187,Sheet1!A187:B1529,1,FALSE)</f>
        <v>HFA852LCPH2026-02-22</v>
      </c>
      <c r="C187" s="3">
        <v>46075</v>
      </c>
      <c r="D187" s="1" t="s">
        <v>71</v>
      </c>
      <c r="E187" s="1" t="s">
        <v>38</v>
      </c>
      <c r="F187" s="1"/>
      <c r="G187" s="1" t="s">
        <v>39</v>
      </c>
      <c r="H187" s="1" t="s">
        <v>112</v>
      </c>
      <c r="I187" s="1" t="s">
        <v>67</v>
      </c>
      <c r="J187" s="1" t="s">
        <v>68</v>
      </c>
      <c r="K187" s="1" t="s">
        <v>69</v>
      </c>
      <c r="L187" s="1" t="s">
        <v>70</v>
      </c>
      <c r="M187" s="1" t="s">
        <v>50</v>
      </c>
      <c r="N187" s="1" t="s">
        <v>41</v>
      </c>
      <c r="O187" s="1" t="s">
        <v>42</v>
      </c>
      <c r="P187" s="1" t="s">
        <v>43</v>
      </c>
      <c r="Q187" s="1" t="s">
        <v>44</v>
      </c>
      <c r="R187" s="1" t="s">
        <v>45</v>
      </c>
      <c r="S187" s="1">
        <v>318</v>
      </c>
      <c r="T187" s="1">
        <v>0</v>
      </c>
      <c r="U187" s="4">
        <v>4.3055555555555555E-2</v>
      </c>
      <c r="V187" s="1">
        <v>920</v>
      </c>
      <c r="W187" s="1">
        <v>1580</v>
      </c>
      <c r="X187" s="1">
        <v>2500</v>
      </c>
      <c r="Y187" s="1" t="s">
        <v>51</v>
      </c>
      <c r="Z187" s="1">
        <v>1860</v>
      </c>
      <c r="AA187" s="1">
        <v>640</v>
      </c>
      <c r="AB187" s="1">
        <v>0</v>
      </c>
      <c r="AC187" s="1">
        <v>0</v>
      </c>
      <c r="AD187" s="1">
        <v>0</v>
      </c>
      <c r="AE187" s="1">
        <v>0</v>
      </c>
      <c r="AF187" s="1"/>
      <c r="AG187" s="1">
        <v>0</v>
      </c>
      <c r="AH187" s="1">
        <v>0</v>
      </c>
      <c r="AI187" s="1">
        <v>0</v>
      </c>
      <c r="AJ187" s="1">
        <v>0</v>
      </c>
      <c r="AK187" s="1">
        <v>2.0224000000000002</v>
      </c>
      <c r="AL187" s="1">
        <v>2.0224000000000002</v>
      </c>
      <c r="AM187" s="1">
        <v>2.0224000000000002</v>
      </c>
    </row>
    <row r="188" spans="1:39" x14ac:dyDescent="0.3">
      <c r="A188" s="21" t="str">
        <f t="shared" si="2"/>
        <v>HFA703LLHA2026-02-22</v>
      </c>
      <c r="B188" t="str">
        <f>VLOOKUP(A188,Sheet1!A188:B1530,1,FALSE)</f>
        <v>HFA703LLHA2026-02-22</v>
      </c>
      <c r="C188" s="3">
        <v>46075</v>
      </c>
      <c r="D188" s="1" t="s">
        <v>37</v>
      </c>
      <c r="E188" s="1" t="s">
        <v>38</v>
      </c>
      <c r="F188" s="1"/>
      <c r="G188" s="1" t="s">
        <v>39</v>
      </c>
      <c r="H188" s="1" t="s">
        <v>112</v>
      </c>
      <c r="I188" s="1" t="s">
        <v>41</v>
      </c>
      <c r="J188" s="1" t="s">
        <v>42</v>
      </c>
      <c r="K188" s="1" t="s">
        <v>43</v>
      </c>
      <c r="L188" s="1" t="s">
        <v>44</v>
      </c>
      <c r="M188" s="1" t="s">
        <v>45</v>
      </c>
      <c r="N188" s="1" t="s">
        <v>46</v>
      </c>
      <c r="O188" s="1" t="s">
        <v>47</v>
      </c>
      <c r="P188" s="1" t="s">
        <v>48</v>
      </c>
      <c r="Q188" s="1" t="s">
        <v>49</v>
      </c>
      <c r="R188" s="1" t="s">
        <v>50</v>
      </c>
      <c r="S188" s="1">
        <v>1157</v>
      </c>
      <c r="T188" s="1">
        <v>0</v>
      </c>
      <c r="U188" s="4">
        <v>0.11527777777777777</v>
      </c>
      <c r="V188" s="1">
        <v>1860</v>
      </c>
      <c r="W188" s="1">
        <v>1240</v>
      </c>
      <c r="X188" s="1">
        <v>3100</v>
      </c>
      <c r="Y188" s="1" t="s">
        <v>51</v>
      </c>
      <c r="Z188" s="1">
        <v>1060</v>
      </c>
      <c r="AA188" s="1">
        <v>2040</v>
      </c>
      <c r="AB188" s="1">
        <v>0</v>
      </c>
      <c r="AC188" s="1">
        <v>0</v>
      </c>
      <c r="AD188" s="1">
        <v>0</v>
      </c>
      <c r="AE188" s="1">
        <v>0</v>
      </c>
      <c r="AF188" s="1"/>
      <c r="AG188" s="1">
        <v>0</v>
      </c>
      <c r="AH188" s="1">
        <v>0</v>
      </c>
      <c r="AI188" s="1">
        <v>0</v>
      </c>
      <c r="AJ188" s="1">
        <v>0</v>
      </c>
      <c r="AK188" s="1">
        <v>6.4463999999999997</v>
      </c>
      <c r="AL188" s="1">
        <v>6.4463999999999997</v>
      </c>
      <c r="AM188" s="1">
        <v>6.4463999999999997</v>
      </c>
    </row>
    <row r="189" spans="1:39" x14ac:dyDescent="0.3">
      <c r="A189" s="21" t="str">
        <f t="shared" si="2"/>
        <v>HFA704LGAV2026-02-22</v>
      </c>
      <c r="B189" t="str">
        <f>VLOOKUP(A189,Sheet1!A189:B1531,1,FALSE)</f>
        <v>HFA704LGAV2026-02-22</v>
      </c>
      <c r="C189" s="3">
        <v>46075</v>
      </c>
      <c r="D189" s="1" t="s">
        <v>52</v>
      </c>
      <c r="E189" s="1" t="s">
        <v>38</v>
      </c>
      <c r="F189" s="1"/>
      <c r="G189" s="1" t="s">
        <v>39</v>
      </c>
      <c r="H189" s="1" t="s">
        <v>112</v>
      </c>
      <c r="I189" s="1" t="s">
        <v>46</v>
      </c>
      <c r="J189" s="1" t="s">
        <v>47</v>
      </c>
      <c r="K189" s="1" t="s">
        <v>48</v>
      </c>
      <c r="L189" s="1" t="s">
        <v>49</v>
      </c>
      <c r="M189" s="1" t="s">
        <v>50</v>
      </c>
      <c r="N189" s="1" t="s">
        <v>41</v>
      </c>
      <c r="O189" s="1" t="s">
        <v>42</v>
      </c>
      <c r="P189" s="1" t="s">
        <v>43</v>
      </c>
      <c r="Q189" s="1" t="s">
        <v>44</v>
      </c>
      <c r="R189" s="1" t="s">
        <v>45</v>
      </c>
      <c r="S189" s="1">
        <v>1157</v>
      </c>
      <c r="T189" s="1">
        <v>0</v>
      </c>
      <c r="U189" s="4">
        <v>0.11041666666666666</v>
      </c>
      <c r="V189" s="1">
        <v>1060</v>
      </c>
      <c r="W189" s="1">
        <v>1740</v>
      </c>
      <c r="X189" s="1">
        <v>2800</v>
      </c>
      <c r="Y189" s="1" t="s">
        <v>51</v>
      </c>
      <c r="Z189" s="1">
        <v>1040</v>
      </c>
      <c r="AA189" s="1">
        <v>1760</v>
      </c>
      <c r="AB189" s="1">
        <v>0</v>
      </c>
      <c r="AC189" s="1">
        <v>0</v>
      </c>
      <c r="AD189" s="1">
        <v>0</v>
      </c>
      <c r="AE189" s="1">
        <v>0</v>
      </c>
      <c r="AF189" s="1"/>
      <c r="AG189" s="1">
        <v>0</v>
      </c>
      <c r="AH189" s="1">
        <v>0</v>
      </c>
      <c r="AI189" s="1">
        <v>0</v>
      </c>
      <c r="AJ189" s="1">
        <v>0</v>
      </c>
      <c r="AK189" s="1">
        <v>5.5616000000000003</v>
      </c>
      <c r="AL189" s="1">
        <v>5.5616000000000003</v>
      </c>
      <c r="AM189" s="1">
        <v>5.5616000000000003</v>
      </c>
    </row>
    <row r="190" spans="1:39" x14ac:dyDescent="0.3">
      <c r="A190" s="21" t="str">
        <f t="shared" si="2"/>
        <v>HFA701LLHA2026-02-23</v>
      </c>
      <c r="B190" t="str">
        <f>VLOOKUP(A190,Sheet1!A190:B1532,1,FALSE)</f>
        <v>HFA701LLHA2026-02-23</v>
      </c>
      <c r="C190" s="3">
        <v>46076</v>
      </c>
      <c r="D190" s="1" t="s">
        <v>53</v>
      </c>
      <c r="E190" s="1" t="s">
        <v>38</v>
      </c>
      <c r="F190" s="1"/>
      <c r="G190" s="1" t="s">
        <v>39</v>
      </c>
      <c r="H190" s="1" t="s">
        <v>112</v>
      </c>
      <c r="I190" s="1" t="s">
        <v>41</v>
      </c>
      <c r="J190" s="1" t="s">
        <v>42</v>
      </c>
      <c r="K190" s="1" t="s">
        <v>43</v>
      </c>
      <c r="L190" s="1" t="s">
        <v>44</v>
      </c>
      <c r="M190" s="1" t="s">
        <v>45</v>
      </c>
      <c r="N190" s="1" t="s">
        <v>46</v>
      </c>
      <c r="O190" s="1" t="s">
        <v>47</v>
      </c>
      <c r="P190" s="1" t="s">
        <v>48</v>
      </c>
      <c r="Q190" s="1" t="s">
        <v>49</v>
      </c>
      <c r="R190" s="1" t="s">
        <v>50</v>
      </c>
      <c r="S190" s="1">
        <v>1157</v>
      </c>
      <c r="T190" s="1">
        <v>0</v>
      </c>
      <c r="U190" s="4">
        <v>0.11874999999999999</v>
      </c>
      <c r="V190" s="1">
        <v>1040</v>
      </c>
      <c r="W190" s="1">
        <v>1960</v>
      </c>
      <c r="X190" s="1">
        <v>3000</v>
      </c>
      <c r="Y190" s="1" t="s">
        <v>51</v>
      </c>
      <c r="Z190" s="1">
        <v>1170</v>
      </c>
      <c r="AA190" s="1">
        <v>1830</v>
      </c>
      <c r="AB190" s="1">
        <v>0</v>
      </c>
      <c r="AC190" s="1">
        <v>0</v>
      </c>
      <c r="AD190" s="1">
        <v>0</v>
      </c>
      <c r="AE190" s="1">
        <v>0</v>
      </c>
      <c r="AF190" s="1"/>
      <c r="AG190" s="1">
        <v>0</v>
      </c>
      <c r="AH190" s="1">
        <v>0</v>
      </c>
      <c r="AI190" s="1">
        <v>0</v>
      </c>
      <c r="AJ190" s="1">
        <v>0</v>
      </c>
      <c r="AK190" s="1">
        <v>5.7827999999999999</v>
      </c>
      <c r="AL190" s="1">
        <v>5.7827999999999999</v>
      </c>
      <c r="AM190" s="1">
        <v>5.7827999999999999</v>
      </c>
    </row>
    <row r="191" spans="1:39" x14ac:dyDescent="0.3">
      <c r="A191" s="21" t="str">
        <f t="shared" si="2"/>
        <v>HFA702LGAV2026-02-23</v>
      </c>
      <c r="B191" t="str">
        <f>VLOOKUP(A191,Sheet1!A191:B1533,1,FALSE)</f>
        <v>HFA702LGAV2026-02-23</v>
      </c>
      <c r="C191" s="3">
        <v>46076</v>
      </c>
      <c r="D191" s="1" t="s">
        <v>56</v>
      </c>
      <c r="E191" s="1" t="s">
        <v>38</v>
      </c>
      <c r="F191" s="1"/>
      <c r="G191" s="1" t="s">
        <v>39</v>
      </c>
      <c r="H191" s="1" t="s">
        <v>112</v>
      </c>
      <c r="I191" s="1" t="s">
        <v>46</v>
      </c>
      <c r="J191" s="1" t="s">
        <v>47</v>
      </c>
      <c r="K191" s="1" t="s">
        <v>48</v>
      </c>
      <c r="L191" s="1" t="s">
        <v>49</v>
      </c>
      <c r="M191" s="1" t="s">
        <v>50</v>
      </c>
      <c r="N191" s="1" t="s">
        <v>41</v>
      </c>
      <c r="O191" s="1" t="s">
        <v>42</v>
      </c>
      <c r="P191" s="1" t="s">
        <v>43</v>
      </c>
      <c r="Q191" s="1" t="s">
        <v>44</v>
      </c>
      <c r="R191" s="1" t="s">
        <v>45</v>
      </c>
      <c r="S191" s="1">
        <v>1157</v>
      </c>
      <c r="T191" s="1">
        <v>0</v>
      </c>
      <c r="U191" s="4">
        <v>0.11388888888888889</v>
      </c>
      <c r="V191" s="1">
        <v>1170</v>
      </c>
      <c r="W191" s="1">
        <v>2630</v>
      </c>
      <c r="X191" s="1">
        <v>3800</v>
      </c>
      <c r="Y191" s="1" t="s">
        <v>51</v>
      </c>
      <c r="Z191" s="1">
        <v>2210</v>
      </c>
      <c r="AA191" s="1">
        <v>1590</v>
      </c>
      <c r="AB191" s="1">
        <v>0</v>
      </c>
      <c r="AC191" s="1">
        <v>0</v>
      </c>
      <c r="AD191" s="1">
        <v>0</v>
      </c>
      <c r="AE191" s="1">
        <v>0</v>
      </c>
      <c r="AF191" s="1"/>
      <c r="AG191" s="1">
        <v>0</v>
      </c>
      <c r="AH191" s="1">
        <v>0</v>
      </c>
      <c r="AI191" s="1">
        <v>0</v>
      </c>
      <c r="AJ191" s="1">
        <v>0</v>
      </c>
      <c r="AK191" s="1">
        <v>5.0244</v>
      </c>
      <c r="AL191" s="1">
        <v>5.0244</v>
      </c>
      <c r="AM191" s="1">
        <v>5.0244</v>
      </c>
    </row>
    <row r="192" spans="1:39" x14ac:dyDescent="0.3">
      <c r="A192" s="21" t="str">
        <f t="shared" si="2"/>
        <v>HFA701LLHA2026-02-25</v>
      </c>
      <c r="B192" t="str">
        <f>VLOOKUP(A192,Sheet1!A192:B1534,1,FALSE)</f>
        <v>HFA701LLHA2026-02-25</v>
      </c>
      <c r="C192" s="3">
        <v>46078</v>
      </c>
      <c r="D192" s="1" t="s">
        <v>53</v>
      </c>
      <c r="E192" s="1" t="s">
        <v>38</v>
      </c>
      <c r="F192" s="1"/>
      <c r="G192" s="1" t="s">
        <v>39</v>
      </c>
      <c r="H192" s="1" t="s">
        <v>112</v>
      </c>
      <c r="I192" s="1" t="s">
        <v>41</v>
      </c>
      <c r="J192" s="1" t="s">
        <v>42</v>
      </c>
      <c r="K192" s="1" t="s">
        <v>43</v>
      </c>
      <c r="L192" s="1" t="s">
        <v>44</v>
      </c>
      <c r="M192" s="1" t="s">
        <v>45</v>
      </c>
      <c r="N192" s="1" t="s">
        <v>46</v>
      </c>
      <c r="O192" s="1" t="s">
        <v>47</v>
      </c>
      <c r="P192" s="1" t="s">
        <v>48</v>
      </c>
      <c r="Q192" s="1" t="s">
        <v>49</v>
      </c>
      <c r="R192" s="1" t="s">
        <v>50</v>
      </c>
      <c r="S192" s="1">
        <v>1157</v>
      </c>
      <c r="T192" s="1">
        <v>0</v>
      </c>
      <c r="U192" s="4">
        <v>0.12986111111111112</v>
      </c>
      <c r="V192" s="1">
        <v>2210</v>
      </c>
      <c r="W192" s="1">
        <v>1290</v>
      </c>
      <c r="X192" s="1">
        <v>3500</v>
      </c>
      <c r="Y192" s="1" t="s">
        <v>51</v>
      </c>
      <c r="Z192" s="1">
        <v>1430</v>
      </c>
      <c r="AA192" s="1">
        <v>2070</v>
      </c>
      <c r="AB192" s="1">
        <v>0</v>
      </c>
      <c r="AC192" s="1">
        <v>0</v>
      </c>
      <c r="AD192" s="1">
        <v>0</v>
      </c>
      <c r="AE192" s="1">
        <v>0</v>
      </c>
      <c r="AF192" s="1"/>
      <c r="AG192" s="1">
        <v>0</v>
      </c>
      <c r="AH192" s="1">
        <v>0</v>
      </c>
      <c r="AI192" s="1">
        <v>0</v>
      </c>
      <c r="AJ192" s="1">
        <v>0</v>
      </c>
      <c r="AK192" s="1">
        <v>6.5411999999999999</v>
      </c>
      <c r="AL192" s="1">
        <v>6.5411999999999999</v>
      </c>
      <c r="AM192" s="1">
        <v>6.5411999999999999</v>
      </c>
    </row>
    <row r="193" spans="1:39" x14ac:dyDescent="0.3">
      <c r="A193" s="21" t="str">
        <f t="shared" si="2"/>
        <v>HFA702LGAV2026-02-25</v>
      </c>
      <c r="B193" t="str">
        <f>VLOOKUP(A193,Sheet1!A193:B1535,1,FALSE)</f>
        <v>HFA702LGAV2026-02-25</v>
      </c>
      <c r="C193" s="3">
        <v>46078</v>
      </c>
      <c r="D193" s="1" t="s">
        <v>56</v>
      </c>
      <c r="E193" s="1" t="s">
        <v>38</v>
      </c>
      <c r="F193" s="1"/>
      <c r="G193" s="1" t="s">
        <v>39</v>
      </c>
      <c r="H193" s="1" t="s">
        <v>112</v>
      </c>
      <c r="I193" s="1" t="s">
        <v>46</v>
      </c>
      <c r="J193" s="1" t="s">
        <v>47</v>
      </c>
      <c r="K193" s="1" t="s">
        <v>48</v>
      </c>
      <c r="L193" s="1" t="s">
        <v>49</v>
      </c>
      <c r="M193" s="1" t="s">
        <v>50</v>
      </c>
      <c r="N193" s="1" t="s">
        <v>41</v>
      </c>
      <c r="O193" s="1" t="s">
        <v>42</v>
      </c>
      <c r="P193" s="1" t="s">
        <v>43</v>
      </c>
      <c r="Q193" s="1" t="s">
        <v>44</v>
      </c>
      <c r="R193" s="1" t="s">
        <v>45</v>
      </c>
      <c r="S193" s="1">
        <v>1157</v>
      </c>
      <c r="T193" s="1">
        <v>0</v>
      </c>
      <c r="U193" s="4">
        <v>9.7916666666666666E-2</v>
      </c>
      <c r="V193" s="1">
        <v>1430</v>
      </c>
      <c r="W193" s="1">
        <v>2170</v>
      </c>
      <c r="X193" s="1">
        <v>3600</v>
      </c>
      <c r="Y193" s="1" t="s">
        <v>51</v>
      </c>
      <c r="Z193" s="1">
        <v>2210</v>
      </c>
      <c r="AA193" s="1">
        <v>1390</v>
      </c>
      <c r="AB193" s="1">
        <v>0</v>
      </c>
      <c r="AC193" s="1">
        <v>0</v>
      </c>
      <c r="AD193" s="1">
        <v>0</v>
      </c>
      <c r="AE193" s="1">
        <v>0</v>
      </c>
      <c r="AF193" s="1"/>
      <c r="AG193" s="1">
        <v>0</v>
      </c>
      <c r="AH193" s="1">
        <v>0</v>
      </c>
      <c r="AI193" s="1">
        <v>0</v>
      </c>
      <c r="AJ193" s="1">
        <v>0</v>
      </c>
      <c r="AK193" s="1">
        <v>4.3924000000000003</v>
      </c>
      <c r="AL193" s="1">
        <v>4.3924000000000003</v>
      </c>
      <c r="AM193" s="1">
        <v>4.3924000000000003</v>
      </c>
    </row>
    <row r="194" spans="1:39" x14ac:dyDescent="0.3">
      <c r="A194" s="21" t="str">
        <f t="shared" si="2"/>
        <v>HFA703LLHA2026-02-25</v>
      </c>
      <c r="B194" t="str">
        <f>VLOOKUP(A194,Sheet1!A194:B1536,1,FALSE)</f>
        <v>HFA703LLHA2026-02-25</v>
      </c>
      <c r="C194" s="3">
        <v>46078</v>
      </c>
      <c r="D194" s="1" t="s">
        <v>37</v>
      </c>
      <c r="E194" s="1" t="s">
        <v>38</v>
      </c>
      <c r="F194" s="1"/>
      <c r="G194" s="1" t="s">
        <v>39</v>
      </c>
      <c r="H194" s="1" t="s">
        <v>112</v>
      </c>
      <c r="I194" s="1" t="s">
        <v>41</v>
      </c>
      <c r="J194" s="1" t="s">
        <v>42</v>
      </c>
      <c r="K194" s="1" t="s">
        <v>43</v>
      </c>
      <c r="L194" s="1" t="s">
        <v>44</v>
      </c>
      <c r="M194" s="1" t="s">
        <v>45</v>
      </c>
      <c r="N194" s="1" t="s">
        <v>46</v>
      </c>
      <c r="O194" s="1" t="s">
        <v>47</v>
      </c>
      <c r="P194" s="1" t="s">
        <v>48</v>
      </c>
      <c r="Q194" s="1" t="s">
        <v>49</v>
      </c>
      <c r="R194" s="1" t="s">
        <v>50</v>
      </c>
      <c r="S194" s="1">
        <v>1157</v>
      </c>
      <c r="T194" s="1">
        <v>0</v>
      </c>
      <c r="U194" s="4">
        <v>0.13194444444444445</v>
      </c>
      <c r="V194" s="1">
        <v>2210</v>
      </c>
      <c r="W194" s="1">
        <v>1190</v>
      </c>
      <c r="X194" s="1">
        <v>3400</v>
      </c>
      <c r="Y194" s="1" t="s">
        <v>51</v>
      </c>
      <c r="Z194" s="1">
        <v>1200</v>
      </c>
      <c r="AA194" s="1">
        <v>2200</v>
      </c>
      <c r="AB194" s="1">
        <v>0</v>
      </c>
      <c r="AC194" s="1">
        <v>0</v>
      </c>
      <c r="AD194" s="1">
        <v>0</v>
      </c>
      <c r="AE194" s="1">
        <v>0</v>
      </c>
      <c r="AF194" s="1"/>
      <c r="AG194" s="1">
        <v>0</v>
      </c>
      <c r="AH194" s="1">
        <v>0</v>
      </c>
      <c r="AI194" s="1">
        <v>0</v>
      </c>
      <c r="AJ194" s="1">
        <v>0</v>
      </c>
      <c r="AK194" s="1">
        <v>6.952</v>
      </c>
      <c r="AL194" s="1">
        <v>6.952</v>
      </c>
      <c r="AM194" s="1">
        <v>6.952</v>
      </c>
    </row>
    <row r="195" spans="1:39" x14ac:dyDescent="0.3">
      <c r="A195" s="21" t="str">
        <f t="shared" ref="A195:A258" si="3">CONCATENATE(D195,K195,TEXT(C195,"YYYY-MM-DD"))</f>
        <v>HFA704LGAV2026-02-25</v>
      </c>
      <c r="B195" t="str">
        <f>VLOOKUP(A195,Sheet1!A195:B1537,1,FALSE)</f>
        <v>HFA704LGAV2026-02-25</v>
      </c>
      <c r="C195" s="3">
        <v>46078</v>
      </c>
      <c r="D195" s="1" t="s">
        <v>52</v>
      </c>
      <c r="E195" s="1" t="s">
        <v>38</v>
      </c>
      <c r="F195" s="1"/>
      <c r="G195" s="1" t="s">
        <v>39</v>
      </c>
      <c r="H195" s="1" t="s">
        <v>112</v>
      </c>
      <c r="I195" s="1" t="s">
        <v>46</v>
      </c>
      <c r="J195" s="1" t="s">
        <v>47</v>
      </c>
      <c r="K195" s="1" t="s">
        <v>48</v>
      </c>
      <c r="L195" s="1" t="s">
        <v>49</v>
      </c>
      <c r="M195" s="1" t="s">
        <v>50</v>
      </c>
      <c r="N195" s="1" t="s">
        <v>41</v>
      </c>
      <c r="O195" s="1" t="s">
        <v>42</v>
      </c>
      <c r="P195" s="1" t="s">
        <v>43</v>
      </c>
      <c r="Q195" s="1" t="s">
        <v>44</v>
      </c>
      <c r="R195" s="1" t="s">
        <v>45</v>
      </c>
      <c r="S195" s="1">
        <v>1157</v>
      </c>
      <c r="T195" s="1">
        <v>0</v>
      </c>
      <c r="U195" s="4">
        <v>9.7916666666666666E-2</v>
      </c>
      <c r="V195" s="1">
        <v>1200</v>
      </c>
      <c r="W195" s="1">
        <v>2300</v>
      </c>
      <c r="X195" s="1">
        <v>3500</v>
      </c>
      <c r="Y195" s="1" t="s">
        <v>51</v>
      </c>
      <c r="Z195" s="1">
        <v>2150</v>
      </c>
      <c r="AA195" s="1">
        <v>1350</v>
      </c>
      <c r="AB195" s="1">
        <v>0</v>
      </c>
      <c r="AC195" s="1">
        <v>0</v>
      </c>
      <c r="AD195" s="1">
        <v>0</v>
      </c>
      <c r="AE195" s="1">
        <v>0</v>
      </c>
      <c r="AF195" s="1"/>
      <c r="AG195" s="1">
        <v>0</v>
      </c>
      <c r="AH195" s="1">
        <v>0</v>
      </c>
      <c r="AI195" s="1">
        <v>0</v>
      </c>
      <c r="AJ195" s="1">
        <v>0</v>
      </c>
      <c r="AK195" s="1">
        <v>4.266</v>
      </c>
      <c r="AL195" s="1">
        <v>4.266</v>
      </c>
      <c r="AM195" s="1">
        <v>4.266</v>
      </c>
    </row>
    <row r="196" spans="1:39" x14ac:dyDescent="0.3">
      <c r="A196" s="21" t="str">
        <f t="shared" si="3"/>
        <v>HFA701LLHA2026-02-26</v>
      </c>
      <c r="B196" t="str">
        <f>VLOOKUP(A196,Sheet1!A196:B1538,1,FALSE)</f>
        <v>HFA701LLHA2026-02-26</v>
      </c>
      <c r="C196" s="3">
        <v>46079</v>
      </c>
      <c r="D196" s="1" t="s">
        <v>53</v>
      </c>
      <c r="E196" s="1" t="s">
        <v>38</v>
      </c>
      <c r="F196" s="1"/>
      <c r="G196" s="1" t="s">
        <v>39</v>
      </c>
      <c r="H196" s="1" t="s">
        <v>112</v>
      </c>
      <c r="I196" s="1" t="s">
        <v>41</v>
      </c>
      <c r="J196" s="1" t="s">
        <v>42</v>
      </c>
      <c r="K196" s="1" t="s">
        <v>43</v>
      </c>
      <c r="L196" s="1" t="s">
        <v>44</v>
      </c>
      <c r="M196" s="1" t="s">
        <v>45</v>
      </c>
      <c r="N196" s="1" t="s">
        <v>46</v>
      </c>
      <c r="O196" s="1" t="s">
        <v>47</v>
      </c>
      <c r="P196" s="1" t="s">
        <v>48</v>
      </c>
      <c r="Q196" s="1" t="s">
        <v>49</v>
      </c>
      <c r="R196" s="1" t="s">
        <v>50</v>
      </c>
      <c r="S196" s="1">
        <v>1157</v>
      </c>
      <c r="T196" s="1">
        <v>0</v>
      </c>
      <c r="U196" s="4">
        <v>0.13055555555555556</v>
      </c>
      <c r="V196" s="1">
        <v>2150</v>
      </c>
      <c r="W196" s="1">
        <v>1650</v>
      </c>
      <c r="X196" s="1">
        <v>3800</v>
      </c>
      <c r="Y196" s="1" t="s">
        <v>51</v>
      </c>
      <c r="Z196" s="1">
        <v>1450</v>
      </c>
      <c r="AA196" s="1">
        <v>2350</v>
      </c>
      <c r="AB196" s="1">
        <v>0</v>
      </c>
      <c r="AC196" s="1">
        <v>0</v>
      </c>
      <c r="AD196" s="1">
        <v>0</v>
      </c>
      <c r="AE196" s="1">
        <v>0</v>
      </c>
      <c r="AF196" s="1"/>
      <c r="AG196" s="1">
        <v>0</v>
      </c>
      <c r="AH196" s="1">
        <v>0</v>
      </c>
      <c r="AI196" s="1">
        <v>0</v>
      </c>
      <c r="AJ196" s="1">
        <v>0</v>
      </c>
      <c r="AK196" s="1">
        <v>7.4260000000000002</v>
      </c>
      <c r="AL196" s="1">
        <v>7.4260000000000002</v>
      </c>
      <c r="AM196" s="1">
        <v>7.4260000000000002</v>
      </c>
    </row>
    <row r="197" spans="1:39" x14ac:dyDescent="0.3">
      <c r="A197" s="21" t="str">
        <f t="shared" si="3"/>
        <v>HFA702LGAV2026-02-26</v>
      </c>
      <c r="B197" t="str">
        <f>VLOOKUP(A197,Sheet1!A197:B1539,1,FALSE)</f>
        <v>HFA702LGAV2026-02-26</v>
      </c>
      <c r="C197" s="3">
        <v>46079</v>
      </c>
      <c r="D197" s="1" t="s">
        <v>56</v>
      </c>
      <c r="E197" s="1" t="s">
        <v>38</v>
      </c>
      <c r="F197" s="1"/>
      <c r="G197" s="1" t="s">
        <v>39</v>
      </c>
      <c r="H197" s="1" t="s">
        <v>112</v>
      </c>
      <c r="I197" s="1" t="s">
        <v>46</v>
      </c>
      <c r="J197" s="1" t="s">
        <v>47</v>
      </c>
      <c r="K197" s="1" t="s">
        <v>48</v>
      </c>
      <c r="L197" s="1" t="s">
        <v>49</v>
      </c>
      <c r="M197" s="1" t="s">
        <v>50</v>
      </c>
      <c r="N197" s="1" t="s">
        <v>41</v>
      </c>
      <c r="O197" s="1" t="s">
        <v>42</v>
      </c>
      <c r="P197" s="1" t="s">
        <v>43</v>
      </c>
      <c r="Q197" s="1" t="s">
        <v>44</v>
      </c>
      <c r="R197" s="1" t="s">
        <v>45</v>
      </c>
      <c r="S197" s="1">
        <v>1157</v>
      </c>
      <c r="T197" s="1">
        <v>0</v>
      </c>
      <c r="U197" s="4">
        <v>9.5833333333333326E-2</v>
      </c>
      <c r="V197" s="1">
        <v>1450</v>
      </c>
      <c r="W197" s="1">
        <v>2150</v>
      </c>
      <c r="X197" s="1">
        <v>3600</v>
      </c>
      <c r="Y197" s="1" t="s">
        <v>51</v>
      </c>
      <c r="Z197" s="1">
        <v>2260</v>
      </c>
      <c r="AA197" s="1">
        <v>1340</v>
      </c>
      <c r="AB197" s="1">
        <v>0</v>
      </c>
      <c r="AC197" s="1">
        <v>0</v>
      </c>
      <c r="AD197" s="1">
        <v>0</v>
      </c>
      <c r="AE197" s="1">
        <v>0</v>
      </c>
      <c r="AF197" s="1"/>
      <c r="AG197" s="1">
        <v>0</v>
      </c>
      <c r="AH197" s="1">
        <v>0</v>
      </c>
      <c r="AI197" s="1">
        <v>0</v>
      </c>
      <c r="AJ197" s="1">
        <v>0</v>
      </c>
      <c r="AK197" s="1">
        <v>4.2343999999999999</v>
      </c>
      <c r="AL197" s="1">
        <v>4.2343999999999999</v>
      </c>
      <c r="AM197" s="1">
        <v>4.2343999999999999</v>
      </c>
    </row>
    <row r="198" spans="1:39" x14ac:dyDescent="0.3">
      <c r="A198" s="21" t="str">
        <f t="shared" si="3"/>
        <v>HFA605LLHA2026-02-26</v>
      </c>
      <c r="B198" t="str">
        <f>VLOOKUP(A198,Sheet1!A198:B1540,1,FALSE)</f>
        <v>HFA605LLHA2026-02-26</v>
      </c>
      <c r="C198" s="3">
        <v>46079</v>
      </c>
      <c r="D198" s="1" t="s">
        <v>62</v>
      </c>
      <c r="E198" s="1" t="s">
        <v>38</v>
      </c>
      <c r="F198" s="1" t="s">
        <v>54</v>
      </c>
      <c r="G198" s="1" t="s">
        <v>39</v>
      </c>
      <c r="H198" s="1" t="s">
        <v>112</v>
      </c>
      <c r="I198" s="1" t="s">
        <v>41</v>
      </c>
      <c r="J198" s="1" t="s">
        <v>42</v>
      </c>
      <c r="K198" s="1" t="s">
        <v>43</v>
      </c>
      <c r="L198" s="1" t="s">
        <v>44</v>
      </c>
      <c r="M198" s="1" t="s">
        <v>45</v>
      </c>
      <c r="N198" s="1" t="s">
        <v>41</v>
      </c>
      <c r="O198" s="1" t="s">
        <v>58</v>
      </c>
      <c r="P198" s="1" t="s">
        <v>59</v>
      </c>
      <c r="Q198" s="1" t="s">
        <v>60</v>
      </c>
      <c r="R198" s="1" t="s">
        <v>45</v>
      </c>
      <c r="S198" s="1">
        <v>342</v>
      </c>
      <c r="T198" s="1">
        <v>0</v>
      </c>
      <c r="U198" s="4">
        <v>4.3055555555555555E-2</v>
      </c>
      <c r="V198" s="1">
        <v>2260</v>
      </c>
      <c r="W198" s="1">
        <v>-20</v>
      </c>
      <c r="X198" s="1">
        <v>2240</v>
      </c>
      <c r="Y198" s="1" t="s">
        <v>51</v>
      </c>
      <c r="Z198" s="1">
        <v>1550</v>
      </c>
      <c r="AA198" s="1">
        <v>690</v>
      </c>
      <c r="AB198" s="1">
        <v>0</v>
      </c>
      <c r="AC198" s="1">
        <v>0</v>
      </c>
      <c r="AD198" s="1">
        <v>0</v>
      </c>
      <c r="AE198" s="1">
        <v>0</v>
      </c>
      <c r="AF198" s="1"/>
      <c r="AG198" s="1">
        <v>0</v>
      </c>
      <c r="AH198" s="1">
        <v>0</v>
      </c>
      <c r="AI198" s="1">
        <v>0</v>
      </c>
      <c r="AJ198" s="1">
        <v>0</v>
      </c>
      <c r="AK198" s="1">
        <v>2.1804000000000001</v>
      </c>
      <c r="AL198" s="1">
        <v>2.1804000000000001</v>
      </c>
      <c r="AM198" s="1">
        <v>2.1804000000000001</v>
      </c>
    </row>
    <row r="199" spans="1:39" x14ac:dyDescent="0.3">
      <c r="A199" s="21" t="str">
        <f t="shared" si="3"/>
        <v>HFA606LLER2026-02-26</v>
      </c>
      <c r="B199" t="str">
        <f>VLOOKUP(A199,Sheet1!A199:B1541,1,FALSE)</f>
        <v>HFA606LLER2026-02-26</v>
      </c>
      <c r="C199" s="3">
        <v>46079</v>
      </c>
      <c r="D199" s="1" t="s">
        <v>63</v>
      </c>
      <c r="E199" s="1" t="s">
        <v>38</v>
      </c>
      <c r="F199" s="1" t="s">
        <v>54</v>
      </c>
      <c r="G199" s="1" t="s">
        <v>39</v>
      </c>
      <c r="H199" s="1" t="s">
        <v>112</v>
      </c>
      <c r="I199" s="1" t="s">
        <v>41</v>
      </c>
      <c r="J199" s="1" t="s">
        <v>58</v>
      </c>
      <c r="K199" s="1" t="s">
        <v>59</v>
      </c>
      <c r="L199" s="1" t="s">
        <v>60</v>
      </c>
      <c r="M199" s="1" t="s">
        <v>45</v>
      </c>
      <c r="N199" s="1" t="s">
        <v>41</v>
      </c>
      <c r="O199" s="1" t="s">
        <v>42</v>
      </c>
      <c r="P199" s="1" t="s">
        <v>43</v>
      </c>
      <c r="Q199" s="1" t="s">
        <v>44</v>
      </c>
      <c r="R199" s="1" t="s">
        <v>45</v>
      </c>
      <c r="S199" s="1">
        <v>342</v>
      </c>
      <c r="T199" s="1">
        <v>0</v>
      </c>
      <c r="U199" s="4">
        <v>4.4444444444444439E-2</v>
      </c>
      <c r="V199" s="1">
        <v>1550</v>
      </c>
      <c r="W199" s="1">
        <v>1050</v>
      </c>
      <c r="X199" s="1">
        <v>2600</v>
      </c>
      <c r="Y199" s="1" t="s">
        <v>51</v>
      </c>
      <c r="Z199" s="1">
        <v>1880</v>
      </c>
      <c r="AA199" s="1">
        <v>720</v>
      </c>
      <c r="AB199" s="1">
        <v>0</v>
      </c>
      <c r="AC199" s="1">
        <v>0</v>
      </c>
      <c r="AD199" s="1">
        <v>0</v>
      </c>
      <c r="AE199" s="1">
        <v>0</v>
      </c>
      <c r="AF199" s="1"/>
      <c r="AG199" s="1">
        <v>0</v>
      </c>
      <c r="AH199" s="1">
        <v>0</v>
      </c>
      <c r="AI199" s="1">
        <v>0</v>
      </c>
      <c r="AJ199" s="1">
        <v>0</v>
      </c>
      <c r="AK199" s="1">
        <v>2.2751999999999999</v>
      </c>
      <c r="AL199" s="1">
        <v>2.2751999999999999</v>
      </c>
      <c r="AM199" s="1">
        <v>2.2751999999999999</v>
      </c>
    </row>
    <row r="200" spans="1:39" x14ac:dyDescent="0.3">
      <c r="A200" s="21" t="str">
        <f t="shared" si="3"/>
        <v>HFA701LLHA2026-02-27</v>
      </c>
      <c r="B200" t="str">
        <f>VLOOKUP(A200,Sheet1!A200:B1542,1,FALSE)</f>
        <v>HFA701LLHA2026-02-27</v>
      </c>
      <c r="C200" s="3">
        <v>46080</v>
      </c>
      <c r="D200" s="1" t="s">
        <v>53</v>
      </c>
      <c r="E200" s="1" t="s">
        <v>38</v>
      </c>
      <c r="F200" s="1"/>
      <c r="G200" s="1" t="s">
        <v>39</v>
      </c>
      <c r="H200" s="1" t="s">
        <v>112</v>
      </c>
      <c r="I200" s="1" t="s">
        <v>41</v>
      </c>
      <c r="J200" s="1" t="s">
        <v>42</v>
      </c>
      <c r="K200" s="1" t="s">
        <v>43</v>
      </c>
      <c r="L200" s="1" t="s">
        <v>44</v>
      </c>
      <c r="M200" s="1" t="s">
        <v>45</v>
      </c>
      <c r="N200" s="1" t="s">
        <v>46</v>
      </c>
      <c r="O200" s="1" t="s">
        <v>47</v>
      </c>
      <c r="P200" s="1" t="s">
        <v>48</v>
      </c>
      <c r="Q200" s="1" t="s">
        <v>49</v>
      </c>
      <c r="R200" s="1" t="s">
        <v>50</v>
      </c>
      <c r="S200" s="1">
        <v>1157</v>
      </c>
      <c r="T200" s="1">
        <v>0</v>
      </c>
      <c r="U200" s="4">
        <v>0.12569444444444444</v>
      </c>
      <c r="V200" s="1">
        <v>1880</v>
      </c>
      <c r="W200" s="1">
        <v>1720</v>
      </c>
      <c r="X200" s="1">
        <v>3600</v>
      </c>
      <c r="Y200" s="1" t="s">
        <v>51</v>
      </c>
      <c r="Z200" s="1">
        <v>1420</v>
      </c>
      <c r="AA200" s="1">
        <v>2180</v>
      </c>
      <c r="AB200" s="1">
        <v>0</v>
      </c>
      <c r="AC200" s="1">
        <v>0</v>
      </c>
      <c r="AD200" s="1">
        <v>0</v>
      </c>
      <c r="AE200" s="1">
        <v>0</v>
      </c>
      <c r="AF200" s="1"/>
      <c r="AG200" s="1">
        <v>0</v>
      </c>
      <c r="AH200" s="1">
        <v>0</v>
      </c>
      <c r="AI200" s="1">
        <v>0</v>
      </c>
      <c r="AJ200" s="1">
        <v>0</v>
      </c>
      <c r="AK200" s="1">
        <v>6.8887999999999998</v>
      </c>
      <c r="AL200" s="1">
        <v>6.8887999999999998</v>
      </c>
      <c r="AM200" s="1">
        <v>6.8887999999999998</v>
      </c>
    </row>
    <row r="201" spans="1:39" x14ac:dyDescent="0.3">
      <c r="A201" s="21" t="str">
        <f t="shared" si="3"/>
        <v>HFA702LGAV2026-02-27</v>
      </c>
      <c r="B201" t="str">
        <f>VLOOKUP(A201,Sheet1!A201:B1543,1,FALSE)</f>
        <v>HFA702LGAV2026-02-27</v>
      </c>
      <c r="C201" s="3">
        <v>46080</v>
      </c>
      <c r="D201" s="1" t="s">
        <v>56</v>
      </c>
      <c r="E201" s="1" t="s">
        <v>38</v>
      </c>
      <c r="F201" s="1"/>
      <c r="G201" s="1" t="s">
        <v>39</v>
      </c>
      <c r="H201" s="1" t="s">
        <v>112</v>
      </c>
      <c r="I201" s="1" t="s">
        <v>46</v>
      </c>
      <c r="J201" s="1" t="s">
        <v>47</v>
      </c>
      <c r="K201" s="1" t="s">
        <v>48</v>
      </c>
      <c r="L201" s="1" t="s">
        <v>49</v>
      </c>
      <c r="M201" s="1" t="s">
        <v>50</v>
      </c>
      <c r="N201" s="1" t="s">
        <v>41</v>
      </c>
      <c r="O201" s="1" t="s">
        <v>42</v>
      </c>
      <c r="P201" s="1" t="s">
        <v>43</v>
      </c>
      <c r="Q201" s="1" t="s">
        <v>44</v>
      </c>
      <c r="R201" s="1" t="s">
        <v>45</v>
      </c>
      <c r="S201" s="1">
        <v>1157</v>
      </c>
      <c r="T201" s="1">
        <v>0</v>
      </c>
      <c r="U201" s="4">
        <v>0.10347222222222222</v>
      </c>
      <c r="V201" s="1">
        <v>1420</v>
      </c>
      <c r="W201" s="1">
        <v>1680</v>
      </c>
      <c r="X201" s="1">
        <v>3100</v>
      </c>
      <c r="Y201" s="1" t="s">
        <v>51</v>
      </c>
      <c r="Z201" s="1">
        <v>1530</v>
      </c>
      <c r="AA201" s="1">
        <v>1570</v>
      </c>
      <c r="AB201" s="1">
        <v>0</v>
      </c>
      <c r="AC201" s="1">
        <v>0</v>
      </c>
      <c r="AD201" s="1">
        <v>0</v>
      </c>
      <c r="AE201" s="1">
        <v>0</v>
      </c>
      <c r="AF201" s="1"/>
      <c r="AG201" s="1">
        <v>0</v>
      </c>
      <c r="AH201" s="1">
        <v>0</v>
      </c>
      <c r="AI201" s="1">
        <v>0</v>
      </c>
      <c r="AJ201" s="1">
        <v>0</v>
      </c>
      <c r="AK201" s="1">
        <v>4.9611999999999998</v>
      </c>
      <c r="AL201" s="1">
        <v>4.9611999999999998</v>
      </c>
      <c r="AM201" s="1">
        <v>4.9611999999999998</v>
      </c>
    </row>
    <row r="202" spans="1:39" x14ac:dyDescent="0.3">
      <c r="A202" s="21" t="str">
        <f>TRIM(CLEAN(CONCATENATE(D202,K202,TEXT(C202,"YYYY-MM-DD"))))</f>
        <v>HFA201LLHA2026-02-28</v>
      </c>
      <c r="B202" t="e">
        <f>VLOOKUP(A202,Sheet1!A202:B1544,1,FALSE)</f>
        <v>#N/A</v>
      </c>
      <c r="C202" s="3">
        <v>46081</v>
      </c>
      <c r="D202" s="1" t="s">
        <v>80</v>
      </c>
      <c r="E202" s="1" t="s">
        <v>38</v>
      </c>
      <c r="F202" s="1"/>
      <c r="G202" s="1" t="s">
        <v>39</v>
      </c>
      <c r="H202" s="1" t="s">
        <v>112</v>
      </c>
      <c r="I202" s="1" t="s">
        <v>41</v>
      </c>
      <c r="J202" s="1" t="s">
        <v>42</v>
      </c>
      <c r="K202" s="1" t="s">
        <v>43</v>
      </c>
      <c r="L202" s="1" t="s">
        <v>44</v>
      </c>
      <c r="M202" s="1" t="s">
        <v>45</v>
      </c>
      <c r="N202" s="1" t="s">
        <v>67</v>
      </c>
      <c r="O202" s="1" t="s">
        <v>86</v>
      </c>
      <c r="P202" s="1" t="s">
        <v>87</v>
      </c>
      <c r="Q202" s="1" t="s">
        <v>88</v>
      </c>
      <c r="R202" s="1" t="s">
        <v>50</v>
      </c>
      <c r="S202" s="1">
        <v>264</v>
      </c>
      <c r="T202" s="1">
        <v>265</v>
      </c>
      <c r="U202" s="4">
        <v>3.6111111111111108E-2</v>
      </c>
      <c r="V202" s="1">
        <v>1530</v>
      </c>
      <c r="W202" s="1">
        <v>-30</v>
      </c>
      <c r="X202" s="1">
        <v>1500</v>
      </c>
      <c r="Y202" s="1" t="s">
        <v>51</v>
      </c>
      <c r="Z202" s="1">
        <v>900</v>
      </c>
      <c r="AA202" s="1">
        <v>600</v>
      </c>
      <c r="AB202" s="1">
        <v>0</v>
      </c>
      <c r="AC202" s="1">
        <v>0</v>
      </c>
      <c r="AD202" s="1">
        <v>0</v>
      </c>
      <c r="AE202" s="1">
        <v>0</v>
      </c>
      <c r="AF202" s="1"/>
      <c r="AG202" s="1">
        <v>0</v>
      </c>
      <c r="AH202" s="1">
        <v>0</v>
      </c>
      <c r="AI202" s="1">
        <v>0</v>
      </c>
      <c r="AJ202" s="1">
        <v>0</v>
      </c>
      <c r="AK202" s="1">
        <v>1.8959999999999999</v>
      </c>
      <c r="AL202" s="1">
        <v>1.8959999999999999</v>
      </c>
      <c r="AM202" s="1">
        <v>1.8959999999999999</v>
      </c>
    </row>
    <row r="203" spans="1:39" x14ac:dyDescent="0.3">
      <c r="A203" s="21" t="str">
        <f t="shared" si="3"/>
        <v>HFA110ALCLK2026-03-06</v>
      </c>
      <c r="B203" t="e">
        <f>VLOOKUP(A203,Sheet1!A203:B1545,1,FALSE)</f>
        <v>#N/A</v>
      </c>
      <c r="C203" s="3">
        <v>46087</v>
      </c>
      <c r="D203" s="1" t="s">
        <v>120</v>
      </c>
      <c r="E203" s="1" t="s">
        <v>38</v>
      </c>
      <c r="F203" s="1"/>
      <c r="G203" s="1" t="s">
        <v>39</v>
      </c>
      <c r="H203" s="1" t="s">
        <v>112</v>
      </c>
      <c r="I203" s="1" t="s">
        <v>67</v>
      </c>
      <c r="J203" s="1" t="s">
        <v>86</v>
      </c>
      <c r="K203" s="1" t="s">
        <v>87</v>
      </c>
      <c r="L203" s="1" t="s">
        <v>88</v>
      </c>
      <c r="M203" s="1" t="s">
        <v>50</v>
      </c>
      <c r="N203" s="1" t="s">
        <v>46</v>
      </c>
      <c r="O203" s="1" t="s">
        <v>47</v>
      </c>
      <c r="P203" s="1" t="s">
        <v>48</v>
      </c>
      <c r="Q203" s="1" t="s">
        <v>49</v>
      </c>
      <c r="R203" s="1" t="s">
        <v>50</v>
      </c>
      <c r="S203" s="1">
        <v>932</v>
      </c>
      <c r="T203" s="1">
        <v>932</v>
      </c>
      <c r="U203" s="4">
        <v>0.10347222222222222</v>
      </c>
      <c r="V203" s="1">
        <v>900</v>
      </c>
      <c r="W203" s="1">
        <v>1800</v>
      </c>
      <c r="X203" s="1">
        <v>2700</v>
      </c>
      <c r="Y203" s="1" t="s">
        <v>51</v>
      </c>
      <c r="Z203" s="1">
        <v>1070</v>
      </c>
      <c r="AA203" s="1">
        <v>1630</v>
      </c>
      <c r="AB203" s="1">
        <v>0</v>
      </c>
      <c r="AC203" s="1">
        <v>0</v>
      </c>
      <c r="AD203" s="1">
        <v>0</v>
      </c>
      <c r="AE203" s="1">
        <v>0</v>
      </c>
      <c r="AF203" s="1"/>
      <c r="AG203" s="1">
        <v>0</v>
      </c>
      <c r="AH203" s="1">
        <v>0</v>
      </c>
      <c r="AI203" s="1">
        <v>0</v>
      </c>
      <c r="AJ203" s="1">
        <v>0</v>
      </c>
      <c r="AK203" s="1">
        <v>5.1508000000000003</v>
      </c>
      <c r="AL203" s="1">
        <v>5.1508000000000003</v>
      </c>
      <c r="AM203" s="1">
        <v>5.1508000000000003</v>
      </c>
    </row>
    <row r="204" spans="1:39" x14ac:dyDescent="0.3">
      <c r="A204" s="21" t="str">
        <f t="shared" si="3"/>
        <v>HFA110LGAV2026-03-06</v>
      </c>
      <c r="B204" t="e">
        <f>VLOOKUP(A204,Sheet1!A204:B1546,1,FALSE)</f>
        <v>#N/A</v>
      </c>
      <c r="C204" s="3">
        <v>46087</v>
      </c>
      <c r="D204" s="1" t="s">
        <v>121</v>
      </c>
      <c r="E204" s="1" t="s">
        <v>38</v>
      </c>
      <c r="F204" s="1"/>
      <c r="G204" s="1" t="s">
        <v>39</v>
      </c>
      <c r="H204" s="1" t="s">
        <v>112</v>
      </c>
      <c r="I204" s="1" t="s">
        <v>46</v>
      </c>
      <c r="J204" s="1" t="s">
        <v>47</v>
      </c>
      <c r="K204" s="1" t="s">
        <v>48</v>
      </c>
      <c r="L204" s="1" t="s">
        <v>49</v>
      </c>
      <c r="M204" s="1" t="s">
        <v>50</v>
      </c>
      <c r="N204" s="1" t="s">
        <v>41</v>
      </c>
      <c r="O204" s="1" t="s">
        <v>82</v>
      </c>
      <c r="P204" s="1" t="s">
        <v>83</v>
      </c>
      <c r="Q204" s="1" t="s">
        <v>84</v>
      </c>
      <c r="R204" s="1" t="s">
        <v>45</v>
      </c>
      <c r="S204" s="1">
        <v>1195</v>
      </c>
      <c r="T204" s="1">
        <v>1195</v>
      </c>
      <c r="U204" s="4">
        <v>0.11666666666666667</v>
      </c>
      <c r="V204" s="1">
        <v>1070</v>
      </c>
      <c r="W204" s="1">
        <v>2330</v>
      </c>
      <c r="X204" s="1">
        <v>3400</v>
      </c>
      <c r="Y204" s="1" t="s">
        <v>51</v>
      </c>
      <c r="Z204" s="1">
        <v>1600</v>
      </c>
      <c r="AA204" s="1">
        <v>1800</v>
      </c>
      <c r="AB204" s="1">
        <v>0</v>
      </c>
      <c r="AC204" s="1">
        <v>0</v>
      </c>
      <c r="AD204" s="1">
        <v>0</v>
      </c>
      <c r="AE204" s="1">
        <v>0</v>
      </c>
      <c r="AF204" s="1"/>
      <c r="AG204" s="1">
        <v>0</v>
      </c>
      <c r="AH204" s="1">
        <v>0</v>
      </c>
      <c r="AI204" s="1">
        <v>0</v>
      </c>
      <c r="AJ204" s="1">
        <v>0</v>
      </c>
      <c r="AK204" s="1">
        <v>5.6879999999999997</v>
      </c>
      <c r="AL204" s="1">
        <v>5.6879999999999997</v>
      </c>
      <c r="AM204" s="1">
        <v>5.6879999999999997</v>
      </c>
    </row>
    <row r="205" spans="1:39" x14ac:dyDescent="0.3">
      <c r="A205" s="21" t="str">
        <f t="shared" si="3"/>
        <v>HFA109LLBG2026-03-06</v>
      </c>
      <c r="B205" t="e">
        <f>VLOOKUP(A205,Sheet1!A205:B1547,1,FALSE)</f>
        <v>#N/A</v>
      </c>
      <c r="C205" s="3">
        <v>46087</v>
      </c>
      <c r="D205" s="1" t="s">
        <v>122</v>
      </c>
      <c r="E205" s="1" t="s">
        <v>38</v>
      </c>
      <c r="F205" s="1"/>
      <c r="G205" s="1" t="s">
        <v>39</v>
      </c>
      <c r="H205" s="1" t="s">
        <v>112</v>
      </c>
      <c r="I205" s="1" t="s">
        <v>41</v>
      </c>
      <c r="J205" s="1" t="s">
        <v>82</v>
      </c>
      <c r="K205" s="1" t="s">
        <v>83</v>
      </c>
      <c r="L205" s="1" t="s">
        <v>84</v>
      </c>
      <c r="M205" s="1" t="s">
        <v>45</v>
      </c>
      <c r="N205" s="1" t="s">
        <v>67</v>
      </c>
      <c r="O205" s="1" t="s">
        <v>86</v>
      </c>
      <c r="P205" s="1" t="s">
        <v>87</v>
      </c>
      <c r="Q205" s="1" t="s">
        <v>88</v>
      </c>
      <c r="R205" s="1" t="s">
        <v>50</v>
      </c>
      <c r="S205" s="1">
        <v>339</v>
      </c>
      <c r="T205" s="1">
        <v>339</v>
      </c>
      <c r="U205" s="4">
        <v>7.1527777777777773E-2</v>
      </c>
      <c r="V205" s="1">
        <v>1600</v>
      </c>
      <c r="W205" s="1">
        <v>100</v>
      </c>
      <c r="X205" s="1">
        <v>1700</v>
      </c>
      <c r="Y205" s="1" t="s">
        <v>51</v>
      </c>
      <c r="Z205" s="1">
        <v>800</v>
      </c>
      <c r="AA205" s="1">
        <v>900</v>
      </c>
      <c r="AB205" s="1">
        <v>0</v>
      </c>
      <c r="AC205" s="1">
        <v>0</v>
      </c>
      <c r="AD205" s="1">
        <v>0</v>
      </c>
      <c r="AE205" s="1">
        <v>0</v>
      </c>
      <c r="AF205" s="1"/>
      <c r="AG205" s="1">
        <v>0</v>
      </c>
      <c r="AH205" s="1">
        <v>0</v>
      </c>
      <c r="AI205" s="1">
        <v>0</v>
      </c>
      <c r="AJ205" s="1">
        <v>0</v>
      </c>
      <c r="AK205" s="1">
        <v>2.8439999999999999</v>
      </c>
      <c r="AL205" s="1">
        <v>2.8439999999999999</v>
      </c>
      <c r="AM205" s="1">
        <v>2.8439999999999999</v>
      </c>
    </row>
    <row r="206" spans="1:39" x14ac:dyDescent="0.3">
      <c r="A206" s="21" t="str">
        <f t="shared" si="3"/>
        <v>HFA118LCLK2026-03-07</v>
      </c>
      <c r="B206" t="e">
        <f>VLOOKUP(A206,Sheet1!A206:B1548,1,FALSE)</f>
        <v>#N/A</v>
      </c>
      <c r="C206" s="3">
        <v>46088</v>
      </c>
      <c r="D206" s="1" t="s">
        <v>123</v>
      </c>
      <c r="E206" s="1" t="s">
        <v>38</v>
      </c>
      <c r="F206" s="1"/>
      <c r="G206" s="1" t="s">
        <v>39</v>
      </c>
      <c r="H206" s="1" t="s">
        <v>112</v>
      </c>
      <c r="I206" s="1" t="s">
        <v>67</v>
      </c>
      <c r="J206" s="1" t="s">
        <v>86</v>
      </c>
      <c r="K206" s="1" t="s">
        <v>87</v>
      </c>
      <c r="L206" s="1" t="s">
        <v>88</v>
      </c>
      <c r="M206" s="1" t="s">
        <v>50</v>
      </c>
      <c r="N206" s="1" t="s">
        <v>41</v>
      </c>
      <c r="O206" s="1" t="s">
        <v>82</v>
      </c>
      <c r="P206" s="1" t="s">
        <v>83</v>
      </c>
      <c r="Q206" s="1" t="s">
        <v>84</v>
      </c>
      <c r="R206" s="1" t="s">
        <v>45</v>
      </c>
      <c r="S206" s="1">
        <v>339</v>
      </c>
      <c r="T206" s="1">
        <v>339</v>
      </c>
      <c r="U206" s="4">
        <v>4.7916666666666663E-2</v>
      </c>
      <c r="V206" s="1">
        <v>800</v>
      </c>
      <c r="W206" s="1">
        <v>1900</v>
      </c>
      <c r="X206" s="1">
        <v>2700</v>
      </c>
      <c r="Y206" s="1" t="s">
        <v>51</v>
      </c>
      <c r="Z206" s="1">
        <v>1930</v>
      </c>
      <c r="AA206" s="1">
        <v>770</v>
      </c>
      <c r="AB206" s="1">
        <v>0</v>
      </c>
      <c r="AC206" s="1">
        <v>0</v>
      </c>
      <c r="AD206" s="1">
        <v>0</v>
      </c>
      <c r="AE206" s="1">
        <v>0</v>
      </c>
      <c r="AF206" s="1"/>
      <c r="AG206" s="1">
        <v>0</v>
      </c>
      <c r="AH206" s="1">
        <v>0</v>
      </c>
      <c r="AI206" s="1">
        <v>0</v>
      </c>
      <c r="AJ206" s="1">
        <v>0</v>
      </c>
      <c r="AK206" s="1">
        <v>2.4331999999999998</v>
      </c>
      <c r="AL206" s="1">
        <v>2.4331999999999998</v>
      </c>
      <c r="AM206" s="1">
        <v>2.4331999999999998</v>
      </c>
    </row>
    <row r="207" spans="1:39" x14ac:dyDescent="0.3">
      <c r="A207" s="21" t="str">
        <f t="shared" si="3"/>
        <v>HFA117LLBG2026-03-07</v>
      </c>
      <c r="B207" t="e">
        <f>VLOOKUP(A207,Sheet1!A207:B1549,1,FALSE)</f>
        <v>#N/A</v>
      </c>
      <c r="C207" s="3">
        <v>46088</v>
      </c>
      <c r="D207" s="1" t="s">
        <v>124</v>
      </c>
      <c r="E207" s="1" t="s">
        <v>38</v>
      </c>
      <c r="F207" s="1"/>
      <c r="G207" s="1" t="s">
        <v>39</v>
      </c>
      <c r="H207" s="1" t="s">
        <v>112</v>
      </c>
      <c r="I207" s="1" t="s">
        <v>41</v>
      </c>
      <c r="J207" s="1" t="s">
        <v>82</v>
      </c>
      <c r="K207" s="1" t="s">
        <v>83</v>
      </c>
      <c r="L207" s="1" t="s">
        <v>84</v>
      </c>
      <c r="M207" s="1" t="s">
        <v>45</v>
      </c>
      <c r="N207" s="1" t="s">
        <v>67</v>
      </c>
      <c r="O207" s="1" t="s">
        <v>86</v>
      </c>
      <c r="P207" s="1" t="s">
        <v>87</v>
      </c>
      <c r="Q207" s="1" t="s">
        <v>88</v>
      </c>
      <c r="R207" s="1" t="s">
        <v>50</v>
      </c>
      <c r="S207" s="1">
        <v>339</v>
      </c>
      <c r="T207" s="1">
        <v>339</v>
      </c>
      <c r="U207" s="4">
        <v>5.2083333333333329E-2</v>
      </c>
      <c r="V207" s="1">
        <v>1930</v>
      </c>
      <c r="W207" s="1">
        <v>0</v>
      </c>
      <c r="X207" s="1">
        <v>1930</v>
      </c>
      <c r="Y207" s="1" t="s">
        <v>51</v>
      </c>
      <c r="Z207" s="1">
        <v>1000</v>
      </c>
      <c r="AA207" s="1">
        <v>930</v>
      </c>
      <c r="AB207" s="1">
        <v>0</v>
      </c>
      <c r="AC207" s="1">
        <v>0</v>
      </c>
      <c r="AD207" s="1">
        <v>0</v>
      </c>
      <c r="AE207" s="1">
        <v>0</v>
      </c>
      <c r="AF207" s="1"/>
      <c r="AG207" s="1">
        <v>0</v>
      </c>
      <c r="AH207" s="1">
        <v>0</v>
      </c>
      <c r="AI207" s="1">
        <v>0</v>
      </c>
      <c r="AJ207" s="1">
        <v>0</v>
      </c>
      <c r="AK207" s="1">
        <v>2.9388000000000001</v>
      </c>
      <c r="AL207" s="1">
        <v>2.9388000000000001</v>
      </c>
      <c r="AM207" s="1">
        <v>2.9388000000000001</v>
      </c>
    </row>
    <row r="208" spans="1:39" x14ac:dyDescent="0.3">
      <c r="A208" s="21" t="str">
        <f t="shared" si="3"/>
        <v>HFA180LCLK2026-03-13</v>
      </c>
      <c r="B208" t="e">
        <f>VLOOKUP(A208,Sheet1!A208:B1550,1,FALSE)</f>
        <v>#N/A</v>
      </c>
      <c r="C208" s="3">
        <v>46094</v>
      </c>
      <c r="D208" s="1" t="s">
        <v>125</v>
      </c>
      <c r="E208" s="1" t="s">
        <v>38</v>
      </c>
      <c r="F208" s="1"/>
      <c r="G208" s="1" t="s">
        <v>39</v>
      </c>
      <c r="H208" s="1" t="s">
        <v>112</v>
      </c>
      <c r="I208" s="1" t="s">
        <v>67</v>
      </c>
      <c r="J208" s="1" t="s">
        <v>86</v>
      </c>
      <c r="K208" s="1" t="s">
        <v>87</v>
      </c>
      <c r="L208" s="1" t="s">
        <v>88</v>
      </c>
      <c r="M208" s="1" t="s">
        <v>50</v>
      </c>
      <c r="N208" s="1" t="s">
        <v>41</v>
      </c>
      <c r="O208" s="1" t="s">
        <v>82</v>
      </c>
      <c r="P208" s="1" t="s">
        <v>83</v>
      </c>
      <c r="Q208" s="1" t="s">
        <v>84</v>
      </c>
      <c r="R208" s="1" t="s">
        <v>45</v>
      </c>
      <c r="S208" s="1">
        <v>339</v>
      </c>
      <c r="T208" s="1">
        <v>339</v>
      </c>
      <c r="U208" s="4">
        <v>4.9305555555555554E-2</v>
      </c>
      <c r="V208" s="1">
        <v>1000</v>
      </c>
      <c r="W208" s="1">
        <v>1700</v>
      </c>
      <c r="X208" s="1">
        <v>2700</v>
      </c>
      <c r="Y208" s="1" t="s">
        <v>51</v>
      </c>
      <c r="Z208" s="1">
        <v>1930</v>
      </c>
      <c r="AA208" s="1">
        <v>770</v>
      </c>
      <c r="AB208" s="1">
        <v>0</v>
      </c>
      <c r="AC208" s="1">
        <v>0</v>
      </c>
      <c r="AD208" s="1">
        <v>0</v>
      </c>
      <c r="AE208" s="1">
        <v>0</v>
      </c>
      <c r="AF208" s="1"/>
      <c r="AG208" s="1">
        <v>0</v>
      </c>
      <c r="AH208" s="1">
        <v>0</v>
      </c>
      <c r="AI208" s="1">
        <v>0</v>
      </c>
      <c r="AJ208" s="1">
        <v>0</v>
      </c>
      <c r="AK208" s="1">
        <v>2.4331999999999998</v>
      </c>
      <c r="AL208" s="1">
        <v>2.4331999999999998</v>
      </c>
      <c r="AM208" s="1">
        <v>2.4331999999999998</v>
      </c>
    </row>
    <row r="209" spans="1:39" x14ac:dyDescent="0.3">
      <c r="A209" s="21" t="str">
        <f t="shared" si="3"/>
        <v>HFA183LLBG2026-03-13</v>
      </c>
      <c r="B209" t="e">
        <f>VLOOKUP(A209,Sheet1!A209:B1551,1,FALSE)</f>
        <v>#N/A</v>
      </c>
      <c r="C209" s="3">
        <v>46094</v>
      </c>
      <c r="D209" s="1" t="s">
        <v>126</v>
      </c>
      <c r="E209" s="1" t="s">
        <v>38</v>
      </c>
      <c r="F209" s="1"/>
      <c r="G209" s="1" t="s">
        <v>39</v>
      </c>
      <c r="H209" s="1" t="s">
        <v>112</v>
      </c>
      <c r="I209" s="1" t="s">
        <v>41</v>
      </c>
      <c r="J209" s="1" t="s">
        <v>82</v>
      </c>
      <c r="K209" s="1" t="s">
        <v>83</v>
      </c>
      <c r="L209" s="1" t="s">
        <v>84</v>
      </c>
      <c r="M209" s="1" t="s">
        <v>45</v>
      </c>
      <c r="N209" s="1" t="s">
        <v>67</v>
      </c>
      <c r="O209" s="1" t="s">
        <v>86</v>
      </c>
      <c r="P209" s="1" t="s">
        <v>87</v>
      </c>
      <c r="Q209" s="1" t="s">
        <v>88</v>
      </c>
      <c r="R209" s="1" t="s">
        <v>50</v>
      </c>
      <c r="S209" s="1">
        <v>339</v>
      </c>
      <c r="T209" s="1">
        <v>0</v>
      </c>
      <c r="U209" s="4">
        <v>5.0694444444444445E-2</v>
      </c>
      <c r="V209" s="1">
        <v>1930</v>
      </c>
      <c r="W209" s="1">
        <v>-30</v>
      </c>
      <c r="X209" s="1">
        <v>1900</v>
      </c>
      <c r="Y209" s="1" t="s">
        <v>51</v>
      </c>
      <c r="Z209" s="1">
        <v>1090</v>
      </c>
      <c r="AA209" s="1">
        <v>810</v>
      </c>
      <c r="AB209" s="1">
        <v>0</v>
      </c>
      <c r="AC209" s="1">
        <v>0</v>
      </c>
      <c r="AD209" s="1">
        <v>0</v>
      </c>
      <c r="AE209" s="1">
        <v>0</v>
      </c>
      <c r="AF209" s="1"/>
      <c r="AG209" s="1">
        <v>0</v>
      </c>
      <c r="AH209" s="1">
        <v>0</v>
      </c>
      <c r="AI209" s="1">
        <v>0</v>
      </c>
      <c r="AJ209" s="1">
        <v>0</v>
      </c>
      <c r="AK209" s="1">
        <v>2.5596000000000001</v>
      </c>
      <c r="AL209" s="1">
        <v>2.5596000000000001</v>
      </c>
      <c r="AM209" s="1">
        <v>2.5596000000000001</v>
      </c>
    </row>
    <row r="210" spans="1:39" x14ac:dyDescent="0.3">
      <c r="A210" s="21" t="str">
        <f t="shared" si="3"/>
        <v>HFA188LCLK2026-03-14</v>
      </c>
      <c r="B210" t="e">
        <f>VLOOKUP(A210,Sheet1!A210:B1552,1,FALSE)</f>
        <v>#N/A</v>
      </c>
      <c r="C210" s="3">
        <v>46095</v>
      </c>
      <c r="D210" s="1" t="s">
        <v>127</v>
      </c>
      <c r="E210" s="1" t="s">
        <v>38</v>
      </c>
      <c r="F210" s="1"/>
      <c r="G210" s="1" t="s">
        <v>39</v>
      </c>
      <c r="H210" s="1" t="s">
        <v>112</v>
      </c>
      <c r="I210" s="1" t="s">
        <v>67</v>
      </c>
      <c r="J210" s="1" t="s">
        <v>86</v>
      </c>
      <c r="K210" s="1" t="s">
        <v>87</v>
      </c>
      <c r="L210" s="1" t="s">
        <v>88</v>
      </c>
      <c r="M210" s="1" t="s">
        <v>50</v>
      </c>
      <c r="N210" s="1" t="s">
        <v>41</v>
      </c>
      <c r="O210" s="1" t="s">
        <v>82</v>
      </c>
      <c r="P210" s="1" t="s">
        <v>83</v>
      </c>
      <c r="Q210" s="1" t="s">
        <v>84</v>
      </c>
      <c r="R210" s="1" t="s">
        <v>45</v>
      </c>
      <c r="S210" s="1">
        <v>339</v>
      </c>
      <c r="T210" s="1">
        <v>0</v>
      </c>
      <c r="U210" s="4">
        <v>5.486111111111111E-2</v>
      </c>
      <c r="V210" s="1">
        <v>1090</v>
      </c>
      <c r="W210" s="1">
        <v>1510</v>
      </c>
      <c r="X210" s="1">
        <v>2600</v>
      </c>
      <c r="Y210" s="1" t="s">
        <v>51</v>
      </c>
      <c r="Z210" s="1">
        <v>1820</v>
      </c>
      <c r="AA210" s="1">
        <v>780</v>
      </c>
      <c r="AB210" s="1">
        <v>0</v>
      </c>
      <c r="AC210" s="1">
        <v>0</v>
      </c>
      <c r="AD210" s="1">
        <v>0</v>
      </c>
      <c r="AE210" s="1">
        <v>0</v>
      </c>
      <c r="AF210" s="1"/>
      <c r="AG210" s="1">
        <v>0</v>
      </c>
      <c r="AH210" s="1">
        <v>0</v>
      </c>
      <c r="AI210" s="1">
        <v>0</v>
      </c>
      <c r="AJ210" s="1">
        <v>0</v>
      </c>
      <c r="AK210" s="1">
        <v>2.4647999999999999</v>
      </c>
      <c r="AL210" s="1">
        <v>2.4647999999999999</v>
      </c>
      <c r="AM210" s="1">
        <v>2.4647999999999999</v>
      </c>
    </row>
    <row r="211" spans="1:39" x14ac:dyDescent="0.3">
      <c r="A211" s="21" t="str">
        <f t="shared" si="3"/>
        <v>HFA189LLBG2026-03-14</v>
      </c>
      <c r="B211" t="e">
        <f>VLOOKUP(A211,Sheet1!A211:B1553,1,FALSE)</f>
        <v>#N/A</v>
      </c>
      <c r="C211" s="3">
        <v>46095</v>
      </c>
      <c r="D211" s="1" t="s">
        <v>128</v>
      </c>
      <c r="E211" s="1" t="s">
        <v>38</v>
      </c>
      <c r="F211" s="1"/>
      <c r="G211" s="1" t="s">
        <v>39</v>
      </c>
      <c r="H211" s="1" t="s">
        <v>112</v>
      </c>
      <c r="I211" s="1" t="s">
        <v>41</v>
      </c>
      <c r="J211" s="1" t="s">
        <v>82</v>
      </c>
      <c r="K211" s="1" t="s">
        <v>83</v>
      </c>
      <c r="L211" s="1" t="s">
        <v>84</v>
      </c>
      <c r="M211" s="1" t="s">
        <v>45</v>
      </c>
      <c r="N211" s="1" t="s">
        <v>67</v>
      </c>
      <c r="O211" s="1" t="s">
        <v>86</v>
      </c>
      <c r="P211" s="1" t="s">
        <v>87</v>
      </c>
      <c r="Q211" s="1" t="s">
        <v>88</v>
      </c>
      <c r="R211" s="1" t="s">
        <v>50</v>
      </c>
      <c r="S211" s="1">
        <v>339</v>
      </c>
      <c r="T211" s="1">
        <v>0</v>
      </c>
      <c r="U211" s="4">
        <v>5.4166666666666669E-2</v>
      </c>
      <c r="V211" s="1">
        <v>1820</v>
      </c>
      <c r="W211" s="1">
        <v>80</v>
      </c>
      <c r="X211" s="1">
        <v>1900</v>
      </c>
      <c r="Y211" s="1" t="s">
        <v>51</v>
      </c>
      <c r="Z211" s="1">
        <v>1100</v>
      </c>
      <c r="AA211" s="1">
        <v>800</v>
      </c>
      <c r="AB211" s="1">
        <v>0</v>
      </c>
      <c r="AC211" s="1">
        <v>0</v>
      </c>
      <c r="AD211" s="1">
        <v>0</v>
      </c>
      <c r="AE211" s="1">
        <v>0</v>
      </c>
      <c r="AF211" s="1"/>
      <c r="AG211" s="1">
        <v>0</v>
      </c>
      <c r="AH211" s="1">
        <v>0</v>
      </c>
      <c r="AI211" s="1">
        <v>0</v>
      </c>
      <c r="AJ211" s="1">
        <v>0</v>
      </c>
      <c r="AK211" s="1">
        <v>2.528</v>
      </c>
      <c r="AL211" s="1">
        <v>2.528</v>
      </c>
      <c r="AM211" s="1">
        <v>2.528</v>
      </c>
    </row>
    <row r="212" spans="1:39" x14ac:dyDescent="0.3">
      <c r="A212" s="21" t="str">
        <f t="shared" si="3"/>
        <v>HFA131LCLK2026-03-29</v>
      </c>
      <c r="B212" t="e">
        <f>VLOOKUP(A212,Sheet1!A212:B1554,1,FALSE)</f>
        <v>#N/A</v>
      </c>
      <c r="C212" s="3">
        <v>46110</v>
      </c>
      <c r="D212" s="1" t="s">
        <v>129</v>
      </c>
      <c r="E212" s="1" t="s">
        <v>38</v>
      </c>
      <c r="F212" s="1"/>
      <c r="G212" s="1" t="s">
        <v>39</v>
      </c>
      <c r="H212" s="1" t="s">
        <v>112</v>
      </c>
      <c r="I212" s="1" t="s">
        <v>67</v>
      </c>
      <c r="J212" s="1" t="s">
        <v>86</v>
      </c>
      <c r="K212" s="1" t="s">
        <v>87</v>
      </c>
      <c r="L212" s="1" t="s">
        <v>88</v>
      </c>
      <c r="M212" s="1" t="s">
        <v>50</v>
      </c>
      <c r="N212" s="1" t="s">
        <v>130</v>
      </c>
      <c r="O212" s="1" t="s">
        <v>131</v>
      </c>
      <c r="P212" s="1" t="s">
        <v>132</v>
      </c>
      <c r="Q212" s="1"/>
      <c r="R212" s="1" t="s">
        <v>50</v>
      </c>
      <c r="S212" s="1">
        <v>2927</v>
      </c>
      <c r="T212" s="1">
        <v>2926</v>
      </c>
      <c r="U212" s="4">
        <v>0.30625000000000002</v>
      </c>
      <c r="V212" s="1">
        <v>1100</v>
      </c>
      <c r="W212" s="1">
        <v>3900</v>
      </c>
      <c r="X212" s="1">
        <v>5000</v>
      </c>
      <c r="Y212" s="1" t="s">
        <v>51</v>
      </c>
      <c r="Z212" s="1">
        <v>800</v>
      </c>
      <c r="AA212" s="1">
        <v>4200</v>
      </c>
      <c r="AB212" s="1">
        <v>0</v>
      </c>
      <c r="AC212" s="1">
        <v>0</v>
      </c>
      <c r="AD212" s="1">
        <v>0</v>
      </c>
      <c r="AE212" s="1">
        <v>0</v>
      </c>
      <c r="AF212" s="1"/>
      <c r="AG212" s="1">
        <v>0</v>
      </c>
      <c r="AH212" s="1">
        <v>0</v>
      </c>
      <c r="AI212" s="1">
        <v>0</v>
      </c>
      <c r="AJ212" s="1">
        <v>0</v>
      </c>
      <c r="AK212" s="1">
        <v>13.272</v>
      </c>
      <c r="AL212" s="1">
        <v>13.272</v>
      </c>
      <c r="AM212" s="1">
        <v>13.272</v>
      </c>
    </row>
    <row r="213" spans="1:39" x14ac:dyDescent="0.3">
      <c r="A213" s="21" t="str">
        <f t="shared" si="3"/>
        <v>HFA801LLHA2026-01-01</v>
      </c>
      <c r="B213" t="str">
        <f>VLOOKUP(A213,Sheet1!A213:B1555,1,FALSE)</f>
        <v>HFA801LLHA2026-01-01</v>
      </c>
      <c r="C213" s="3">
        <v>46023</v>
      </c>
      <c r="D213" s="1" t="s">
        <v>133</v>
      </c>
      <c r="E213" s="1" t="s">
        <v>38</v>
      </c>
      <c r="F213" s="1"/>
      <c r="G213" s="1" t="s">
        <v>39</v>
      </c>
      <c r="H213" s="1" t="s">
        <v>134</v>
      </c>
      <c r="I213" s="1" t="s">
        <v>41</v>
      </c>
      <c r="J213" s="1" t="s">
        <v>42</v>
      </c>
      <c r="K213" s="1" t="s">
        <v>43</v>
      </c>
      <c r="L213" s="1" t="s">
        <v>44</v>
      </c>
      <c r="M213" s="1" t="s">
        <v>45</v>
      </c>
      <c r="N213" s="1" t="s">
        <v>67</v>
      </c>
      <c r="O213" s="1" t="s">
        <v>86</v>
      </c>
      <c r="P213" s="1" t="s">
        <v>87</v>
      </c>
      <c r="Q213" s="1" t="s">
        <v>88</v>
      </c>
      <c r="R213" s="1" t="s">
        <v>50</v>
      </c>
      <c r="S213" s="1">
        <v>264</v>
      </c>
      <c r="T213" s="1">
        <v>0</v>
      </c>
      <c r="U213" s="4">
        <v>3.6805555555555557E-2</v>
      </c>
      <c r="V213" s="1">
        <v>1480</v>
      </c>
      <c r="W213" s="1">
        <v>-40</v>
      </c>
      <c r="X213" s="1">
        <v>1440</v>
      </c>
      <c r="Y213" s="1" t="s">
        <v>51</v>
      </c>
      <c r="Z213" s="1">
        <v>900</v>
      </c>
      <c r="AA213" s="1">
        <v>540</v>
      </c>
      <c r="AB213" s="1">
        <v>0</v>
      </c>
      <c r="AC213" s="1">
        <v>0</v>
      </c>
      <c r="AD213" s="1">
        <v>0</v>
      </c>
      <c r="AE213" s="1">
        <v>0</v>
      </c>
      <c r="AF213" s="1"/>
      <c r="AG213" s="1">
        <v>0</v>
      </c>
      <c r="AH213" s="1">
        <v>0</v>
      </c>
      <c r="AI213" s="1">
        <v>0</v>
      </c>
      <c r="AJ213" s="1">
        <v>0</v>
      </c>
      <c r="AK213" s="1">
        <v>1.7063999999999999</v>
      </c>
      <c r="AL213" s="1">
        <v>1.7063999999999999</v>
      </c>
      <c r="AM213" s="1">
        <v>1.7063999999999999</v>
      </c>
    </row>
    <row r="214" spans="1:39" x14ac:dyDescent="0.3">
      <c r="A214" s="21" t="str">
        <f t="shared" si="3"/>
        <v>HFA802LCLK2026-01-01</v>
      </c>
      <c r="B214" t="str">
        <f>VLOOKUP(A214,Sheet1!A214:B1556,1,FALSE)</f>
        <v>HFA802LCLK2026-01-01</v>
      </c>
      <c r="C214" s="3">
        <v>46023</v>
      </c>
      <c r="D214" s="1" t="s">
        <v>135</v>
      </c>
      <c r="E214" s="1" t="s">
        <v>38</v>
      </c>
      <c r="F214" s="1"/>
      <c r="G214" s="1" t="s">
        <v>39</v>
      </c>
      <c r="H214" s="1" t="s">
        <v>134</v>
      </c>
      <c r="I214" s="1" t="s">
        <v>67</v>
      </c>
      <c r="J214" s="1" t="s">
        <v>86</v>
      </c>
      <c r="K214" s="1" t="s">
        <v>87</v>
      </c>
      <c r="L214" s="1" t="s">
        <v>88</v>
      </c>
      <c r="M214" s="1" t="s">
        <v>50</v>
      </c>
      <c r="N214" s="1" t="s">
        <v>41</v>
      </c>
      <c r="O214" s="1" t="s">
        <v>42</v>
      </c>
      <c r="P214" s="1" t="s">
        <v>43</v>
      </c>
      <c r="Q214" s="1" t="s">
        <v>44</v>
      </c>
      <c r="R214" s="1" t="s">
        <v>45</v>
      </c>
      <c r="S214" s="1">
        <v>264</v>
      </c>
      <c r="T214" s="1">
        <v>0</v>
      </c>
      <c r="U214" s="4">
        <v>3.8194444444444448E-2</v>
      </c>
      <c r="V214" s="1">
        <v>900</v>
      </c>
      <c r="W214" s="1">
        <v>1200</v>
      </c>
      <c r="X214" s="1">
        <v>2100</v>
      </c>
      <c r="Y214" s="1" t="s">
        <v>51</v>
      </c>
      <c r="Z214" s="1">
        <v>1560</v>
      </c>
      <c r="AA214" s="1">
        <v>540</v>
      </c>
      <c r="AB214" s="1">
        <v>0</v>
      </c>
      <c r="AC214" s="1">
        <v>0</v>
      </c>
      <c r="AD214" s="1">
        <v>0</v>
      </c>
      <c r="AE214" s="1">
        <v>0</v>
      </c>
      <c r="AF214" s="1"/>
      <c r="AG214" s="1">
        <v>0</v>
      </c>
      <c r="AH214" s="1">
        <v>0</v>
      </c>
      <c r="AI214" s="1">
        <v>0</v>
      </c>
      <c r="AJ214" s="1">
        <v>0</v>
      </c>
      <c r="AK214" s="1">
        <v>1.7063999999999999</v>
      </c>
      <c r="AL214" s="1">
        <v>1.7063999999999999</v>
      </c>
      <c r="AM214" s="1">
        <v>1.7063999999999999</v>
      </c>
    </row>
    <row r="215" spans="1:39" x14ac:dyDescent="0.3">
      <c r="A215" s="21" t="str">
        <f t="shared" si="3"/>
        <v>HFA803LLHA2026-01-01</v>
      </c>
      <c r="B215" t="str">
        <f>VLOOKUP(A215,Sheet1!A215:B1557,1,FALSE)</f>
        <v>HFA803LLHA2026-01-01</v>
      </c>
      <c r="C215" s="3">
        <v>46023</v>
      </c>
      <c r="D215" s="1" t="s">
        <v>116</v>
      </c>
      <c r="E215" s="1" t="s">
        <v>38</v>
      </c>
      <c r="F215" s="1"/>
      <c r="G215" s="1" t="s">
        <v>39</v>
      </c>
      <c r="H215" s="1" t="s">
        <v>134</v>
      </c>
      <c r="I215" s="1" t="s">
        <v>41</v>
      </c>
      <c r="J215" s="1" t="s">
        <v>42</v>
      </c>
      <c r="K215" s="1" t="s">
        <v>43</v>
      </c>
      <c r="L215" s="1" t="s">
        <v>44</v>
      </c>
      <c r="M215" s="1" t="s">
        <v>45</v>
      </c>
      <c r="N215" s="1" t="s">
        <v>67</v>
      </c>
      <c r="O215" s="1" t="s">
        <v>86</v>
      </c>
      <c r="P215" s="1" t="s">
        <v>87</v>
      </c>
      <c r="Q215" s="1" t="s">
        <v>88</v>
      </c>
      <c r="R215" s="1" t="s">
        <v>50</v>
      </c>
      <c r="S215" s="1">
        <v>264</v>
      </c>
      <c r="T215" s="1">
        <v>0</v>
      </c>
      <c r="U215" s="4">
        <v>3.7499999999999999E-2</v>
      </c>
      <c r="V215" s="1">
        <v>1560</v>
      </c>
      <c r="W215" s="1">
        <v>-40</v>
      </c>
      <c r="X215" s="1">
        <v>1520</v>
      </c>
      <c r="Y215" s="1" t="s">
        <v>51</v>
      </c>
      <c r="Z215" s="1">
        <v>930</v>
      </c>
      <c r="AA215" s="1">
        <v>590</v>
      </c>
      <c r="AB215" s="1">
        <v>0</v>
      </c>
      <c r="AC215" s="1">
        <v>0</v>
      </c>
      <c r="AD215" s="1">
        <v>0</v>
      </c>
      <c r="AE215" s="1">
        <v>0</v>
      </c>
      <c r="AF215" s="1"/>
      <c r="AG215" s="1">
        <v>0</v>
      </c>
      <c r="AH215" s="1">
        <v>0</v>
      </c>
      <c r="AI215" s="1">
        <v>0</v>
      </c>
      <c r="AJ215" s="1">
        <v>0</v>
      </c>
      <c r="AK215" s="1">
        <v>1.8644000000000001</v>
      </c>
      <c r="AL215" s="1">
        <v>1.8644000000000001</v>
      </c>
      <c r="AM215" s="1">
        <v>1.8644000000000001</v>
      </c>
    </row>
    <row r="216" spans="1:39" x14ac:dyDescent="0.3">
      <c r="A216" s="21" t="str">
        <f t="shared" si="3"/>
        <v>HFA804LCLK2026-01-01</v>
      </c>
      <c r="B216" t="str">
        <f>VLOOKUP(A216,Sheet1!A216:B1558,1,FALSE)</f>
        <v>HFA804LCLK2026-01-01</v>
      </c>
      <c r="C216" s="3">
        <v>46023</v>
      </c>
      <c r="D216" s="1" t="s">
        <v>117</v>
      </c>
      <c r="E216" s="1" t="s">
        <v>38</v>
      </c>
      <c r="F216" s="1"/>
      <c r="G216" s="1" t="s">
        <v>39</v>
      </c>
      <c r="H216" s="1" t="s">
        <v>134</v>
      </c>
      <c r="I216" s="1" t="s">
        <v>67</v>
      </c>
      <c r="J216" s="1" t="s">
        <v>86</v>
      </c>
      <c r="K216" s="1" t="s">
        <v>87</v>
      </c>
      <c r="L216" s="1" t="s">
        <v>88</v>
      </c>
      <c r="M216" s="1" t="s">
        <v>50</v>
      </c>
      <c r="N216" s="1" t="s">
        <v>41</v>
      </c>
      <c r="O216" s="1" t="s">
        <v>42</v>
      </c>
      <c r="P216" s="1" t="s">
        <v>43</v>
      </c>
      <c r="Q216" s="1" t="s">
        <v>44</v>
      </c>
      <c r="R216" s="1" t="s">
        <v>45</v>
      </c>
      <c r="S216" s="1">
        <v>264</v>
      </c>
      <c r="T216" s="1">
        <v>0</v>
      </c>
      <c r="U216" s="4">
        <v>4.027777777777778E-2</v>
      </c>
      <c r="V216" s="1">
        <v>930</v>
      </c>
      <c r="W216" s="1">
        <v>1170</v>
      </c>
      <c r="X216" s="1">
        <v>2100</v>
      </c>
      <c r="Y216" s="1" t="s">
        <v>51</v>
      </c>
      <c r="Z216" s="1">
        <v>1480</v>
      </c>
      <c r="AA216" s="1">
        <v>620</v>
      </c>
      <c r="AB216" s="1">
        <v>0</v>
      </c>
      <c r="AC216" s="1">
        <v>0</v>
      </c>
      <c r="AD216" s="1">
        <v>0</v>
      </c>
      <c r="AE216" s="1">
        <v>0</v>
      </c>
      <c r="AF216" s="1"/>
      <c r="AG216" s="1">
        <v>0</v>
      </c>
      <c r="AH216" s="1">
        <v>0</v>
      </c>
      <c r="AI216" s="1">
        <v>0</v>
      </c>
      <c r="AJ216" s="1">
        <v>0</v>
      </c>
      <c r="AK216" s="1">
        <v>1.9592000000000001</v>
      </c>
      <c r="AL216" s="1">
        <v>1.9592000000000001</v>
      </c>
      <c r="AM216" s="1">
        <v>1.9592000000000001</v>
      </c>
    </row>
    <row r="217" spans="1:39" x14ac:dyDescent="0.3">
      <c r="A217" s="21" t="str">
        <f t="shared" si="3"/>
        <v>HFA805LLHA2026-01-01</v>
      </c>
      <c r="B217" t="str">
        <f>VLOOKUP(A217,Sheet1!A217:B1559,1,FALSE)</f>
        <v>HFA805LLHA2026-01-01</v>
      </c>
      <c r="C217" s="3">
        <v>46023</v>
      </c>
      <c r="D217" s="1" t="s">
        <v>114</v>
      </c>
      <c r="E217" s="1" t="s">
        <v>38</v>
      </c>
      <c r="F217" s="1"/>
      <c r="G217" s="1" t="s">
        <v>39</v>
      </c>
      <c r="H217" s="1" t="s">
        <v>134</v>
      </c>
      <c r="I217" s="1" t="s">
        <v>41</v>
      </c>
      <c r="J217" s="1" t="s">
        <v>42</v>
      </c>
      <c r="K217" s="1" t="s">
        <v>43</v>
      </c>
      <c r="L217" s="1" t="s">
        <v>44</v>
      </c>
      <c r="M217" s="1" t="s">
        <v>45</v>
      </c>
      <c r="N217" s="1" t="s">
        <v>67</v>
      </c>
      <c r="O217" s="1" t="s">
        <v>86</v>
      </c>
      <c r="P217" s="1" t="s">
        <v>87</v>
      </c>
      <c r="Q217" s="1" t="s">
        <v>88</v>
      </c>
      <c r="R217" s="1" t="s">
        <v>50</v>
      </c>
      <c r="S217" s="1">
        <v>264</v>
      </c>
      <c r="T217" s="1">
        <v>0</v>
      </c>
      <c r="U217" s="4">
        <v>3.6111111111111108E-2</v>
      </c>
      <c r="V217" s="1">
        <v>1480</v>
      </c>
      <c r="W217" s="1">
        <v>0</v>
      </c>
      <c r="X217" s="1">
        <v>1480</v>
      </c>
      <c r="Y217" s="1" t="s">
        <v>51</v>
      </c>
      <c r="Z217" s="1">
        <v>810</v>
      </c>
      <c r="AA217" s="1">
        <v>670</v>
      </c>
      <c r="AB217" s="1">
        <v>0</v>
      </c>
      <c r="AC217" s="1">
        <v>0</v>
      </c>
      <c r="AD217" s="1">
        <v>0</v>
      </c>
      <c r="AE217" s="1">
        <v>0</v>
      </c>
      <c r="AF217" s="1"/>
      <c r="AG217" s="1">
        <v>0</v>
      </c>
      <c r="AH217" s="1">
        <v>0</v>
      </c>
      <c r="AI217" s="1">
        <v>0</v>
      </c>
      <c r="AJ217" s="1">
        <v>0</v>
      </c>
      <c r="AK217" s="1">
        <v>2.1172</v>
      </c>
      <c r="AL217" s="1">
        <v>2.1172</v>
      </c>
      <c r="AM217" s="1">
        <v>2.1172</v>
      </c>
    </row>
    <row r="218" spans="1:39" x14ac:dyDescent="0.3">
      <c r="A218" s="21" t="str">
        <f t="shared" si="3"/>
        <v>HFA806LCLK2026-01-01</v>
      </c>
      <c r="B218" t="str">
        <f>VLOOKUP(A218,Sheet1!A218:B1560,1,FALSE)</f>
        <v>HFA806LCLK2026-01-01</v>
      </c>
      <c r="C218" s="3">
        <v>46023</v>
      </c>
      <c r="D218" s="1" t="s">
        <v>115</v>
      </c>
      <c r="E218" s="1" t="s">
        <v>38</v>
      </c>
      <c r="F218" s="1"/>
      <c r="G218" s="1" t="s">
        <v>39</v>
      </c>
      <c r="H218" s="1" t="s">
        <v>134</v>
      </c>
      <c r="I218" s="1" t="s">
        <v>67</v>
      </c>
      <c r="J218" s="1" t="s">
        <v>86</v>
      </c>
      <c r="K218" s="1" t="s">
        <v>87</v>
      </c>
      <c r="L218" s="1" t="s">
        <v>88</v>
      </c>
      <c r="M218" s="1" t="s">
        <v>50</v>
      </c>
      <c r="N218" s="1" t="s">
        <v>41</v>
      </c>
      <c r="O218" s="1" t="s">
        <v>42</v>
      </c>
      <c r="P218" s="1" t="s">
        <v>43</v>
      </c>
      <c r="Q218" s="1" t="s">
        <v>44</v>
      </c>
      <c r="R218" s="1" t="s">
        <v>45</v>
      </c>
      <c r="S218" s="1">
        <v>264</v>
      </c>
      <c r="T218" s="1">
        <v>0</v>
      </c>
      <c r="U218" s="4">
        <v>3.9583333333333331E-2</v>
      </c>
      <c r="V218" s="1">
        <v>810</v>
      </c>
      <c r="W218" s="1">
        <v>1390</v>
      </c>
      <c r="X218" s="1">
        <v>2200</v>
      </c>
      <c r="Y218" s="1" t="s">
        <v>51</v>
      </c>
      <c r="Z218" s="1">
        <v>1640</v>
      </c>
      <c r="AA218" s="1">
        <v>560</v>
      </c>
      <c r="AB218" s="1">
        <v>0</v>
      </c>
      <c r="AC218" s="1">
        <v>0</v>
      </c>
      <c r="AD218" s="1">
        <v>0</v>
      </c>
      <c r="AE218" s="1">
        <v>0</v>
      </c>
      <c r="AF218" s="1"/>
      <c r="AG218" s="1">
        <v>0</v>
      </c>
      <c r="AH218" s="1">
        <v>0</v>
      </c>
      <c r="AI218" s="1">
        <v>0</v>
      </c>
      <c r="AJ218" s="1">
        <v>0</v>
      </c>
      <c r="AK218" s="1">
        <v>1.7696000000000001</v>
      </c>
      <c r="AL218" s="1">
        <v>1.7696000000000001</v>
      </c>
      <c r="AM218" s="1">
        <v>1.7696000000000001</v>
      </c>
    </row>
    <row r="219" spans="1:39" x14ac:dyDescent="0.3">
      <c r="A219" s="21" t="str">
        <f t="shared" si="3"/>
        <v>HFA807LLHA2026-01-01</v>
      </c>
      <c r="B219" t="str">
        <f>VLOOKUP(A219,Sheet1!A219:B1561,1,FALSE)</f>
        <v>HFA807LLHA2026-01-01</v>
      </c>
      <c r="C219" s="3">
        <v>46023</v>
      </c>
      <c r="D219" s="1" t="s">
        <v>118</v>
      </c>
      <c r="E219" s="1" t="s">
        <v>38</v>
      </c>
      <c r="F219" s="1"/>
      <c r="G219" s="1" t="s">
        <v>39</v>
      </c>
      <c r="H219" s="1" t="s">
        <v>134</v>
      </c>
      <c r="I219" s="1" t="s">
        <v>41</v>
      </c>
      <c r="J219" s="1" t="s">
        <v>42</v>
      </c>
      <c r="K219" s="1" t="s">
        <v>43</v>
      </c>
      <c r="L219" s="1" t="s">
        <v>44</v>
      </c>
      <c r="M219" s="1" t="s">
        <v>45</v>
      </c>
      <c r="N219" s="1" t="s">
        <v>67</v>
      </c>
      <c r="O219" s="1" t="s">
        <v>86</v>
      </c>
      <c r="P219" s="1" t="s">
        <v>87</v>
      </c>
      <c r="Q219" s="1" t="s">
        <v>88</v>
      </c>
      <c r="R219" s="1" t="s">
        <v>50</v>
      </c>
      <c r="S219" s="1">
        <v>264</v>
      </c>
      <c r="T219" s="1">
        <v>0</v>
      </c>
      <c r="U219" s="4">
        <v>4.1666666666666664E-2</v>
      </c>
      <c r="V219" s="1">
        <v>1640</v>
      </c>
      <c r="W219" s="1">
        <v>-20</v>
      </c>
      <c r="X219" s="1">
        <v>1620</v>
      </c>
      <c r="Y219" s="1" t="s">
        <v>51</v>
      </c>
      <c r="Z219" s="1">
        <v>980</v>
      </c>
      <c r="AA219" s="1">
        <v>640</v>
      </c>
      <c r="AB219" s="1">
        <v>0</v>
      </c>
      <c r="AC219" s="1">
        <v>0</v>
      </c>
      <c r="AD219" s="1">
        <v>0</v>
      </c>
      <c r="AE219" s="1">
        <v>0</v>
      </c>
      <c r="AF219" s="1"/>
      <c r="AG219" s="1">
        <v>0</v>
      </c>
      <c r="AH219" s="1">
        <v>0</v>
      </c>
      <c r="AI219" s="1">
        <v>0</v>
      </c>
      <c r="AJ219" s="1">
        <v>0</v>
      </c>
      <c r="AK219" s="1">
        <v>2.0224000000000002</v>
      </c>
      <c r="AL219" s="1">
        <v>2.0224000000000002</v>
      </c>
      <c r="AM219" s="1">
        <v>2.0224000000000002</v>
      </c>
    </row>
    <row r="220" spans="1:39" x14ac:dyDescent="0.3">
      <c r="A220" s="21" t="str">
        <f t="shared" si="3"/>
        <v>HFA808LCLK2026-01-01</v>
      </c>
      <c r="B220" t="str">
        <f>VLOOKUP(A220,Sheet1!A220:B1562,1,FALSE)</f>
        <v>HFA808LCLK2026-01-01</v>
      </c>
      <c r="C220" s="3">
        <v>46023</v>
      </c>
      <c r="D220" s="1" t="s">
        <v>119</v>
      </c>
      <c r="E220" s="1" t="s">
        <v>38</v>
      </c>
      <c r="F220" s="1"/>
      <c r="G220" s="1" t="s">
        <v>39</v>
      </c>
      <c r="H220" s="1" t="s">
        <v>134</v>
      </c>
      <c r="I220" s="1" t="s">
        <v>67</v>
      </c>
      <c r="J220" s="1" t="s">
        <v>86</v>
      </c>
      <c r="K220" s="1" t="s">
        <v>87</v>
      </c>
      <c r="L220" s="1" t="s">
        <v>88</v>
      </c>
      <c r="M220" s="1" t="s">
        <v>50</v>
      </c>
      <c r="N220" s="1" t="s">
        <v>41</v>
      </c>
      <c r="O220" s="1" t="s">
        <v>42</v>
      </c>
      <c r="P220" s="1" t="s">
        <v>43</v>
      </c>
      <c r="Q220" s="1" t="s">
        <v>44</v>
      </c>
      <c r="R220" s="1" t="s">
        <v>45</v>
      </c>
      <c r="S220" s="1">
        <v>264</v>
      </c>
      <c r="T220" s="1">
        <v>0</v>
      </c>
      <c r="U220" s="4">
        <v>4.027777777777778E-2</v>
      </c>
      <c r="V220" s="1">
        <v>980</v>
      </c>
      <c r="W220" s="1">
        <v>1220</v>
      </c>
      <c r="X220" s="1">
        <v>2200</v>
      </c>
      <c r="Y220" s="1" t="s">
        <v>51</v>
      </c>
      <c r="Z220" s="1">
        <v>1620</v>
      </c>
      <c r="AA220" s="1">
        <v>580</v>
      </c>
      <c r="AB220" s="1">
        <v>0</v>
      </c>
      <c r="AC220" s="1">
        <v>0</v>
      </c>
      <c r="AD220" s="1">
        <v>0</v>
      </c>
      <c r="AE220" s="1">
        <v>0</v>
      </c>
      <c r="AF220" s="1"/>
      <c r="AG220" s="1">
        <v>0</v>
      </c>
      <c r="AH220" s="1">
        <v>0</v>
      </c>
      <c r="AI220" s="1">
        <v>0</v>
      </c>
      <c r="AJ220" s="1">
        <v>0</v>
      </c>
      <c r="AK220" s="1">
        <v>1.8328</v>
      </c>
      <c r="AL220" s="1">
        <v>1.8328</v>
      </c>
      <c r="AM220" s="1">
        <v>1.8328</v>
      </c>
    </row>
    <row r="221" spans="1:39" x14ac:dyDescent="0.3">
      <c r="A221" s="21" t="str">
        <f t="shared" si="3"/>
        <v>HFA801LLHA2026-01-02</v>
      </c>
      <c r="B221" t="str">
        <f>VLOOKUP(A221,Sheet1!A221:B1563,1,FALSE)</f>
        <v>HFA801LLHA2026-01-02</v>
      </c>
      <c r="C221" s="3">
        <v>46024</v>
      </c>
      <c r="D221" s="1" t="s">
        <v>133</v>
      </c>
      <c r="E221" s="1" t="s">
        <v>38</v>
      </c>
      <c r="F221" s="1"/>
      <c r="G221" s="1" t="s">
        <v>39</v>
      </c>
      <c r="H221" s="1" t="s">
        <v>134</v>
      </c>
      <c r="I221" s="1" t="s">
        <v>41</v>
      </c>
      <c r="J221" s="1" t="s">
        <v>42</v>
      </c>
      <c r="K221" s="1" t="s">
        <v>43</v>
      </c>
      <c r="L221" s="1" t="s">
        <v>44</v>
      </c>
      <c r="M221" s="1" t="s">
        <v>45</v>
      </c>
      <c r="N221" s="1" t="s">
        <v>67</v>
      </c>
      <c r="O221" s="1" t="s">
        <v>86</v>
      </c>
      <c r="P221" s="1" t="s">
        <v>87</v>
      </c>
      <c r="Q221" s="1" t="s">
        <v>88</v>
      </c>
      <c r="R221" s="1" t="s">
        <v>50</v>
      </c>
      <c r="S221" s="1">
        <v>264</v>
      </c>
      <c r="T221" s="1">
        <v>0</v>
      </c>
      <c r="U221" s="4">
        <v>4.1666666666666664E-2</v>
      </c>
      <c r="V221" s="1">
        <v>1620</v>
      </c>
      <c r="W221" s="1">
        <v>-20</v>
      </c>
      <c r="X221" s="1">
        <v>1600</v>
      </c>
      <c r="Y221" s="1" t="s">
        <v>51</v>
      </c>
      <c r="Z221" s="1">
        <v>960</v>
      </c>
      <c r="AA221" s="1">
        <v>640</v>
      </c>
      <c r="AB221" s="1">
        <v>0</v>
      </c>
      <c r="AC221" s="1">
        <v>0</v>
      </c>
      <c r="AD221" s="1">
        <v>0</v>
      </c>
      <c r="AE221" s="1">
        <v>0</v>
      </c>
      <c r="AF221" s="1"/>
      <c r="AG221" s="1">
        <v>0</v>
      </c>
      <c r="AH221" s="1">
        <v>0</v>
      </c>
      <c r="AI221" s="1">
        <v>0</v>
      </c>
      <c r="AJ221" s="1">
        <v>0</v>
      </c>
      <c r="AK221" s="1">
        <v>2.0224000000000002</v>
      </c>
      <c r="AL221" s="1">
        <v>2.0224000000000002</v>
      </c>
      <c r="AM221" s="1">
        <v>2.0224000000000002</v>
      </c>
    </row>
    <row r="222" spans="1:39" x14ac:dyDescent="0.3">
      <c r="A222" s="21" t="str">
        <f t="shared" si="3"/>
        <v>HFA802LCLK2026-01-02</v>
      </c>
      <c r="B222" t="str">
        <f>VLOOKUP(A222,Sheet1!A222:B1564,1,FALSE)</f>
        <v>HFA802LCLK2026-01-02</v>
      </c>
      <c r="C222" s="3">
        <v>46024</v>
      </c>
      <c r="D222" s="1" t="s">
        <v>135</v>
      </c>
      <c r="E222" s="1" t="s">
        <v>38</v>
      </c>
      <c r="F222" s="1"/>
      <c r="G222" s="1" t="s">
        <v>39</v>
      </c>
      <c r="H222" s="1" t="s">
        <v>134</v>
      </c>
      <c r="I222" s="1" t="s">
        <v>67</v>
      </c>
      <c r="J222" s="1" t="s">
        <v>86</v>
      </c>
      <c r="K222" s="1" t="s">
        <v>87</v>
      </c>
      <c r="L222" s="1" t="s">
        <v>88</v>
      </c>
      <c r="M222" s="1" t="s">
        <v>50</v>
      </c>
      <c r="N222" s="1" t="s">
        <v>41</v>
      </c>
      <c r="O222" s="1" t="s">
        <v>42</v>
      </c>
      <c r="P222" s="1" t="s">
        <v>43</v>
      </c>
      <c r="Q222" s="1" t="s">
        <v>44</v>
      </c>
      <c r="R222" s="1" t="s">
        <v>45</v>
      </c>
      <c r="S222" s="1">
        <v>264</v>
      </c>
      <c r="T222" s="1">
        <v>0</v>
      </c>
      <c r="U222" s="4">
        <v>3.6805555555555557E-2</v>
      </c>
      <c r="V222" s="1">
        <v>960</v>
      </c>
      <c r="W222" s="1">
        <v>1140</v>
      </c>
      <c r="X222" s="1">
        <v>2100</v>
      </c>
      <c r="Y222" s="1" t="s">
        <v>51</v>
      </c>
      <c r="Z222" s="1">
        <v>1550</v>
      </c>
      <c r="AA222" s="1">
        <v>550</v>
      </c>
      <c r="AB222" s="1">
        <v>0</v>
      </c>
      <c r="AC222" s="1">
        <v>0</v>
      </c>
      <c r="AD222" s="1">
        <v>0</v>
      </c>
      <c r="AE222" s="1">
        <v>0</v>
      </c>
      <c r="AF222" s="1"/>
      <c r="AG222" s="1">
        <v>0</v>
      </c>
      <c r="AH222" s="1">
        <v>0</v>
      </c>
      <c r="AI222" s="1">
        <v>0</v>
      </c>
      <c r="AJ222" s="1">
        <v>0</v>
      </c>
      <c r="AK222" s="1">
        <v>1.738</v>
      </c>
      <c r="AL222" s="1">
        <v>1.738</v>
      </c>
      <c r="AM222" s="1">
        <v>1.738</v>
      </c>
    </row>
    <row r="223" spans="1:39" x14ac:dyDescent="0.3">
      <c r="A223" s="21" t="str">
        <f t="shared" si="3"/>
        <v>HFA803LLHA2026-01-02</v>
      </c>
      <c r="B223" t="str">
        <f>VLOOKUP(A223,Sheet1!A223:B1565,1,FALSE)</f>
        <v>HFA803LLHA2026-01-02</v>
      </c>
      <c r="C223" s="3">
        <v>46024</v>
      </c>
      <c r="D223" s="1" t="s">
        <v>116</v>
      </c>
      <c r="E223" s="1" t="s">
        <v>38</v>
      </c>
      <c r="F223" s="1"/>
      <c r="G223" s="1" t="s">
        <v>39</v>
      </c>
      <c r="H223" s="1" t="s">
        <v>134</v>
      </c>
      <c r="I223" s="1" t="s">
        <v>41</v>
      </c>
      <c r="J223" s="1" t="s">
        <v>42</v>
      </c>
      <c r="K223" s="1" t="s">
        <v>43</v>
      </c>
      <c r="L223" s="1" t="s">
        <v>44</v>
      </c>
      <c r="M223" s="1" t="s">
        <v>45</v>
      </c>
      <c r="N223" s="1" t="s">
        <v>67</v>
      </c>
      <c r="O223" s="1" t="s">
        <v>86</v>
      </c>
      <c r="P223" s="1" t="s">
        <v>87</v>
      </c>
      <c r="Q223" s="1" t="s">
        <v>88</v>
      </c>
      <c r="R223" s="1" t="s">
        <v>50</v>
      </c>
      <c r="S223" s="1">
        <v>264</v>
      </c>
      <c r="T223" s="1">
        <v>0</v>
      </c>
      <c r="U223" s="4">
        <v>4.0972222222222222E-2</v>
      </c>
      <c r="V223" s="1">
        <v>1550</v>
      </c>
      <c r="W223" s="1">
        <v>0</v>
      </c>
      <c r="X223" s="1">
        <v>1550</v>
      </c>
      <c r="Y223" s="1" t="s">
        <v>51</v>
      </c>
      <c r="Z223" s="1">
        <v>940</v>
      </c>
      <c r="AA223" s="1">
        <v>610</v>
      </c>
      <c r="AB223" s="1">
        <v>0</v>
      </c>
      <c r="AC223" s="1">
        <v>0</v>
      </c>
      <c r="AD223" s="1">
        <v>0</v>
      </c>
      <c r="AE223" s="1">
        <v>0</v>
      </c>
      <c r="AF223" s="1"/>
      <c r="AG223" s="1">
        <v>0</v>
      </c>
      <c r="AH223" s="1">
        <v>0</v>
      </c>
      <c r="AI223" s="1">
        <v>0</v>
      </c>
      <c r="AJ223" s="1">
        <v>0</v>
      </c>
      <c r="AK223" s="1">
        <v>1.9276</v>
      </c>
      <c r="AL223" s="1">
        <v>1.9276</v>
      </c>
      <c r="AM223" s="1">
        <v>1.9276</v>
      </c>
    </row>
    <row r="224" spans="1:39" x14ac:dyDescent="0.3">
      <c r="A224" s="21" t="str">
        <f t="shared" si="3"/>
        <v>HFA804LCLK2026-01-02</v>
      </c>
      <c r="B224" t="str">
        <f>VLOOKUP(A224,Sheet1!A224:B1566,1,FALSE)</f>
        <v>HFA804LCLK2026-01-02</v>
      </c>
      <c r="C224" s="3">
        <v>46024</v>
      </c>
      <c r="D224" s="1" t="s">
        <v>117</v>
      </c>
      <c r="E224" s="1" t="s">
        <v>38</v>
      </c>
      <c r="F224" s="1"/>
      <c r="G224" s="1" t="s">
        <v>39</v>
      </c>
      <c r="H224" s="1" t="s">
        <v>134</v>
      </c>
      <c r="I224" s="1" t="s">
        <v>67</v>
      </c>
      <c r="J224" s="1" t="s">
        <v>86</v>
      </c>
      <c r="K224" s="1" t="s">
        <v>87</v>
      </c>
      <c r="L224" s="1" t="s">
        <v>88</v>
      </c>
      <c r="M224" s="1" t="s">
        <v>50</v>
      </c>
      <c r="N224" s="1" t="s">
        <v>41</v>
      </c>
      <c r="O224" s="1" t="s">
        <v>42</v>
      </c>
      <c r="P224" s="1" t="s">
        <v>43</v>
      </c>
      <c r="Q224" s="1" t="s">
        <v>44</v>
      </c>
      <c r="R224" s="1" t="s">
        <v>45</v>
      </c>
      <c r="S224" s="1">
        <v>264</v>
      </c>
      <c r="T224" s="1">
        <v>0</v>
      </c>
      <c r="U224" s="4">
        <v>3.8194444444444448E-2</v>
      </c>
      <c r="V224" s="1">
        <v>940</v>
      </c>
      <c r="W224" s="1">
        <v>1160</v>
      </c>
      <c r="X224" s="1">
        <v>2100</v>
      </c>
      <c r="Y224" s="1" t="s">
        <v>51</v>
      </c>
      <c r="Z224" s="1">
        <v>1570</v>
      </c>
      <c r="AA224" s="1">
        <v>530</v>
      </c>
      <c r="AB224" s="1">
        <v>0</v>
      </c>
      <c r="AC224" s="1">
        <v>0</v>
      </c>
      <c r="AD224" s="1">
        <v>0</v>
      </c>
      <c r="AE224" s="1">
        <v>0</v>
      </c>
      <c r="AF224" s="1"/>
      <c r="AG224" s="1">
        <v>0</v>
      </c>
      <c r="AH224" s="1">
        <v>0</v>
      </c>
      <c r="AI224" s="1">
        <v>0</v>
      </c>
      <c r="AJ224" s="1">
        <v>0</v>
      </c>
      <c r="AK224" s="1">
        <v>1.6748000000000001</v>
      </c>
      <c r="AL224" s="1">
        <v>1.6748000000000001</v>
      </c>
      <c r="AM224" s="1">
        <v>1.6748000000000001</v>
      </c>
    </row>
    <row r="225" spans="1:39" x14ac:dyDescent="0.3">
      <c r="A225" s="21" t="str">
        <f t="shared" si="3"/>
        <v>HFA805LLHA2026-01-03</v>
      </c>
      <c r="B225" t="str">
        <f>VLOOKUP(A225,Sheet1!A225:B1567,1,FALSE)</f>
        <v>HFA805LLHA2026-01-03</v>
      </c>
      <c r="C225" s="3">
        <v>46025</v>
      </c>
      <c r="D225" s="1" t="s">
        <v>114</v>
      </c>
      <c r="E225" s="1" t="s">
        <v>38</v>
      </c>
      <c r="F225" s="1"/>
      <c r="G225" s="1" t="s">
        <v>39</v>
      </c>
      <c r="H225" s="1" t="s">
        <v>134</v>
      </c>
      <c r="I225" s="1" t="s">
        <v>41</v>
      </c>
      <c r="J225" s="1" t="s">
        <v>42</v>
      </c>
      <c r="K225" s="1" t="s">
        <v>43</v>
      </c>
      <c r="L225" s="1" t="s">
        <v>44</v>
      </c>
      <c r="M225" s="1" t="s">
        <v>45</v>
      </c>
      <c r="N225" s="1" t="s">
        <v>67</v>
      </c>
      <c r="O225" s="1" t="s">
        <v>86</v>
      </c>
      <c r="P225" s="1" t="s">
        <v>87</v>
      </c>
      <c r="Q225" s="1" t="s">
        <v>88</v>
      </c>
      <c r="R225" s="1" t="s">
        <v>50</v>
      </c>
      <c r="S225" s="1">
        <v>264</v>
      </c>
      <c r="T225" s="1">
        <v>0</v>
      </c>
      <c r="U225" s="4">
        <v>3.9583333333333331E-2</v>
      </c>
      <c r="V225" s="1">
        <v>1570</v>
      </c>
      <c r="W225" s="1">
        <v>-20</v>
      </c>
      <c r="X225" s="1">
        <v>1550</v>
      </c>
      <c r="Y225" s="1" t="s">
        <v>51</v>
      </c>
      <c r="Z225" s="1">
        <v>920</v>
      </c>
      <c r="AA225" s="1">
        <v>630</v>
      </c>
      <c r="AB225" s="1">
        <v>0</v>
      </c>
      <c r="AC225" s="1">
        <v>0</v>
      </c>
      <c r="AD225" s="1">
        <v>0</v>
      </c>
      <c r="AE225" s="1">
        <v>0</v>
      </c>
      <c r="AF225" s="1"/>
      <c r="AG225" s="1">
        <v>0</v>
      </c>
      <c r="AH225" s="1">
        <v>0</v>
      </c>
      <c r="AI225" s="1">
        <v>0</v>
      </c>
      <c r="AJ225" s="1">
        <v>0</v>
      </c>
      <c r="AK225" s="1">
        <v>1.9907999999999999</v>
      </c>
      <c r="AL225" s="1">
        <v>1.9907999999999999</v>
      </c>
      <c r="AM225" s="1">
        <v>1.9907999999999999</v>
      </c>
    </row>
    <row r="226" spans="1:39" x14ac:dyDescent="0.3">
      <c r="A226" s="21" t="str">
        <f t="shared" si="3"/>
        <v>HFA806LCLK2026-01-03</v>
      </c>
      <c r="B226" t="str">
        <f>VLOOKUP(A226,Sheet1!A226:B1568,1,FALSE)</f>
        <v>HFA806LCLK2026-01-03</v>
      </c>
      <c r="C226" s="3">
        <v>46025</v>
      </c>
      <c r="D226" s="1" t="s">
        <v>115</v>
      </c>
      <c r="E226" s="1" t="s">
        <v>38</v>
      </c>
      <c r="F226" s="1"/>
      <c r="G226" s="1" t="s">
        <v>39</v>
      </c>
      <c r="H226" s="1" t="s">
        <v>134</v>
      </c>
      <c r="I226" s="1" t="s">
        <v>67</v>
      </c>
      <c r="J226" s="1" t="s">
        <v>86</v>
      </c>
      <c r="K226" s="1" t="s">
        <v>87</v>
      </c>
      <c r="L226" s="1" t="s">
        <v>88</v>
      </c>
      <c r="M226" s="1" t="s">
        <v>50</v>
      </c>
      <c r="N226" s="1" t="s">
        <v>41</v>
      </c>
      <c r="O226" s="1" t="s">
        <v>42</v>
      </c>
      <c r="P226" s="1" t="s">
        <v>43</v>
      </c>
      <c r="Q226" s="1" t="s">
        <v>44</v>
      </c>
      <c r="R226" s="1" t="s">
        <v>45</v>
      </c>
      <c r="S226" s="1">
        <v>264</v>
      </c>
      <c r="T226" s="1">
        <v>0</v>
      </c>
      <c r="U226" s="4">
        <v>3.7499999999999999E-2</v>
      </c>
      <c r="V226" s="1">
        <v>920</v>
      </c>
      <c r="W226" s="1">
        <v>1080</v>
      </c>
      <c r="X226" s="1">
        <v>2000</v>
      </c>
      <c r="Y226" s="1" t="s">
        <v>51</v>
      </c>
      <c r="Z226" s="1">
        <v>1460</v>
      </c>
      <c r="AA226" s="1">
        <v>540</v>
      </c>
      <c r="AB226" s="1">
        <v>0</v>
      </c>
      <c r="AC226" s="1">
        <v>0</v>
      </c>
      <c r="AD226" s="1">
        <v>0</v>
      </c>
      <c r="AE226" s="1">
        <v>0</v>
      </c>
      <c r="AF226" s="1"/>
      <c r="AG226" s="1">
        <v>0</v>
      </c>
      <c r="AH226" s="1">
        <v>0</v>
      </c>
      <c r="AI226" s="1">
        <v>0</v>
      </c>
      <c r="AJ226" s="1">
        <v>0</v>
      </c>
      <c r="AK226" s="1">
        <v>1.7063999999999999</v>
      </c>
      <c r="AL226" s="1">
        <v>1.7063999999999999</v>
      </c>
      <c r="AM226" s="1">
        <v>1.7063999999999999</v>
      </c>
    </row>
    <row r="227" spans="1:39" x14ac:dyDescent="0.3">
      <c r="A227" s="21" t="str">
        <f t="shared" si="3"/>
        <v>HFA807LLHA2026-01-03</v>
      </c>
      <c r="B227" t="str">
        <f>VLOOKUP(A227,Sheet1!A227:B1569,1,FALSE)</f>
        <v>HFA807LLHA2026-01-03</v>
      </c>
      <c r="C227" s="3">
        <v>46025</v>
      </c>
      <c r="D227" s="1" t="s">
        <v>118</v>
      </c>
      <c r="E227" s="1" t="s">
        <v>38</v>
      </c>
      <c r="F227" s="1"/>
      <c r="G227" s="1" t="s">
        <v>39</v>
      </c>
      <c r="H227" s="1" t="s">
        <v>134</v>
      </c>
      <c r="I227" s="1" t="s">
        <v>41</v>
      </c>
      <c r="J227" s="1" t="s">
        <v>42</v>
      </c>
      <c r="K227" s="1" t="s">
        <v>43</v>
      </c>
      <c r="L227" s="1" t="s">
        <v>44</v>
      </c>
      <c r="M227" s="1" t="s">
        <v>45</v>
      </c>
      <c r="N227" s="1" t="s">
        <v>67</v>
      </c>
      <c r="O227" s="1" t="s">
        <v>86</v>
      </c>
      <c r="P227" s="1" t="s">
        <v>87</v>
      </c>
      <c r="Q227" s="1" t="s">
        <v>88</v>
      </c>
      <c r="R227" s="1" t="s">
        <v>50</v>
      </c>
      <c r="S227" s="1">
        <v>264</v>
      </c>
      <c r="T227" s="1">
        <v>0</v>
      </c>
      <c r="U227" s="4">
        <v>3.888888888888889E-2</v>
      </c>
      <c r="V227" s="1">
        <v>1460</v>
      </c>
      <c r="W227" s="1">
        <v>0</v>
      </c>
      <c r="X227" s="1">
        <v>1460</v>
      </c>
      <c r="Y227" s="1" t="s">
        <v>51</v>
      </c>
      <c r="Z227" s="1">
        <v>900</v>
      </c>
      <c r="AA227" s="1">
        <v>560</v>
      </c>
      <c r="AB227" s="1">
        <v>0</v>
      </c>
      <c r="AC227" s="1">
        <v>0</v>
      </c>
      <c r="AD227" s="1">
        <v>0</v>
      </c>
      <c r="AE227" s="1">
        <v>0</v>
      </c>
      <c r="AF227" s="1"/>
      <c r="AG227" s="1">
        <v>0</v>
      </c>
      <c r="AH227" s="1">
        <v>0</v>
      </c>
      <c r="AI227" s="1">
        <v>0</v>
      </c>
      <c r="AJ227" s="1">
        <v>0</v>
      </c>
      <c r="AK227" s="1">
        <v>1.7696000000000001</v>
      </c>
      <c r="AL227" s="1">
        <v>1.7696000000000001</v>
      </c>
      <c r="AM227" s="1">
        <v>1.7696000000000001</v>
      </c>
    </row>
    <row r="228" spans="1:39" x14ac:dyDescent="0.3">
      <c r="A228" s="21" t="str">
        <f t="shared" si="3"/>
        <v>HFA808LCLK2026-01-03</v>
      </c>
      <c r="B228" t="str">
        <f>VLOOKUP(A228,Sheet1!A228:B1570,1,FALSE)</f>
        <v>HFA808LCLK2026-01-03</v>
      </c>
      <c r="C228" s="3">
        <v>46025</v>
      </c>
      <c r="D228" s="1" t="s">
        <v>119</v>
      </c>
      <c r="E228" s="1" t="s">
        <v>38</v>
      </c>
      <c r="F228" s="1"/>
      <c r="G228" s="1" t="s">
        <v>39</v>
      </c>
      <c r="H228" s="1" t="s">
        <v>134</v>
      </c>
      <c r="I228" s="1" t="s">
        <v>67</v>
      </c>
      <c r="J228" s="1" t="s">
        <v>86</v>
      </c>
      <c r="K228" s="1" t="s">
        <v>87</v>
      </c>
      <c r="L228" s="1" t="s">
        <v>88</v>
      </c>
      <c r="M228" s="1" t="s">
        <v>50</v>
      </c>
      <c r="N228" s="1" t="s">
        <v>41</v>
      </c>
      <c r="O228" s="1" t="s">
        <v>42</v>
      </c>
      <c r="P228" s="1" t="s">
        <v>43</v>
      </c>
      <c r="Q228" s="1" t="s">
        <v>44</v>
      </c>
      <c r="R228" s="1" t="s">
        <v>45</v>
      </c>
      <c r="S228" s="1">
        <v>264</v>
      </c>
      <c r="T228" s="1">
        <v>0</v>
      </c>
      <c r="U228" s="4">
        <v>3.8194444444444448E-2</v>
      </c>
      <c r="V228" s="1">
        <v>900</v>
      </c>
      <c r="W228" s="1">
        <v>1200</v>
      </c>
      <c r="X228" s="1">
        <v>2100</v>
      </c>
      <c r="Y228" s="1" t="s">
        <v>51</v>
      </c>
      <c r="Z228" s="1">
        <v>1500</v>
      </c>
      <c r="AA228" s="1">
        <v>600</v>
      </c>
      <c r="AB228" s="1">
        <v>0</v>
      </c>
      <c r="AC228" s="1">
        <v>0</v>
      </c>
      <c r="AD228" s="1">
        <v>0</v>
      </c>
      <c r="AE228" s="1">
        <v>0</v>
      </c>
      <c r="AF228" s="1"/>
      <c r="AG228" s="1">
        <v>0</v>
      </c>
      <c r="AH228" s="1">
        <v>0</v>
      </c>
      <c r="AI228" s="1">
        <v>0</v>
      </c>
      <c r="AJ228" s="1">
        <v>0</v>
      </c>
      <c r="AK228" s="1">
        <v>1.8959999999999999</v>
      </c>
      <c r="AL228" s="1">
        <v>1.8959999999999999</v>
      </c>
      <c r="AM228" s="1">
        <v>1.8959999999999999</v>
      </c>
    </row>
    <row r="229" spans="1:39" x14ac:dyDescent="0.3">
      <c r="A229" s="21" t="str">
        <f t="shared" si="3"/>
        <v>HFA801LLHA2026-01-04</v>
      </c>
      <c r="B229" t="str">
        <f>VLOOKUP(A229,Sheet1!A229:B1571,1,FALSE)</f>
        <v>HFA801LLHA2026-01-04</v>
      </c>
      <c r="C229" s="3">
        <v>46026</v>
      </c>
      <c r="D229" s="1" t="s">
        <v>133</v>
      </c>
      <c r="E229" s="1" t="s">
        <v>38</v>
      </c>
      <c r="F229" s="1"/>
      <c r="G229" s="1" t="s">
        <v>39</v>
      </c>
      <c r="H229" s="1" t="s">
        <v>134</v>
      </c>
      <c r="I229" s="1" t="s">
        <v>41</v>
      </c>
      <c r="J229" s="1" t="s">
        <v>42</v>
      </c>
      <c r="K229" s="1" t="s">
        <v>43</v>
      </c>
      <c r="L229" s="1" t="s">
        <v>44</v>
      </c>
      <c r="M229" s="1" t="s">
        <v>45</v>
      </c>
      <c r="N229" s="1" t="s">
        <v>67</v>
      </c>
      <c r="O229" s="1" t="s">
        <v>86</v>
      </c>
      <c r="P229" s="1" t="s">
        <v>87</v>
      </c>
      <c r="Q229" s="1" t="s">
        <v>88</v>
      </c>
      <c r="R229" s="1" t="s">
        <v>50</v>
      </c>
      <c r="S229" s="1">
        <v>264</v>
      </c>
      <c r="T229" s="1">
        <v>0</v>
      </c>
      <c r="U229" s="4">
        <v>3.3333333333333333E-2</v>
      </c>
      <c r="V229" s="1">
        <v>1500</v>
      </c>
      <c r="W229" s="1">
        <v>0</v>
      </c>
      <c r="X229" s="1">
        <v>1500</v>
      </c>
      <c r="Y229" s="1" t="s">
        <v>51</v>
      </c>
      <c r="Z229" s="1">
        <v>910</v>
      </c>
      <c r="AA229" s="1">
        <v>590</v>
      </c>
      <c r="AB229" s="1">
        <v>0</v>
      </c>
      <c r="AC229" s="1">
        <v>0</v>
      </c>
      <c r="AD229" s="1">
        <v>0</v>
      </c>
      <c r="AE229" s="1">
        <v>0</v>
      </c>
      <c r="AF229" s="1"/>
      <c r="AG229" s="1">
        <v>0</v>
      </c>
      <c r="AH229" s="1">
        <v>0</v>
      </c>
      <c r="AI229" s="1">
        <v>0</v>
      </c>
      <c r="AJ229" s="1">
        <v>0</v>
      </c>
      <c r="AK229" s="1">
        <v>1.8644000000000001</v>
      </c>
      <c r="AL229" s="1">
        <v>1.8644000000000001</v>
      </c>
      <c r="AM229" s="1">
        <v>1.8644000000000001</v>
      </c>
    </row>
    <row r="230" spans="1:39" x14ac:dyDescent="0.3">
      <c r="A230" s="21" t="str">
        <f t="shared" si="3"/>
        <v>HFA802LCLK2026-01-04</v>
      </c>
      <c r="B230" t="str">
        <f>VLOOKUP(A230,Sheet1!A230:B1572,1,FALSE)</f>
        <v>HFA802LCLK2026-01-04</v>
      </c>
      <c r="C230" s="3">
        <v>46026</v>
      </c>
      <c r="D230" s="1" t="s">
        <v>135</v>
      </c>
      <c r="E230" s="1" t="s">
        <v>38</v>
      </c>
      <c r="F230" s="1"/>
      <c r="G230" s="1" t="s">
        <v>39</v>
      </c>
      <c r="H230" s="1" t="s">
        <v>134</v>
      </c>
      <c r="I230" s="1" t="s">
        <v>67</v>
      </c>
      <c r="J230" s="1" t="s">
        <v>86</v>
      </c>
      <c r="K230" s="1" t="s">
        <v>87</v>
      </c>
      <c r="L230" s="1" t="s">
        <v>88</v>
      </c>
      <c r="M230" s="1" t="s">
        <v>50</v>
      </c>
      <c r="N230" s="1" t="s">
        <v>41</v>
      </c>
      <c r="O230" s="1" t="s">
        <v>42</v>
      </c>
      <c r="P230" s="1" t="s">
        <v>43</v>
      </c>
      <c r="Q230" s="1" t="s">
        <v>44</v>
      </c>
      <c r="R230" s="1" t="s">
        <v>45</v>
      </c>
      <c r="S230" s="1">
        <v>264</v>
      </c>
      <c r="T230" s="1">
        <v>0</v>
      </c>
      <c r="U230" s="4">
        <v>4.0972222222222222E-2</v>
      </c>
      <c r="V230" s="1">
        <v>910</v>
      </c>
      <c r="W230" s="1">
        <v>1090</v>
      </c>
      <c r="X230" s="1">
        <v>2000</v>
      </c>
      <c r="Y230" s="1" t="s">
        <v>51</v>
      </c>
      <c r="Z230" s="1">
        <v>1410</v>
      </c>
      <c r="AA230" s="1">
        <v>590</v>
      </c>
      <c r="AB230" s="1">
        <v>0</v>
      </c>
      <c r="AC230" s="1">
        <v>0</v>
      </c>
      <c r="AD230" s="1">
        <v>0</v>
      </c>
      <c r="AE230" s="1">
        <v>0</v>
      </c>
      <c r="AF230" s="1"/>
      <c r="AG230" s="1">
        <v>0</v>
      </c>
      <c r="AH230" s="1">
        <v>0</v>
      </c>
      <c r="AI230" s="1">
        <v>0</v>
      </c>
      <c r="AJ230" s="1">
        <v>0</v>
      </c>
      <c r="AK230" s="1">
        <v>1.8644000000000001</v>
      </c>
      <c r="AL230" s="1">
        <v>1.8644000000000001</v>
      </c>
      <c r="AM230" s="1">
        <v>1.8644000000000001</v>
      </c>
    </row>
    <row r="231" spans="1:39" x14ac:dyDescent="0.3">
      <c r="A231" s="21" t="str">
        <f t="shared" si="3"/>
        <v>HFA803LLHA2026-01-04</v>
      </c>
      <c r="B231" t="str">
        <f>VLOOKUP(A231,Sheet1!A231:B1573,1,FALSE)</f>
        <v>HFA803LLHA2026-01-04</v>
      </c>
      <c r="C231" s="3">
        <v>46026</v>
      </c>
      <c r="D231" s="1" t="s">
        <v>116</v>
      </c>
      <c r="E231" s="1" t="s">
        <v>38</v>
      </c>
      <c r="F231" s="1"/>
      <c r="G231" s="1" t="s">
        <v>39</v>
      </c>
      <c r="H231" s="1" t="s">
        <v>134</v>
      </c>
      <c r="I231" s="1" t="s">
        <v>41</v>
      </c>
      <c r="J231" s="1" t="s">
        <v>42</v>
      </c>
      <c r="K231" s="1" t="s">
        <v>43</v>
      </c>
      <c r="L231" s="1" t="s">
        <v>44</v>
      </c>
      <c r="M231" s="1" t="s">
        <v>45</v>
      </c>
      <c r="N231" s="1" t="s">
        <v>67</v>
      </c>
      <c r="O231" s="1" t="s">
        <v>86</v>
      </c>
      <c r="P231" s="1" t="s">
        <v>87</v>
      </c>
      <c r="Q231" s="1" t="s">
        <v>88</v>
      </c>
      <c r="R231" s="1" t="s">
        <v>50</v>
      </c>
      <c r="S231" s="1">
        <v>264</v>
      </c>
      <c r="T231" s="1">
        <v>0</v>
      </c>
      <c r="U231" s="4">
        <v>3.2638888888888891E-2</v>
      </c>
      <c r="V231" s="1">
        <v>1410</v>
      </c>
      <c r="W231" s="1">
        <v>0</v>
      </c>
      <c r="X231" s="1">
        <v>1410</v>
      </c>
      <c r="Y231" s="1" t="s">
        <v>51</v>
      </c>
      <c r="Z231" s="1">
        <v>870</v>
      </c>
      <c r="AA231" s="1">
        <v>540</v>
      </c>
      <c r="AB231" s="1">
        <v>0</v>
      </c>
      <c r="AC231" s="1">
        <v>0</v>
      </c>
      <c r="AD231" s="1">
        <v>0</v>
      </c>
      <c r="AE231" s="1">
        <v>0</v>
      </c>
      <c r="AF231" s="1"/>
      <c r="AG231" s="1">
        <v>0</v>
      </c>
      <c r="AH231" s="1">
        <v>0</v>
      </c>
      <c r="AI231" s="1">
        <v>0</v>
      </c>
      <c r="AJ231" s="1">
        <v>0</v>
      </c>
      <c r="AK231" s="1">
        <v>1.7063999999999999</v>
      </c>
      <c r="AL231" s="1">
        <v>1.7063999999999999</v>
      </c>
      <c r="AM231" s="1">
        <v>1.7063999999999999</v>
      </c>
    </row>
    <row r="232" spans="1:39" x14ac:dyDescent="0.3">
      <c r="A232" s="21" t="str">
        <f t="shared" si="3"/>
        <v>HFA804LCLK2026-01-04</v>
      </c>
      <c r="B232" t="str">
        <f>VLOOKUP(A232,Sheet1!A232:B1574,1,FALSE)</f>
        <v>HFA804LCLK2026-01-04</v>
      </c>
      <c r="C232" s="3">
        <v>46026</v>
      </c>
      <c r="D232" s="1" t="s">
        <v>117</v>
      </c>
      <c r="E232" s="1" t="s">
        <v>38</v>
      </c>
      <c r="F232" s="1"/>
      <c r="G232" s="1" t="s">
        <v>39</v>
      </c>
      <c r="H232" s="1" t="s">
        <v>134</v>
      </c>
      <c r="I232" s="1" t="s">
        <v>67</v>
      </c>
      <c r="J232" s="1" t="s">
        <v>86</v>
      </c>
      <c r="K232" s="1" t="s">
        <v>87</v>
      </c>
      <c r="L232" s="1" t="s">
        <v>88</v>
      </c>
      <c r="M232" s="1" t="s">
        <v>50</v>
      </c>
      <c r="N232" s="1" t="s">
        <v>41</v>
      </c>
      <c r="O232" s="1" t="s">
        <v>42</v>
      </c>
      <c r="P232" s="1" t="s">
        <v>43</v>
      </c>
      <c r="Q232" s="1" t="s">
        <v>44</v>
      </c>
      <c r="R232" s="1" t="s">
        <v>45</v>
      </c>
      <c r="S232" s="1">
        <v>264</v>
      </c>
      <c r="T232" s="1">
        <v>0</v>
      </c>
      <c r="U232" s="4">
        <v>3.888888888888889E-2</v>
      </c>
      <c r="V232" s="1">
        <v>870</v>
      </c>
      <c r="W232" s="1">
        <v>1130</v>
      </c>
      <c r="X232" s="1">
        <v>2000</v>
      </c>
      <c r="Y232" s="1" t="s">
        <v>51</v>
      </c>
      <c r="Z232" s="1">
        <v>1420</v>
      </c>
      <c r="AA232" s="1">
        <v>580</v>
      </c>
      <c r="AB232" s="1">
        <v>0</v>
      </c>
      <c r="AC232" s="1">
        <v>0</v>
      </c>
      <c r="AD232" s="1">
        <v>0</v>
      </c>
      <c r="AE232" s="1">
        <v>0</v>
      </c>
      <c r="AF232" s="1"/>
      <c r="AG232" s="1">
        <v>0</v>
      </c>
      <c r="AH232" s="1">
        <v>0</v>
      </c>
      <c r="AI232" s="1">
        <v>0</v>
      </c>
      <c r="AJ232" s="1">
        <v>0</v>
      </c>
      <c r="AK232" s="1">
        <v>1.8328</v>
      </c>
      <c r="AL232" s="1">
        <v>1.8328</v>
      </c>
      <c r="AM232" s="1">
        <v>1.8328</v>
      </c>
    </row>
    <row r="233" spans="1:39" x14ac:dyDescent="0.3">
      <c r="A233" s="21" t="str">
        <f t="shared" si="3"/>
        <v>HFA805LLHA2026-01-04</v>
      </c>
      <c r="B233" t="str">
        <f>VLOOKUP(A233,Sheet1!A233:B1575,1,FALSE)</f>
        <v>HFA805LLHA2026-01-04</v>
      </c>
      <c r="C233" s="3">
        <v>46026</v>
      </c>
      <c r="D233" s="1" t="s">
        <v>114</v>
      </c>
      <c r="E233" s="1" t="s">
        <v>38</v>
      </c>
      <c r="F233" s="1"/>
      <c r="G233" s="1" t="s">
        <v>39</v>
      </c>
      <c r="H233" s="1" t="s">
        <v>134</v>
      </c>
      <c r="I233" s="1" t="s">
        <v>41</v>
      </c>
      <c r="J233" s="1" t="s">
        <v>42</v>
      </c>
      <c r="K233" s="1" t="s">
        <v>43</v>
      </c>
      <c r="L233" s="1" t="s">
        <v>44</v>
      </c>
      <c r="M233" s="1" t="s">
        <v>45</v>
      </c>
      <c r="N233" s="1" t="s">
        <v>67</v>
      </c>
      <c r="O233" s="1" t="s">
        <v>86</v>
      </c>
      <c r="P233" s="1" t="s">
        <v>87</v>
      </c>
      <c r="Q233" s="1" t="s">
        <v>88</v>
      </c>
      <c r="R233" s="1" t="s">
        <v>50</v>
      </c>
      <c r="S233" s="1">
        <v>264</v>
      </c>
      <c r="T233" s="1">
        <v>0</v>
      </c>
      <c r="U233" s="4">
        <v>3.7499999999999999E-2</v>
      </c>
      <c r="V233" s="1">
        <v>1420</v>
      </c>
      <c r="W233" s="1">
        <v>0</v>
      </c>
      <c r="X233" s="1">
        <v>1420</v>
      </c>
      <c r="Y233" s="1" t="s">
        <v>51</v>
      </c>
      <c r="Z233" s="1">
        <v>830</v>
      </c>
      <c r="AA233" s="1">
        <v>590</v>
      </c>
      <c r="AB233" s="1">
        <v>0</v>
      </c>
      <c r="AC233" s="1">
        <v>0</v>
      </c>
      <c r="AD233" s="1">
        <v>0</v>
      </c>
      <c r="AE233" s="1">
        <v>0</v>
      </c>
      <c r="AF233" s="1"/>
      <c r="AG233" s="1">
        <v>0</v>
      </c>
      <c r="AH233" s="1">
        <v>0</v>
      </c>
      <c r="AI233" s="1">
        <v>0</v>
      </c>
      <c r="AJ233" s="1">
        <v>0</v>
      </c>
      <c r="AK233" s="1">
        <v>1.8644000000000001</v>
      </c>
      <c r="AL233" s="1">
        <v>1.8644000000000001</v>
      </c>
      <c r="AM233" s="1">
        <v>1.8644000000000001</v>
      </c>
    </row>
    <row r="234" spans="1:39" x14ac:dyDescent="0.3">
      <c r="A234" s="21" t="str">
        <f t="shared" si="3"/>
        <v>HFA806LCLK2026-01-04</v>
      </c>
      <c r="B234" t="str">
        <f>VLOOKUP(A234,Sheet1!A234:B1576,1,FALSE)</f>
        <v>HFA806LCLK2026-01-04</v>
      </c>
      <c r="C234" s="3">
        <v>46026</v>
      </c>
      <c r="D234" s="1" t="s">
        <v>115</v>
      </c>
      <c r="E234" s="1" t="s">
        <v>38</v>
      </c>
      <c r="F234" s="1"/>
      <c r="G234" s="1" t="s">
        <v>39</v>
      </c>
      <c r="H234" s="1" t="s">
        <v>134</v>
      </c>
      <c r="I234" s="1" t="s">
        <v>67</v>
      </c>
      <c r="J234" s="1" t="s">
        <v>86</v>
      </c>
      <c r="K234" s="1" t="s">
        <v>87</v>
      </c>
      <c r="L234" s="1" t="s">
        <v>88</v>
      </c>
      <c r="M234" s="1" t="s">
        <v>50</v>
      </c>
      <c r="N234" s="1" t="s">
        <v>41</v>
      </c>
      <c r="O234" s="1" t="s">
        <v>42</v>
      </c>
      <c r="P234" s="1" t="s">
        <v>43</v>
      </c>
      <c r="Q234" s="1" t="s">
        <v>44</v>
      </c>
      <c r="R234" s="1" t="s">
        <v>45</v>
      </c>
      <c r="S234" s="1">
        <v>264</v>
      </c>
      <c r="T234" s="1">
        <v>0</v>
      </c>
      <c r="U234" s="4">
        <v>3.9583333333333331E-2</v>
      </c>
      <c r="V234" s="1">
        <v>830</v>
      </c>
      <c r="W234" s="1">
        <v>1170</v>
      </c>
      <c r="X234" s="1">
        <v>2000</v>
      </c>
      <c r="Y234" s="1" t="s">
        <v>51</v>
      </c>
      <c r="Z234" s="1">
        <v>1400</v>
      </c>
      <c r="AA234" s="1">
        <v>600</v>
      </c>
      <c r="AB234" s="1">
        <v>0</v>
      </c>
      <c r="AC234" s="1">
        <v>0</v>
      </c>
      <c r="AD234" s="1">
        <v>0</v>
      </c>
      <c r="AE234" s="1">
        <v>0</v>
      </c>
      <c r="AF234" s="1"/>
      <c r="AG234" s="1">
        <v>0</v>
      </c>
      <c r="AH234" s="1">
        <v>0</v>
      </c>
      <c r="AI234" s="1">
        <v>0</v>
      </c>
      <c r="AJ234" s="1">
        <v>0</v>
      </c>
      <c r="AK234" s="1">
        <v>1.8959999999999999</v>
      </c>
      <c r="AL234" s="1">
        <v>1.8959999999999999</v>
      </c>
      <c r="AM234" s="1">
        <v>1.8959999999999999</v>
      </c>
    </row>
    <row r="235" spans="1:39" x14ac:dyDescent="0.3">
      <c r="A235" s="21" t="str">
        <f t="shared" si="3"/>
        <v>HFA807LLHA2026-01-04</v>
      </c>
      <c r="B235" t="str">
        <f>VLOOKUP(A235,Sheet1!A235:B1577,1,FALSE)</f>
        <v>HFA807LLHA2026-01-04</v>
      </c>
      <c r="C235" s="3">
        <v>46026</v>
      </c>
      <c r="D235" s="1" t="s">
        <v>118</v>
      </c>
      <c r="E235" s="1" t="s">
        <v>38</v>
      </c>
      <c r="F235" s="1"/>
      <c r="G235" s="1" t="s">
        <v>39</v>
      </c>
      <c r="H235" s="1" t="s">
        <v>134</v>
      </c>
      <c r="I235" s="1" t="s">
        <v>41</v>
      </c>
      <c r="J235" s="1" t="s">
        <v>42</v>
      </c>
      <c r="K235" s="1" t="s">
        <v>43</v>
      </c>
      <c r="L235" s="1" t="s">
        <v>44</v>
      </c>
      <c r="M235" s="1" t="s">
        <v>45</v>
      </c>
      <c r="N235" s="1" t="s">
        <v>67</v>
      </c>
      <c r="O235" s="1" t="s">
        <v>86</v>
      </c>
      <c r="P235" s="1" t="s">
        <v>87</v>
      </c>
      <c r="Q235" s="1" t="s">
        <v>88</v>
      </c>
      <c r="R235" s="1" t="s">
        <v>50</v>
      </c>
      <c r="S235" s="1">
        <v>264</v>
      </c>
      <c r="T235" s="1">
        <v>0</v>
      </c>
      <c r="U235" s="4">
        <v>3.8194444444444448E-2</v>
      </c>
      <c r="V235" s="1">
        <v>1400</v>
      </c>
      <c r="W235" s="1">
        <v>0</v>
      </c>
      <c r="X235" s="1">
        <v>1400</v>
      </c>
      <c r="Y235" s="1" t="s">
        <v>51</v>
      </c>
      <c r="Z235" s="1">
        <v>840</v>
      </c>
      <c r="AA235" s="1">
        <v>560</v>
      </c>
      <c r="AB235" s="1">
        <v>0</v>
      </c>
      <c r="AC235" s="1">
        <v>0</v>
      </c>
      <c r="AD235" s="1">
        <v>0</v>
      </c>
      <c r="AE235" s="1">
        <v>0</v>
      </c>
      <c r="AF235" s="1"/>
      <c r="AG235" s="1">
        <v>0</v>
      </c>
      <c r="AH235" s="1">
        <v>0</v>
      </c>
      <c r="AI235" s="1">
        <v>0</v>
      </c>
      <c r="AJ235" s="1">
        <v>0</v>
      </c>
      <c r="AK235" s="1">
        <v>1.7696000000000001</v>
      </c>
      <c r="AL235" s="1">
        <v>1.7696000000000001</v>
      </c>
      <c r="AM235" s="1">
        <v>1.7696000000000001</v>
      </c>
    </row>
    <row r="236" spans="1:39" x14ac:dyDescent="0.3">
      <c r="A236" s="21" t="str">
        <f t="shared" si="3"/>
        <v>HFA808LCLK2026-01-04</v>
      </c>
      <c r="B236" t="str">
        <f>VLOOKUP(A236,Sheet1!A236:B1578,1,FALSE)</f>
        <v>HFA808LCLK2026-01-04</v>
      </c>
      <c r="C236" s="3">
        <v>46026</v>
      </c>
      <c r="D236" s="1" t="s">
        <v>119</v>
      </c>
      <c r="E236" s="1" t="s">
        <v>38</v>
      </c>
      <c r="F236" s="1"/>
      <c r="G236" s="1" t="s">
        <v>39</v>
      </c>
      <c r="H236" s="1" t="s">
        <v>134</v>
      </c>
      <c r="I236" s="1" t="s">
        <v>67</v>
      </c>
      <c r="J236" s="1" t="s">
        <v>86</v>
      </c>
      <c r="K236" s="1" t="s">
        <v>87</v>
      </c>
      <c r="L236" s="1" t="s">
        <v>88</v>
      </c>
      <c r="M236" s="1" t="s">
        <v>50</v>
      </c>
      <c r="N236" s="1" t="s">
        <v>41</v>
      </c>
      <c r="O236" s="1" t="s">
        <v>42</v>
      </c>
      <c r="P236" s="1" t="s">
        <v>43</v>
      </c>
      <c r="Q236" s="1" t="s">
        <v>44</v>
      </c>
      <c r="R236" s="1" t="s">
        <v>45</v>
      </c>
      <c r="S236" s="1">
        <v>264</v>
      </c>
      <c r="T236" s="1">
        <v>0</v>
      </c>
      <c r="U236" s="4">
        <v>4.2361111111111106E-2</v>
      </c>
      <c r="V236" s="1">
        <v>840</v>
      </c>
      <c r="W236" s="1">
        <v>1360</v>
      </c>
      <c r="X236" s="1">
        <v>2200</v>
      </c>
      <c r="Y236" s="1" t="s">
        <v>51</v>
      </c>
      <c r="Z236" s="1">
        <v>1600</v>
      </c>
      <c r="AA236" s="1">
        <v>600</v>
      </c>
      <c r="AB236" s="1">
        <v>0</v>
      </c>
      <c r="AC236" s="1">
        <v>0</v>
      </c>
      <c r="AD236" s="1">
        <v>0</v>
      </c>
      <c r="AE236" s="1">
        <v>0</v>
      </c>
      <c r="AF236" s="1"/>
      <c r="AG236" s="1">
        <v>0</v>
      </c>
      <c r="AH236" s="1">
        <v>0</v>
      </c>
      <c r="AI236" s="1">
        <v>0</v>
      </c>
      <c r="AJ236" s="1">
        <v>0</v>
      </c>
      <c r="AK236" s="1">
        <v>1.8959999999999999</v>
      </c>
      <c r="AL236" s="1">
        <v>1.8959999999999999</v>
      </c>
      <c r="AM236" s="1">
        <v>1.8959999999999999</v>
      </c>
    </row>
    <row r="237" spans="1:39" x14ac:dyDescent="0.3">
      <c r="A237" s="21" t="str">
        <f t="shared" si="3"/>
        <v>HFA801LLHA2026-01-05</v>
      </c>
      <c r="B237" t="str">
        <f>VLOOKUP(A237,Sheet1!A237:B1579,1,FALSE)</f>
        <v>HFA801LLHA2026-01-05</v>
      </c>
      <c r="C237" s="3">
        <v>46027</v>
      </c>
      <c r="D237" s="1" t="s">
        <v>133</v>
      </c>
      <c r="E237" s="1" t="s">
        <v>38</v>
      </c>
      <c r="F237" s="1"/>
      <c r="G237" s="1" t="s">
        <v>39</v>
      </c>
      <c r="H237" s="1" t="s">
        <v>134</v>
      </c>
      <c r="I237" s="1" t="s">
        <v>41</v>
      </c>
      <c r="J237" s="1" t="s">
        <v>42</v>
      </c>
      <c r="K237" s="1" t="s">
        <v>43</v>
      </c>
      <c r="L237" s="1" t="s">
        <v>44</v>
      </c>
      <c r="M237" s="1" t="s">
        <v>45</v>
      </c>
      <c r="N237" s="1" t="s">
        <v>67</v>
      </c>
      <c r="O237" s="1" t="s">
        <v>86</v>
      </c>
      <c r="P237" s="1" t="s">
        <v>87</v>
      </c>
      <c r="Q237" s="1" t="s">
        <v>88</v>
      </c>
      <c r="R237" s="1" t="s">
        <v>50</v>
      </c>
      <c r="S237" s="1">
        <v>264</v>
      </c>
      <c r="T237" s="1">
        <v>0</v>
      </c>
      <c r="U237" s="4">
        <v>3.7499999999999999E-2</v>
      </c>
      <c r="V237" s="1">
        <v>1600</v>
      </c>
      <c r="W237" s="1">
        <v>0</v>
      </c>
      <c r="X237" s="1">
        <v>1600</v>
      </c>
      <c r="Y237" s="1" t="s">
        <v>51</v>
      </c>
      <c r="Z237" s="1">
        <v>1050</v>
      </c>
      <c r="AA237" s="1">
        <v>550</v>
      </c>
      <c r="AB237" s="1">
        <v>0</v>
      </c>
      <c r="AC237" s="1">
        <v>0</v>
      </c>
      <c r="AD237" s="1">
        <v>0</v>
      </c>
      <c r="AE237" s="1">
        <v>0</v>
      </c>
      <c r="AF237" s="1"/>
      <c r="AG237" s="1">
        <v>0</v>
      </c>
      <c r="AH237" s="1">
        <v>0</v>
      </c>
      <c r="AI237" s="1">
        <v>0</v>
      </c>
      <c r="AJ237" s="1">
        <v>0</v>
      </c>
      <c r="AK237" s="1">
        <v>1.738</v>
      </c>
      <c r="AL237" s="1">
        <v>1.738</v>
      </c>
      <c r="AM237" s="1">
        <v>1.738</v>
      </c>
    </row>
    <row r="238" spans="1:39" x14ac:dyDescent="0.3">
      <c r="A238" s="21" t="str">
        <f t="shared" si="3"/>
        <v>HFA802LCLK2026-01-05</v>
      </c>
      <c r="B238" t="str">
        <f>VLOOKUP(A238,Sheet1!A238:B1580,1,FALSE)</f>
        <v>HFA802LCLK2026-01-05</v>
      </c>
      <c r="C238" s="3">
        <v>46027</v>
      </c>
      <c r="D238" s="1" t="s">
        <v>135</v>
      </c>
      <c r="E238" s="1" t="s">
        <v>38</v>
      </c>
      <c r="F238" s="1"/>
      <c r="G238" s="1" t="s">
        <v>39</v>
      </c>
      <c r="H238" s="1" t="s">
        <v>134</v>
      </c>
      <c r="I238" s="1" t="s">
        <v>67</v>
      </c>
      <c r="J238" s="1" t="s">
        <v>86</v>
      </c>
      <c r="K238" s="1" t="s">
        <v>87</v>
      </c>
      <c r="L238" s="1" t="s">
        <v>88</v>
      </c>
      <c r="M238" s="1" t="s">
        <v>50</v>
      </c>
      <c r="N238" s="1" t="s">
        <v>41</v>
      </c>
      <c r="O238" s="1" t="s">
        <v>42</v>
      </c>
      <c r="P238" s="1" t="s">
        <v>43</v>
      </c>
      <c r="Q238" s="1" t="s">
        <v>44</v>
      </c>
      <c r="R238" s="1" t="s">
        <v>45</v>
      </c>
      <c r="S238" s="1">
        <v>264</v>
      </c>
      <c r="T238" s="1">
        <v>0</v>
      </c>
      <c r="U238" s="4">
        <v>4.7916666666666663E-2</v>
      </c>
      <c r="V238" s="1">
        <v>1050</v>
      </c>
      <c r="W238" s="1">
        <v>950</v>
      </c>
      <c r="X238" s="1">
        <v>2000</v>
      </c>
      <c r="Y238" s="1" t="s">
        <v>51</v>
      </c>
      <c r="Z238" s="1">
        <v>1380</v>
      </c>
      <c r="AA238" s="1">
        <v>620</v>
      </c>
      <c r="AB238" s="1">
        <v>0</v>
      </c>
      <c r="AC238" s="1">
        <v>0</v>
      </c>
      <c r="AD238" s="1">
        <v>0</v>
      </c>
      <c r="AE238" s="1">
        <v>0</v>
      </c>
      <c r="AF238" s="1"/>
      <c r="AG238" s="1">
        <v>0</v>
      </c>
      <c r="AH238" s="1">
        <v>0</v>
      </c>
      <c r="AI238" s="1">
        <v>0</v>
      </c>
      <c r="AJ238" s="1">
        <v>0</v>
      </c>
      <c r="AK238" s="1">
        <v>1.9592000000000001</v>
      </c>
      <c r="AL238" s="1">
        <v>1.9592000000000001</v>
      </c>
      <c r="AM238" s="1">
        <v>1.9592000000000001</v>
      </c>
    </row>
    <row r="239" spans="1:39" x14ac:dyDescent="0.3">
      <c r="A239" s="21" t="str">
        <f t="shared" si="3"/>
        <v>HFA803LLHA2026-01-05</v>
      </c>
      <c r="B239" t="str">
        <f>VLOOKUP(A239,Sheet1!A239:B1581,1,FALSE)</f>
        <v>HFA803LLHA2026-01-05</v>
      </c>
      <c r="C239" s="3">
        <v>46027</v>
      </c>
      <c r="D239" s="1" t="s">
        <v>116</v>
      </c>
      <c r="E239" s="1" t="s">
        <v>38</v>
      </c>
      <c r="F239" s="1"/>
      <c r="G239" s="1" t="s">
        <v>39</v>
      </c>
      <c r="H239" s="1" t="s">
        <v>134</v>
      </c>
      <c r="I239" s="1" t="s">
        <v>41</v>
      </c>
      <c r="J239" s="1" t="s">
        <v>42</v>
      </c>
      <c r="K239" s="1" t="s">
        <v>43</v>
      </c>
      <c r="L239" s="1" t="s">
        <v>44</v>
      </c>
      <c r="M239" s="1" t="s">
        <v>45</v>
      </c>
      <c r="N239" s="1" t="s">
        <v>67</v>
      </c>
      <c r="O239" s="1" t="s">
        <v>86</v>
      </c>
      <c r="P239" s="1" t="s">
        <v>87</v>
      </c>
      <c r="Q239" s="1" t="s">
        <v>88</v>
      </c>
      <c r="R239" s="1" t="s">
        <v>50</v>
      </c>
      <c r="S239" s="1">
        <v>264</v>
      </c>
      <c r="T239" s="1">
        <v>0</v>
      </c>
      <c r="U239" s="4">
        <v>3.5416666666666666E-2</v>
      </c>
      <c r="V239" s="1">
        <v>1380</v>
      </c>
      <c r="W239" s="1">
        <v>0</v>
      </c>
      <c r="X239" s="1">
        <v>1380</v>
      </c>
      <c r="Y239" s="1" t="s">
        <v>51</v>
      </c>
      <c r="Z239" s="1">
        <v>830</v>
      </c>
      <c r="AA239" s="1">
        <v>550</v>
      </c>
      <c r="AB239" s="1">
        <v>0</v>
      </c>
      <c r="AC239" s="1">
        <v>0</v>
      </c>
      <c r="AD239" s="1">
        <v>0</v>
      </c>
      <c r="AE239" s="1">
        <v>0</v>
      </c>
      <c r="AF239" s="1"/>
      <c r="AG239" s="1">
        <v>0</v>
      </c>
      <c r="AH239" s="1">
        <v>0</v>
      </c>
      <c r="AI239" s="1">
        <v>0</v>
      </c>
      <c r="AJ239" s="1">
        <v>0</v>
      </c>
      <c r="AK239" s="1">
        <v>1.738</v>
      </c>
      <c r="AL239" s="1">
        <v>1.738</v>
      </c>
      <c r="AM239" s="1">
        <v>1.738</v>
      </c>
    </row>
    <row r="240" spans="1:39" x14ac:dyDescent="0.3">
      <c r="A240" s="21" t="str">
        <f t="shared" si="3"/>
        <v>HFA804LCLK2026-01-05</v>
      </c>
      <c r="B240" t="str">
        <f>VLOOKUP(A240,Sheet1!A240:B1582,1,FALSE)</f>
        <v>HFA804LCLK2026-01-05</v>
      </c>
      <c r="C240" s="3">
        <v>46027</v>
      </c>
      <c r="D240" s="1" t="s">
        <v>117</v>
      </c>
      <c r="E240" s="1" t="s">
        <v>38</v>
      </c>
      <c r="F240" s="1"/>
      <c r="G240" s="1" t="s">
        <v>39</v>
      </c>
      <c r="H240" s="1" t="s">
        <v>134</v>
      </c>
      <c r="I240" s="1" t="s">
        <v>67</v>
      </c>
      <c r="J240" s="1" t="s">
        <v>86</v>
      </c>
      <c r="K240" s="1" t="s">
        <v>87</v>
      </c>
      <c r="L240" s="1" t="s">
        <v>88</v>
      </c>
      <c r="M240" s="1" t="s">
        <v>50</v>
      </c>
      <c r="N240" s="1" t="s">
        <v>41</v>
      </c>
      <c r="O240" s="1" t="s">
        <v>42</v>
      </c>
      <c r="P240" s="1" t="s">
        <v>43</v>
      </c>
      <c r="Q240" s="1" t="s">
        <v>44</v>
      </c>
      <c r="R240" s="1" t="s">
        <v>45</v>
      </c>
      <c r="S240" s="1">
        <v>264</v>
      </c>
      <c r="T240" s="1">
        <v>0</v>
      </c>
      <c r="U240" s="4">
        <v>4.1666666666666664E-2</v>
      </c>
      <c r="V240" s="1">
        <v>830</v>
      </c>
      <c r="W240" s="1">
        <v>1570</v>
      </c>
      <c r="X240" s="1">
        <v>2400</v>
      </c>
      <c r="Y240" s="1" t="s">
        <v>51</v>
      </c>
      <c r="Z240" s="1">
        <v>1850</v>
      </c>
      <c r="AA240" s="1">
        <v>550</v>
      </c>
      <c r="AB240" s="1">
        <v>0</v>
      </c>
      <c r="AC240" s="1">
        <v>0</v>
      </c>
      <c r="AD240" s="1">
        <v>0</v>
      </c>
      <c r="AE240" s="1">
        <v>0</v>
      </c>
      <c r="AF240" s="1"/>
      <c r="AG240" s="1">
        <v>0</v>
      </c>
      <c r="AH240" s="1">
        <v>0</v>
      </c>
      <c r="AI240" s="1">
        <v>0</v>
      </c>
      <c r="AJ240" s="1">
        <v>0</v>
      </c>
      <c r="AK240" s="1">
        <v>1.738</v>
      </c>
      <c r="AL240" s="1">
        <v>1.738</v>
      </c>
      <c r="AM240" s="1">
        <v>1.738</v>
      </c>
    </row>
    <row r="241" spans="1:39" x14ac:dyDescent="0.3">
      <c r="A241" s="21" t="str">
        <f t="shared" si="3"/>
        <v>HFA605LLHA2026-01-05</v>
      </c>
      <c r="B241" t="str">
        <f>VLOOKUP(A241,Sheet1!A241:B1583,1,FALSE)</f>
        <v>HFA605LLHA2026-01-05</v>
      </c>
      <c r="C241" s="3">
        <v>46027</v>
      </c>
      <c r="D241" s="1" t="s">
        <v>62</v>
      </c>
      <c r="E241" s="1" t="s">
        <v>38</v>
      </c>
      <c r="F241" s="1" t="s">
        <v>54</v>
      </c>
      <c r="G241" s="1" t="s">
        <v>39</v>
      </c>
      <c r="H241" s="1" t="s">
        <v>134</v>
      </c>
      <c r="I241" s="1" t="s">
        <v>41</v>
      </c>
      <c r="J241" s="1" t="s">
        <v>42</v>
      </c>
      <c r="K241" s="1" t="s">
        <v>43</v>
      </c>
      <c r="L241" s="1" t="s">
        <v>44</v>
      </c>
      <c r="M241" s="1" t="s">
        <v>45</v>
      </c>
      <c r="N241" s="1" t="s">
        <v>41</v>
      </c>
      <c r="O241" s="1" t="s">
        <v>58</v>
      </c>
      <c r="P241" s="1" t="s">
        <v>59</v>
      </c>
      <c r="Q241" s="1" t="s">
        <v>60</v>
      </c>
      <c r="R241" s="1" t="s">
        <v>45</v>
      </c>
      <c r="S241" s="1">
        <v>342</v>
      </c>
      <c r="T241" s="1">
        <v>0</v>
      </c>
      <c r="U241" s="4">
        <v>4.3055555555555555E-2</v>
      </c>
      <c r="V241" s="1">
        <v>1850</v>
      </c>
      <c r="W241" s="1">
        <v>-10</v>
      </c>
      <c r="X241" s="1">
        <v>1840</v>
      </c>
      <c r="Y241" s="1" t="s">
        <v>51</v>
      </c>
      <c r="Z241" s="1">
        <v>1060</v>
      </c>
      <c r="AA241" s="1">
        <v>780</v>
      </c>
      <c r="AB241" s="1">
        <v>0</v>
      </c>
      <c r="AC241" s="1">
        <v>0</v>
      </c>
      <c r="AD241" s="1">
        <v>0</v>
      </c>
      <c r="AE241" s="1">
        <v>0</v>
      </c>
      <c r="AF241" s="1"/>
      <c r="AG241" s="1">
        <v>0</v>
      </c>
      <c r="AH241" s="1">
        <v>0</v>
      </c>
      <c r="AI241" s="1">
        <v>0</v>
      </c>
      <c r="AJ241" s="1">
        <v>0</v>
      </c>
      <c r="AK241" s="1">
        <v>2.4647999999999999</v>
      </c>
      <c r="AL241" s="1">
        <v>2.4647999999999999</v>
      </c>
      <c r="AM241" s="1">
        <v>2.4647999999999999</v>
      </c>
    </row>
    <row r="242" spans="1:39" x14ac:dyDescent="0.3">
      <c r="A242" s="21" t="str">
        <f t="shared" si="3"/>
        <v>HFA606LLER2026-01-05</v>
      </c>
      <c r="B242" t="str">
        <f>VLOOKUP(A242,Sheet1!A242:B1584,1,FALSE)</f>
        <v>HFA606LLER2026-01-05</v>
      </c>
      <c r="C242" s="3">
        <v>46027</v>
      </c>
      <c r="D242" s="1" t="s">
        <v>63</v>
      </c>
      <c r="E242" s="1" t="s">
        <v>38</v>
      </c>
      <c r="F242" s="1" t="s">
        <v>54</v>
      </c>
      <c r="G242" s="1" t="s">
        <v>39</v>
      </c>
      <c r="H242" s="1" t="s">
        <v>134</v>
      </c>
      <c r="I242" s="1" t="s">
        <v>41</v>
      </c>
      <c r="J242" s="1" t="s">
        <v>58</v>
      </c>
      <c r="K242" s="1" t="s">
        <v>59</v>
      </c>
      <c r="L242" s="1" t="s">
        <v>60</v>
      </c>
      <c r="M242" s="1" t="s">
        <v>45</v>
      </c>
      <c r="N242" s="1" t="s">
        <v>41</v>
      </c>
      <c r="O242" s="1" t="s">
        <v>42</v>
      </c>
      <c r="P242" s="1" t="s">
        <v>43</v>
      </c>
      <c r="Q242" s="1" t="s">
        <v>44</v>
      </c>
      <c r="R242" s="1" t="s">
        <v>45</v>
      </c>
      <c r="S242" s="1">
        <v>342</v>
      </c>
      <c r="T242" s="1">
        <v>0</v>
      </c>
      <c r="U242" s="4">
        <v>4.3055555555555555E-2</v>
      </c>
      <c r="V242" s="1">
        <v>1060</v>
      </c>
      <c r="W242" s="1">
        <v>1040</v>
      </c>
      <c r="X242" s="1">
        <v>2100</v>
      </c>
      <c r="Y242" s="1" t="s">
        <v>51</v>
      </c>
      <c r="Z242" s="1">
        <v>1390</v>
      </c>
      <c r="AA242" s="1">
        <v>710</v>
      </c>
      <c r="AB242" s="1">
        <v>0</v>
      </c>
      <c r="AC242" s="1">
        <v>0</v>
      </c>
      <c r="AD242" s="1">
        <v>0</v>
      </c>
      <c r="AE242" s="1">
        <v>0</v>
      </c>
      <c r="AF242" s="1"/>
      <c r="AG242" s="1">
        <v>0</v>
      </c>
      <c r="AH242" s="1">
        <v>0</v>
      </c>
      <c r="AI242" s="1">
        <v>0</v>
      </c>
      <c r="AJ242" s="1">
        <v>0</v>
      </c>
      <c r="AK242" s="1">
        <v>2.2435999999999998</v>
      </c>
      <c r="AL242" s="1">
        <v>2.2435999999999998</v>
      </c>
      <c r="AM242" s="1">
        <v>2.2435999999999998</v>
      </c>
    </row>
    <row r="243" spans="1:39" x14ac:dyDescent="0.3">
      <c r="A243" s="21" t="str">
        <f t="shared" si="3"/>
        <v>HFA807LLHA2026-01-05</v>
      </c>
      <c r="B243" t="str">
        <f>VLOOKUP(A243,Sheet1!A243:B1585,1,FALSE)</f>
        <v>HFA807LLHA2026-01-05</v>
      </c>
      <c r="C243" s="3">
        <v>46027</v>
      </c>
      <c r="D243" s="1" t="s">
        <v>118</v>
      </c>
      <c r="E243" s="1" t="s">
        <v>38</v>
      </c>
      <c r="F243" s="1"/>
      <c r="G243" s="1" t="s">
        <v>39</v>
      </c>
      <c r="H243" s="1" t="s">
        <v>134</v>
      </c>
      <c r="I243" s="1" t="s">
        <v>41</v>
      </c>
      <c r="J243" s="1" t="s">
        <v>42</v>
      </c>
      <c r="K243" s="1" t="s">
        <v>43</v>
      </c>
      <c r="L243" s="1" t="s">
        <v>44</v>
      </c>
      <c r="M243" s="1" t="s">
        <v>45</v>
      </c>
      <c r="N243" s="1" t="s">
        <v>67</v>
      </c>
      <c r="O243" s="1" t="s">
        <v>86</v>
      </c>
      <c r="P243" s="1" t="s">
        <v>87</v>
      </c>
      <c r="Q243" s="1" t="s">
        <v>88</v>
      </c>
      <c r="R243" s="1" t="s">
        <v>50</v>
      </c>
      <c r="S243" s="1">
        <v>264</v>
      </c>
      <c r="T243" s="1">
        <v>0</v>
      </c>
      <c r="U243" s="4">
        <v>3.2638888888888891E-2</v>
      </c>
      <c r="V243" s="1">
        <v>1390</v>
      </c>
      <c r="W243" s="1">
        <v>10</v>
      </c>
      <c r="X243" s="1">
        <v>1400</v>
      </c>
      <c r="Y243" s="1" t="s">
        <v>51</v>
      </c>
      <c r="Z243" s="1">
        <v>880</v>
      </c>
      <c r="AA243" s="1">
        <v>520</v>
      </c>
      <c r="AB243" s="1">
        <v>0</v>
      </c>
      <c r="AC243" s="1">
        <v>0</v>
      </c>
      <c r="AD243" s="1">
        <v>0</v>
      </c>
      <c r="AE243" s="1">
        <v>0</v>
      </c>
      <c r="AF243" s="1"/>
      <c r="AG243" s="1">
        <v>0</v>
      </c>
      <c r="AH243" s="1">
        <v>0</v>
      </c>
      <c r="AI243" s="1">
        <v>0</v>
      </c>
      <c r="AJ243" s="1">
        <v>0</v>
      </c>
      <c r="AK243" s="1">
        <v>1.6432</v>
      </c>
      <c r="AL243" s="1">
        <v>1.6432</v>
      </c>
      <c r="AM243" s="1">
        <v>1.6432</v>
      </c>
    </row>
    <row r="244" spans="1:39" x14ac:dyDescent="0.3">
      <c r="A244" s="21" t="str">
        <f t="shared" si="3"/>
        <v>HFA808LCLK2026-01-05</v>
      </c>
      <c r="B244" t="str">
        <f>VLOOKUP(A244,Sheet1!A244:B1586,1,FALSE)</f>
        <v>HFA808LCLK2026-01-05</v>
      </c>
      <c r="C244" s="3">
        <v>46027</v>
      </c>
      <c r="D244" s="1" t="s">
        <v>119</v>
      </c>
      <c r="E244" s="1" t="s">
        <v>38</v>
      </c>
      <c r="F244" s="1"/>
      <c r="G244" s="1" t="s">
        <v>39</v>
      </c>
      <c r="H244" s="1" t="s">
        <v>134</v>
      </c>
      <c r="I244" s="1" t="s">
        <v>67</v>
      </c>
      <c r="J244" s="1" t="s">
        <v>86</v>
      </c>
      <c r="K244" s="1" t="s">
        <v>87</v>
      </c>
      <c r="L244" s="1" t="s">
        <v>88</v>
      </c>
      <c r="M244" s="1" t="s">
        <v>50</v>
      </c>
      <c r="N244" s="1" t="s">
        <v>41</v>
      </c>
      <c r="O244" s="1" t="s">
        <v>42</v>
      </c>
      <c r="P244" s="1" t="s">
        <v>43</v>
      </c>
      <c r="Q244" s="1" t="s">
        <v>44</v>
      </c>
      <c r="R244" s="1" t="s">
        <v>45</v>
      </c>
      <c r="S244" s="1">
        <v>264</v>
      </c>
      <c r="T244" s="1">
        <v>0</v>
      </c>
      <c r="U244" s="4">
        <v>3.8194444444444448E-2</v>
      </c>
      <c r="V244" s="1">
        <v>880</v>
      </c>
      <c r="W244" s="1">
        <v>1520</v>
      </c>
      <c r="X244" s="1">
        <v>2400</v>
      </c>
      <c r="Y244" s="1" t="s">
        <v>51</v>
      </c>
      <c r="Z244" s="1">
        <v>1850</v>
      </c>
      <c r="AA244" s="1">
        <v>550</v>
      </c>
      <c r="AB244" s="1">
        <v>0</v>
      </c>
      <c r="AC244" s="1">
        <v>0</v>
      </c>
      <c r="AD244" s="1">
        <v>0</v>
      </c>
      <c r="AE244" s="1">
        <v>0</v>
      </c>
      <c r="AF244" s="1"/>
      <c r="AG244" s="1">
        <v>0</v>
      </c>
      <c r="AH244" s="1">
        <v>0</v>
      </c>
      <c r="AI244" s="1">
        <v>0</v>
      </c>
      <c r="AJ244" s="1">
        <v>0</v>
      </c>
      <c r="AK244" s="1">
        <v>1.738</v>
      </c>
      <c r="AL244" s="1">
        <v>1.738</v>
      </c>
      <c r="AM244" s="1">
        <v>1.738</v>
      </c>
    </row>
    <row r="245" spans="1:39" x14ac:dyDescent="0.3">
      <c r="A245" s="21" t="str">
        <f t="shared" si="3"/>
        <v>HFA605LLHA2026-01-06</v>
      </c>
      <c r="B245" t="str">
        <f>VLOOKUP(A245,Sheet1!A245:B1587,1,FALSE)</f>
        <v>HFA605LLHA2026-01-06</v>
      </c>
      <c r="C245" s="3">
        <v>46028</v>
      </c>
      <c r="D245" s="1" t="s">
        <v>62</v>
      </c>
      <c r="E245" s="1" t="s">
        <v>38</v>
      </c>
      <c r="F245" s="1" t="s">
        <v>54</v>
      </c>
      <c r="G245" s="1" t="s">
        <v>39</v>
      </c>
      <c r="H245" s="1" t="s">
        <v>134</v>
      </c>
      <c r="I245" s="1" t="s">
        <v>41</v>
      </c>
      <c r="J245" s="1" t="s">
        <v>42</v>
      </c>
      <c r="K245" s="1" t="s">
        <v>43</v>
      </c>
      <c r="L245" s="1" t="s">
        <v>44</v>
      </c>
      <c r="M245" s="1" t="s">
        <v>45</v>
      </c>
      <c r="N245" s="1" t="s">
        <v>41</v>
      </c>
      <c r="O245" s="1" t="s">
        <v>58</v>
      </c>
      <c r="P245" s="1" t="s">
        <v>59</v>
      </c>
      <c r="Q245" s="1" t="s">
        <v>60</v>
      </c>
      <c r="R245" s="1" t="s">
        <v>45</v>
      </c>
      <c r="S245" s="1">
        <v>342</v>
      </c>
      <c r="T245" s="1">
        <v>0</v>
      </c>
      <c r="U245" s="4">
        <v>4.7222222222222221E-2</v>
      </c>
      <c r="V245" s="1">
        <v>1850</v>
      </c>
      <c r="W245" s="1">
        <v>-20</v>
      </c>
      <c r="X245" s="1">
        <v>1830</v>
      </c>
      <c r="Y245" s="1" t="s">
        <v>51</v>
      </c>
      <c r="Z245" s="1">
        <v>1070</v>
      </c>
      <c r="AA245" s="1">
        <v>760</v>
      </c>
      <c r="AB245" s="1">
        <v>0</v>
      </c>
      <c r="AC245" s="1">
        <v>0</v>
      </c>
      <c r="AD245" s="1">
        <v>0</v>
      </c>
      <c r="AE245" s="1">
        <v>0</v>
      </c>
      <c r="AF245" s="1"/>
      <c r="AG245" s="1">
        <v>0</v>
      </c>
      <c r="AH245" s="1">
        <v>0</v>
      </c>
      <c r="AI245" s="1">
        <v>0</v>
      </c>
      <c r="AJ245" s="1">
        <v>0</v>
      </c>
      <c r="AK245" s="1">
        <v>2.4016000000000002</v>
      </c>
      <c r="AL245" s="1">
        <v>2.4016000000000002</v>
      </c>
      <c r="AM245" s="1">
        <v>2.4016000000000002</v>
      </c>
    </row>
    <row r="246" spans="1:39" x14ac:dyDescent="0.3">
      <c r="A246" s="21" t="str">
        <f t="shared" si="3"/>
        <v>HFA606LLER2026-01-06</v>
      </c>
      <c r="B246" t="str">
        <f>VLOOKUP(A246,Sheet1!A246:B1588,1,FALSE)</f>
        <v>HFA606LLER2026-01-06</v>
      </c>
      <c r="C246" s="3">
        <v>46028</v>
      </c>
      <c r="D246" s="1" t="s">
        <v>63</v>
      </c>
      <c r="E246" s="1" t="s">
        <v>38</v>
      </c>
      <c r="F246" s="1" t="s">
        <v>54</v>
      </c>
      <c r="G246" s="1" t="s">
        <v>39</v>
      </c>
      <c r="H246" s="1" t="s">
        <v>134</v>
      </c>
      <c r="I246" s="1" t="s">
        <v>41</v>
      </c>
      <c r="J246" s="1" t="s">
        <v>58</v>
      </c>
      <c r="K246" s="1" t="s">
        <v>59</v>
      </c>
      <c r="L246" s="1" t="s">
        <v>60</v>
      </c>
      <c r="M246" s="1" t="s">
        <v>45</v>
      </c>
      <c r="N246" s="1" t="s">
        <v>41</v>
      </c>
      <c r="O246" s="1" t="s">
        <v>42</v>
      </c>
      <c r="P246" s="1" t="s">
        <v>43</v>
      </c>
      <c r="Q246" s="1" t="s">
        <v>44</v>
      </c>
      <c r="R246" s="1" t="s">
        <v>45</v>
      </c>
      <c r="S246" s="1">
        <v>342</v>
      </c>
      <c r="T246" s="1">
        <v>0</v>
      </c>
      <c r="U246" s="4">
        <v>4.5138888888888888E-2</v>
      </c>
      <c r="V246" s="1">
        <v>1070</v>
      </c>
      <c r="W246" s="1">
        <v>1030</v>
      </c>
      <c r="X246" s="1">
        <v>2100</v>
      </c>
      <c r="Y246" s="1" t="s">
        <v>51</v>
      </c>
      <c r="Z246" s="1">
        <v>1380</v>
      </c>
      <c r="AA246" s="1">
        <v>720</v>
      </c>
      <c r="AB246" s="1">
        <v>0</v>
      </c>
      <c r="AC246" s="1">
        <v>0</v>
      </c>
      <c r="AD246" s="1">
        <v>0</v>
      </c>
      <c r="AE246" s="1">
        <v>0</v>
      </c>
      <c r="AF246" s="1"/>
      <c r="AG246" s="1">
        <v>0</v>
      </c>
      <c r="AH246" s="1">
        <v>0</v>
      </c>
      <c r="AI246" s="1">
        <v>0</v>
      </c>
      <c r="AJ246" s="1">
        <v>0</v>
      </c>
      <c r="AK246" s="1">
        <v>2.2751999999999999</v>
      </c>
      <c r="AL246" s="1">
        <v>2.2751999999999999</v>
      </c>
      <c r="AM246" s="1">
        <v>2.2751999999999999</v>
      </c>
    </row>
    <row r="247" spans="1:39" x14ac:dyDescent="0.3">
      <c r="A247" s="21" t="str">
        <f t="shared" si="3"/>
        <v>HFA807LLHA2026-01-06</v>
      </c>
      <c r="B247" t="str">
        <f>VLOOKUP(A247,Sheet1!A247:B1589,1,FALSE)</f>
        <v>HFA807LLHA2026-01-06</v>
      </c>
      <c r="C247" s="3">
        <v>46028</v>
      </c>
      <c r="D247" s="1" t="s">
        <v>118</v>
      </c>
      <c r="E247" s="1" t="s">
        <v>38</v>
      </c>
      <c r="F247" s="1"/>
      <c r="G247" s="1" t="s">
        <v>39</v>
      </c>
      <c r="H247" s="1" t="s">
        <v>134</v>
      </c>
      <c r="I247" s="1" t="s">
        <v>41</v>
      </c>
      <c r="J247" s="1" t="s">
        <v>42</v>
      </c>
      <c r="K247" s="1" t="s">
        <v>43</v>
      </c>
      <c r="L247" s="1" t="s">
        <v>44</v>
      </c>
      <c r="M247" s="1" t="s">
        <v>45</v>
      </c>
      <c r="N247" s="1" t="s">
        <v>67</v>
      </c>
      <c r="O247" s="1" t="s">
        <v>86</v>
      </c>
      <c r="P247" s="1" t="s">
        <v>87</v>
      </c>
      <c r="Q247" s="1" t="s">
        <v>88</v>
      </c>
      <c r="R247" s="1" t="s">
        <v>50</v>
      </c>
      <c r="S247" s="1">
        <v>264</v>
      </c>
      <c r="T247" s="1">
        <v>0</v>
      </c>
      <c r="U247" s="4">
        <v>3.7499999999999999E-2</v>
      </c>
      <c r="V247" s="1">
        <v>1380</v>
      </c>
      <c r="W247" s="1">
        <v>-10</v>
      </c>
      <c r="X247" s="1">
        <v>1370</v>
      </c>
      <c r="Y247" s="1" t="s">
        <v>51</v>
      </c>
      <c r="Z247" s="1">
        <v>820</v>
      </c>
      <c r="AA247" s="1">
        <v>550</v>
      </c>
      <c r="AB247" s="1">
        <v>0</v>
      </c>
      <c r="AC247" s="1">
        <v>0</v>
      </c>
      <c r="AD247" s="1">
        <v>0</v>
      </c>
      <c r="AE247" s="1">
        <v>0</v>
      </c>
      <c r="AF247" s="1"/>
      <c r="AG247" s="1">
        <v>0</v>
      </c>
      <c r="AH247" s="1">
        <v>0</v>
      </c>
      <c r="AI247" s="1">
        <v>0</v>
      </c>
      <c r="AJ247" s="1">
        <v>0</v>
      </c>
      <c r="AK247" s="1">
        <v>1.738</v>
      </c>
      <c r="AL247" s="1">
        <v>1.738</v>
      </c>
      <c r="AM247" s="1">
        <v>1.738</v>
      </c>
    </row>
    <row r="248" spans="1:39" x14ac:dyDescent="0.3">
      <c r="A248" s="21" t="str">
        <f t="shared" si="3"/>
        <v>HFA808LCLK2026-01-06</v>
      </c>
      <c r="B248" t="str">
        <f>VLOOKUP(A248,Sheet1!A248:B1590,1,FALSE)</f>
        <v>HFA808LCLK2026-01-06</v>
      </c>
      <c r="C248" s="3">
        <v>46028</v>
      </c>
      <c r="D248" s="1" t="s">
        <v>119</v>
      </c>
      <c r="E248" s="1" t="s">
        <v>38</v>
      </c>
      <c r="F248" s="1"/>
      <c r="G248" s="1" t="s">
        <v>39</v>
      </c>
      <c r="H248" s="1" t="s">
        <v>134</v>
      </c>
      <c r="I248" s="1" t="s">
        <v>67</v>
      </c>
      <c r="J248" s="1" t="s">
        <v>86</v>
      </c>
      <c r="K248" s="1" t="s">
        <v>87</v>
      </c>
      <c r="L248" s="1" t="s">
        <v>88</v>
      </c>
      <c r="M248" s="1" t="s">
        <v>50</v>
      </c>
      <c r="N248" s="1" t="s">
        <v>41</v>
      </c>
      <c r="O248" s="1" t="s">
        <v>42</v>
      </c>
      <c r="P248" s="1" t="s">
        <v>43</v>
      </c>
      <c r="Q248" s="1" t="s">
        <v>44</v>
      </c>
      <c r="R248" s="1" t="s">
        <v>45</v>
      </c>
      <c r="S248" s="1">
        <v>264</v>
      </c>
      <c r="T248" s="1">
        <v>0</v>
      </c>
      <c r="U248" s="4">
        <v>3.9583333333333331E-2</v>
      </c>
      <c r="V248" s="1">
        <v>820</v>
      </c>
      <c r="W248" s="1">
        <v>1180</v>
      </c>
      <c r="X248" s="1">
        <v>2000</v>
      </c>
      <c r="Y248" s="1" t="s">
        <v>51</v>
      </c>
      <c r="Z248" s="1">
        <v>1460</v>
      </c>
      <c r="AA248" s="1">
        <v>540</v>
      </c>
      <c r="AB248" s="1">
        <v>0</v>
      </c>
      <c r="AC248" s="1">
        <v>0</v>
      </c>
      <c r="AD248" s="1">
        <v>0</v>
      </c>
      <c r="AE248" s="1">
        <v>0</v>
      </c>
      <c r="AF248" s="1"/>
      <c r="AG248" s="1">
        <v>0</v>
      </c>
      <c r="AH248" s="1">
        <v>0</v>
      </c>
      <c r="AI248" s="1">
        <v>0</v>
      </c>
      <c r="AJ248" s="1">
        <v>0</v>
      </c>
      <c r="AK248" s="1">
        <v>1.7063999999999999</v>
      </c>
      <c r="AL248" s="1">
        <v>1.7063999999999999</v>
      </c>
      <c r="AM248" s="1">
        <v>1.7063999999999999</v>
      </c>
    </row>
    <row r="249" spans="1:39" x14ac:dyDescent="0.3">
      <c r="A249" s="21" t="str">
        <f t="shared" si="3"/>
        <v>HFA801LLHA2026-01-07</v>
      </c>
      <c r="B249" t="str">
        <f>VLOOKUP(A249,Sheet1!A249:B1591,1,FALSE)</f>
        <v>HFA801LLHA2026-01-07</v>
      </c>
      <c r="C249" s="3">
        <v>46029</v>
      </c>
      <c r="D249" s="1" t="s">
        <v>133</v>
      </c>
      <c r="E249" s="1" t="s">
        <v>38</v>
      </c>
      <c r="F249" s="1"/>
      <c r="G249" s="1" t="s">
        <v>39</v>
      </c>
      <c r="H249" s="1" t="s">
        <v>134</v>
      </c>
      <c r="I249" s="1" t="s">
        <v>41</v>
      </c>
      <c r="J249" s="1" t="s">
        <v>42</v>
      </c>
      <c r="K249" s="1" t="s">
        <v>43</v>
      </c>
      <c r="L249" s="1" t="s">
        <v>44</v>
      </c>
      <c r="M249" s="1" t="s">
        <v>45</v>
      </c>
      <c r="N249" s="1" t="s">
        <v>67</v>
      </c>
      <c r="O249" s="1" t="s">
        <v>86</v>
      </c>
      <c r="P249" s="1" t="s">
        <v>87</v>
      </c>
      <c r="Q249" s="1" t="s">
        <v>88</v>
      </c>
      <c r="R249" s="1" t="s">
        <v>50</v>
      </c>
      <c r="S249" s="1">
        <v>264</v>
      </c>
      <c r="T249" s="1">
        <v>0</v>
      </c>
      <c r="U249" s="4">
        <v>4.1666666666666664E-2</v>
      </c>
      <c r="V249" s="1">
        <v>1460</v>
      </c>
      <c r="W249" s="1">
        <v>-40</v>
      </c>
      <c r="X249" s="1">
        <v>1420</v>
      </c>
      <c r="Y249" s="1" t="s">
        <v>51</v>
      </c>
      <c r="Z249" s="1">
        <v>760</v>
      </c>
      <c r="AA249" s="1">
        <v>660</v>
      </c>
      <c r="AB249" s="1">
        <v>0</v>
      </c>
      <c r="AC249" s="1">
        <v>0</v>
      </c>
      <c r="AD249" s="1">
        <v>0</v>
      </c>
      <c r="AE249" s="1">
        <v>0</v>
      </c>
      <c r="AF249" s="1"/>
      <c r="AG249" s="1">
        <v>0</v>
      </c>
      <c r="AH249" s="1">
        <v>0</v>
      </c>
      <c r="AI249" s="1">
        <v>0</v>
      </c>
      <c r="AJ249" s="1">
        <v>0</v>
      </c>
      <c r="AK249" s="1">
        <v>2.0855999999999999</v>
      </c>
      <c r="AL249" s="1">
        <v>2.0855999999999999</v>
      </c>
      <c r="AM249" s="1">
        <v>2.0855999999999999</v>
      </c>
    </row>
    <row r="250" spans="1:39" x14ac:dyDescent="0.3">
      <c r="A250" s="21" t="str">
        <f t="shared" si="3"/>
        <v>HFA802LCLK2026-01-07</v>
      </c>
      <c r="B250" t="str">
        <f>VLOOKUP(A250,Sheet1!A250:B1592,1,FALSE)</f>
        <v>HFA802LCLK2026-01-07</v>
      </c>
      <c r="C250" s="3">
        <v>46029</v>
      </c>
      <c r="D250" s="1" t="s">
        <v>135</v>
      </c>
      <c r="E250" s="1" t="s">
        <v>38</v>
      </c>
      <c r="F250" s="1"/>
      <c r="G250" s="1" t="s">
        <v>39</v>
      </c>
      <c r="H250" s="1" t="s">
        <v>134</v>
      </c>
      <c r="I250" s="1" t="s">
        <v>67</v>
      </c>
      <c r="J250" s="1" t="s">
        <v>86</v>
      </c>
      <c r="K250" s="1" t="s">
        <v>87</v>
      </c>
      <c r="L250" s="1" t="s">
        <v>88</v>
      </c>
      <c r="M250" s="1" t="s">
        <v>50</v>
      </c>
      <c r="N250" s="1" t="s">
        <v>41</v>
      </c>
      <c r="O250" s="1" t="s">
        <v>42</v>
      </c>
      <c r="P250" s="1" t="s">
        <v>43</v>
      </c>
      <c r="Q250" s="1" t="s">
        <v>44</v>
      </c>
      <c r="R250" s="1" t="s">
        <v>45</v>
      </c>
      <c r="S250" s="1">
        <v>264</v>
      </c>
      <c r="T250" s="1">
        <v>0</v>
      </c>
      <c r="U250" s="4">
        <v>3.8194444444444448E-2</v>
      </c>
      <c r="V250" s="1">
        <v>760</v>
      </c>
      <c r="W250" s="1">
        <v>1240</v>
      </c>
      <c r="X250" s="1">
        <v>2000</v>
      </c>
      <c r="Y250" s="1" t="s">
        <v>51</v>
      </c>
      <c r="Z250" s="1">
        <v>1430</v>
      </c>
      <c r="AA250" s="1">
        <v>570</v>
      </c>
      <c r="AB250" s="1">
        <v>0</v>
      </c>
      <c r="AC250" s="1">
        <v>0</v>
      </c>
      <c r="AD250" s="1">
        <v>0</v>
      </c>
      <c r="AE250" s="1">
        <v>0</v>
      </c>
      <c r="AF250" s="1"/>
      <c r="AG250" s="1">
        <v>0</v>
      </c>
      <c r="AH250" s="1">
        <v>0</v>
      </c>
      <c r="AI250" s="1">
        <v>0</v>
      </c>
      <c r="AJ250" s="1">
        <v>0</v>
      </c>
      <c r="AK250" s="1">
        <v>1.8011999999999999</v>
      </c>
      <c r="AL250" s="1">
        <v>1.8011999999999999</v>
      </c>
      <c r="AM250" s="1">
        <v>1.8011999999999999</v>
      </c>
    </row>
    <row r="251" spans="1:39" x14ac:dyDescent="0.3">
      <c r="A251" s="21" t="str">
        <f t="shared" si="3"/>
        <v>HFA803LLHA2026-01-07</v>
      </c>
      <c r="B251" t="str">
        <f>VLOOKUP(A251,Sheet1!A251:B1593,1,FALSE)</f>
        <v>HFA803LLHA2026-01-07</v>
      </c>
      <c r="C251" s="3">
        <v>46029</v>
      </c>
      <c r="D251" s="1" t="s">
        <v>116</v>
      </c>
      <c r="E251" s="1" t="s">
        <v>38</v>
      </c>
      <c r="F251" s="1"/>
      <c r="G251" s="1" t="s">
        <v>39</v>
      </c>
      <c r="H251" s="1" t="s">
        <v>134</v>
      </c>
      <c r="I251" s="1" t="s">
        <v>41</v>
      </c>
      <c r="J251" s="1" t="s">
        <v>42</v>
      </c>
      <c r="K251" s="1" t="s">
        <v>43</v>
      </c>
      <c r="L251" s="1" t="s">
        <v>44</v>
      </c>
      <c r="M251" s="1" t="s">
        <v>45</v>
      </c>
      <c r="N251" s="1" t="s">
        <v>67</v>
      </c>
      <c r="O251" s="1" t="s">
        <v>86</v>
      </c>
      <c r="P251" s="1" t="s">
        <v>87</v>
      </c>
      <c r="Q251" s="1" t="s">
        <v>88</v>
      </c>
      <c r="R251" s="1" t="s">
        <v>50</v>
      </c>
      <c r="S251" s="1">
        <v>264</v>
      </c>
      <c r="T251" s="1">
        <v>0</v>
      </c>
      <c r="U251" s="4">
        <v>3.8194444444444448E-2</v>
      </c>
      <c r="V251" s="1">
        <v>1430</v>
      </c>
      <c r="W251" s="1">
        <v>0</v>
      </c>
      <c r="X251" s="1">
        <v>1430</v>
      </c>
      <c r="Y251" s="1" t="s">
        <v>51</v>
      </c>
      <c r="Z251" s="1">
        <v>830</v>
      </c>
      <c r="AA251" s="1">
        <v>600</v>
      </c>
      <c r="AB251" s="1">
        <v>0</v>
      </c>
      <c r="AC251" s="1">
        <v>0</v>
      </c>
      <c r="AD251" s="1">
        <v>0</v>
      </c>
      <c r="AE251" s="1">
        <v>0</v>
      </c>
      <c r="AF251" s="1"/>
      <c r="AG251" s="1">
        <v>0</v>
      </c>
      <c r="AH251" s="1">
        <v>0</v>
      </c>
      <c r="AI251" s="1">
        <v>0</v>
      </c>
      <c r="AJ251" s="1">
        <v>0</v>
      </c>
      <c r="AK251" s="1">
        <v>1.8959999999999999</v>
      </c>
      <c r="AL251" s="1">
        <v>1.8959999999999999</v>
      </c>
      <c r="AM251" s="1">
        <v>1.8959999999999999</v>
      </c>
    </row>
    <row r="252" spans="1:39" x14ac:dyDescent="0.3">
      <c r="A252" s="21" t="str">
        <f t="shared" si="3"/>
        <v>HFA804LCLK2026-01-07</v>
      </c>
      <c r="B252" t="str">
        <f>VLOOKUP(A252,Sheet1!A252:B1594,1,FALSE)</f>
        <v>HFA804LCLK2026-01-07</v>
      </c>
      <c r="C252" s="3">
        <v>46029</v>
      </c>
      <c r="D252" s="1" t="s">
        <v>117</v>
      </c>
      <c r="E252" s="1" t="s">
        <v>38</v>
      </c>
      <c r="F252" s="1"/>
      <c r="G252" s="1" t="s">
        <v>39</v>
      </c>
      <c r="H252" s="1" t="s">
        <v>134</v>
      </c>
      <c r="I252" s="1" t="s">
        <v>67</v>
      </c>
      <c r="J252" s="1" t="s">
        <v>86</v>
      </c>
      <c r="K252" s="1" t="s">
        <v>87</v>
      </c>
      <c r="L252" s="1" t="s">
        <v>88</v>
      </c>
      <c r="M252" s="1" t="s">
        <v>50</v>
      </c>
      <c r="N252" s="1" t="s">
        <v>41</v>
      </c>
      <c r="O252" s="1" t="s">
        <v>42</v>
      </c>
      <c r="P252" s="1" t="s">
        <v>43</v>
      </c>
      <c r="Q252" s="1" t="s">
        <v>44</v>
      </c>
      <c r="R252" s="1" t="s">
        <v>45</v>
      </c>
      <c r="S252" s="1">
        <v>264</v>
      </c>
      <c r="T252" s="1">
        <v>0</v>
      </c>
      <c r="U252" s="4">
        <v>3.7499999999999999E-2</v>
      </c>
      <c r="V252" s="1">
        <v>830</v>
      </c>
      <c r="W252" s="1">
        <v>1470</v>
      </c>
      <c r="X252" s="1">
        <v>2300</v>
      </c>
      <c r="Y252" s="1" t="s">
        <v>51</v>
      </c>
      <c r="Z252" s="1">
        <v>1790</v>
      </c>
      <c r="AA252" s="1">
        <v>510</v>
      </c>
      <c r="AB252" s="1">
        <v>0</v>
      </c>
      <c r="AC252" s="1">
        <v>0</v>
      </c>
      <c r="AD252" s="1">
        <v>0</v>
      </c>
      <c r="AE252" s="1">
        <v>0</v>
      </c>
      <c r="AF252" s="1"/>
      <c r="AG252" s="1">
        <v>0</v>
      </c>
      <c r="AH252" s="1">
        <v>0</v>
      </c>
      <c r="AI252" s="1">
        <v>0</v>
      </c>
      <c r="AJ252" s="1">
        <v>0</v>
      </c>
      <c r="AK252" s="1">
        <v>1.6115999999999999</v>
      </c>
      <c r="AL252" s="1">
        <v>1.6115999999999999</v>
      </c>
      <c r="AM252" s="1">
        <v>1.6115999999999999</v>
      </c>
    </row>
    <row r="253" spans="1:39" x14ac:dyDescent="0.3">
      <c r="A253" s="21" t="str">
        <f t="shared" si="3"/>
        <v>HFA605LLHA2026-01-07</v>
      </c>
      <c r="B253" t="str">
        <f>VLOOKUP(A253,Sheet1!A253:B1595,1,FALSE)</f>
        <v>HFA605LLHA2026-01-07</v>
      </c>
      <c r="C253" s="3">
        <v>46029</v>
      </c>
      <c r="D253" s="1" t="s">
        <v>62</v>
      </c>
      <c r="E253" s="1" t="s">
        <v>38</v>
      </c>
      <c r="F253" s="1" t="s">
        <v>54</v>
      </c>
      <c r="G253" s="1" t="s">
        <v>39</v>
      </c>
      <c r="H253" s="1" t="s">
        <v>134</v>
      </c>
      <c r="I253" s="1" t="s">
        <v>41</v>
      </c>
      <c r="J253" s="1" t="s">
        <v>42</v>
      </c>
      <c r="K253" s="1" t="s">
        <v>43</v>
      </c>
      <c r="L253" s="1" t="s">
        <v>44</v>
      </c>
      <c r="M253" s="1" t="s">
        <v>45</v>
      </c>
      <c r="N253" s="1" t="s">
        <v>41</v>
      </c>
      <c r="O253" s="1" t="s">
        <v>58</v>
      </c>
      <c r="P253" s="1" t="s">
        <v>59</v>
      </c>
      <c r="Q253" s="1" t="s">
        <v>60</v>
      </c>
      <c r="R253" s="1" t="s">
        <v>45</v>
      </c>
      <c r="S253" s="1">
        <v>342</v>
      </c>
      <c r="T253" s="1">
        <v>0</v>
      </c>
      <c r="U253" s="4">
        <v>4.8611111111111105E-2</v>
      </c>
      <c r="V253" s="1">
        <v>1790</v>
      </c>
      <c r="W253" s="1">
        <v>0</v>
      </c>
      <c r="X253" s="1">
        <v>1790</v>
      </c>
      <c r="Y253" s="1" t="s">
        <v>51</v>
      </c>
      <c r="Z253" s="1">
        <v>990</v>
      </c>
      <c r="AA253" s="1">
        <v>800</v>
      </c>
      <c r="AB253" s="1">
        <v>0</v>
      </c>
      <c r="AC253" s="1">
        <v>0</v>
      </c>
      <c r="AD253" s="1">
        <v>0</v>
      </c>
      <c r="AE253" s="1">
        <v>0</v>
      </c>
      <c r="AF253" s="1"/>
      <c r="AG253" s="1">
        <v>0</v>
      </c>
      <c r="AH253" s="1">
        <v>0</v>
      </c>
      <c r="AI253" s="1">
        <v>0</v>
      </c>
      <c r="AJ253" s="1">
        <v>0</v>
      </c>
      <c r="AK253" s="1">
        <v>2.528</v>
      </c>
      <c r="AL253" s="1">
        <v>2.528</v>
      </c>
      <c r="AM253" s="1">
        <v>2.528</v>
      </c>
    </row>
    <row r="254" spans="1:39" x14ac:dyDescent="0.3">
      <c r="A254" s="21" t="str">
        <f t="shared" si="3"/>
        <v>HFA606LLER2026-01-07</v>
      </c>
      <c r="B254" t="str">
        <f>VLOOKUP(A254,Sheet1!A254:B1596,1,FALSE)</f>
        <v>HFA606LLER2026-01-07</v>
      </c>
      <c r="C254" s="3">
        <v>46029</v>
      </c>
      <c r="D254" s="1" t="s">
        <v>63</v>
      </c>
      <c r="E254" s="1" t="s">
        <v>38</v>
      </c>
      <c r="F254" s="1" t="s">
        <v>54</v>
      </c>
      <c r="G254" s="1" t="s">
        <v>39</v>
      </c>
      <c r="H254" s="1" t="s">
        <v>134</v>
      </c>
      <c r="I254" s="1" t="s">
        <v>41</v>
      </c>
      <c r="J254" s="1" t="s">
        <v>58</v>
      </c>
      <c r="K254" s="1" t="s">
        <v>59</v>
      </c>
      <c r="L254" s="1" t="s">
        <v>60</v>
      </c>
      <c r="M254" s="1" t="s">
        <v>45</v>
      </c>
      <c r="N254" s="1" t="s">
        <v>41</v>
      </c>
      <c r="O254" s="1" t="s">
        <v>42</v>
      </c>
      <c r="P254" s="1" t="s">
        <v>43</v>
      </c>
      <c r="Q254" s="1" t="s">
        <v>44</v>
      </c>
      <c r="R254" s="1" t="s">
        <v>45</v>
      </c>
      <c r="S254" s="1">
        <v>342</v>
      </c>
      <c r="T254" s="1">
        <v>0</v>
      </c>
      <c r="U254" s="4">
        <v>4.3749999999999997E-2</v>
      </c>
      <c r="V254" s="1">
        <v>990</v>
      </c>
      <c r="W254" s="1">
        <v>1110</v>
      </c>
      <c r="X254" s="1">
        <v>2100</v>
      </c>
      <c r="Y254" s="1" t="s">
        <v>51</v>
      </c>
      <c r="Z254" s="1">
        <v>1350</v>
      </c>
      <c r="AA254" s="1">
        <v>750</v>
      </c>
      <c r="AB254" s="1">
        <v>0</v>
      </c>
      <c r="AC254" s="1">
        <v>0</v>
      </c>
      <c r="AD254" s="1">
        <v>0</v>
      </c>
      <c r="AE254" s="1">
        <v>0</v>
      </c>
      <c r="AF254" s="1"/>
      <c r="AG254" s="1">
        <v>0</v>
      </c>
      <c r="AH254" s="1">
        <v>0</v>
      </c>
      <c r="AI254" s="1">
        <v>0</v>
      </c>
      <c r="AJ254" s="1">
        <v>0</v>
      </c>
      <c r="AK254" s="1">
        <v>2.37</v>
      </c>
      <c r="AL254" s="1">
        <v>2.37</v>
      </c>
      <c r="AM254" s="1">
        <v>2.37</v>
      </c>
    </row>
    <row r="255" spans="1:39" x14ac:dyDescent="0.3">
      <c r="A255" s="21" t="str">
        <f t="shared" si="3"/>
        <v>HFA807LLHA2026-01-07</v>
      </c>
      <c r="B255" t="str">
        <f>VLOOKUP(A255,Sheet1!A255:B1597,1,FALSE)</f>
        <v>HFA807LLHA2026-01-07</v>
      </c>
      <c r="C255" s="3">
        <v>46029</v>
      </c>
      <c r="D255" s="1" t="s">
        <v>118</v>
      </c>
      <c r="E255" s="1" t="s">
        <v>38</v>
      </c>
      <c r="F255" s="1"/>
      <c r="G255" s="1" t="s">
        <v>39</v>
      </c>
      <c r="H255" s="1" t="s">
        <v>134</v>
      </c>
      <c r="I255" s="1" t="s">
        <v>41</v>
      </c>
      <c r="J255" s="1" t="s">
        <v>42</v>
      </c>
      <c r="K255" s="1" t="s">
        <v>43</v>
      </c>
      <c r="L255" s="1" t="s">
        <v>44</v>
      </c>
      <c r="M255" s="1" t="s">
        <v>45</v>
      </c>
      <c r="N255" s="1" t="s">
        <v>67</v>
      </c>
      <c r="O255" s="1" t="s">
        <v>86</v>
      </c>
      <c r="P255" s="1" t="s">
        <v>87</v>
      </c>
      <c r="Q255" s="1" t="s">
        <v>88</v>
      </c>
      <c r="R255" s="1" t="s">
        <v>50</v>
      </c>
      <c r="S255" s="1">
        <v>264</v>
      </c>
      <c r="T255" s="1">
        <v>0</v>
      </c>
      <c r="U255" s="4">
        <v>3.4722222222222224E-2</v>
      </c>
      <c r="V255" s="1">
        <v>1350</v>
      </c>
      <c r="W255" s="1">
        <v>0</v>
      </c>
      <c r="X255" s="1">
        <v>1350</v>
      </c>
      <c r="Y255" s="1" t="s">
        <v>51</v>
      </c>
      <c r="Z255" s="1">
        <v>820</v>
      </c>
      <c r="AA255" s="1">
        <v>530</v>
      </c>
      <c r="AB255" s="1">
        <v>0</v>
      </c>
      <c r="AC255" s="1">
        <v>0</v>
      </c>
      <c r="AD255" s="1">
        <v>0</v>
      </c>
      <c r="AE255" s="1">
        <v>0</v>
      </c>
      <c r="AF255" s="1"/>
      <c r="AG255" s="1">
        <v>0</v>
      </c>
      <c r="AH255" s="1">
        <v>0</v>
      </c>
      <c r="AI255" s="1">
        <v>0</v>
      </c>
      <c r="AJ255" s="1">
        <v>0</v>
      </c>
      <c r="AK255" s="1">
        <v>1.6748000000000001</v>
      </c>
      <c r="AL255" s="1">
        <v>1.6748000000000001</v>
      </c>
      <c r="AM255" s="1">
        <v>1.6748000000000001</v>
      </c>
    </row>
    <row r="256" spans="1:39" x14ac:dyDescent="0.3">
      <c r="A256" s="21" t="str">
        <f t="shared" si="3"/>
        <v>HFA808LCLK2026-01-07</v>
      </c>
      <c r="B256" t="str">
        <f>VLOOKUP(A256,Sheet1!A256:B1598,1,FALSE)</f>
        <v>HFA808LCLK2026-01-07</v>
      </c>
      <c r="C256" s="3">
        <v>46029</v>
      </c>
      <c r="D256" s="1" t="s">
        <v>119</v>
      </c>
      <c r="E256" s="1" t="s">
        <v>38</v>
      </c>
      <c r="F256" s="1"/>
      <c r="G256" s="1" t="s">
        <v>39</v>
      </c>
      <c r="H256" s="1" t="s">
        <v>134</v>
      </c>
      <c r="I256" s="1" t="s">
        <v>67</v>
      </c>
      <c r="J256" s="1" t="s">
        <v>86</v>
      </c>
      <c r="K256" s="1" t="s">
        <v>87</v>
      </c>
      <c r="L256" s="1" t="s">
        <v>88</v>
      </c>
      <c r="M256" s="1" t="s">
        <v>50</v>
      </c>
      <c r="N256" s="1" t="s">
        <v>41</v>
      </c>
      <c r="O256" s="1" t="s">
        <v>42</v>
      </c>
      <c r="P256" s="1" t="s">
        <v>43</v>
      </c>
      <c r="Q256" s="1" t="s">
        <v>44</v>
      </c>
      <c r="R256" s="1" t="s">
        <v>45</v>
      </c>
      <c r="S256" s="1">
        <v>264</v>
      </c>
      <c r="T256" s="1">
        <v>0</v>
      </c>
      <c r="U256" s="4">
        <v>3.6805555555555557E-2</v>
      </c>
      <c r="V256" s="1">
        <v>820</v>
      </c>
      <c r="W256" s="1">
        <v>1180</v>
      </c>
      <c r="X256" s="1">
        <v>2000</v>
      </c>
      <c r="Y256" s="1" t="s">
        <v>51</v>
      </c>
      <c r="Z256" s="1">
        <v>1430</v>
      </c>
      <c r="AA256" s="1">
        <v>570</v>
      </c>
      <c r="AB256" s="1">
        <v>0</v>
      </c>
      <c r="AC256" s="1">
        <v>0</v>
      </c>
      <c r="AD256" s="1">
        <v>0</v>
      </c>
      <c r="AE256" s="1">
        <v>0</v>
      </c>
      <c r="AF256" s="1"/>
      <c r="AG256" s="1">
        <v>0</v>
      </c>
      <c r="AH256" s="1">
        <v>0</v>
      </c>
      <c r="AI256" s="1">
        <v>0</v>
      </c>
      <c r="AJ256" s="1">
        <v>0</v>
      </c>
      <c r="AK256" s="1">
        <v>1.8011999999999999</v>
      </c>
      <c r="AL256" s="1">
        <v>1.8011999999999999</v>
      </c>
      <c r="AM256" s="1">
        <v>1.8011999999999999</v>
      </c>
    </row>
    <row r="257" spans="1:39" x14ac:dyDescent="0.3">
      <c r="A257" s="21" t="str">
        <f t="shared" si="3"/>
        <v>HFA801LLHA2026-01-08</v>
      </c>
      <c r="B257" t="str">
        <f>VLOOKUP(A257,Sheet1!A257:B1599,1,FALSE)</f>
        <v>HFA801LLHA2026-01-08</v>
      </c>
      <c r="C257" s="3">
        <v>46030</v>
      </c>
      <c r="D257" s="1" t="s">
        <v>133</v>
      </c>
      <c r="E257" s="1" t="s">
        <v>38</v>
      </c>
      <c r="F257" s="1"/>
      <c r="G257" s="1" t="s">
        <v>39</v>
      </c>
      <c r="H257" s="1" t="s">
        <v>134</v>
      </c>
      <c r="I257" s="1" t="s">
        <v>41</v>
      </c>
      <c r="J257" s="1" t="s">
        <v>42</v>
      </c>
      <c r="K257" s="1" t="s">
        <v>43</v>
      </c>
      <c r="L257" s="1" t="s">
        <v>44</v>
      </c>
      <c r="M257" s="1" t="s">
        <v>45</v>
      </c>
      <c r="N257" s="1" t="s">
        <v>67</v>
      </c>
      <c r="O257" s="1" t="s">
        <v>86</v>
      </c>
      <c r="P257" s="1" t="s">
        <v>87</v>
      </c>
      <c r="Q257" s="1" t="s">
        <v>88</v>
      </c>
      <c r="R257" s="1" t="s">
        <v>50</v>
      </c>
      <c r="S257" s="1">
        <v>264</v>
      </c>
      <c r="T257" s="1">
        <v>0</v>
      </c>
      <c r="U257" s="4">
        <v>3.4027777777777775E-2</v>
      </c>
      <c r="V257" s="1">
        <v>1430</v>
      </c>
      <c r="W257" s="1">
        <v>-10</v>
      </c>
      <c r="X257" s="1">
        <v>1420</v>
      </c>
      <c r="Y257" s="1" t="s">
        <v>51</v>
      </c>
      <c r="Z257" s="1">
        <v>900</v>
      </c>
      <c r="AA257" s="1">
        <v>520</v>
      </c>
      <c r="AB257" s="1">
        <v>0</v>
      </c>
      <c r="AC257" s="1">
        <v>0</v>
      </c>
      <c r="AD257" s="1">
        <v>0</v>
      </c>
      <c r="AE257" s="1">
        <v>0</v>
      </c>
      <c r="AF257" s="1"/>
      <c r="AG257" s="1">
        <v>0</v>
      </c>
      <c r="AH257" s="1">
        <v>0</v>
      </c>
      <c r="AI257" s="1">
        <v>0</v>
      </c>
      <c r="AJ257" s="1">
        <v>0</v>
      </c>
      <c r="AK257" s="1">
        <v>1.6432</v>
      </c>
      <c r="AL257" s="1">
        <v>1.6432</v>
      </c>
      <c r="AM257" s="1">
        <v>1.6432</v>
      </c>
    </row>
    <row r="258" spans="1:39" x14ac:dyDescent="0.3">
      <c r="A258" s="21" t="str">
        <f t="shared" si="3"/>
        <v>HFA802LCLK2026-01-08</v>
      </c>
      <c r="B258" t="str">
        <f>VLOOKUP(A258,Sheet1!A258:B1600,1,FALSE)</f>
        <v>HFA802LCLK2026-01-08</v>
      </c>
      <c r="C258" s="3">
        <v>46030</v>
      </c>
      <c r="D258" s="1" t="s">
        <v>135</v>
      </c>
      <c r="E258" s="1" t="s">
        <v>38</v>
      </c>
      <c r="F258" s="1"/>
      <c r="G258" s="1" t="s">
        <v>39</v>
      </c>
      <c r="H258" s="1" t="s">
        <v>134</v>
      </c>
      <c r="I258" s="1" t="s">
        <v>67</v>
      </c>
      <c r="J258" s="1" t="s">
        <v>86</v>
      </c>
      <c r="K258" s="1" t="s">
        <v>87</v>
      </c>
      <c r="L258" s="1" t="s">
        <v>88</v>
      </c>
      <c r="M258" s="1" t="s">
        <v>50</v>
      </c>
      <c r="N258" s="1" t="s">
        <v>41</v>
      </c>
      <c r="O258" s="1" t="s">
        <v>42</v>
      </c>
      <c r="P258" s="1" t="s">
        <v>43</v>
      </c>
      <c r="Q258" s="1" t="s">
        <v>44</v>
      </c>
      <c r="R258" s="1" t="s">
        <v>45</v>
      </c>
      <c r="S258" s="1">
        <v>264</v>
      </c>
      <c r="T258" s="1">
        <v>0</v>
      </c>
      <c r="U258" s="4">
        <v>3.9583333333333331E-2</v>
      </c>
      <c r="V258" s="1">
        <v>900</v>
      </c>
      <c r="W258" s="1">
        <v>1100</v>
      </c>
      <c r="X258" s="1">
        <v>2000</v>
      </c>
      <c r="Y258" s="1" t="s">
        <v>51</v>
      </c>
      <c r="Z258" s="1">
        <v>1400</v>
      </c>
      <c r="AA258" s="1">
        <v>600</v>
      </c>
      <c r="AB258" s="1">
        <v>0</v>
      </c>
      <c r="AC258" s="1">
        <v>0</v>
      </c>
      <c r="AD258" s="1">
        <v>0</v>
      </c>
      <c r="AE258" s="1">
        <v>0</v>
      </c>
      <c r="AF258" s="1"/>
      <c r="AG258" s="1">
        <v>0</v>
      </c>
      <c r="AH258" s="1">
        <v>0</v>
      </c>
      <c r="AI258" s="1">
        <v>0</v>
      </c>
      <c r="AJ258" s="1">
        <v>0</v>
      </c>
      <c r="AK258" s="1">
        <v>1.8959999999999999</v>
      </c>
      <c r="AL258" s="1">
        <v>1.8959999999999999</v>
      </c>
      <c r="AM258" s="1">
        <v>1.8959999999999999</v>
      </c>
    </row>
    <row r="259" spans="1:39" x14ac:dyDescent="0.3">
      <c r="A259" s="21" t="str">
        <f t="shared" ref="A259:A322" si="4">CONCATENATE(D259,K259,TEXT(C259,"YYYY-MM-DD"))</f>
        <v>HFA803LLHA2026-01-08</v>
      </c>
      <c r="B259" t="str">
        <f>VLOOKUP(A259,Sheet1!A259:B1601,1,FALSE)</f>
        <v>HFA803LLHA2026-01-08</v>
      </c>
      <c r="C259" s="3">
        <v>46030</v>
      </c>
      <c r="D259" s="1" t="s">
        <v>116</v>
      </c>
      <c r="E259" s="1" t="s">
        <v>38</v>
      </c>
      <c r="F259" s="1"/>
      <c r="G259" s="1" t="s">
        <v>39</v>
      </c>
      <c r="H259" s="1" t="s">
        <v>134</v>
      </c>
      <c r="I259" s="1" t="s">
        <v>41</v>
      </c>
      <c r="J259" s="1" t="s">
        <v>42</v>
      </c>
      <c r="K259" s="1" t="s">
        <v>43</v>
      </c>
      <c r="L259" s="1" t="s">
        <v>44</v>
      </c>
      <c r="M259" s="1" t="s">
        <v>45</v>
      </c>
      <c r="N259" s="1" t="s">
        <v>67</v>
      </c>
      <c r="O259" s="1" t="s">
        <v>86</v>
      </c>
      <c r="P259" s="1" t="s">
        <v>87</v>
      </c>
      <c r="Q259" s="1" t="s">
        <v>88</v>
      </c>
      <c r="R259" s="1" t="s">
        <v>50</v>
      </c>
      <c r="S259" s="1">
        <v>264</v>
      </c>
      <c r="T259" s="1">
        <v>0</v>
      </c>
      <c r="U259" s="4">
        <v>3.6111111111111108E-2</v>
      </c>
      <c r="V259" s="1">
        <v>1400</v>
      </c>
      <c r="W259" s="1">
        <v>0</v>
      </c>
      <c r="X259" s="1">
        <v>1400</v>
      </c>
      <c r="Y259" s="1" t="s">
        <v>51</v>
      </c>
      <c r="Z259" s="1">
        <v>880</v>
      </c>
      <c r="AA259" s="1">
        <v>520</v>
      </c>
      <c r="AB259" s="1">
        <v>0</v>
      </c>
      <c r="AC259" s="1">
        <v>0</v>
      </c>
      <c r="AD259" s="1">
        <v>0</v>
      </c>
      <c r="AE259" s="1">
        <v>0</v>
      </c>
      <c r="AF259" s="1"/>
      <c r="AG259" s="1">
        <v>0</v>
      </c>
      <c r="AH259" s="1">
        <v>0</v>
      </c>
      <c r="AI259" s="1">
        <v>0</v>
      </c>
      <c r="AJ259" s="1">
        <v>0</v>
      </c>
      <c r="AK259" s="1">
        <v>1.6432</v>
      </c>
      <c r="AL259" s="1">
        <v>1.6432</v>
      </c>
      <c r="AM259" s="1">
        <v>1.6432</v>
      </c>
    </row>
    <row r="260" spans="1:39" x14ac:dyDescent="0.3">
      <c r="A260" s="21" t="str">
        <f t="shared" si="4"/>
        <v>HFA804LCLK2026-01-08</v>
      </c>
      <c r="B260" t="str">
        <f>VLOOKUP(A260,Sheet1!A260:B1602,1,FALSE)</f>
        <v>HFA804LCLK2026-01-08</v>
      </c>
      <c r="C260" s="3">
        <v>46030</v>
      </c>
      <c r="D260" s="1" t="s">
        <v>117</v>
      </c>
      <c r="E260" s="1" t="s">
        <v>38</v>
      </c>
      <c r="F260" s="1"/>
      <c r="G260" s="1" t="s">
        <v>39</v>
      </c>
      <c r="H260" s="1" t="s">
        <v>134</v>
      </c>
      <c r="I260" s="1" t="s">
        <v>67</v>
      </c>
      <c r="J260" s="1" t="s">
        <v>86</v>
      </c>
      <c r="K260" s="1" t="s">
        <v>87</v>
      </c>
      <c r="L260" s="1" t="s">
        <v>88</v>
      </c>
      <c r="M260" s="1" t="s">
        <v>50</v>
      </c>
      <c r="N260" s="1" t="s">
        <v>41</v>
      </c>
      <c r="O260" s="1" t="s">
        <v>42</v>
      </c>
      <c r="P260" s="1" t="s">
        <v>43</v>
      </c>
      <c r="Q260" s="1" t="s">
        <v>44</v>
      </c>
      <c r="R260" s="1" t="s">
        <v>45</v>
      </c>
      <c r="S260" s="1">
        <v>264</v>
      </c>
      <c r="T260" s="1">
        <v>0</v>
      </c>
      <c r="U260" s="4">
        <v>3.888888888888889E-2</v>
      </c>
      <c r="V260" s="1">
        <v>880</v>
      </c>
      <c r="W260" s="1">
        <v>1720</v>
      </c>
      <c r="X260" s="1">
        <v>2600</v>
      </c>
      <c r="Y260" s="1" t="s">
        <v>51</v>
      </c>
      <c r="Z260" s="1">
        <v>2060</v>
      </c>
      <c r="AA260" s="1">
        <v>540</v>
      </c>
      <c r="AB260" s="1">
        <v>0</v>
      </c>
      <c r="AC260" s="1">
        <v>0</v>
      </c>
      <c r="AD260" s="1">
        <v>0</v>
      </c>
      <c r="AE260" s="1">
        <v>0</v>
      </c>
      <c r="AF260" s="1"/>
      <c r="AG260" s="1">
        <v>0</v>
      </c>
      <c r="AH260" s="1">
        <v>0</v>
      </c>
      <c r="AI260" s="1">
        <v>0</v>
      </c>
      <c r="AJ260" s="1">
        <v>0</v>
      </c>
      <c r="AK260" s="1">
        <v>1.7063999999999999</v>
      </c>
      <c r="AL260" s="1">
        <v>1.7063999999999999</v>
      </c>
      <c r="AM260" s="1">
        <v>1.7063999999999999</v>
      </c>
    </row>
    <row r="261" spans="1:39" x14ac:dyDescent="0.3">
      <c r="A261" s="21" t="str">
        <f t="shared" si="4"/>
        <v>HFA605LLHA2026-01-08</v>
      </c>
      <c r="B261" t="str">
        <f>VLOOKUP(A261,Sheet1!A261:B1603,1,FALSE)</f>
        <v>HFA605LLHA2026-01-08</v>
      </c>
      <c r="C261" s="3">
        <v>46030</v>
      </c>
      <c r="D261" s="1" t="s">
        <v>62</v>
      </c>
      <c r="E261" s="1" t="s">
        <v>38</v>
      </c>
      <c r="F261" s="1" t="s">
        <v>54</v>
      </c>
      <c r="G261" s="1" t="s">
        <v>39</v>
      </c>
      <c r="H261" s="1" t="s">
        <v>134</v>
      </c>
      <c r="I261" s="1" t="s">
        <v>41</v>
      </c>
      <c r="J261" s="1" t="s">
        <v>42</v>
      </c>
      <c r="K261" s="1" t="s">
        <v>43</v>
      </c>
      <c r="L261" s="1" t="s">
        <v>44</v>
      </c>
      <c r="M261" s="1" t="s">
        <v>45</v>
      </c>
      <c r="N261" s="1" t="s">
        <v>41</v>
      </c>
      <c r="O261" s="1" t="s">
        <v>58</v>
      </c>
      <c r="P261" s="1" t="s">
        <v>59</v>
      </c>
      <c r="Q261" s="1" t="s">
        <v>60</v>
      </c>
      <c r="R261" s="1" t="s">
        <v>45</v>
      </c>
      <c r="S261" s="1">
        <v>342</v>
      </c>
      <c r="T261" s="1">
        <v>0</v>
      </c>
      <c r="U261" s="4">
        <v>4.583333333333333E-2</v>
      </c>
      <c r="V261" s="1">
        <v>2060</v>
      </c>
      <c r="W261" s="1">
        <v>0</v>
      </c>
      <c r="X261" s="1">
        <v>2060</v>
      </c>
      <c r="Y261" s="1" t="s">
        <v>51</v>
      </c>
      <c r="Z261" s="1">
        <v>1500</v>
      </c>
      <c r="AA261" s="1">
        <v>560</v>
      </c>
      <c r="AB261" s="1">
        <v>0</v>
      </c>
      <c r="AC261" s="1">
        <v>0</v>
      </c>
      <c r="AD261" s="1">
        <v>0</v>
      </c>
      <c r="AE261" s="1">
        <v>0</v>
      </c>
      <c r="AF261" s="1"/>
      <c r="AG261" s="1">
        <v>0</v>
      </c>
      <c r="AH261" s="1">
        <v>0</v>
      </c>
      <c r="AI261" s="1">
        <v>0</v>
      </c>
      <c r="AJ261" s="1">
        <v>0</v>
      </c>
      <c r="AK261" s="1">
        <v>1.7696000000000001</v>
      </c>
      <c r="AL261" s="1">
        <v>1.7696000000000001</v>
      </c>
      <c r="AM261" s="1">
        <v>1.7696000000000001</v>
      </c>
    </row>
    <row r="262" spans="1:39" x14ac:dyDescent="0.3">
      <c r="A262" s="21" t="str">
        <f t="shared" si="4"/>
        <v>HFA606LLER2026-01-08</v>
      </c>
      <c r="B262" t="str">
        <f>VLOOKUP(A262,Sheet1!A262:B1604,1,FALSE)</f>
        <v>HFA606LLER2026-01-08</v>
      </c>
      <c r="C262" s="3">
        <v>46030</v>
      </c>
      <c r="D262" s="1" t="s">
        <v>63</v>
      </c>
      <c r="E262" s="1" t="s">
        <v>38</v>
      </c>
      <c r="F262" s="1" t="s">
        <v>54</v>
      </c>
      <c r="G262" s="1" t="s">
        <v>39</v>
      </c>
      <c r="H262" s="1" t="s">
        <v>134</v>
      </c>
      <c r="I262" s="1" t="s">
        <v>41</v>
      </c>
      <c r="J262" s="1" t="s">
        <v>58</v>
      </c>
      <c r="K262" s="1" t="s">
        <v>59</v>
      </c>
      <c r="L262" s="1" t="s">
        <v>60</v>
      </c>
      <c r="M262" s="1" t="s">
        <v>45</v>
      </c>
      <c r="N262" s="1" t="s">
        <v>41</v>
      </c>
      <c r="O262" s="1" t="s">
        <v>42</v>
      </c>
      <c r="P262" s="1" t="s">
        <v>43</v>
      </c>
      <c r="Q262" s="1" t="s">
        <v>44</v>
      </c>
      <c r="R262" s="1" t="s">
        <v>45</v>
      </c>
      <c r="S262" s="1">
        <v>342</v>
      </c>
      <c r="T262" s="1">
        <v>0</v>
      </c>
      <c r="U262" s="4">
        <v>4.7222222222222221E-2</v>
      </c>
      <c r="V262" s="1">
        <v>1500</v>
      </c>
      <c r="W262" s="1">
        <v>600</v>
      </c>
      <c r="X262" s="1">
        <v>2100</v>
      </c>
      <c r="Y262" s="1" t="s">
        <v>51</v>
      </c>
      <c r="Z262" s="1">
        <v>1380</v>
      </c>
      <c r="AA262" s="1">
        <v>720</v>
      </c>
      <c r="AB262" s="1">
        <v>0</v>
      </c>
      <c r="AC262" s="1">
        <v>0</v>
      </c>
      <c r="AD262" s="1">
        <v>0</v>
      </c>
      <c r="AE262" s="1">
        <v>0</v>
      </c>
      <c r="AF262" s="1"/>
      <c r="AG262" s="1">
        <v>0</v>
      </c>
      <c r="AH262" s="1">
        <v>0</v>
      </c>
      <c r="AI262" s="1">
        <v>0</v>
      </c>
      <c r="AJ262" s="1">
        <v>0</v>
      </c>
      <c r="AK262" s="1">
        <v>2.2751999999999999</v>
      </c>
      <c r="AL262" s="1">
        <v>2.2751999999999999</v>
      </c>
      <c r="AM262" s="1">
        <v>2.2751999999999999</v>
      </c>
    </row>
    <row r="263" spans="1:39" x14ac:dyDescent="0.3">
      <c r="A263" s="21" t="str">
        <f t="shared" si="4"/>
        <v>HFA801LLHA2026-01-09</v>
      </c>
      <c r="B263" t="str">
        <f>VLOOKUP(A263,Sheet1!A263:B1605,1,FALSE)</f>
        <v>HFA801LLHA2026-01-09</v>
      </c>
      <c r="C263" s="3">
        <v>46031</v>
      </c>
      <c r="D263" s="1" t="s">
        <v>133</v>
      </c>
      <c r="E263" s="1" t="s">
        <v>38</v>
      </c>
      <c r="F263" s="1"/>
      <c r="G263" s="1" t="s">
        <v>39</v>
      </c>
      <c r="H263" s="1" t="s">
        <v>134</v>
      </c>
      <c r="I263" s="1" t="s">
        <v>41</v>
      </c>
      <c r="J263" s="1" t="s">
        <v>42</v>
      </c>
      <c r="K263" s="1" t="s">
        <v>43</v>
      </c>
      <c r="L263" s="1" t="s">
        <v>44</v>
      </c>
      <c r="M263" s="1" t="s">
        <v>45</v>
      </c>
      <c r="N263" s="1" t="s">
        <v>67</v>
      </c>
      <c r="O263" s="1" t="s">
        <v>86</v>
      </c>
      <c r="P263" s="1" t="s">
        <v>87</v>
      </c>
      <c r="Q263" s="1" t="s">
        <v>88</v>
      </c>
      <c r="R263" s="1" t="s">
        <v>50</v>
      </c>
      <c r="S263" s="1">
        <v>264</v>
      </c>
      <c r="T263" s="1">
        <v>0</v>
      </c>
      <c r="U263" s="4">
        <v>3.6805555555555557E-2</v>
      </c>
      <c r="V263" s="1">
        <v>1380</v>
      </c>
      <c r="W263" s="1">
        <v>320</v>
      </c>
      <c r="X263" s="1">
        <v>1700</v>
      </c>
      <c r="Y263" s="1" t="s">
        <v>51</v>
      </c>
      <c r="Z263" s="1">
        <v>1140</v>
      </c>
      <c r="AA263" s="1">
        <v>560</v>
      </c>
      <c r="AB263" s="1">
        <v>0</v>
      </c>
      <c r="AC263" s="1">
        <v>0</v>
      </c>
      <c r="AD263" s="1">
        <v>0</v>
      </c>
      <c r="AE263" s="1">
        <v>0</v>
      </c>
      <c r="AF263" s="1"/>
      <c r="AG263" s="1">
        <v>0</v>
      </c>
      <c r="AH263" s="1">
        <v>0</v>
      </c>
      <c r="AI263" s="1">
        <v>0</v>
      </c>
      <c r="AJ263" s="1">
        <v>0</v>
      </c>
      <c r="AK263" s="1">
        <v>1.7696000000000001</v>
      </c>
      <c r="AL263" s="1">
        <v>1.7696000000000001</v>
      </c>
      <c r="AM263" s="1">
        <v>1.7696000000000001</v>
      </c>
    </row>
    <row r="264" spans="1:39" x14ac:dyDescent="0.3">
      <c r="A264" s="21" t="str">
        <f t="shared" si="4"/>
        <v>HFA802LCLK2026-01-09</v>
      </c>
      <c r="B264" t="str">
        <f>VLOOKUP(A264,Sheet1!A264:B1606,1,FALSE)</f>
        <v>HFA802LCLK2026-01-09</v>
      </c>
      <c r="C264" s="3">
        <v>46031</v>
      </c>
      <c r="D264" s="1" t="s">
        <v>135</v>
      </c>
      <c r="E264" s="1" t="s">
        <v>38</v>
      </c>
      <c r="F264" s="1"/>
      <c r="G264" s="1" t="s">
        <v>39</v>
      </c>
      <c r="H264" s="1" t="s">
        <v>134</v>
      </c>
      <c r="I264" s="1" t="s">
        <v>67</v>
      </c>
      <c r="J264" s="1" t="s">
        <v>86</v>
      </c>
      <c r="K264" s="1" t="s">
        <v>87</v>
      </c>
      <c r="L264" s="1" t="s">
        <v>88</v>
      </c>
      <c r="M264" s="1" t="s">
        <v>50</v>
      </c>
      <c r="N264" s="1" t="s">
        <v>41</v>
      </c>
      <c r="O264" s="1" t="s">
        <v>42</v>
      </c>
      <c r="P264" s="1" t="s">
        <v>43</v>
      </c>
      <c r="Q264" s="1" t="s">
        <v>44</v>
      </c>
      <c r="R264" s="1" t="s">
        <v>45</v>
      </c>
      <c r="S264" s="1">
        <v>264</v>
      </c>
      <c r="T264" s="1">
        <v>0</v>
      </c>
      <c r="U264" s="4">
        <v>3.5416666666666666E-2</v>
      </c>
      <c r="V264" s="1">
        <v>1140</v>
      </c>
      <c r="W264" s="1">
        <v>1160</v>
      </c>
      <c r="X264" s="1">
        <v>2300</v>
      </c>
      <c r="Y264" s="1" t="s">
        <v>51</v>
      </c>
      <c r="Z264" s="1">
        <v>1790</v>
      </c>
      <c r="AA264" s="1">
        <v>510</v>
      </c>
      <c r="AB264" s="1">
        <v>0</v>
      </c>
      <c r="AC264" s="1">
        <v>0</v>
      </c>
      <c r="AD264" s="1">
        <v>0</v>
      </c>
      <c r="AE264" s="1">
        <v>0</v>
      </c>
      <c r="AF264" s="1"/>
      <c r="AG264" s="1">
        <v>0</v>
      </c>
      <c r="AH264" s="1">
        <v>0</v>
      </c>
      <c r="AI264" s="1">
        <v>0</v>
      </c>
      <c r="AJ264" s="1">
        <v>0</v>
      </c>
      <c r="AK264" s="1">
        <v>1.6115999999999999</v>
      </c>
      <c r="AL264" s="1">
        <v>1.6115999999999999</v>
      </c>
      <c r="AM264" s="1">
        <v>1.6115999999999999</v>
      </c>
    </row>
    <row r="265" spans="1:39" x14ac:dyDescent="0.3">
      <c r="A265" s="21" t="str">
        <f t="shared" si="4"/>
        <v>HFA803LLHA2026-01-09</v>
      </c>
      <c r="B265" t="str">
        <f>VLOOKUP(A265,Sheet1!A265:B1607,1,FALSE)</f>
        <v>HFA803LLHA2026-01-09</v>
      </c>
      <c r="C265" s="3">
        <v>46031</v>
      </c>
      <c r="D265" s="1" t="s">
        <v>116</v>
      </c>
      <c r="E265" s="1" t="s">
        <v>38</v>
      </c>
      <c r="F265" s="1"/>
      <c r="G265" s="1" t="s">
        <v>39</v>
      </c>
      <c r="H265" s="1" t="s">
        <v>134</v>
      </c>
      <c r="I265" s="1" t="s">
        <v>41</v>
      </c>
      <c r="J265" s="1" t="s">
        <v>42</v>
      </c>
      <c r="K265" s="1" t="s">
        <v>43</v>
      </c>
      <c r="L265" s="1" t="s">
        <v>44</v>
      </c>
      <c r="M265" s="1" t="s">
        <v>45</v>
      </c>
      <c r="N265" s="1" t="s">
        <v>67</v>
      </c>
      <c r="O265" s="1" t="s">
        <v>86</v>
      </c>
      <c r="P265" s="1" t="s">
        <v>87</v>
      </c>
      <c r="Q265" s="1" t="s">
        <v>88</v>
      </c>
      <c r="R265" s="1" t="s">
        <v>50</v>
      </c>
      <c r="S265" s="1">
        <v>264</v>
      </c>
      <c r="T265" s="1">
        <v>0</v>
      </c>
      <c r="U265" s="4">
        <v>3.6111111111111108E-2</v>
      </c>
      <c r="V265" s="1">
        <v>1790</v>
      </c>
      <c r="W265" s="1">
        <v>0</v>
      </c>
      <c r="X265" s="1">
        <v>1790</v>
      </c>
      <c r="Y265" s="1" t="s">
        <v>51</v>
      </c>
      <c r="Z265" s="1">
        <v>1230</v>
      </c>
      <c r="AA265" s="1">
        <v>560</v>
      </c>
      <c r="AB265" s="1">
        <v>0</v>
      </c>
      <c r="AC265" s="1">
        <v>0</v>
      </c>
      <c r="AD265" s="1">
        <v>0</v>
      </c>
      <c r="AE265" s="1">
        <v>0</v>
      </c>
      <c r="AF265" s="1"/>
      <c r="AG265" s="1">
        <v>0</v>
      </c>
      <c r="AH265" s="1">
        <v>0</v>
      </c>
      <c r="AI265" s="1">
        <v>0</v>
      </c>
      <c r="AJ265" s="1">
        <v>0</v>
      </c>
      <c r="AK265" s="1">
        <v>1.7696000000000001</v>
      </c>
      <c r="AL265" s="1">
        <v>1.7696000000000001</v>
      </c>
      <c r="AM265" s="1">
        <v>1.7696000000000001</v>
      </c>
    </row>
    <row r="266" spans="1:39" x14ac:dyDescent="0.3">
      <c r="A266" s="21" t="str">
        <f t="shared" si="4"/>
        <v>HFA804LCLK2026-01-09</v>
      </c>
      <c r="B266" t="str">
        <f>VLOOKUP(A266,Sheet1!A266:B1608,1,FALSE)</f>
        <v>HFA804LCLK2026-01-09</v>
      </c>
      <c r="C266" s="3">
        <v>46031</v>
      </c>
      <c r="D266" s="1" t="s">
        <v>117</v>
      </c>
      <c r="E266" s="1" t="s">
        <v>38</v>
      </c>
      <c r="F266" s="1"/>
      <c r="G266" s="1" t="s">
        <v>39</v>
      </c>
      <c r="H266" s="1" t="s">
        <v>134</v>
      </c>
      <c r="I266" s="1" t="s">
        <v>67</v>
      </c>
      <c r="J266" s="1" t="s">
        <v>86</v>
      </c>
      <c r="K266" s="1" t="s">
        <v>87</v>
      </c>
      <c r="L266" s="1" t="s">
        <v>88</v>
      </c>
      <c r="M266" s="1" t="s">
        <v>50</v>
      </c>
      <c r="N266" s="1" t="s">
        <v>41</v>
      </c>
      <c r="O266" s="1" t="s">
        <v>42</v>
      </c>
      <c r="P266" s="1" t="s">
        <v>43</v>
      </c>
      <c r="Q266" s="1" t="s">
        <v>44</v>
      </c>
      <c r="R266" s="1" t="s">
        <v>45</v>
      </c>
      <c r="S266" s="1">
        <v>264</v>
      </c>
      <c r="T266" s="1">
        <v>0</v>
      </c>
      <c r="U266" s="4">
        <v>3.8194444444444448E-2</v>
      </c>
      <c r="V266" s="1">
        <v>1230</v>
      </c>
      <c r="W266" s="1">
        <v>970</v>
      </c>
      <c r="X266" s="1">
        <v>2200</v>
      </c>
      <c r="Y266" s="1" t="s">
        <v>51</v>
      </c>
      <c r="Z266" s="1">
        <v>1670</v>
      </c>
      <c r="AA266" s="1">
        <v>530</v>
      </c>
      <c r="AB266" s="1">
        <v>0</v>
      </c>
      <c r="AC266" s="1">
        <v>0</v>
      </c>
      <c r="AD266" s="1">
        <v>0</v>
      </c>
      <c r="AE266" s="1">
        <v>0</v>
      </c>
      <c r="AF266" s="1"/>
      <c r="AG266" s="1">
        <v>0</v>
      </c>
      <c r="AH266" s="1">
        <v>0</v>
      </c>
      <c r="AI266" s="1">
        <v>0</v>
      </c>
      <c r="AJ266" s="1">
        <v>0</v>
      </c>
      <c r="AK266" s="1">
        <v>1.6748000000000001</v>
      </c>
      <c r="AL266" s="1">
        <v>1.6748000000000001</v>
      </c>
      <c r="AM266" s="1">
        <v>1.6748000000000001</v>
      </c>
    </row>
    <row r="267" spans="1:39" x14ac:dyDescent="0.3">
      <c r="A267" s="21" t="str">
        <f t="shared" si="4"/>
        <v>HFA805LLHA2026-01-10</v>
      </c>
      <c r="B267" t="str">
        <f>VLOOKUP(A267,Sheet1!A267:B1609,1,FALSE)</f>
        <v>HFA805LLHA2026-01-10</v>
      </c>
      <c r="C267" s="3">
        <v>46032</v>
      </c>
      <c r="D267" s="1" t="s">
        <v>114</v>
      </c>
      <c r="E267" s="1" t="s">
        <v>38</v>
      </c>
      <c r="F267" s="1"/>
      <c r="G267" s="1" t="s">
        <v>39</v>
      </c>
      <c r="H267" s="1" t="s">
        <v>134</v>
      </c>
      <c r="I267" s="1" t="s">
        <v>41</v>
      </c>
      <c r="J267" s="1" t="s">
        <v>42</v>
      </c>
      <c r="K267" s="1" t="s">
        <v>43</v>
      </c>
      <c r="L267" s="1" t="s">
        <v>44</v>
      </c>
      <c r="M267" s="1" t="s">
        <v>45</v>
      </c>
      <c r="N267" s="1" t="s">
        <v>67</v>
      </c>
      <c r="O267" s="1" t="s">
        <v>86</v>
      </c>
      <c r="P267" s="1" t="s">
        <v>87</v>
      </c>
      <c r="Q267" s="1" t="s">
        <v>88</v>
      </c>
      <c r="R267" s="1" t="s">
        <v>50</v>
      </c>
      <c r="S267" s="1">
        <v>264</v>
      </c>
      <c r="T267" s="1">
        <v>0</v>
      </c>
      <c r="U267" s="4">
        <v>3.7499999999999999E-2</v>
      </c>
      <c r="V267" s="1">
        <v>1670</v>
      </c>
      <c r="W267" s="1">
        <v>10</v>
      </c>
      <c r="X267" s="1">
        <v>1680</v>
      </c>
      <c r="Y267" s="1" t="s">
        <v>51</v>
      </c>
      <c r="Z267" s="1">
        <v>1090</v>
      </c>
      <c r="AA267" s="1">
        <v>590</v>
      </c>
      <c r="AB267" s="1">
        <v>0</v>
      </c>
      <c r="AC267" s="1">
        <v>0</v>
      </c>
      <c r="AD267" s="1">
        <v>0</v>
      </c>
      <c r="AE267" s="1">
        <v>0</v>
      </c>
      <c r="AF267" s="1"/>
      <c r="AG267" s="1">
        <v>0</v>
      </c>
      <c r="AH267" s="1">
        <v>0</v>
      </c>
      <c r="AI267" s="1">
        <v>0</v>
      </c>
      <c r="AJ267" s="1">
        <v>0</v>
      </c>
      <c r="AK267" s="1">
        <v>1.8644000000000001</v>
      </c>
      <c r="AL267" s="1">
        <v>1.8644000000000001</v>
      </c>
      <c r="AM267" s="1">
        <v>1.8644000000000001</v>
      </c>
    </row>
    <row r="268" spans="1:39" x14ac:dyDescent="0.3">
      <c r="A268" s="21" t="str">
        <f t="shared" si="4"/>
        <v>HFA806LCLK2026-01-10</v>
      </c>
      <c r="B268" t="str">
        <f>VLOOKUP(A268,Sheet1!A268:B1610,1,FALSE)</f>
        <v>HFA806LCLK2026-01-10</v>
      </c>
      <c r="C268" s="3">
        <v>46032</v>
      </c>
      <c r="D268" s="1" t="s">
        <v>115</v>
      </c>
      <c r="E268" s="1" t="s">
        <v>38</v>
      </c>
      <c r="F268" s="1"/>
      <c r="G268" s="1" t="s">
        <v>39</v>
      </c>
      <c r="H268" s="1" t="s">
        <v>134</v>
      </c>
      <c r="I268" s="1" t="s">
        <v>67</v>
      </c>
      <c r="J268" s="1" t="s">
        <v>86</v>
      </c>
      <c r="K268" s="1" t="s">
        <v>87</v>
      </c>
      <c r="L268" s="1" t="s">
        <v>88</v>
      </c>
      <c r="M268" s="1" t="s">
        <v>50</v>
      </c>
      <c r="N268" s="1" t="s">
        <v>41</v>
      </c>
      <c r="O268" s="1" t="s">
        <v>42</v>
      </c>
      <c r="P268" s="1" t="s">
        <v>43</v>
      </c>
      <c r="Q268" s="1" t="s">
        <v>44</v>
      </c>
      <c r="R268" s="1" t="s">
        <v>45</v>
      </c>
      <c r="S268" s="1">
        <v>264</v>
      </c>
      <c r="T268" s="1">
        <v>0</v>
      </c>
      <c r="U268" s="4">
        <v>4.2361111111111106E-2</v>
      </c>
      <c r="V268" s="1">
        <v>1090</v>
      </c>
      <c r="W268" s="1">
        <v>910</v>
      </c>
      <c r="X268" s="1">
        <v>2000</v>
      </c>
      <c r="Y268" s="1" t="s">
        <v>51</v>
      </c>
      <c r="Z268" s="1">
        <v>1430</v>
      </c>
      <c r="AA268" s="1">
        <v>570</v>
      </c>
      <c r="AB268" s="1">
        <v>0</v>
      </c>
      <c r="AC268" s="1">
        <v>0</v>
      </c>
      <c r="AD268" s="1">
        <v>0</v>
      </c>
      <c r="AE268" s="1">
        <v>0</v>
      </c>
      <c r="AF268" s="1"/>
      <c r="AG268" s="1">
        <v>0</v>
      </c>
      <c r="AH268" s="1">
        <v>0</v>
      </c>
      <c r="AI268" s="1">
        <v>0</v>
      </c>
      <c r="AJ268" s="1">
        <v>0</v>
      </c>
      <c r="AK268" s="1">
        <v>1.8011999999999999</v>
      </c>
      <c r="AL268" s="1">
        <v>1.8011999999999999</v>
      </c>
      <c r="AM268" s="1">
        <v>1.8011999999999999</v>
      </c>
    </row>
    <row r="269" spans="1:39" x14ac:dyDescent="0.3">
      <c r="A269" s="21" t="str">
        <f t="shared" si="4"/>
        <v>HFA807LLHA2026-01-10</v>
      </c>
      <c r="B269" t="str">
        <f>VLOOKUP(A269,Sheet1!A269:B1611,1,FALSE)</f>
        <v>HFA807LLHA2026-01-10</v>
      </c>
      <c r="C269" s="3">
        <v>46032</v>
      </c>
      <c r="D269" s="1" t="s">
        <v>118</v>
      </c>
      <c r="E269" s="1" t="s">
        <v>38</v>
      </c>
      <c r="F269" s="1"/>
      <c r="G269" s="1" t="s">
        <v>39</v>
      </c>
      <c r="H269" s="1" t="s">
        <v>134</v>
      </c>
      <c r="I269" s="1" t="s">
        <v>41</v>
      </c>
      <c r="J269" s="1" t="s">
        <v>42</v>
      </c>
      <c r="K269" s="1" t="s">
        <v>43</v>
      </c>
      <c r="L269" s="1" t="s">
        <v>44</v>
      </c>
      <c r="M269" s="1" t="s">
        <v>45</v>
      </c>
      <c r="N269" s="1" t="s">
        <v>67</v>
      </c>
      <c r="O269" s="1" t="s">
        <v>86</v>
      </c>
      <c r="P269" s="1" t="s">
        <v>87</v>
      </c>
      <c r="Q269" s="1" t="s">
        <v>88</v>
      </c>
      <c r="R269" s="1" t="s">
        <v>50</v>
      </c>
      <c r="S269" s="1">
        <v>264</v>
      </c>
      <c r="T269" s="1">
        <v>0</v>
      </c>
      <c r="U269" s="4">
        <v>3.6111111111111108E-2</v>
      </c>
      <c r="V269" s="1">
        <v>1430</v>
      </c>
      <c r="W269" s="1">
        <v>0</v>
      </c>
      <c r="X269" s="1">
        <v>1430</v>
      </c>
      <c r="Y269" s="1" t="s">
        <v>51</v>
      </c>
      <c r="Z269" s="1">
        <v>870</v>
      </c>
      <c r="AA269" s="1">
        <v>560</v>
      </c>
      <c r="AB269" s="1">
        <v>0</v>
      </c>
      <c r="AC269" s="1">
        <v>0</v>
      </c>
      <c r="AD269" s="1">
        <v>0</v>
      </c>
      <c r="AE269" s="1">
        <v>0</v>
      </c>
      <c r="AF269" s="1"/>
      <c r="AG269" s="1">
        <v>0</v>
      </c>
      <c r="AH269" s="1">
        <v>0</v>
      </c>
      <c r="AI269" s="1">
        <v>0</v>
      </c>
      <c r="AJ269" s="1">
        <v>0</v>
      </c>
      <c r="AK269" s="1">
        <v>1.7696000000000001</v>
      </c>
      <c r="AL269" s="1">
        <v>1.7696000000000001</v>
      </c>
      <c r="AM269" s="1">
        <v>1.7696000000000001</v>
      </c>
    </row>
    <row r="270" spans="1:39" x14ac:dyDescent="0.3">
      <c r="A270" s="21" t="str">
        <f t="shared" si="4"/>
        <v>HFA808LCLK2026-01-10</v>
      </c>
      <c r="B270" t="str">
        <f>VLOOKUP(A270,Sheet1!A270:B1612,1,FALSE)</f>
        <v>HFA808LCLK2026-01-10</v>
      </c>
      <c r="C270" s="3">
        <v>46032</v>
      </c>
      <c r="D270" s="1" t="s">
        <v>119</v>
      </c>
      <c r="E270" s="1" t="s">
        <v>38</v>
      </c>
      <c r="F270" s="1"/>
      <c r="G270" s="1" t="s">
        <v>39</v>
      </c>
      <c r="H270" s="1" t="s">
        <v>134</v>
      </c>
      <c r="I270" s="1" t="s">
        <v>67</v>
      </c>
      <c r="J270" s="1" t="s">
        <v>86</v>
      </c>
      <c r="K270" s="1" t="s">
        <v>87</v>
      </c>
      <c r="L270" s="1" t="s">
        <v>88</v>
      </c>
      <c r="M270" s="1" t="s">
        <v>50</v>
      </c>
      <c r="N270" s="1" t="s">
        <v>41</v>
      </c>
      <c r="O270" s="1" t="s">
        <v>42</v>
      </c>
      <c r="P270" s="1" t="s">
        <v>43</v>
      </c>
      <c r="Q270" s="1" t="s">
        <v>44</v>
      </c>
      <c r="R270" s="1" t="s">
        <v>45</v>
      </c>
      <c r="S270" s="1">
        <v>264</v>
      </c>
      <c r="T270" s="1">
        <v>0</v>
      </c>
      <c r="U270" s="4">
        <v>3.888888888888889E-2</v>
      </c>
      <c r="V270" s="1">
        <v>870</v>
      </c>
      <c r="W270" s="1">
        <v>1330</v>
      </c>
      <c r="X270" s="1">
        <v>2200</v>
      </c>
      <c r="Y270" s="1" t="s">
        <v>51</v>
      </c>
      <c r="Z270" s="1">
        <v>1660</v>
      </c>
      <c r="AA270" s="1">
        <v>540</v>
      </c>
      <c r="AB270" s="1">
        <v>0</v>
      </c>
      <c r="AC270" s="1">
        <v>0</v>
      </c>
      <c r="AD270" s="1">
        <v>0</v>
      </c>
      <c r="AE270" s="1">
        <v>0</v>
      </c>
      <c r="AF270" s="1"/>
      <c r="AG270" s="1">
        <v>0</v>
      </c>
      <c r="AH270" s="1">
        <v>0</v>
      </c>
      <c r="AI270" s="1">
        <v>0</v>
      </c>
      <c r="AJ270" s="1">
        <v>0</v>
      </c>
      <c r="AK270" s="1">
        <v>1.7063999999999999</v>
      </c>
      <c r="AL270" s="1">
        <v>1.7063999999999999</v>
      </c>
      <c r="AM270" s="1">
        <v>1.7063999999999999</v>
      </c>
    </row>
    <row r="271" spans="1:39" x14ac:dyDescent="0.3">
      <c r="A271" s="21" t="str">
        <f t="shared" si="4"/>
        <v>HFA851LLHA2026-01-11</v>
      </c>
      <c r="B271" t="str">
        <f>VLOOKUP(A271,Sheet1!A271:B1613,1,FALSE)</f>
        <v>HFA851LLHA2026-01-11</v>
      </c>
      <c r="C271" s="3">
        <v>46033</v>
      </c>
      <c r="D271" s="1" t="s">
        <v>66</v>
      </c>
      <c r="E271" s="1" t="s">
        <v>38</v>
      </c>
      <c r="F271" s="1"/>
      <c r="G271" s="1" t="s">
        <v>39</v>
      </c>
      <c r="H271" s="1" t="s">
        <v>134</v>
      </c>
      <c r="I271" s="1" t="s">
        <v>41</v>
      </c>
      <c r="J271" s="1" t="s">
        <v>42</v>
      </c>
      <c r="K271" s="1" t="s">
        <v>43</v>
      </c>
      <c r="L271" s="1" t="s">
        <v>44</v>
      </c>
      <c r="M271" s="1" t="s">
        <v>45</v>
      </c>
      <c r="N271" s="1" t="s">
        <v>67</v>
      </c>
      <c r="O271" s="1" t="s">
        <v>68</v>
      </c>
      <c r="P271" s="1" t="s">
        <v>69</v>
      </c>
      <c r="Q271" s="1" t="s">
        <v>70</v>
      </c>
      <c r="R271" s="1" t="s">
        <v>50</v>
      </c>
      <c r="S271" s="1">
        <v>318</v>
      </c>
      <c r="T271" s="1">
        <v>0</v>
      </c>
      <c r="U271" s="4">
        <v>3.7499999999999999E-2</v>
      </c>
      <c r="V271" s="1">
        <v>1660</v>
      </c>
      <c r="W271" s="1">
        <v>-40</v>
      </c>
      <c r="X271" s="1">
        <v>1620</v>
      </c>
      <c r="Y271" s="1" t="s">
        <v>51</v>
      </c>
      <c r="Z271" s="1">
        <v>1030</v>
      </c>
      <c r="AA271" s="1">
        <v>590</v>
      </c>
      <c r="AB271" s="1">
        <v>0</v>
      </c>
      <c r="AC271" s="1">
        <v>0</v>
      </c>
      <c r="AD271" s="1">
        <v>0</v>
      </c>
      <c r="AE271" s="1">
        <v>0</v>
      </c>
      <c r="AF271" s="1"/>
      <c r="AG271" s="1">
        <v>0</v>
      </c>
      <c r="AH271" s="1">
        <v>0</v>
      </c>
      <c r="AI271" s="1">
        <v>0</v>
      </c>
      <c r="AJ271" s="1">
        <v>0</v>
      </c>
      <c r="AK271" s="1">
        <v>1.8644000000000001</v>
      </c>
      <c r="AL271" s="1">
        <v>1.8644000000000001</v>
      </c>
      <c r="AM271" s="1">
        <v>1.8644000000000001</v>
      </c>
    </row>
    <row r="272" spans="1:39" x14ac:dyDescent="0.3">
      <c r="A272" s="21" t="str">
        <f t="shared" si="4"/>
        <v>HFA852LCPH2026-01-11</v>
      </c>
      <c r="B272" t="str">
        <f>VLOOKUP(A272,Sheet1!A272:B1614,1,FALSE)</f>
        <v>HFA852LCPH2026-01-11</v>
      </c>
      <c r="C272" s="3">
        <v>46033</v>
      </c>
      <c r="D272" s="1" t="s">
        <v>71</v>
      </c>
      <c r="E272" s="1" t="s">
        <v>38</v>
      </c>
      <c r="F272" s="1"/>
      <c r="G272" s="1" t="s">
        <v>39</v>
      </c>
      <c r="H272" s="1" t="s">
        <v>134</v>
      </c>
      <c r="I272" s="1" t="s">
        <v>67</v>
      </c>
      <c r="J272" s="1" t="s">
        <v>68</v>
      </c>
      <c r="K272" s="1" t="s">
        <v>69</v>
      </c>
      <c r="L272" s="1" t="s">
        <v>70</v>
      </c>
      <c r="M272" s="1" t="s">
        <v>50</v>
      </c>
      <c r="N272" s="1" t="s">
        <v>41</v>
      </c>
      <c r="O272" s="1" t="s">
        <v>42</v>
      </c>
      <c r="P272" s="1" t="s">
        <v>43</v>
      </c>
      <c r="Q272" s="1" t="s">
        <v>44</v>
      </c>
      <c r="R272" s="1" t="s">
        <v>45</v>
      </c>
      <c r="S272" s="1">
        <v>318</v>
      </c>
      <c r="T272" s="1">
        <v>0</v>
      </c>
      <c r="U272" s="4">
        <v>4.1666666666666664E-2</v>
      </c>
      <c r="V272" s="1">
        <v>1030</v>
      </c>
      <c r="W272" s="1">
        <v>1070</v>
      </c>
      <c r="X272" s="1">
        <v>2100</v>
      </c>
      <c r="Y272" s="1" t="s">
        <v>51</v>
      </c>
      <c r="Z272" s="1">
        <v>1420</v>
      </c>
      <c r="AA272" s="1">
        <v>680</v>
      </c>
      <c r="AB272" s="1">
        <v>0</v>
      </c>
      <c r="AC272" s="1">
        <v>0</v>
      </c>
      <c r="AD272" s="1">
        <v>0</v>
      </c>
      <c r="AE272" s="1">
        <v>0</v>
      </c>
      <c r="AF272" s="1"/>
      <c r="AG272" s="1">
        <v>0</v>
      </c>
      <c r="AH272" s="1">
        <v>0</v>
      </c>
      <c r="AI272" s="1">
        <v>0</v>
      </c>
      <c r="AJ272" s="1">
        <v>0</v>
      </c>
      <c r="AK272" s="1">
        <v>2.1488</v>
      </c>
      <c r="AL272" s="1">
        <v>2.1488</v>
      </c>
      <c r="AM272" s="1">
        <v>2.1488</v>
      </c>
    </row>
    <row r="273" spans="1:39" x14ac:dyDescent="0.3">
      <c r="A273" s="21" t="str">
        <f t="shared" si="4"/>
        <v>HFA805LLHA2026-01-11</v>
      </c>
      <c r="B273" t="str">
        <f>VLOOKUP(A273,Sheet1!A273:B1615,1,FALSE)</f>
        <v>HFA805LLHA2026-01-11</v>
      </c>
      <c r="C273" s="3">
        <v>46033</v>
      </c>
      <c r="D273" s="1" t="s">
        <v>114</v>
      </c>
      <c r="E273" s="1" t="s">
        <v>38</v>
      </c>
      <c r="F273" s="1"/>
      <c r="G273" s="1" t="s">
        <v>39</v>
      </c>
      <c r="H273" s="1" t="s">
        <v>134</v>
      </c>
      <c r="I273" s="1" t="s">
        <v>41</v>
      </c>
      <c r="J273" s="1" t="s">
        <v>42</v>
      </c>
      <c r="K273" s="1" t="s">
        <v>43</v>
      </c>
      <c r="L273" s="1" t="s">
        <v>44</v>
      </c>
      <c r="M273" s="1" t="s">
        <v>45</v>
      </c>
      <c r="N273" s="1" t="s">
        <v>67</v>
      </c>
      <c r="O273" s="1" t="s">
        <v>86</v>
      </c>
      <c r="P273" s="1" t="s">
        <v>87</v>
      </c>
      <c r="Q273" s="1" t="s">
        <v>88</v>
      </c>
      <c r="R273" s="1" t="s">
        <v>50</v>
      </c>
      <c r="S273" s="1">
        <v>264</v>
      </c>
      <c r="T273" s="1">
        <v>0</v>
      </c>
      <c r="U273" s="4">
        <v>3.6111111111111108E-2</v>
      </c>
      <c r="V273" s="1">
        <v>1420</v>
      </c>
      <c r="W273" s="1">
        <v>-20</v>
      </c>
      <c r="X273" s="1">
        <v>1400</v>
      </c>
      <c r="Y273" s="1" t="s">
        <v>51</v>
      </c>
      <c r="Z273" s="1">
        <v>820</v>
      </c>
      <c r="AA273" s="1">
        <v>580</v>
      </c>
      <c r="AB273" s="1">
        <v>0</v>
      </c>
      <c r="AC273" s="1">
        <v>0</v>
      </c>
      <c r="AD273" s="1">
        <v>0</v>
      </c>
      <c r="AE273" s="1">
        <v>0</v>
      </c>
      <c r="AF273" s="1"/>
      <c r="AG273" s="1">
        <v>0</v>
      </c>
      <c r="AH273" s="1">
        <v>0</v>
      </c>
      <c r="AI273" s="1">
        <v>0</v>
      </c>
      <c r="AJ273" s="1">
        <v>0</v>
      </c>
      <c r="AK273" s="1">
        <v>1.8328</v>
      </c>
      <c r="AL273" s="1">
        <v>1.8328</v>
      </c>
      <c r="AM273" s="1">
        <v>1.8328</v>
      </c>
    </row>
    <row r="274" spans="1:39" x14ac:dyDescent="0.3">
      <c r="A274" s="21" t="str">
        <f t="shared" si="4"/>
        <v>HFA806LCLK2026-01-11</v>
      </c>
      <c r="B274" t="str">
        <f>VLOOKUP(A274,Sheet1!A274:B1616,1,FALSE)</f>
        <v>HFA806LCLK2026-01-11</v>
      </c>
      <c r="C274" s="3">
        <v>46033</v>
      </c>
      <c r="D274" s="1" t="s">
        <v>115</v>
      </c>
      <c r="E274" s="1" t="s">
        <v>38</v>
      </c>
      <c r="F274" s="1"/>
      <c r="G274" s="1" t="s">
        <v>39</v>
      </c>
      <c r="H274" s="1" t="s">
        <v>134</v>
      </c>
      <c r="I274" s="1" t="s">
        <v>67</v>
      </c>
      <c r="J274" s="1" t="s">
        <v>86</v>
      </c>
      <c r="K274" s="1" t="s">
        <v>87</v>
      </c>
      <c r="L274" s="1" t="s">
        <v>88</v>
      </c>
      <c r="M274" s="1" t="s">
        <v>50</v>
      </c>
      <c r="N274" s="1" t="s">
        <v>41</v>
      </c>
      <c r="O274" s="1" t="s">
        <v>42</v>
      </c>
      <c r="P274" s="1" t="s">
        <v>43</v>
      </c>
      <c r="Q274" s="1" t="s">
        <v>44</v>
      </c>
      <c r="R274" s="1" t="s">
        <v>45</v>
      </c>
      <c r="S274" s="1">
        <v>264</v>
      </c>
      <c r="T274" s="1">
        <v>0</v>
      </c>
      <c r="U274" s="4">
        <v>3.5416666666666666E-2</v>
      </c>
      <c r="V274" s="1">
        <v>820</v>
      </c>
      <c r="W274" s="1">
        <v>1180</v>
      </c>
      <c r="X274" s="1">
        <v>2000</v>
      </c>
      <c r="Y274" s="1" t="s">
        <v>51</v>
      </c>
      <c r="Z274" s="1">
        <v>1430</v>
      </c>
      <c r="AA274" s="1">
        <v>570</v>
      </c>
      <c r="AB274" s="1">
        <v>0</v>
      </c>
      <c r="AC274" s="1">
        <v>0</v>
      </c>
      <c r="AD274" s="1">
        <v>0</v>
      </c>
      <c r="AE274" s="1">
        <v>0</v>
      </c>
      <c r="AF274" s="1"/>
      <c r="AG274" s="1">
        <v>0</v>
      </c>
      <c r="AH274" s="1">
        <v>0</v>
      </c>
      <c r="AI274" s="1">
        <v>0</v>
      </c>
      <c r="AJ274" s="1">
        <v>0</v>
      </c>
      <c r="AK274" s="1">
        <v>1.8011999999999999</v>
      </c>
      <c r="AL274" s="1">
        <v>1.8011999999999999</v>
      </c>
      <c r="AM274" s="1">
        <v>1.8011999999999999</v>
      </c>
    </row>
    <row r="275" spans="1:39" x14ac:dyDescent="0.3">
      <c r="A275" s="21" t="str">
        <f t="shared" si="4"/>
        <v>HFA807LLHA2026-01-11</v>
      </c>
      <c r="B275" t="str">
        <f>VLOOKUP(A275,Sheet1!A275:B1617,1,FALSE)</f>
        <v>HFA807LLHA2026-01-11</v>
      </c>
      <c r="C275" s="3">
        <v>46033</v>
      </c>
      <c r="D275" s="1" t="s">
        <v>118</v>
      </c>
      <c r="E275" s="1" t="s">
        <v>38</v>
      </c>
      <c r="F275" s="1"/>
      <c r="G275" s="1" t="s">
        <v>39</v>
      </c>
      <c r="H275" s="1" t="s">
        <v>134</v>
      </c>
      <c r="I275" s="1" t="s">
        <v>41</v>
      </c>
      <c r="J275" s="1" t="s">
        <v>42</v>
      </c>
      <c r="K275" s="1" t="s">
        <v>43</v>
      </c>
      <c r="L275" s="1" t="s">
        <v>44</v>
      </c>
      <c r="M275" s="1" t="s">
        <v>45</v>
      </c>
      <c r="N275" s="1" t="s">
        <v>67</v>
      </c>
      <c r="O275" s="1" t="s">
        <v>86</v>
      </c>
      <c r="P275" s="1" t="s">
        <v>87</v>
      </c>
      <c r="Q275" s="1" t="s">
        <v>88</v>
      </c>
      <c r="R275" s="1" t="s">
        <v>50</v>
      </c>
      <c r="S275" s="1">
        <v>264</v>
      </c>
      <c r="T275" s="1">
        <v>0</v>
      </c>
      <c r="U275" s="4">
        <v>3.8194444444444448E-2</v>
      </c>
      <c r="V275" s="1">
        <v>1430</v>
      </c>
      <c r="W275" s="1">
        <v>0</v>
      </c>
      <c r="X275" s="1">
        <v>1430</v>
      </c>
      <c r="Y275" s="1" t="s">
        <v>51</v>
      </c>
      <c r="Z275" s="1">
        <v>820</v>
      </c>
      <c r="AA275" s="1">
        <v>610</v>
      </c>
      <c r="AB275" s="1">
        <v>0</v>
      </c>
      <c r="AC275" s="1">
        <v>0</v>
      </c>
      <c r="AD275" s="1">
        <v>0</v>
      </c>
      <c r="AE275" s="1">
        <v>0</v>
      </c>
      <c r="AF275" s="1"/>
      <c r="AG275" s="1">
        <v>0</v>
      </c>
      <c r="AH275" s="1">
        <v>0</v>
      </c>
      <c r="AI275" s="1">
        <v>0</v>
      </c>
      <c r="AJ275" s="1">
        <v>0</v>
      </c>
      <c r="AK275" s="1">
        <v>1.9276</v>
      </c>
      <c r="AL275" s="1">
        <v>1.9276</v>
      </c>
      <c r="AM275" s="1">
        <v>1.9276</v>
      </c>
    </row>
    <row r="276" spans="1:39" x14ac:dyDescent="0.3">
      <c r="A276" s="21" t="str">
        <f t="shared" si="4"/>
        <v>HFA808LCLK2026-01-11</v>
      </c>
      <c r="B276" t="str">
        <f>VLOOKUP(A276,Sheet1!A276:B1618,1,FALSE)</f>
        <v>HFA808LCLK2026-01-11</v>
      </c>
      <c r="C276" s="3">
        <v>46033</v>
      </c>
      <c r="D276" s="1" t="s">
        <v>119</v>
      </c>
      <c r="E276" s="1" t="s">
        <v>38</v>
      </c>
      <c r="F276" s="1"/>
      <c r="G276" s="1" t="s">
        <v>39</v>
      </c>
      <c r="H276" s="1" t="s">
        <v>134</v>
      </c>
      <c r="I276" s="1" t="s">
        <v>67</v>
      </c>
      <c r="J276" s="1" t="s">
        <v>86</v>
      </c>
      <c r="K276" s="1" t="s">
        <v>87</v>
      </c>
      <c r="L276" s="1" t="s">
        <v>88</v>
      </c>
      <c r="M276" s="1" t="s">
        <v>50</v>
      </c>
      <c r="N276" s="1" t="s">
        <v>41</v>
      </c>
      <c r="O276" s="1" t="s">
        <v>42</v>
      </c>
      <c r="P276" s="1" t="s">
        <v>43</v>
      </c>
      <c r="Q276" s="1" t="s">
        <v>44</v>
      </c>
      <c r="R276" s="1" t="s">
        <v>45</v>
      </c>
      <c r="S276" s="1">
        <v>264</v>
      </c>
      <c r="T276" s="1">
        <v>0</v>
      </c>
      <c r="U276" s="4">
        <v>3.5416666666666666E-2</v>
      </c>
      <c r="V276" s="1">
        <v>820</v>
      </c>
      <c r="W276" s="1">
        <v>1380</v>
      </c>
      <c r="X276" s="1">
        <v>2200</v>
      </c>
      <c r="Y276" s="1" t="s">
        <v>51</v>
      </c>
      <c r="Z276" s="1">
        <v>1680</v>
      </c>
      <c r="AA276" s="1">
        <v>520</v>
      </c>
      <c r="AB276" s="1">
        <v>0</v>
      </c>
      <c r="AC276" s="1">
        <v>0</v>
      </c>
      <c r="AD276" s="1">
        <v>0</v>
      </c>
      <c r="AE276" s="1">
        <v>0</v>
      </c>
      <c r="AF276" s="1"/>
      <c r="AG276" s="1">
        <v>0</v>
      </c>
      <c r="AH276" s="1">
        <v>0</v>
      </c>
      <c r="AI276" s="1">
        <v>0</v>
      </c>
      <c r="AJ276" s="1">
        <v>0</v>
      </c>
      <c r="AK276" s="1">
        <v>1.6432</v>
      </c>
      <c r="AL276" s="1">
        <v>1.6432</v>
      </c>
      <c r="AM276" s="1">
        <v>1.6432</v>
      </c>
    </row>
    <row r="277" spans="1:39" x14ac:dyDescent="0.3">
      <c r="A277" s="21" t="str">
        <f t="shared" si="4"/>
        <v>HFA801LLHA2026-01-12</v>
      </c>
      <c r="B277" t="str">
        <f>VLOOKUP(A277,Sheet1!A277:B1619,1,FALSE)</f>
        <v>HFA801LLHA2026-01-12</v>
      </c>
      <c r="C277" s="3">
        <v>46034</v>
      </c>
      <c r="D277" s="1" t="s">
        <v>133</v>
      </c>
      <c r="E277" s="1" t="s">
        <v>38</v>
      </c>
      <c r="F277" s="1"/>
      <c r="G277" s="1" t="s">
        <v>39</v>
      </c>
      <c r="H277" s="1" t="s">
        <v>134</v>
      </c>
      <c r="I277" s="1" t="s">
        <v>41</v>
      </c>
      <c r="J277" s="1" t="s">
        <v>42</v>
      </c>
      <c r="K277" s="1" t="s">
        <v>43</v>
      </c>
      <c r="L277" s="1" t="s">
        <v>44</v>
      </c>
      <c r="M277" s="1" t="s">
        <v>45</v>
      </c>
      <c r="N277" s="1" t="s">
        <v>67</v>
      </c>
      <c r="O277" s="1" t="s">
        <v>86</v>
      </c>
      <c r="P277" s="1" t="s">
        <v>87</v>
      </c>
      <c r="Q277" s="1" t="s">
        <v>88</v>
      </c>
      <c r="R277" s="1" t="s">
        <v>50</v>
      </c>
      <c r="S277" s="1">
        <v>264</v>
      </c>
      <c r="T277" s="1">
        <v>0</v>
      </c>
      <c r="U277" s="4">
        <v>4.3055555555555555E-2</v>
      </c>
      <c r="V277" s="1">
        <v>1680</v>
      </c>
      <c r="W277" s="1">
        <v>-50</v>
      </c>
      <c r="X277" s="1">
        <v>1630</v>
      </c>
      <c r="Y277" s="1" t="s">
        <v>51</v>
      </c>
      <c r="Z277" s="1">
        <v>1020</v>
      </c>
      <c r="AA277" s="1">
        <v>610</v>
      </c>
      <c r="AB277" s="1">
        <v>0</v>
      </c>
      <c r="AC277" s="1">
        <v>0</v>
      </c>
      <c r="AD277" s="1">
        <v>0</v>
      </c>
      <c r="AE277" s="1">
        <v>0</v>
      </c>
      <c r="AF277" s="1"/>
      <c r="AG277" s="1">
        <v>0</v>
      </c>
      <c r="AH277" s="1">
        <v>0</v>
      </c>
      <c r="AI277" s="1">
        <v>0</v>
      </c>
      <c r="AJ277" s="1">
        <v>0</v>
      </c>
      <c r="AK277" s="1">
        <v>1.9276</v>
      </c>
      <c r="AL277" s="1">
        <v>1.9276</v>
      </c>
      <c r="AM277" s="1">
        <v>1.9276</v>
      </c>
    </row>
    <row r="278" spans="1:39" x14ac:dyDescent="0.3">
      <c r="A278" s="21" t="str">
        <f t="shared" si="4"/>
        <v>HFA802LCLK2026-01-12</v>
      </c>
      <c r="B278" t="str">
        <f>VLOOKUP(A278,Sheet1!A278:B1620,1,FALSE)</f>
        <v>HFA802LCLK2026-01-12</v>
      </c>
      <c r="C278" s="3">
        <v>46034</v>
      </c>
      <c r="D278" s="1" t="s">
        <v>135</v>
      </c>
      <c r="E278" s="1" t="s">
        <v>38</v>
      </c>
      <c r="F278" s="1"/>
      <c r="G278" s="1" t="s">
        <v>39</v>
      </c>
      <c r="H278" s="1" t="s">
        <v>134</v>
      </c>
      <c r="I278" s="1" t="s">
        <v>67</v>
      </c>
      <c r="J278" s="1" t="s">
        <v>86</v>
      </c>
      <c r="K278" s="1" t="s">
        <v>87</v>
      </c>
      <c r="L278" s="1" t="s">
        <v>88</v>
      </c>
      <c r="M278" s="1" t="s">
        <v>50</v>
      </c>
      <c r="N278" s="1" t="s">
        <v>41</v>
      </c>
      <c r="O278" s="1" t="s">
        <v>42</v>
      </c>
      <c r="P278" s="1" t="s">
        <v>43</v>
      </c>
      <c r="Q278" s="1" t="s">
        <v>44</v>
      </c>
      <c r="R278" s="1" t="s">
        <v>45</v>
      </c>
      <c r="S278" s="1">
        <v>264</v>
      </c>
      <c r="T278" s="1">
        <v>0</v>
      </c>
      <c r="U278" s="4">
        <v>3.9583333333333331E-2</v>
      </c>
      <c r="V278" s="1">
        <v>1020</v>
      </c>
      <c r="W278" s="1">
        <v>1280</v>
      </c>
      <c r="X278" s="1">
        <v>2300</v>
      </c>
      <c r="Y278" s="1" t="s">
        <v>51</v>
      </c>
      <c r="Z278" s="1">
        <v>1770</v>
      </c>
      <c r="AA278" s="1">
        <v>530</v>
      </c>
      <c r="AB278" s="1">
        <v>0</v>
      </c>
      <c r="AC278" s="1">
        <v>0</v>
      </c>
      <c r="AD278" s="1">
        <v>0</v>
      </c>
      <c r="AE278" s="1">
        <v>0</v>
      </c>
      <c r="AF278" s="1"/>
      <c r="AG278" s="1">
        <v>0</v>
      </c>
      <c r="AH278" s="1">
        <v>0</v>
      </c>
      <c r="AI278" s="1">
        <v>0</v>
      </c>
      <c r="AJ278" s="1">
        <v>0</v>
      </c>
      <c r="AK278" s="1">
        <v>1.6748000000000001</v>
      </c>
      <c r="AL278" s="1">
        <v>1.6748000000000001</v>
      </c>
      <c r="AM278" s="1">
        <v>1.6748000000000001</v>
      </c>
    </row>
    <row r="279" spans="1:39" x14ac:dyDescent="0.3">
      <c r="A279" s="21" t="str">
        <f t="shared" si="4"/>
        <v>HFA803LLHA2026-01-12</v>
      </c>
      <c r="B279" t="str">
        <f>VLOOKUP(A279,Sheet1!A279:B1621,1,FALSE)</f>
        <v>HFA803LLHA2026-01-12</v>
      </c>
      <c r="C279" s="3">
        <v>46034</v>
      </c>
      <c r="D279" s="1" t="s">
        <v>116</v>
      </c>
      <c r="E279" s="1" t="s">
        <v>38</v>
      </c>
      <c r="F279" s="1"/>
      <c r="G279" s="1" t="s">
        <v>39</v>
      </c>
      <c r="H279" s="1" t="s">
        <v>134</v>
      </c>
      <c r="I279" s="1" t="s">
        <v>41</v>
      </c>
      <c r="J279" s="1" t="s">
        <v>42</v>
      </c>
      <c r="K279" s="1" t="s">
        <v>43</v>
      </c>
      <c r="L279" s="1" t="s">
        <v>44</v>
      </c>
      <c r="M279" s="1" t="s">
        <v>45</v>
      </c>
      <c r="N279" s="1" t="s">
        <v>67</v>
      </c>
      <c r="O279" s="1" t="s">
        <v>86</v>
      </c>
      <c r="P279" s="1" t="s">
        <v>87</v>
      </c>
      <c r="Q279" s="1" t="s">
        <v>88</v>
      </c>
      <c r="R279" s="1" t="s">
        <v>50</v>
      </c>
      <c r="S279" s="1">
        <v>264</v>
      </c>
      <c r="T279" s="1">
        <v>0</v>
      </c>
      <c r="U279" s="4">
        <v>4.1666666666666664E-2</v>
      </c>
      <c r="V279" s="1">
        <v>1770</v>
      </c>
      <c r="W279" s="1">
        <v>-10</v>
      </c>
      <c r="X279" s="1">
        <v>1760</v>
      </c>
      <c r="Y279" s="1" t="s">
        <v>51</v>
      </c>
      <c r="Z279" s="1">
        <v>1100</v>
      </c>
      <c r="AA279" s="1">
        <v>660</v>
      </c>
      <c r="AB279" s="1">
        <v>0</v>
      </c>
      <c r="AC279" s="1">
        <v>0</v>
      </c>
      <c r="AD279" s="1">
        <v>0</v>
      </c>
      <c r="AE279" s="1">
        <v>0</v>
      </c>
      <c r="AF279" s="1"/>
      <c r="AG279" s="1">
        <v>0</v>
      </c>
      <c r="AH279" s="1">
        <v>0</v>
      </c>
      <c r="AI279" s="1">
        <v>0</v>
      </c>
      <c r="AJ279" s="1">
        <v>0</v>
      </c>
      <c r="AK279" s="1">
        <v>2.0855999999999999</v>
      </c>
      <c r="AL279" s="1">
        <v>2.0855999999999999</v>
      </c>
      <c r="AM279" s="1">
        <v>2.0855999999999999</v>
      </c>
    </row>
    <row r="280" spans="1:39" x14ac:dyDescent="0.3">
      <c r="A280" s="21" t="str">
        <f t="shared" si="4"/>
        <v>HFA804LCLK2026-01-12</v>
      </c>
      <c r="B280" t="str">
        <f>VLOOKUP(A280,Sheet1!A280:B1622,1,FALSE)</f>
        <v>HFA804LCLK2026-01-12</v>
      </c>
      <c r="C280" s="3">
        <v>46034</v>
      </c>
      <c r="D280" s="1" t="s">
        <v>117</v>
      </c>
      <c r="E280" s="1" t="s">
        <v>38</v>
      </c>
      <c r="F280" s="1"/>
      <c r="G280" s="1" t="s">
        <v>39</v>
      </c>
      <c r="H280" s="1" t="s">
        <v>134</v>
      </c>
      <c r="I280" s="1" t="s">
        <v>67</v>
      </c>
      <c r="J280" s="1" t="s">
        <v>86</v>
      </c>
      <c r="K280" s="1" t="s">
        <v>87</v>
      </c>
      <c r="L280" s="1" t="s">
        <v>88</v>
      </c>
      <c r="M280" s="1" t="s">
        <v>50</v>
      </c>
      <c r="N280" s="1" t="s">
        <v>41</v>
      </c>
      <c r="O280" s="1" t="s">
        <v>42</v>
      </c>
      <c r="P280" s="1" t="s">
        <v>43</v>
      </c>
      <c r="Q280" s="1" t="s">
        <v>44</v>
      </c>
      <c r="R280" s="1" t="s">
        <v>45</v>
      </c>
      <c r="S280" s="1">
        <v>264</v>
      </c>
      <c r="T280" s="1">
        <v>0</v>
      </c>
      <c r="U280" s="4">
        <v>4.8611111111111105E-2</v>
      </c>
      <c r="V280" s="1">
        <v>1100</v>
      </c>
      <c r="W280" s="1">
        <v>1400</v>
      </c>
      <c r="X280" s="1">
        <v>2500</v>
      </c>
      <c r="Y280" s="1" t="s">
        <v>51</v>
      </c>
      <c r="Z280" s="1">
        <v>1880</v>
      </c>
      <c r="AA280" s="1">
        <v>620</v>
      </c>
      <c r="AB280" s="1">
        <v>0</v>
      </c>
      <c r="AC280" s="1">
        <v>0</v>
      </c>
      <c r="AD280" s="1">
        <v>0</v>
      </c>
      <c r="AE280" s="1">
        <v>0</v>
      </c>
      <c r="AF280" s="1"/>
      <c r="AG280" s="1">
        <v>0</v>
      </c>
      <c r="AH280" s="1">
        <v>0</v>
      </c>
      <c r="AI280" s="1">
        <v>0</v>
      </c>
      <c r="AJ280" s="1">
        <v>0</v>
      </c>
      <c r="AK280" s="1">
        <v>1.9592000000000001</v>
      </c>
      <c r="AL280" s="1">
        <v>1.9592000000000001</v>
      </c>
      <c r="AM280" s="1">
        <v>1.9592000000000001</v>
      </c>
    </row>
    <row r="281" spans="1:39" x14ac:dyDescent="0.3">
      <c r="A281" s="21" t="str">
        <f t="shared" si="4"/>
        <v>HFA807LLHA2026-01-12</v>
      </c>
      <c r="B281" t="str">
        <f>VLOOKUP(A281,Sheet1!A281:B1623,1,FALSE)</f>
        <v>HFA807LLHA2026-01-12</v>
      </c>
      <c r="C281" s="3">
        <v>46034</v>
      </c>
      <c r="D281" s="1" t="s">
        <v>118</v>
      </c>
      <c r="E281" s="1" t="s">
        <v>38</v>
      </c>
      <c r="F281" s="1"/>
      <c r="G281" s="1" t="s">
        <v>39</v>
      </c>
      <c r="H281" s="1" t="s">
        <v>134</v>
      </c>
      <c r="I281" s="1" t="s">
        <v>41</v>
      </c>
      <c r="J281" s="1" t="s">
        <v>42</v>
      </c>
      <c r="K281" s="1" t="s">
        <v>43</v>
      </c>
      <c r="L281" s="1" t="s">
        <v>44</v>
      </c>
      <c r="M281" s="1" t="s">
        <v>45</v>
      </c>
      <c r="N281" s="1" t="s">
        <v>67</v>
      </c>
      <c r="O281" s="1" t="s">
        <v>86</v>
      </c>
      <c r="P281" s="1" t="s">
        <v>87</v>
      </c>
      <c r="Q281" s="1" t="s">
        <v>88</v>
      </c>
      <c r="R281" s="1" t="s">
        <v>50</v>
      </c>
      <c r="S281" s="1">
        <v>264</v>
      </c>
      <c r="T281" s="1">
        <v>0</v>
      </c>
      <c r="U281" s="4">
        <v>3.8194444444444448E-2</v>
      </c>
      <c r="V281" s="1">
        <v>1880</v>
      </c>
      <c r="W281" s="1">
        <v>320</v>
      </c>
      <c r="X281" s="1">
        <v>2200</v>
      </c>
      <c r="Y281" s="1" t="s">
        <v>51</v>
      </c>
      <c r="Z281" s="1">
        <v>1660</v>
      </c>
      <c r="AA281" s="1">
        <v>540</v>
      </c>
      <c r="AB281" s="1">
        <v>0</v>
      </c>
      <c r="AC281" s="1">
        <v>0</v>
      </c>
      <c r="AD281" s="1">
        <v>0</v>
      </c>
      <c r="AE281" s="1">
        <v>0</v>
      </c>
      <c r="AF281" s="1"/>
      <c r="AG281" s="1">
        <v>0</v>
      </c>
      <c r="AH281" s="1">
        <v>0</v>
      </c>
      <c r="AI281" s="1">
        <v>0</v>
      </c>
      <c r="AJ281" s="1">
        <v>0</v>
      </c>
      <c r="AK281" s="1">
        <v>1.7063999999999999</v>
      </c>
      <c r="AL281" s="1">
        <v>1.7063999999999999</v>
      </c>
      <c r="AM281" s="1">
        <v>1.7063999999999999</v>
      </c>
    </row>
    <row r="282" spans="1:39" x14ac:dyDescent="0.3">
      <c r="A282" s="21" t="str">
        <f t="shared" si="4"/>
        <v>HFA808LCLK2026-01-12</v>
      </c>
      <c r="B282" t="str">
        <f>VLOOKUP(A282,Sheet1!A282:B1624,1,FALSE)</f>
        <v>HFA808LCLK2026-01-12</v>
      </c>
      <c r="C282" s="3">
        <v>46034</v>
      </c>
      <c r="D282" s="1" t="s">
        <v>119</v>
      </c>
      <c r="E282" s="1" t="s">
        <v>38</v>
      </c>
      <c r="F282" s="1"/>
      <c r="G282" s="1" t="s">
        <v>39</v>
      </c>
      <c r="H282" s="1" t="s">
        <v>134</v>
      </c>
      <c r="I282" s="1" t="s">
        <v>67</v>
      </c>
      <c r="J282" s="1" t="s">
        <v>86</v>
      </c>
      <c r="K282" s="1" t="s">
        <v>87</v>
      </c>
      <c r="L282" s="1" t="s">
        <v>88</v>
      </c>
      <c r="M282" s="1" t="s">
        <v>50</v>
      </c>
      <c r="N282" s="1" t="s">
        <v>41</v>
      </c>
      <c r="O282" s="1" t="s">
        <v>82</v>
      </c>
      <c r="P282" s="1" t="s">
        <v>83</v>
      </c>
      <c r="Q282" s="1" t="s">
        <v>84</v>
      </c>
      <c r="R282" s="1" t="s">
        <v>45</v>
      </c>
      <c r="S282" s="1">
        <v>339</v>
      </c>
      <c r="T282" s="1">
        <v>0</v>
      </c>
      <c r="U282" s="4">
        <v>4.8611111111111105E-2</v>
      </c>
      <c r="V282" s="1">
        <v>1660</v>
      </c>
      <c r="W282" s="1">
        <v>940</v>
      </c>
      <c r="X282" s="1">
        <v>2600</v>
      </c>
      <c r="Y282" s="1" t="s">
        <v>51</v>
      </c>
      <c r="Z282" s="1">
        <v>1910</v>
      </c>
      <c r="AA282" s="1">
        <v>690</v>
      </c>
      <c r="AB282" s="1">
        <v>0</v>
      </c>
      <c r="AC282" s="1">
        <v>0</v>
      </c>
      <c r="AD282" s="1">
        <v>0</v>
      </c>
      <c r="AE282" s="1">
        <v>0</v>
      </c>
      <c r="AF282" s="1"/>
      <c r="AG282" s="1">
        <v>0</v>
      </c>
      <c r="AH282" s="1">
        <v>0</v>
      </c>
      <c r="AI282" s="1">
        <v>0</v>
      </c>
      <c r="AJ282" s="1">
        <v>0</v>
      </c>
      <c r="AK282" s="1">
        <v>2.1804000000000001</v>
      </c>
      <c r="AL282" s="1">
        <v>2.1804000000000001</v>
      </c>
      <c r="AM282" s="1">
        <v>2.1804000000000001</v>
      </c>
    </row>
    <row r="283" spans="1:39" x14ac:dyDescent="0.3">
      <c r="A283" s="21" t="str">
        <f t="shared" si="4"/>
        <v>HFA208LLBG2026-01-13</v>
      </c>
      <c r="B283" t="e">
        <f>VLOOKUP(A283,Sheet1!A283:B1625,1,FALSE)</f>
        <v>#N/A</v>
      </c>
      <c r="C283" s="3">
        <v>46035</v>
      </c>
      <c r="D283" s="1" t="s">
        <v>136</v>
      </c>
      <c r="E283" s="1" t="s">
        <v>38</v>
      </c>
      <c r="F283" s="1" t="s">
        <v>54</v>
      </c>
      <c r="G283" s="1" t="s">
        <v>39</v>
      </c>
      <c r="H283" s="1" t="s">
        <v>134</v>
      </c>
      <c r="I283" s="1" t="s">
        <v>41</v>
      </c>
      <c r="J283" s="1" t="s">
        <v>82</v>
      </c>
      <c r="K283" s="1" t="s">
        <v>83</v>
      </c>
      <c r="L283" s="1" t="s">
        <v>84</v>
      </c>
      <c r="M283" s="1" t="s">
        <v>45</v>
      </c>
      <c r="N283" s="1" t="s">
        <v>41</v>
      </c>
      <c r="O283" s="1" t="s">
        <v>42</v>
      </c>
      <c r="P283" s="1" t="s">
        <v>43</v>
      </c>
      <c r="Q283" s="1" t="s">
        <v>44</v>
      </c>
      <c r="R283" s="1" t="s">
        <v>45</v>
      </c>
      <c r="S283" s="1">
        <v>90</v>
      </c>
      <c r="T283" s="1">
        <v>91</v>
      </c>
      <c r="U283" s="4">
        <v>5.2083333333333329E-2</v>
      </c>
      <c r="V283" s="1">
        <v>1910</v>
      </c>
      <c r="W283" s="1">
        <v>0</v>
      </c>
      <c r="X283" s="1">
        <v>1910</v>
      </c>
      <c r="Y283" s="1" t="s">
        <v>51</v>
      </c>
      <c r="Z283" s="1">
        <v>1410</v>
      </c>
      <c r="AA283" s="1">
        <v>500</v>
      </c>
      <c r="AB283" s="1">
        <v>0</v>
      </c>
      <c r="AC283" s="1">
        <v>0</v>
      </c>
      <c r="AD283" s="1">
        <v>0</v>
      </c>
      <c r="AE283" s="1">
        <v>0</v>
      </c>
      <c r="AF283" s="1"/>
      <c r="AG283" s="1">
        <v>0</v>
      </c>
      <c r="AH283" s="1">
        <v>0</v>
      </c>
      <c r="AI283" s="1">
        <v>0</v>
      </c>
      <c r="AJ283" s="1">
        <v>0</v>
      </c>
      <c r="AK283" s="1">
        <v>1.58</v>
      </c>
      <c r="AL283" s="1">
        <v>1.58</v>
      </c>
      <c r="AM283" s="1">
        <v>1.58</v>
      </c>
    </row>
    <row r="284" spans="1:39" x14ac:dyDescent="0.3">
      <c r="A284" s="21" t="str">
        <f t="shared" si="4"/>
        <v>HFA801LLHA2026-01-14</v>
      </c>
      <c r="B284" t="str">
        <f>VLOOKUP(A284,Sheet1!A284:B1626,1,FALSE)</f>
        <v>HFA801LLHA2026-01-14</v>
      </c>
      <c r="C284" s="3">
        <v>46036</v>
      </c>
      <c r="D284" s="1" t="s">
        <v>133</v>
      </c>
      <c r="E284" s="1" t="s">
        <v>38</v>
      </c>
      <c r="F284" s="1"/>
      <c r="G284" s="1" t="s">
        <v>39</v>
      </c>
      <c r="H284" s="1" t="s">
        <v>134</v>
      </c>
      <c r="I284" s="1" t="s">
        <v>41</v>
      </c>
      <c r="J284" s="1" t="s">
        <v>42</v>
      </c>
      <c r="K284" s="1" t="s">
        <v>43</v>
      </c>
      <c r="L284" s="1" t="s">
        <v>44</v>
      </c>
      <c r="M284" s="1" t="s">
        <v>45</v>
      </c>
      <c r="N284" s="1" t="s">
        <v>67</v>
      </c>
      <c r="O284" s="1" t="s">
        <v>86</v>
      </c>
      <c r="P284" s="1" t="s">
        <v>87</v>
      </c>
      <c r="Q284" s="1" t="s">
        <v>88</v>
      </c>
      <c r="R284" s="1" t="s">
        <v>50</v>
      </c>
      <c r="S284" s="1">
        <v>264</v>
      </c>
      <c r="T284" s="1">
        <v>0</v>
      </c>
      <c r="U284" s="4">
        <v>4.2361111111111106E-2</v>
      </c>
      <c r="V284" s="1">
        <v>1410</v>
      </c>
      <c r="W284" s="1">
        <v>90</v>
      </c>
      <c r="X284" s="1">
        <v>1500</v>
      </c>
      <c r="Y284" s="1" t="s">
        <v>51</v>
      </c>
      <c r="Z284" s="1">
        <v>880</v>
      </c>
      <c r="AA284" s="1">
        <v>620</v>
      </c>
      <c r="AB284" s="1">
        <v>0</v>
      </c>
      <c r="AC284" s="1">
        <v>0</v>
      </c>
      <c r="AD284" s="1">
        <v>0</v>
      </c>
      <c r="AE284" s="1">
        <v>0</v>
      </c>
      <c r="AF284" s="1"/>
      <c r="AG284" s="1">
        <v>0</v>
      </c>
      <c r="AH284" s="1">
        <v>0</v>
      </c>
      <c r="AI284" s="1">
        <v>0</v>
      </c>
      <c r="AJ284" s="1">
        <v>0</v>
      </c>
      <c r="AK284" s="1">
        <v>1.9592000000000001</v>
      </c>
      <c r="AL284" s="1">
        <v>1.9592000000000001</v>
      </c>
      <c r="AM284" s="1">
        <v>1.9592000000000001</v>
      </c>
    </row>
    <row r="285" spans="1:39" x14ac:dyDescent="0.3">
      <c r="A285" s="21" t="str">
        <f t="shared" si="4"/>
        <v>HFA802LCLK2026-01-14</v>
      </c>
      <c r="B285" t="str">
        <f>VLOOKUP(A285,Sheet1!A285:B1627,1,FALSE)</f>
        <v>HFA802LCLK2026-01-14</v>
      </c>
      <c r="C285" s="3">
        <v>46036</v>
      </c>
      <c r="D285" s="1" t="s">
        <v>135</v>
      </c>
      <c r="E285" s="1" t="s">
        <v>38</v>
      </c>
      <c r="F285" s="1"/>
      <c r="G285" s="1" t="s">
        <v>39</v>
      </c>
      <c r="H285" s="1" t="s">
        <v>134</v>
      </c>
      <c r="I285" s="1" t="s">
        <v>67</v>
      </c>
      <c r="J285" s="1" t="s">
        <v>86</v>
      </c>
      <c r="K285" s="1" t="s">
        <v>87</v>
      </c>
      <c r="L285" s="1" t="s">
        <v>88</v>
      </c>
      <c r="M285" s="1" t="s">
        <v>50</v>
      </c>
      <c r="N285" s="1" t="s">
        <v>41</v>
      </c>
      <c r="O285" s="1" t="s">
        <v>42</v>
      </c>
      <c r="P285" s="1" t="s">
        <v>43</v>
      </c>
      <c r="Q285" s="1" t="s">
        <v>44</v>
      </c>
      <c r="R285" s="1" t="s">
        <v>45</v>
      </c>
      <c r="S285" s="1">
        <v>264</v>
      </c>
      <c r="T285" s="1">
        <v>0</v>
      </c>
      <c r="U285" s="4">
        <v>3.6805555555555557E-2</v>
      </c>
      <c r="V285" s="1">
        <v>880</v>
      </c>
      <c r="W285" s="1">
        <v>1220</v>
      </c>
      <c r="X285" s="1">
        <v>2100</v>
      </c>
      <c r="Y285" s="1" t="s">
        <v>51</v>
      </c>
      <c r="Z285" s="1">
        <v>1580</v>
      </c>
      <c r="AA285" s="1">
        <v>520</v>
      </c>
      <c r="AB285" s="1">
        <v>0</v>
      </c>
      <c r="AC285" s="1">
        <v>0</v>
      </c>
      <c r="AD285" s="1">
        <v>0</v>
      </c>
      <c r="AE285" s="1">
        <v>0</v>
      </c>
      <c r="AF285" s="1"/>
      <c r="AG285" s="1">
        <v>0</v>
      </c>
      <c r="AH285" s="1">
        <v>0</v>
      </c>
      <c r="AI285" s="1">
        <v>0</v>
      </c>
      <c r="AJ285" s="1">
        <v>0</v>
      </c>
      <c r="AK285" s="1">
        <v>1.6432</v>
      </c>
      <c r="AL285" s="1">
        <v>1.6432</v>
      </c>
      <c r="AM285" s="1">
        <v>1.6432</v>
      </c>
    </row>
    <row r="286" spans="1:39" x14ac:dyDescent="0.3">
      <c r="A286" s="21" t="str">
        <f t="shared" si="4"/>
        <v>HFA803LLHA2026-01-14</v>
      </c>
      <c r="B286" t="str">
        <f>VLOOKUP(A286,Sheet1!A286:B1628,1,FALSE)</f>
        <v>HFA803LLHA2026-01-14</v>
      </c>
      <c r="C286" s="3">
        <v>46036</v>
      </c>
      <c r="D286" s="1" t="s">
        <v>116</v>
      </c>
      <c r="E286" s="1" t="s">
        <v>38</v>
      </c>
      <c r="F286" s="1"/>
      <c r="G286" s="1" t="s">
        <v>39</v>
      </c>
      <c r="H286" s="1" t="s">
        <v>134</v>
      </c>
      <c r="I286" s="1" t="s">
        <v>41</v>
      </c>
      <c r="J286" s="1" t="s">
        <v>42</v>
      </c>
      <c r="K286" s="1" t="s">
        <v>43</v>
      </c>
      <c r="L286" s="1" t="s">
        <v>44</v>
      </c>
      <c r="M286" s="1" t="s">
        <v>45</v>
      </c>
      <c r="N286" s="1" t="s">
        <v>67</v>
      </c>
      <c r="O286" s="1" t="s">
        <v>86</v>
      </c>
      <c r="P286" s="1" t="s">
        <v>87</v>
      </c>
      <c r="Q286" s="1" t="s">
        <v>88</v>
      </c>
      <c r="R286" s="1" t="s">
        <v>50</v>
      </c>
      <c r="S286" s="1">
        <v>264</v>
      </c>
      <c r="T286" s="1">
        <v>0</v>
      </c>
      <c r="U286" s="4">
        <v>4.027777777777778E-2</v>
      </c>
      <c r="V286" s="1">
        <v>1580</v>
      </c>
      <c r="W286" s="1">
        <v>0</v>
      </c>
      <c r="X286" s="1">
        <v>1580</v>
      </c>
      <c r="Y286" s="1" t="s">
        <v>51</v>
      </c>
      <c r="Z286" s="1">
        <v>930</v>
      </c>
      <c r="AA286" s="1">
        <v>650</v>
      </c>
      <c r="AB286" s="1">
        <v>0</v>
      </c>
      <c r="AC286" s="1">
        <v>0</v>
      </c>
      <c r="AD286" s="1">
        <v>0</v>
      </c>
      <c r="AE286" s="1">
        <v>0</v>
      </c>
      <c r="AF286" s="1"/>
      <c r="AG286" s="1">
        <v>0</v>
      </c>
      <c r="AH286" s="1">
        <v>0</v>
      </c>
      <c r="AI286" s="1">
        <v>0</v>
      </c>
      <c r="AJ286" s="1">
        <v>0</v>
      </c>
      <c r="AK286" s="1">
        <v>2.0539999999999998</v>
      </c>
      <c r="AL286" s="1">
        <v>2.0539999999999998</v>
      </c>
      <c r="AM286" s="1">
        <v>2.0539999999999998</v>
      </c>
    </row>
    <row r="287" spans="1:39" x14ac:dyDescent="0.3">
      <c r="A287" s="21" t="str">
        <f t="shared" si="4"/>
        <v>HFA804LCLK2026-01-14</v>
      </c>
      <c r="B287" t="str">
        <f>VLOOKUP(A287,Sheet1!A287:B1629,1,FALSE)</f>
        <v>HFA804LCLK2026-01-14</v>
      </c>
      <c r="C287" s="3">
        <v>46036</v>
      </c>
      <c r="D287" s="1" t="s">
        <v>117</v>
      </c>
      <c r="E287" s="1" t="s">
        <v>38</v>
      </c>
      <c r="F287" s="1"/>
      <c r="G287" s="1" t="s">
        <v>39</v>
      </c>
      <c r="H287" s="1" t="s">
        <v>134</v>
      </c>
      <c r="I287" s="1" t="s">
        <v>67</v>
      </c>
      <c r="J287" s="1" t="s">
        <v>86</v>
      </c>
      <c r="K287" s="1" t="s">
        <v>87</v>
      </c>
      <c r="L287" s="1" t="s">
        <v>88</v>
      </c>
      <c r="M287" s="1" t="s">
        <v>50</v>
      </c>
      <c r="N287" s="1" t="s">
        <v>41</v>
      </c>
      <c r="O287" s="1" t="s">
        <v>42</v>
      </c>
      <c r="P287" s="1" t="s">
        <v>43</v>
      </c>
      <c r="Q287" s="1" t="s">
        <v>44</v>
      </c>
      <c r="R287" s="1" t="s">
        <v>45</v>
      </c>
      <c r="S287" s="1">
        <v>264</v>
      </c>
      <c r="T287" s="1">
        <v>0</v>
      </c>
      <c r="U287" s="4">
        <v>3.6111111111111108E-2</v>
      </c>
      <c r="V287" s="1">
        <v>930</v>
      </c>
      <c r="W287" s="1">
        <v>1470</v>
      </c>
      <c r="X287" s="1">
        <v>2400</v>
      </c>
      <c r="Y287" s="1" t="s">
        <v>51</v>
      </c>
      <c r="Z287" s="1">
        <v>1940</v>
      </c>
      <c r="AA287" s="1">
        <v>460</v>
      </c>
      <c r="AB287" s="1">
        <v>0</v>
      </c>
      <c r="AC287" s="1">
        <v>0</v>
      </c>
      <c r="AD287" s="1">
        <v>0</v>
      </c>
      <c r="AE287" s="1">
        <v>0</v>
      </c>
      <c r="AF287" s="1"/>
      <c r="AG287" s="1">
        <v>0</v>
      </c>
      <c r="AH287" s="1">
        <v>0</v>
      </c>
      <c r="AI287" s="1">
        <v>0</v>
      </c>
      <c r="AJ287" s="1">
        <v>0</v>
      </c>
      <c r="AK287" s="1">
        <v>1.4536</v>
      </c>
      <c r="AL287" s="1">
        <v>1.4536</v>
      </c>
      <c r="AM287" s="1">
        <v>1.4536</v>
      </c>
    </row>
    <row r="288" spans="1:39" x14ac:dyDescent="0.3">
      <c r="A288" s="21" t="str">
        <f t="shared" si="4"/>
        <v>HFA605LLHA2026-01-14</v>
      </c>
      <c r="B288" t="str">
        <f>VLOOKUP(A288,Sheet1!A288:B1630,1,FALSE)</f>
        <v>HFA605LLHA2026-01-14</v>
      </c>
      <c r="C288" s="3">
        <v>46036</v>
      </c>
      <c r="D288" s="1" t="s">
        <v>62</v>
      </c>
      <c r="E288" s="1" t="s">
        <v>38</v>
      </c>
      <c r="F288" s="1" t="s">
        <v>54</v>
      </c>
      <c r="G288" s="1" t="s">
        <v>39</v>
      </c>
      <c r="H288" s="1" t="s">
        <v>134</v>
      </c>
      <c r="I288" s="1" t="s">
        <v>41</v>
      </c>
      <c r="J288" s="1" t="s">
        <v>42</v>
      </c>
      <c r="K288" s="1" t="s">
        <v>43</v>
      </c>
      <c r="L288" s="1" t="s">
        <v>44</v>
      </c>
      <c r="M288" s="1" t="s">
        <v>45</v>
      </c>
      <c r="N288" s="1" t="s">
        <v>41</v>
      </c>
      <c r="O288" s="1" t="s">
        <v>58</v>
      </c>
      <c r="P288" s="1" t="s">
        <v>59</v>
      </c>
      <c r="Q288" s="1" t="s">
        <v>60</v>
      </c>
      <c r="R288" s="1" t="s">
        <v>45</v>
      </c>
      <c r="S288" s="1">
        <v>342</v>
      </c>
      <c r="T288" s="1">
        <v>0</v>
      </c>
      <c r="U288" s="4">
        <v>4.027777777777778E-2</v>
      </c>
      <c r="V288" s="1">
        <v>1940</v>
      </c>
      <c r="W288" s="1">
        <v>0</v>
      </c>
      <c r="X288" s="1">
        <v>1940</v>
      </c>
      <c r="Y288" s="1" t="s">
        <v>51</v>
      </c>
      <c r="Z288" s="1">
        <v>1260</v>
      </c>
      <c r="AA288" s="1">
        <v>680</v>
      </c>
      <c r="AB288" s="1">
        <v>0</v>
      </c>
      <c r="AC288" s="1">
        <v>0</v>
      </c>
      <c r="AD288" s="1">
        <v>0</v>
      </c>
      <c r="AE288" s="1">
        <v>0</v>
      </c>
      <c r="AF288" s="1"/>
      <c r="AG288" s="1">
        <v>0</v>
      </c>
      <c r="AH288" s="1">
        <v>0</v>
      </c>
      <c r="AI288" s="1">
        <v>0</v>
      </c>
      <c r="AJ288" s="1">
        <v>0</v>
      </c>
      <c r="AK288" s="1">
        <v>2.1488</v>
      </c>
      <c r="AL288" s="1">
        <v>2.1488</v>
      </c>
      <c r="AM288" s="1">
        <v>2.1488</v>
      </c>
    </row>
    <row r="289" spans="1:39" x14ac:dyDescent="0.3">
      <c r="A289" s="21" t="str">
        <f t="shared" si="4"/>
        <v>HFA606LLER2026-01-14</v>
      </c>
      <c r="B289" t="str">
        <f>VLOOKUP(A289,Sheet1!A289:B1631,1,FALSE)</f>
        <v>HFA606LLER2026-01-14</v>
      </c>
      <c r="C289" s="3">
        <v>46036</v>
      </c>
      <c r="D289" s="1" t="s">
        <v>63</v>
      </c>
      <c r="E289" s="1" t="s">
        <v>38</v>
      </c>
      <c r="F289" s="1" t="s">
        <v>54</v>
      </c>
      <c r="G289" s="1" t="s">
        <v>39</v>
      </c>
      <c r="H289" s="1" t="s">
        <v>134</v>
      </c>
      <c r="I289" s="1" t="s">
        <v>41</v>
      </c>
      <c r="J289" s="1" t="s">
        <v>58</v>
      </c>
      <c r="K289" s="1" t="s">
        <v>59</v>
      </c>
      <c r="L289" s="1" t="s">
        <v>60</v>
      </c>
      <c r="M289" s="1" t="s">
        <v>45</v>
      </c>
      <c r="N289" s="1" t="s">
        <v>41</v>
      </c>
      <c r="O289" s="1" t="s">
        <v>42</v>
      </c>
      <c r="P289" s="1" t="s">
        <v>43</v>
      </c>
      <c r="Q289" s="1" t="s">
        <v>44</v>
      </c>
      <c r="R289" s="1" t="s">
        <v>45</v>
      </c>
      <c r="S289" s="1">
        <v>342</v>
      </c>
      <c r="T289" s="1">
        <v>0</v>
      </c>
      <c r="U289" s="4">
        <v>4.7222222222222221E-2</v>
      </c>
      <c r="V289" s="1">
        <v>1260</v>
      </c>
      <c r="W289" s="1">
        <v>1040</v>
      </c>
      <c r="X289" s="1">
        <v>2300</v>
      </c>
      <c r="Y289" s="1" t="s">
        <v>51</v>
      </c>
      <c r="Z289" s="1">
        <v>1530</v>
      </c>
      <c r="AA289" s="1">
        <v>770</v>
      </c>
      <c r="AB289" s="1">
        <v>0</v>
      </c>
      <c r="AC289" s="1">
        <v>0</v>
      </c>
      <c r="AD289" s="1">
        <v>0</v>
      </c>
      <c r="AE289" s="1">
        <v>0</v>
      </c>
      <c r="AF289" s="1"/>
      <c r="AG289" s="1">
        <v>0</v>
      </c>
      <c r="AH289" s="1">
        <v>0</v>
      </c>
      <c r="AI289" s="1">
        <v>0</v>
      </c>
      <c r="AJ289" s="1">
        <v>0</v>
      </c>
      <c r="AK289" s="1">
        <v>2.4331999999999998</v>
      </c>
      <c r="AL289" s="1">
        <v>2.4331999999999998</v>
      </c>
      <c r="AM289" s="1">
        <v>2.4331999999999998</v>
      </c>
    </row>
    <row r="290" spans="1:39" x14ac:dyDescent="0.3">
      <c r="A290" s="21" t="str">
        <f t="shared" si="4"/>
        <v>HFA807LLHA2026-01-14</v>
      </c>
      <c r="B290" t="str">
        <f>VLOOKUP(A290,Sheet1!A290:B1632,1,FALSE)</f>
        <v>HFA807LLHA2026-01-14</v>
      </c>
      <c r="C290" s="3">
        <v>46036</v>
      </c>
      <c r="D290" s="1" t="s">
        <v>118</v>
      </c>
      <c r="E290" s="1" t="s">
        <v>38</v>
      </c>
      <c r="F290" s="1"/>
      <c r="G290" s="1" t="s">
        <v>39</v>
      </c>
      <c r="H290" s="1" t="s">
        <v>134</v>
      </c>
      <c r="I290" s="1" t="s">
        <v>41</v>
      </c>
      <c r="J290" s="1" t="s">
        <v>42</v>
      </c>
      <c r="K290" s="1" t="s">
        <v>43</v>
      </c>
      <c r="L290" s="1" t="s">
        <v>44</v>
      </c>
      <c r="M290" s="1" t="s">
        <v>45</v>
      </c>
      <c r="N290" s="1" t="s">
        <v>67</v>
      </c>
      <c r="O290" s="1" t="s">
        <v>86</v>
      </c>
      <c r="P290" s="1" t="s">
        <v>87</v>
      </c>
      <c r="Q290" s="1" t="s">
        <v>88</v>
      </c>
      <c r="R290" s="1" t="s">
        <v>50</v>
      </c>
      <c r="S290" s="1">
        <v>264</v>
      </c>
      <c r="T290" s="1">
        <v>0</v>
      </c>
      <c r="U290" s="4">
        <v>4.1666666666666664E-2</v>
      </c>
      <c r="V290" s="1">
        <v>1530</v>
      </c>
      <c r="W290" s="1">
        <v>0</v>
      </c>
      <c r="X290" s="1">
        <v>1530</v>
      </c>
      <c r="Y290" s="1" t="s">
        <v>51</v>
      </c>
      <c r="Z290" s="1">
        <v>890</v>
      </c>
      <c r="AA290" s="1">
        <v>640</v>
      </c>
      <c r="AB290" s="1">
        <v>0</v>
      </c>
      <c r="AC290" s="1">
        <v>0</v>
      </c>
      <c r="AD290" s="1">
        <v>0</v>
      </c>
      <c r="AE290" s="1">
        <v>0</v>
      </c>
      <c r="AF290" s="1"/>
      <c r="AG290" s="1">
        <v>0</v>
      </c>
      <c r="AH290" s="1">
        <v>0</v>
      </c>
      <c r="AI290" s="1">
        <v>0</v>
      </c>
      <c r="AJ290" s="1">
        <v>0</v>
      </c>
      <c r="AK290" s="1">
        <v>2.0224000000000002</v>
      </c>
      <c r="AL290" s="1">
        <v>2.0224000000000002</v>
      </c>
      <c r="AM290" s="1">
        <v>2.0224000000000002</v>
      </c>
    </row>
    <row r="291" spans="1:39" x14ac:dyDescent="0.3">
      <c r="A291" s="21" t="str">
        <f t="shared" si="4"/>
        <v>HFA808LCLK2026-01-14</v>
      </c>
      <c r="B291" t="str">
        <f>VLOOKUP(A291,Sheet1!A291:B1633,1,FALSE)</f>
        <v>HFA808LCLK2026-01-14</v>
      </c>
      <c r="C291" s="3">
        <v>46036</v>
      </c>
      <c r="D291" s="1" t="s">
        <v>119</v>
      </c>
      <c r="E291" s="1" t="s">
        <v>38</v>
      </c>
      <c r="F291" s="1"/>
      <c r="G291" s="1" t="s">
        <v>39</v>
      </c>
      <c r="H291" s="1" t="s">
        <v>134</v>
      </c>
      <c r="I291" s="1" t="s">
        <v>67</v>
      </c>
      <c r="J291" s="1" t="s">
        <v>86</v>
      </c>
      <c r="K291" s="1" t="s">
        <v>87</v>
      </c>
      <c r="L291" s="1" t="s">
        <v>88</v>
      </c>
      <c r="M291" s="1" t="s">
        <v>50</v>
      </c>
      <c r="N291" s="1" t="s">
        <v>41</v>
      </c>
      <c r="O291" s="1" t="s">
        <v>42</v>
      </c>
      <c r="P291" s="1" t="s">
        <v>43</v>
      </c>
      <c r="Q291" s="1" t="s">
        <v>44</v>
      </c>
      <c r="R291" s="1" t="s">
        <v>45</v>
      </c>
      <c r="S291" s="1">
        <v>264</v>
      </c>
      <c r="T291" s="1">
        <v>0</v>
      </c>
      <c r="U291" s="4">
        <v>3.6805555555555557E-2</v>
      </c>
      <c r="V291" s="1">
        <v>890</v>
      </c>
      <c r="W291" s="1">
        <v>1210</v>
      </c>
      <c r="X291" s="1">
        <v>2100</v>
      </c>
      <c r="Y291" s="1" t="s">
        <v>51</v>
      </c>
      <c r="Z291" s="1">
        <v>1610</v>
      </c>
      <c r="AA291" s="1">
        <v>490</v>
      </c>
      <c r="AB291" s="1">
        <v>0</v>
      </c>
      <c r="AC291" s="1">
        <v>0</v>
      </c>
      <c r="AD291" s="1">
        <v>0</v>
      </c>
      <c r="AE291" s="1">
        <v>0</v>
      </c>
      <c r="AF291" s="1"/>
      <c r="AG291" s="1">
        <v>0</v>
      </c>
      <c r="AH291" s="1">
        <v>0</v>
      </c>
      <c r="AI291" s="1">
        <v>0</v>
      </c>
      <c r="AJ291" s="1">
        <v>0</v>
      </c>
      <c r="AK291" s="1">
        <v>1.5484</v>
      </c>
      <c r="AL291" s="1">
        <v>1.5484</v>
      </c>
      <c r="AM291" s="1">
        <v>1.5484</v>
      </c>
    </row>
    <row r="292" spans="1:39" x14ac:dyDescent="0.3">
      <c r="A292" s="21" t="str">
        <f t="shared" si="4"/>
        <v>HFA801LLHA2026-01-15</v>
      </c>
      <c r="B292" t="str">
        <f>VLOOKUP(A292,Sheet1!A292:B1634,1,FALSE)</f>
        <v>HFA801LLHA2026-01-15</v>
      </c>
      <c r="C292" s="3">
        <v>46037</v>
      </c>
      <c r="D292" s="1" t="s">
        <v>133</v>
      </c>
      <c r="E292" s="1" t="s">
        <v>38</v>
      </c>
      <c r="F292" s="1"/>
      <c r="G292" s="1" t="s">
        <v>39</v>
      </c>
      <c r="H292" s="1" t="s">
        <v>134</v>
      </c>
      <c r="I292" s="1" t="s">
        <v>41</v>
      </c>
      <c r="J292" s="1" t="s">
        <v>42</v>
      </c>
      <c r="K292" s="1" t="s">
        <v>43</v>
      </c>
      <c r="L292" s="1" t="s">
        <v>44</v>
      </c>
      <c r="M292" s="1" t="s">
        <v>45</v>
      </c>
      <c r="N292" s="1" t="s">
        <v>67</v>
      </c>
      <c r="O292" s="1" t="s">
        <v>86</v>
      </c>
      <c r="P292" s="1" t="s">
        <v>87</v>
      </c>
      <c r="Q292" s="1" t="s">
        <v>88</v>
      </c>
      <c r="R292" s="1" t="s">
        <v>50</v>
      </c>
      <c r="S292" s="1">
        <v>264</v>
      </c>
      <c r="T292" s="1">
        <v>0</v>
      </c>
      <c r="U292" s="4">
        <v>3.888888888888889E-2</v>
      </c>
      <c r="V292" s="1">
        <v>1610</v>
      </c>
      <c r="W292" s="1">
        <v>-40</v>
      </c>
      <c r="X292" s="1">
        <v>1570</v>
      </c>
      <c r="Y292" s="1" t="s">
        <v>51</v>
      </c>
      <c r="Z292" s="1">
        <v>970</v>
      </c>
      <c r="AA292" s="1">
        <v>600</v>
      </c>
      <c r="AB292" s="1">
        <v>0</v>
      </c>
      <c r="AC292" s="1">
        <v>0</v>
      </c>
      <c r="AD292" s="1">
        <v>0</v>
      </c>
      <c r="AE292" s="1">
        <v>0</v>
      </c>
      <c r="AF292" s="1"/>
      <c r="AG292" s="1">
        <v>0</v>
      </c>
      <c r="AH292" s="1">
        <v>0</v>
      </c>
      <c r="AI292" s="1">
        <v>0</v>
      </c>
      <c r="AJ292" s="1">
        <v>0</v>
      </c>
      <c r="AK292" s="1">
        <v>1.8959999999999999</v>
      </c>
      <c r="AL292" s="1">
        <v>1.8959999999999999</v>
      </c>
      <c r="AM292" s="1">
        <v>1.8959999999999999</v>
      </c>
    </row>
    <row r="293" spans="1:39" x14ac:dyDescent="0.3">
      <c r="A293" s="21" t="str">
        <f t="shared" si="4"/>
        <v>HFA802LCLK2026-01-15</v>
      </c>
      <c r="B293" t="str">
        <f>VLOOKUP(A293,Sheet1!A293:B1635,1,FALSE)</f>
        <v>HFA802LCLK2026-01-15</v>
      </c>
      <c r="C293" s="3">
        <v>46037</v>
      </c>
      <c r="D293" s="1" t="s">
        <v>135</v>
      </c>
      <c r="E293" s="1" t="s">
        <v>38</v>
      </c>
      <c r="F293" s="1"/>
      <c r="G293" s="1" t="s">
        <v>39</v>
      </c>
      <c r="H293" s="1" t="s">
        <v>134</v>
      </c>
      <c r="I293" s="1" t="s">
        <v>67</v>
      </c>
      <c r="J293" s="1" t="s">
        <v>86</v>
      </c>
      <c r="K293" s="1" t="s">
        <v>87</v>
      </c>
      <c r="L293" s="1" t="s">
        <v>88</v>
      </c>
      <c r="M293" s="1" t="s">
        <v>50</v>
      </c>
      <c r="N293" s="1" t="s">
        <v>41</v>
      </c>
      <c r="O293" s="1" t="s">
        <v>42</v>
      </c>
      <c r="P293" s="1" t="s">
        <v>43</v>
      </c>
      <c r="Q293" s="1" t="s">
        <v>44</v>
      </c>
      <c r="R293" s="1" t="s">
        <v>45</v>
      </c>
      <c r="S293" s="1">
        <v>264</v>
      </c>
      <c r="T293" s="1">
        <v>0</v>
      </c>
      <c r="U293" s="4">
        <v>3.7499999999999999E-2</v>
      </c>
      <c r="V293" s="1">
        <v>970</v>
      </c>
      <c r="W293" s="1">
        <v>1030</v>
      </c>
      <c r="X293" s="1">
        <v>2000</v>
      </c>
      <c r="Y293" s="1" t="s">
        <v>51</v>
      </c>
      <c r="Z293" s="1">
        <v>1500</v>
      </c>
      <c r="AA293" s="1">
        <v>500</v>
      </c>
      <c r="AB293" s="1">
        <v>0</v>
      </c>
      <c r="AC293" s="1">
        <v>0</v>
      </c>
      <c r="AD293" s="1">
        <v>0</v>
      </c>
      <c r="AE293" s="1">
        <v>0</v>
      </c>
      <c r="AF293" s="1"/>
      <c r="AG293" s="1">
        <v>0</v>
      </c>
      <c r="AH293" s="1">
        <v>0</v>
      </c>
      <c r="AI293" s="1">
        <v>0</v>
      </c>
      <c r="AJ293" s="1">
        <v>0</v>
      </c>
      <c r="AK293" s="1">
        <v>1.58</v>
      </c>
      <c r="AL293" s="1">
        <v>1.58</v>
      </c>
      <c r="AM293" s="1">
        <v>1.58</v>
      </c>
    </row>
    <row r="294" spans="1:39" x14ac:dyDescent="0.3">
      <c r="A294" s="21" t="str">
        <f t="shared" si="4"/>
        <v>HFA803LLHA2026-01-15</v>
      </c>
      <c r="B294" t="str">
        <f>VLOOKUP(A294,Sheet1!A294:B1636,1,FALSE)</f>
        <v>HFA803LLHA2026-01-15</v>
      </c>
      <c r="C294" s="3">
        <v>46037</v>
      </c>
      <c r="D294" s="1" t="s">
        <v>116</v>
      </c>
      <c r="E294" s="1" t="s">
        <v>38</v>
      </c>
      <c r="F294" s="1"/>
      <c r="G294" s="1" t="s">
        <v>39</v>
      </c>
      <c r="H294" s="1" t="s">
        <v>134</v>
      </c>
      <c r="I294" s="1" t="s">
        <v>41</v>
      </c>
      <c r="J294" s="1" t="s">
        <v>42</v>
      </c>
      <c r="K294" s="1" t="s">
        <v>43</v>
      </c>
      <c r="L294" s="1" t="s">
        <v>44</v>
      </c>
      <c r="M294" s="1" t="s">
        <v>45</v>
      </c>
      <c r="N294" s="1" t="s">
        <v>67</v>
      </c>
      <c r="O294" s="1" t="s">
        <v>86</v>
      </c>
      <c r="P294" s="1" t="s">
        <v>87</v>
      </c>
      <c r="Q294" s="1" t="s">
        <v>88</v>
      </c>
      <c r="R294" s="1" t="s">
        <v>50</v>
      </c>
      <c r="S294" s="1">
        <v>264</v>
      </c>
      <c r="T294" s="1">
        <v>0</v>
      </c>
      <c r="U294" s="4">
        <v>3.888888888888889E-2</v>
      </c>
      <c r="V294" s="1">
        <v>1500</v>
      </c>
      <c r="W294" s="1">
        <v>0</v>
      </c>
      <c r="X294" s="1">
        <v>1500</v>
      </c>
      <c r="Y294" s="1" t="s">
        <v>51</v>
      </c>
      <c r="Z294" s="1">
        <v>990</v>
      </c>
      <c r="AA294" s="1">
        <v>510</v>
      </c>
      <c r="AB294" s="1">
        <v>0</v>
      </c>
      <c r="AC294" s="1">
        <v>0</v>
      </c>
      <c r="AD294" s="1">
        <v>0</v>
      </c>
      <c r="AE294" s="1">
        <v>0</v>
      </c>
      <c r="AF294" s="1"/>
      <c r="AG294" s="1">
        <v>0</v>
      </c>
      <c r="AH294" s="1">
        <v>0</v>
      </c>
      <c r="AI294" s="1">
        <v>0</v>
      </c>
      <c r="AJ294" s="1">
        <v>0</v>
      </c>
      <c r="AK294" s="1">
        <v>1.6115999999999999</v>
      </c>
      <c r="AL294" s="1">
        <v>1.6115999999999999</v>
      </c>
      <c r="AM294" s="1">
        <v>1.6115999999999999</v>
      </c>
    </row>
    <row r="295" spans="1:39" x14ac:dyDescent="0.3">
      <c r="A295" s="21" t="str">
        <f t="shared" si="4"/>
        <v>HFA804LCLK2026-01-15</v>
      </c>
      <c r="B295" t="str">
        <f>VLOOKUP(A295,Sheet1!A295:B1637,1,FALSE)</f>
        <v>HFA804LCLK2026-01-15</v>
      </c>
      <c r="C295" s="3">
        <v>46037</v>
      </c>
      <c r="D295" s="1" t="s">
        <v>117</v>
      </c>
      <c r="E295" s="1" t="s">
        <v>38</v>
      </c>
      <c r="F295" s="1"/>
      <c r="G295" s="1" t="s">
        <v>39</v>
      </c>
      <c r="H295" s="1" t="s">
        <v>134</v>
      </c>
      <c r="I295" s="1" t="s">
        <v>67</v>
      </c>
      <c r="J295" s="1" t="s">
        <v>86</v>
      </c>
      <c r="K295" s="1" t="s">
        <v>87</v>
      </c>
      <c r="L295" s="1" t="s">
        <v>88</v>
      </c>
      <c r="M295" s="1" t="s">
        <v>50</v>
      </c>
      <c r="N295" s="1" t="s">
        <v>41</v>
      </c>
      <c r="O295" s="1" t="s">
        <v>42</v>
      </c>
      <c r="P295" s="1" t="s">
        <v>43</v>
      </c>
      <c r="Q295" s="1" t="s">
        <v>44</v>
      </c>
      <c r="R295" s="1" t="s">
        <v>45</v>
      </c>
      <c r="S295" s="1">
        <v>264</v>
      </c>
      <c r="T295" s="1">
        <v>0</v>
      </c>
      <c r="U295" s="4">
        <v>3.5416666666666666E-2</v>
      </c>
      <c r="V295" s="1">
        <v>990</v>
      </c>
      <c r="W295" s="1">
        <v>1310</v>
      </c>
      <c r="X295" s="1">
        <v>2300</v>
      </c>
      <c r="Y295" s="1" t="s">
        <v>51</v>
      </c>
      <c r="Z295" s="1">
        <v>1860</v>
      </c>
      <c r="AA295" s="1">
        <v>440</v>
      </c>
      <c r="AB295" s="1">
        <v>0</v>
      </c>
      <c r="AC295" s="1">
        <v>0</v>
      </c>
      <c r="AD295" s="1">
        <v>0</v>
      </c>
      <c r="AE295" s="1">
        <v>0</v>
      </c>
      <c r="AF295" s="1"/>
      <c r="AG295" s="1">
        <v>0</v>
      </c>
      <c r="AH295" s="1">
        <v>0</v>
      </c>
      <c r="AI295" s="1">
        <v>0</v>
      </c>
      <c r="AJ295" s="1">
        <v>0</v>
      </c>
      <c r="AK295" s="1">
        <v>1.3904000000000001</v>
      </c>
      <c r="AL295" s="1">
        <v>1.3904000000000001</v>
      </c>
      <c r="AM295" s="1">
        <v>1.3904000000000001</v>
      </c>
    </row>
    <row r="296" spans="1:39" x14ac:dyDescent="0.3">
      <c r="A296" s="21" t="str">
        <f t="shared" si="4"/>
        <v>HFA605LLHA2026-01-15</v>
      </c>
      <c r="B296" t="str">
        <f>VLOOKUP(A296,Sheet1!A296:B1638,1,FALSE)</f>
        <v>HFA605LLHA2026-01-15</v>
      </c>
      <c r="C296" s="3">
        <v>46037</v>
      </c>
      <c r="D296" s="1" t="s">
        <v>62</v>
      </c>
      <c r="E296" s="1" t="s">
        <v>38</v>
      </c>
      <c r="F296" s="1" t="s">
        <v>54</v>
      </c>
      <c r="G296" s="1" t="s">
        <v>39</v>
      </c>
      <c r="H296" s="1" t="s">
        <v>134</v>
      </c>
      <c r="I296" s="1" t="s">
        <v>41</v>
      </c>
      <c r="J296" s="1" t="s">
        <v>42</v>
      </c>
      <c r="K296" s="1" t="s">
        <v>43</v>
      </c>
      <c r="L296" s="1" t="s">
        <v>44</v>
      </c>
      <c r="M296" s="1" t="s">
        <v>45</v>
      </c>
      <c r="N296" s="1" t="s">
        <v>41</v>
      </c>
      <c r="O296" s="1" t="s">
        <v>58</v>
      </c>
      <c r="P296" s="1" t="s">
        <v>59</v>
      </c>
      <c r="Q296" s="1" t="s">
        <v>60</v>
      </c>
      <c r="R296" s="1" t="s">
        <v>45</v>
      </c>
      <c r="S296" s="1">
        <v>342</v>
      </c>
      <c r="T296" s="1">
        <v>0</v>
      </c>
      <c r="U296" s="4">
        <v>4.1666666666666664E-2</v>
      </c>
      <c r="V296" s="1">
        <v>1860</v>
      </c>
      <c r="W296" s="1">
        <v>-20</v>
      </c>
      <c r="X296" s="1">
        <v>1840</v>
      </c>
      <c r="Y296" s="1" t="s">
        <v>51</v>
      </c>
      <c r="Z296" s="1">
        <v>1120</v>
      </c>
      <c r="AA296" s="1">
        <v>720</v>
      </c>
      <c r="AB296" s="1">
        <v>0</v>
      </c>
      <c r="AC296" s="1">
        <v>0</v>
      </c>
      <c r="AD296" s="1">
        <v>0</v>
      </c>
      <c r="AE296" s="1">
        <v>0</v>
      </c>
      <c r="AF296" s="1"/>
      <c r="AG296" s="1">
        <v>0</v>
      </c>
      <c r="AH296" s="1">
        <v>0</v>
      </c>
      <c r="AI296" s="1">
        <v>0</v>
      </c>
      <c r="AJ296" s="1">
        <v>0</v>
      </c>
      <c r="AK296" s="1">
        <v>2.2751999999999999</v>
      </c>
      <c r="AL296" s="1">
        <v>2.2751999999999999</v>
      </c>
      <c r="AM296" s="1">
        <v>2.2751999999999999</v>
      </c>
    </row>
    <row r="297" spans="1:39" x14ac:dyDescent="0.3">
      <c r="A297" s="21" t="str">
        <f t="shared" si="4"/>
        <v>HFA606LLER2026-01-15</v>
      </c>
      <c r="B297" t="str">
        <f>VLOOKUP(A297,Sheet1!A297:B1639,1,FALSE)</f>
        <v>HFA606LLER2026-01-15</v>
      </c>
      <c r="C297" s="3">
        <v>46037</v>
      </c>
      <c r="D297" s="1" t="s">
        <v>63</v>
      </c>
      <c r="E297" s="1" t="s">
        <v>38</v>
      </c>
      <c r="F297" s="1" t="s">
        <v>54</v>
      </c>
      <c r="G297" s="1" t="s">
        <v>39</v>
      </c>
      <c r="H297" s="1" t="s">
        <v>134</v>
      </c>
      <c r="I297" s="1" t="s">
        <v>41</v>
      </c>
      <c r="J297" s="1" t="s">
        <v>58</v>
      </c>
      <c r="K297" s="1" t="s">
        <v>59</v>
      </c>
      <c r="L297" s="1" t="s">
        <v>60</v>
      </c>
      <c r="M297" s="1" t="s">
        <v>45</v>
      </c>
      <c r="N297" s="1" t="s">
        <v>41</v>
      </c>
      <c r="O297" s="1" t="s">
        <v>42</v>
      </c>
      <c r="P297" s="1" t="s">
        <v>43</v>
      </c>
      <c r="Q297" s="1" t="s">
        <v>44</v>
      </c>
      <c r="R297" s="1" t="s">
        <v>45</v>
      </c>
      <c r="S297" s="1">
        <v>342</v>
      </c>
      <c r="T297" s="1">
        <v>0</v>
      </c>
      <c r="U297" s="4">
        <v>4.3749999999999997E-2</v>
      </c>
      <c r="V297" s="1">
        <v>1120</v>
      </c>
      <c r="W297" s="1">
        <v>1080</v>
      </c>
      <c r="X297" s="1">
        <v>2200</v>
      </c>
      <c r="Y297" s="1" t="s">
        <v>51</v>
      </c>
      <c r="Z297" s="1">
        <v>1460</v>
      </c>
      <c r="AA297" s="1">
        <v>740</v>
      </c>
      <c r="AB297" s="1">
        <v>0</v>
      </c>
      <c r="AC297" s="1">
        <v>0</v>
      </c>
      <c r="AD297" s="1">
        <v>0</v>
      </c>
      <c r="AE297" s="1">
        <v>0</v>
      </c>
      <c r="AF297" s="1"/>
      <c r="AG297" s="1">
        <v>0</v>
      </c>
      <c r="AH297" s="1">
        <v>0</v>
      </c>
      <c r="AI297" s="1">
        <v>0</v>
      </c>
      <c r="AJ297" s="1">
        <v>0</v>
      </c>
      <c r="AK297" s="1">
        <v>2.3384</v>
      </c>
      <c r="AL297" s="1">
        <v>2.3384</v>
      </c>
      <c r="AM297" s="1">
        <v>2.3384</v>
      </c>
    </row>
    <row r="298" spans="1:39" x14ac:dyDescent="0.3">
      <c r="A298" s="21" t="str">
        <f t="shared" si="4"/>
        <v>HFA801LLHA2026-01-16</v>
      </c>
      <c r="B298" t="str">
        <f>VLOOKUP(A298,Sheet1!A298:B1640,1,FALSE)</f>
        <v>HFA801LLHA2026-01-16</v>
      </c>
      <c r="C298" s="3">
        <v>46038</v>
      </c>
      <c r="D298" s="1" t="s">
        <v>133</v>
      </c>
      <c r="E298" s="1" t="s">
        <v>38</v>
      </c>
      <c r="F298" s="1"/>
      <c r="G298" s="1" t="s">
        <v>39</v>
      </c>
      <c r="H298" s="1" t="s">
        <v>134</v>
      </c>
      <c r="I298" s="1" t="s">
        <v>41</v>
      </c>
      <c r="J298" s="1" t="s">
        <v>42</v>
      </c>
      <c r="K298" s="1" t="s">
        <v>43</v>
      </c>
      <c r="L298" s="1" t="s">
        <v>44</v>
      </c>
      <c r="M298" s="1" t="s">
        <v>45</v>
      </c>
      <c r="N298" s="1" t="s">
        <v>67</v>
      </c>
      <c r="O298" s="1" t="s">
        <v>86</v>
      </c>
      <c r="P298" s="1" t="s">
        <v>87</v>
      </c>
      <c r="Q298" s="1" t="s">
        <v>88</v>
      </c>
      <c r="R298" s="1" t="s">
        <v>50</v>
      </c>
      <c r="S298" s="1">
        <v>264</v>
      </c>
      <c r="T298" s="1">
        <v>0</v>
      </c>
      <c r="U298" s="4">
        <v>3.7499999999999999E-2</v>
      </c>
      <c r="V298" s="1">
        <v>1460</v>
      </c>
      <c r="W298" s="1">
        <v>130</v>
      </c>
      <c r="X298" s="1">
        <v>1590</v>
      </c>
      <c r="Y298" s="1" t="s">
        <v>51</v>
      </c>
      <c r="Z298" s="1">
        <v>1030</v>
      </c>
      <c r="AA298" s="1">
        <v>560</v>
      </c>
      <c r="AB298" s="1">
        <v>0</v>
      </c>
      <c r="AC298" s="1">
        <v>0</v>
      </c>
      <c r="AD298" s="1">
        <v>0</v>
      </c>
      <c r="AE298" s="1">
        <v>0</v>
      </c>
      <c r="AF298" s="1"/>
      <c r="AG298" s="1">
        <v>0</v>
      </c>
      <c r="AH298" s="1">
        <v>0</v>
      </c>
      <c r="AI298" s="1">
        <v>0</v>
      </c>
      <c r="AJ298" s="1">
        <v>0</v>
      </c>
      <c r="AK298" s="1">
        <v>1.7696000000000001</v>
      </c>
      <c r="AL298" s="1">
        <v>1.7696000000000001</v>
      </c>
      <c r="AM298" s="1">
        <v>1.7696000000000001</v>
      </c>
    </row>
    <row r="299" spans="1:39" x14ac:dyDescent="0.3">
      <c r="A299" s="21" t="str">
        <f t="shared" si="4"/>
        <v>HFA802LCLK2026-01-16</v>
      </c>
      <c r="B299" t="str">
        <f>VLOOKUP(A299,Sheet1!A299:B1641,1,FALSE)</f>
        <v>HFA802LCLK2026-01-16</v>
      </c>
      <c r="C299" s="3">
        <v>46038</v>
      </c>
      <c r="D299" s="1" t="s">
        <v>135</v>
      </c>
      <c r="E299" s="1" t="s">
        <v>38</v>
      </c>
      <c r="F299" s="1"/>
      <c r="G299" s="1" t="s">
        <v>39</v>
      </c>
      <c r="H299" s="1" t="s">
        <v>134</v>
      </c>
      <c r="I299" s="1" t="s">
        <v>67</v>
      </c>
      <c r="J299" s="1" t="s">
        <v>86</v>
      </c>
      <c r="K299" s="1" t="s">
        <v>87</v>
      </c>
      <c r="L299" s="1" t="s">
        <v>88</v>
      </c>
      <c r="M299" s="1" t="s">
        <v>50</v>
      </c>
      <c r="N299" s="1" t="s">
        <v>41</v>
      </c>
      <c r="O299" s="1" t="s">
        <v>42</v>
      </c>
      <c r="P299" s="1" t="s">
        <v>43</v>
      </c>
      <c r="Q299" s="1" t="s">
        <v>44</v>
      </c>
      <c r="R299" s="1" t="s">
        <v>45</v>
      </c>
      <c r="S299" s="1">
        <v>264</v>
      </c>
      <c r="T299" s="1">
        <v>0</v>
      </c>
      <c r="U299" s="4">
        <v>3.4027777777777775E-2</v>
      </c>
      <c r="V299" s="1">
        <v>1030</v>
      </c>
      <c r="W299" s="1">
        <v>1070</v>
      </c>
      <c r="X299" s="1">
        <v>2100</v>
      </c>
      <c r="Y299" s="1" t="s">
        <v>51</v>
      </c>
      <c r="Z299" s="1">
        <v>1620</v>
      </c>
      <c r="AA299" s="1">
        <v>480</v>
      </c>
      <c r="AB299" s="1">
        <v>0</v>
      </c>
      <c r="AC299" s="1">
        <v>0</v>
      </c>
      <c r="AD299" s="1">
        <v>0</v>
      </c>
      <c r="AE299" s="1">
        <v>0</v>
      </c>
      <c r="AF299" s="1"/>
      <c r="AG299" s="1">
        <v>0</v>
      </c>
      <c r="AH299" s="1">
        <v>0</v>
      </c>
      <c r="AI299" s="1">
        <v>0</v>
      </c>
      <c r="AJ299" s="1">
        <v>0</v>
      </c>
      <c r="AK299" s="1">
        <v>1.5167999999999999</v>
      </c>
      <c r="AL299" s="1">
        <v>1.5167999999999999</v>
      </c>
      <c r="AM299" s="1">
        <v>1.5167999999999999</v>
      </c>
    </row>
    <row r="300" spans="1:39" x14ac:dyDescent="0.3">
      <c r="A300" s="21" t="str">
        <f t="shared" si="4"/>
        <v>HFA803LLHA2026-01-16</v>
      </c>
      <c r="B300" t="str">
        <f>VLOOKUP(A300,Sheet1!A300:B1642,1,FALSE)</f>
        <v>HFA803LLHA2026-01-16</v>
      </c>
      <c r="C300" s="3">
        <v>46038</v>
      </c>
      <c r="D300" s="1" t="s">
        <v>116</v>
      </c>
      <c r="E300" s="1" t="s">
        <v>38</v>
      </c>
      <c r="F300" s="1"/>
      <c r="G300" s="1" t="s">
        <v>39</v>
      </c>
      <c r="H300" s="1" t="s">
        <v>134</v>
      </c>
      <c r="I300" s="1" t="s">
        <v>41</v>
      </c>
      <c r="J300" s="1" t="s">
        <v>42</v>
      </c>
      <c r="K300" s="1" t="s">
        <v>43</v>
      </c>
      <c r="L300" s="1" t="s">
        <v>44</v>
      </c>
      <c r="M300" s="1" t="s">
        <v>45</v>
      </c>
      <c r="N300" s="1" t="s">
        <v>67</v>
      </c>
      <c r="O300" s="1" t="s">
        <v>86</v>
      </c>
      <c r="P300" s="1" t="s">
        <v>87</v>
      </c>
      <c r="Q300" s="1" t="s">
        <v>88</v>
      </c>
      <c r="R300" s="1" t="s">
        <v>50</v>
      </c>
      <c r="S300" s="1">
        <v>264</v>
      </c>
      <c r="T300" s="1">
        <v>0</v>
      </c>
      <c r="U300" s="4">
        <v>3.4722222222222224E-2</v>
      </c>
      <c r="V300" s="1">
        <v>1620</v>
      </c>
      <c r="W300" s="1">
        <v>-30</v>
      </c>
      <c r="X300" s="1">
        <v>1590</v>
      </c>
      <c r="Y300" s="1" t="s">
        <v>51</v>
      </c>
      <c r="Z300" s="1">
        <v>1030</v>
      </c>
      <c r="AA300" s="1">
        <v>560</v>
      </c>
      <c r="AB300" s="1">
        <v>0</v>
      </c>
      <c r="AC300" s="1">
        <v>0</v>
      </c>
      <c r="AD300" s="1">
        <v>0</v>
      </c>
      <c r="AE300" s="1">
        <v>0</v>
      </c>
      <c r="AF300" s="1"/>
      <c r="AG300" s="1">
        <v>0</v>
      </c>
      <c r="AH300" s="1">
        <v>0</v>
      </c>
      <c r="AI300" s="1">
        <v>0</v>
      </c>
      <c r="AJ300" s="1">
        <v>0</v>
      </c>
      <c r="AK300" s="1">
        <v>1.7696000000000001</v>
      </c>
      <c r="AL300" s="1">
        <v>1.7696000000000001</v>
      </c>
      <c r="AM300" s="1">
        <v>1.7696000000000001</v>
      </c>
    </row>
    <row r="301" spans="1:39" x14ac:dyDescent="0.3">
      <c r="A301" s="21" t="str">
        <f t="shared" si="4"/>
        <v>HFA804LCLK2026-01-16</v>
      </c>
      <c r="B301" t="str">
        <f>VLOOKUP(A301,Sheet1!A301:B1643,1,FALSE)</f>
        <v>HFA804LCLK2026-01-16</v>
      </c>
      <c r="C301" s="3">
        <v>46038</v>
      </c>
      <c r="D301" s="1" t="s">
        <v>117</v>
      </c>
      <c r="E301" s="1" t="s">
        <v>38</v>
      </c>
      <c r="F301" s="1"/>
      <c r="G301" s="1" t="s">
        <v>39</v>
      </c>
      <c r="H301" s="1" t="s">
        <v>134</v>
      </c>
      <c r="I301" s="1" t="s">
        <v>67</v>
      </c>
      <c r="J301" s="1" t="s">
        <v>86</v>
      </c>
      <c r="K301" s="1" t="s">
        <v>87</v>
      </c>
      <c r="L301" s="1" t="s">
        <v>88</v>
      </c>
      <c r="M301" s="1" t="s">
        <v>50</v>
      </c>
      <c r="N301" s="1" t="s">
        <v>41</v>
      </c>
      <c r="O301" s="1" t="s">
        <v>42</v>
      </c>
      <c r="P301" s="1" t="s">
        <v>43</v>
      </c>
      <c r="Q301" s="1" t="s">
        <v>44</v>
      </c>
      <c r="R301" s="1" t="s">
        <v>45</v>
      </c>
      <c r="S301" s="1">
        <v>264</v>
      </c>
      <c r="T301" s="1">
        <v>0</v>
      </c>
      <c r="U301" s="4">
        <v>3.5416666666666666E-2</v>
      </c>
      <c r="V301" s="1">
        <v>1030</v>
      </c>
      <c r="W301" s="1">
        <v>1070</v>
      </c>
      <c r="X301" s="1">
        <v>2100</v>
      </c>
      <c r="Y301" s="1" t="s">
        <v>51</v>
      </c>
      <c r="Z301" s="1">
        <v>1600</v>
      </c>
      <c r="AA301" s="1">
        <v>500</v>
      </c>
      <c r="AB301" s="1">
        <v>0</v>
      </c>
      <c r="AC301" s="1">
        <v>0</v>
      </c>
      <c r="AD301" s="1">
        <v>0</v>
      </c>
      <c r="AE301" s="1">
        <v>0</v>
      </c>
      <c r="AF301" s="1"/>
      <c r="AG301" s="1">
        <v>0</v>
      </c>
      <c r="AH301" s="1">
        <v>0</v>
      </c>
      <c r="AI301" s="1">
        <v>0</v>
      </c>
      <c r="AJ301" s="1">
        <v>0</v>
      </c>
      <c r="AK301" s="1">
        <v>1.58</v>
      </c>
      <c r="AL301" s="1">
        <v>1.58</v>
      </c>
      <c r="AM301" s="1">
        <v>1.58</v>
      </c>
    </row>
    <row r="302" spans="1:39" x14ac:dyDescent="0.3">
      <c r="A302" s="21" t="str">
        <f t="shared" si="4"/>
        <v>HFA805LLHA2026-01-17</v>
      </c>
      <c r="B302" t="str">
        <f>VLOOKUP(A302,Sheet1!A302:B1644,1,FALSE)</f>
        <v>HFA805LLHA2026-01-17</v>
      </c>
      <c r="C302" s="3">
        <v>46039</v>
      </c>
      <c r="D302" s="1" t="s">
        <v>114</v>
      </c>
      <c r="E302" s="1" t="s">
        <v>38</v>
      </c>
      <c r="F302" s="1"/>
      <c r="G302" s="1" t="s">
        <v>39</v>
      </c>
      <c r="H302" s="1" t="s">
        <v>134</v>
      </c>
      <c r="I302" s="1" t="s">
        <v>41</v>
      </c>
      <c r="J302" s="1" t="s">
        <v>42</v>
      </c>
      <c r="K302" s="1" t="s">
        <v>43</v>
      </c>
      <c r="L302" s="1" t="s">
        <v>44</v>
      </c>
      <c r="M302" s="1" t="s">
        <v>45</v>
      </c>
      <c r="N302" s="1" t="s">
        <v>67</v>
      </c>
      <c r="O302" s="1" t="s">
        <v>86</v>
      </c>
      <c r="P302" s="1" t="s">
        <v>87</v>
      </c>
      <c r="Q302" s="1" t="s">
        <v>88</v>
      </c>
      <c r="R302" s="1" t="s">
        <v>50</v>
      </c>
      <c r="S302" s="1">
        <v>264</v>
      </c>
      <c r="T302" s="1">
        <v>0</v>
      </c>
      <c r="U302" s="4">
        <v>3.888888888888889E-2</v>
      </c>
      <c r="V302" s="1">
        <v>1600</v>
      </c>
      <c r="W302" s="1">
        <v>-20</v>
      </c>
      <c r="X302" s="1">
        <v>1580</v>
      </c>
      <c r="Y302" s="1" t="s">
        <v>51</v>
      </c>
      <c r="Z302" s="1">
        <v>990</v>
      </c>
      <c r="AA302" s="1">
        <v>590</v>
      </c>
      <c r="AB302" s="1">
        <v>0</v>
      </c>
      <c r="AC302" s="1">
        <v>0</v>
      </c>
      <c r="AD302" s="1">
        <v>0</v>
      </c>
      <c r="AE302" s="1">
        <v>0</v>
      </c>
      <c r="AF302" s="1"/>
      <c r="AG302" s="1">
        <v>0</v>
      </c>
      <c r="AH302" s="1">
        <v>0</v>
      </c>
      <c r="AI302" s="1">
        <v>0</v>
      </c>
      <c r="AJ302" s="1">
        <v>0</v>
      </c>
      <c r="AK302" s="1">
        <v>1.8644000000000001</v>
      </c>
      <c r="AL302" s="1">
        <v>1.8644000000000001</v>
      </c>
      <c r="AM302" s="1">
        <v>1.8644000000000001</v>
      </c>
    </row>
    <row r="303" spans="1:39" x14ac:dyDescent="0.3">
      <c r="A303" s="21" t="str">
        <f t="shared" si="4"/>
        <v>HFA806LCLK2026-01-17</v>
      </c>
      <c r="B303" t="str">
        <f>VLOOKUP(A303,Sheet1!A303:B1645,1,FALSE)</f>
        <v>HFA806LCLK2026-01-17</v>
      </c>
      <c r="C303" s="3">
        <v>46039</v>
      </c>
      <c r="D303" s="1" t="s">
        <v>115</v>
      </c>
      <c r="E303" s="1" t="s">
        <v>38</v>
      </c>
      <c r="F303" s="1"/>
      <c r="G303" s="1" t="s">
        <v>39</v>
      </c>
      <c r="H303" s="1" t="s">
        <v>134</v>
      </c>
      <c r="I303" s="1" t="s">
        <v>67</v>
      </c>
      <c r="J303" s="1" t="s">
        <v>86</v>
      </c>
      <c r="K303" s="1" t="s">
        <v>87</v>
      </c>
      <c r="L303" s="1" t="s">
        <v>88</v>
      </c>
      <c r="M303" s="1" t="s">
        <v>50</v>
      </c>
      <c r="N303" s="1" t="s">
        <v>41</v>
      </c>
      <c r="O303" s="1" t="s">
        <v>42</v>
      </c>
      <c r="P303" s="1" t="s">
        <v>43</v>
      </c>
      <c r="Q303" s="1" t="s">
        <v>44</v>
      </c>
      <c r="R303" s="1" t="s">
        <v>45</v>
      </c>
      <c r="S303" s="1">
        <v>264</v>
      </c>
      <c r="T303" s="1">
        <v>0</v>
      </c>
      <c r="U303" s="4">
        <v>4.3749999999999997E-2</v>
      </c>
      <c r="V303" s="1">
        <v>990</v>
      </c>
      <c r="W303" s="1">
        <v>1110</v>
      </c>
      <c r="X303" s="1">
        <v>2100</v>
      </c>
      <c r="Y303" s="1" t="s">
        <v>51</v>
      </c>
      <c r="Z303" s="1">
        <v>1530</v>
      </c>
      <c r="AA303" s="1">
        <v>570</v>
      </c>
      <c r="AB303" s="1">
        <v>0</v>
      </c>
      <c r="AC303" s="1">
        <v>0</v>
      </c>
      <c r="AD303" s="1">
        <v>0</v>
      </c>
      <c r="AE303" s="1">
        <v>0</v>
      </c>
      <c r="AF303" s="1"/>
      <c r="AG303" s="1">
        <v>0</v>
      </c>
      <c r="AH303" s="1">
        <v>0</v>
      </c>
      <c r="AI303" s="1">
        <v>0</v>
      </c>
      <c r="AJ303" s="1">
        <v>0</v>
      </c>
      <c r="AK303" s="1">
        <v>1.8011999999999999</v>
      </c>
      <c r="AL303" s="1">
        <v>1.8011999999999999</v>
      </c>
      <c r="AM303" s="1">
        <v>1.8011999999999999</v>
      </c>
    </row>
    <row r="304" spans="1:39" x14ac:dyDescent="0.3">
      <c r="A304" s="21" t="str">
        <f t="shared" si="4"/>
        <v>HFA807LLHA2026-01-17</v>
      </c>
      <c r="B304" t="str">
        <f>VLOOKUP(A304,Sheet1!A304:B1646,1,FALSE)</f>
        <v>HFA807LLHA2026-01-17</v>
      </c>
      <c r="C304" s="3">
        <v>46039</v>
      </c>
      <c r="D304" s="1" t="s">
        <v>118</v>
      </c>
      <c r="E304" s="1" t="s">
        <v>38</v>
      </c>
      <c r="F304" s="1"/>
      <c r="G304" s="1" t="s">
        <v>39</v>
      </c>
      <c r="H304" s="1" t="s">
        <v>134</v>
      </c>
      <c r="I304" s="1" t="s">
        <v>41</v>
      </c>
      <c r="J304" s="1" t="s">
        <v>42</v>
      </c>
      <c r="K304" s="1" t="s">
        <v>43</v>
      </c>
      <c r="L304" s="1" t="s">
        <v>44</v>
      </c>
      <c r="M304" s="1" t="s">
        <v>45</v>
      </c>
      <c r="N304" s="1" t="s">
        <v>67</v>
      </c>
      <c r="O304" s="1" t="s">
        <v>86</v>
      </c>
      <c r="P304" s="1" t="s">
        <v>87</v>
      </c>
      <c r="Q304" s="1" t="s">
        <v>88</v>
      </c>
      <c r="R304" s="1" t="s">
        <v>50</v>
      </c>
      <c r="S304" s="1">
        <v>264</v>
      </c>
      <c r="T304" s="1">
        <v>0</v>
      </c>
      <c r="U304" s="4">
        <v>4.1666666666666664E-2</v>
      </c>
      <c r="V304" s="1">
        <v>1530</v>
      </c>
      <c r="W304" s="1">
        <v>0</v>
      </c>
      <c r="X304" s="1">
        <v>1530</v>
      </c>
      <c r="Y304" s="1" t="s">
        <v>51</v>
      </c>
      <c r="Z304" s="1">
        <v>890</v>
      </c>
      <c r="AA304" s="1">
        <v>640</v>
      </c>
      <c r="AB304" s="1">
        <v>0</v>
      </c>
      <c r="AC304" s="1">
        <v>0</v>
      </c>
      <c r="AD304" s="1">
        <v>0</v>
      </c>
      <c r="AE304" s="1">
        <v>0</v>
      </c>
      <c r="AF304" s="1"/>
      <c r="AG304" s="1">
        <v>0</v>
      </c>
      <c r="AH304" s="1">
        <v>0</v>
      </c>
      <c r="AI304" s="1">
        <v>0</v>
      </c>
      <c r="AJ304" s="1">
        <v>0</v>
      </c>
      <c r="AK304" s="1">
        <v>2.0224000000000002</v>
      </c>
      <c r="AL304" s="1">
        <v>2.0224000000000002</v>
      </c>
      <c r="AM304" s="1">
        <v>2.0224000000000002</v>
      </c>
    </row>
    <row r="305" spans="1:39" x14ac:dyDescent="0.3">
      <c r="A305" s="21" t="str">
        <f t="shared" si="4"/>
        <v>HFA808LCLK2026-01-17</v>
      </c>
      <c r="B305" t="str">
        <f>VLOOKUP(A305,Sheet1!A305:B1647,1,FALSE)</f>
        <v>HFA808LCLK2026-01-17</v>
      </c>
      <c r="C305" s="3">
        <v>46039</v>
      </c>
      <c r="D305" s="1" t="s">
        <v>119</v>
      </c>
      <c r="E305" s="1" t="s">
        <v>38</v>
      </c>
      <c r="F305" s="1"/>
      <c r="G305" s="1" t="s">
        <v>39</v>
      </c>
      <c r="H305" s="1" t="s">
        <v>134</v>
      </c>
      <c r="I305" s="1" t="s">
        <v>67</v>
      </c>
      <c r="J305" s="1" t="s">
        <v>86</v>
      </c>
      <c r="K305" s="1" t="s">
        <v>87</v>
      </c>
      <c r="L305" s="1" t="s">
        <v>88</v>
      </c>
      <c r="M305" s="1" t="s">
        <v>50</v>
      </c>
      <c r="N305" s="1" t="s">
        <v>41</v>
      </c>
      <c r="O305" s="1" t="s">
        <v>42</v>
      </c>
      <c r="P305" s="1" t="s">
        <v>43</v>
      </c>
      <c r="Q305" s="1" t="s">
        <v>44</v>
      </c>
      <c r="R305" s="1" t="s">
        <v>45</v>
      </c>
      <c r="S305" s="1">
        <v>264</v>
      </c>
      <c r="T305" s="1">
        <v>0</v>
      </c>
      <c r="U305" s="4">
        <v>4.027777777777778E-2</v>
      </c>
      <c r="V305" s="1">
        <v>890</v>
      </c>
      <c r="W305" s="1">
        <v>1510</v>
      </c>
      <c r="X305" s="1">
        <v>2400</v>
      </c>
      <c r="Y305" s="1" t="s">
        <v>51</v>
      </c>
      <c r="Z305" s="1">
        <v>1930</v>
      </c>
      <c r="AA305" s="1">
        <v>470</v>
      </c>
      <c r="AB305" s="1">
        <v>0</v>
      </c>
      <c r="AC305" s="1">
        <v>0</v>
      </c>
      <c r="AD305" s="1">
        <v>0</v>
      </c>
      <c r="AE305" s="1">
        <v>0</v>
      </c>
      <c r="AF305" s="1"/>
      <c r="AG305" s="1">
        <v>0</v>
      </c>
      <c r="AH305" s="1">
        <v>0</v>
      </c>
      <c r="AI305" s="1">
        <v>0</v>
      </c>
      <c r="AJ305" s="1">
        <v>0</v>
      </c>
      <c r="AK305" s="1">
        <v>1.4852000000000001</v>
      </c>
      <c r="AL305" s="1">
        <v>1.4852000000000001</v>
      </c>
      <c r="AM305" s="1">
        <v>1.4852000000000001</v>
      </c>
    </row>
    <row r="306" spans="1:39" x14ac:dyDescent="0.3">
      <c r="A306" s="21" t="str">
        <f t="shared" si="4"/>
        <v>HFA601LLHA2026-01-18</v>
      </c>
      <c r="B306" t="e">
        <f>VLOOKUP(A306,Sheet1!A306:B1648,1,FALSE)</f>
        <v>#N/A</v>
      </c>
      <c r="C306" s="3">
        <v>46040</v>
      </c>
      <c r="D306" s="1" t="s">
        <v>57</v>
      </c>
      <c r="E306" s="1" t="s">
        <v>38</v>
      </c>
      <c r="F306" s="1" t="s">
        <v>54</v>
      </c>
      <c r="G306" s="1" t="s">
        <v>39</v>
      </c>
      <c r="H306" s="1" t="s">
        <v>134</v>
      </c>
      <c r="I306" s="1" t="s">
        <v>41</v>
      </c>
      <c r="J306" s="1" t="s">
        <v>42</v>
      </c>
      <c r="K306" s="1" t="s">
        <v>43</v>
      </c>
      <c r="L306" s="1" t="s">
        <v>44</v>
      </c>
      <c r="M306" s="1" t="s">
        <v>45</v>
      </c>
      <c r="N306" s="1" t="s">
        <v>41</v>
      </c>
      <c r="O306" s="1" t="s">
        <v>58</v>
      </c>
      <c r="P306" s="1" t="s">
        <v>59</v>
      </c>
      <c r="Q306" s="1" t="s">
        <v>60</v>
      </c>
      <c r="R306" s="1" t="s">
        <v>45</v>
      </c>
      <c r="S306" s="1">
        <v>342</v>
      </c>
      <c r="T306" s="1">
        <v>0</v>
      </c>
      <c r="U306" s="4">
        <v>4.9305555555555554E-2</v>
      </c>
      <c r="V306" s="1">
        <v>1930</v>
      </c>
      <c r="W306" s="1">
        <v>-40</v>
      </c>
      <c r="X306" s="1">
        <v>1890</v>
      </c>
      <c r="Y306" s="1" t="s">
        <v>51</v>
      </c>
      <c r="Z306" s="1">
        <v>1480</v>
      </c>
      <c r="AA306" s="1">
        <v>410</v>
      </c>
      <c r="AB306" s="1">
        <v>0</v>
      </c>
      <c r="AC306" s="1">
        <v>0</v>
      </c>
      <c r="AD306" s="1">
        <v>0</v>
      </c>
      <c r="AE306" s="1">
        <v>0</v>
      </c>
      <c r="AF306" s="1"/>
      <c r="AG306" s="1">
        <v>0</v>
      </c>
      <c r="AH306" s="1">
        <v>0</v>
      </c>
      <c r="AI306" s="1">
        <v>0</v>
      </c>
      <c r="AJ306" s="1">
        <v>0</v>
      </c>
      <c r="AK306" s="1">
        <v>1.2956000000000001</v>
      </c>
      <c r="AL306" s="1">
        <v>1.2956000000000001</v>
      </c>
      <c r="AM306" s="1">
        <v>1.2956000000000001</v>
      </c>
    </row>
    <row r="307" spans="1:39" x14ac:dyDescent="0.3">
      <c r="A307" s="21" t="str">
        <f t="shared" si="4"/>
        <v>HFA602LLER2026-01-18</v>
      </c>
      <c r="B307" t="e">
        <f>VLOOKUP(A307,Sheet1!A307:B1649,1,FALSE)</f>
        <v>#N/A</v>
      </c>
      <c r="C307" s="3">
        <v>46040</v>
      </c>
      <c r="D307" s="1" t="s">
        <v>61</v>
      </c>
      <c r="E307" s="1" t="s">
        <v>38</v>
      </c>
      <c r="F307" s="1" t="s">
        <v>54</v>
      </c>
      <c r="G307" s="1" t="s">
        <v>39</v>
      </c>
      <c r="H307" s="1" t="s">
        <v>134</v>
      </c>
      <c r="I307" s="1" t="s">
        <v>41</v>
      </c>
      <c r="J307" s="1" t="s">
        <v>58</v>
      </c>
      <c r="K307" s="1" t="s">
        <v>59</v>
      </c>
      <c r="L307" s="1" t="s">
        <v>60</v>
      </c>
      <c r="M307" s="1" t="s">
        <v>45</v>
      </c>
      <c r="N307" s="1" t="s">
        <v>41</v>
      </c>
      <c r="O307" s="1" t="s">
        <v>42</v>
      </c>
      <c r="P307" s="1" t="s">
        <v>43</v>
      </c>
      <c r="Q307" s="1" t="s">
        <v>44</v>
      </c>
      <c r="R307" s="1" t="s">
        <v>45</v>
      </c>
      <c r="S307" s="1">
        <v>342</v>
      </c>
      <c r="T307" s="1">
        <v>0</v>
      </c>
      <c r="U307" s="4">
        <v>5.1388888888888887E-2</v>
      </c>
      <c r="V307" s="1">
        <v>1480</v>
      </c>
      <c r="W307" s="1">
        <v>1120</v>
      </c>
      <c r="X307" s="1">
        <v>2600</v>
      </c>
      <c r="Y307" s="1" t="s">
        <v>51</v>
      </c>
      <c r="Z307" s="1">
        <v>1860</v>
      </c>
      <c r="AA307" s="1">
        <v>740</v>
      </c>
      <c r="AB307" s="1">
        <v>0</v>
      </c>
      <c r="AC307" s="1">
        <v>0</v>
      </c>
      <c r="AD307" s="1">
        <v>0</v>
      </c>
      <c r="AE307" s="1">
        <v>0</v>
      </c>
      <c r="AF307" s="1"/>
      <c r="AG307" s="1">
        <v>0</v>
      </c>
      <c r="AH307" s="1">
        <v>0</v>
      </c>
      <c r="AI307" s="1">
        <v>0</v>
      </c>
      <c r="AJ307" s="1">
        <v>0</v>
      </c>
      <c r="AK307" s="1">
        <v>2.3384</v>
      </c>
      <c r="AL307" s="1">
        <v>2.3384</v>
      </c>
      <c r="AM307" s="1">
        <v>2.3384</v>
      </c>
    </row>
    <row r="308" spans="1:39" x14ac:dyDescent="0.3">
      <c r="A308" s="21" t="str">
        <f t="shared" si="4"/>
        <v>HFA603LLHA2026-01-18</v>
      </c>
      <c r="B308" t="e">
        <f>VLOOKUP(A308,Sheet1!A308:B1650,1,FALSE)</f>
        <v>#N/A</v>
      </c>
      <c r="C308" s="3">
        <v>46040</v>
      </c>
      <c r="D308" s="1" t="s">
        <v>72</v>
      </c>
      <c r="E308" s="1" t="s">
        <v>38</v>
      </c>
      <c r="F308" s="1" t="s">
        <v>54</v>
      </c>
      <c r="G308" s="1" t="s">
        <v>39</v>
      </c>
      <c r="H308" s="1" t="s">
        <v>134</v>
      </c>
      <c r="I308" s="1" t="s">
        <v>41</v>
      </c>
      <c r="J308" s="1" t="s">
        <v>42</v>
      </c>
      <c r="K308" s="1" t="s">
        <v>43</v>
      </c>
      <c r="L308" s="1" t="s">
        <v>44</v>
      </c>
      <c r="M308" s="1" t="s">
        <v>45</v>
      </c>
      <c r="N308" s="1" t="s">
        <v>41</v>
      </c>
      <c r="O308" s="1" t="s">
        <v>58</v>
      </c>
      <c r="P308" s="1" t="s">
        <v>59</v>
      </c>
      <c r="Q308" s="1" t="s">
        <v>60</v>
      </c>
      <c r="R308" s="1" t="s">
        <v>45</v>
      </c>
      <c r="S308" s="1">
        <v>342</v>
      </c>
      <c r="T308" s="1">
        <v>0</v>
      </c>
      <c r="U308" s="4">
        <v>4.7222222222222221E-2</v>
      </c>
      <c r="V308" s="1">
        <v>1860</v>
      </c>
      <c r="W308" s="1">
        <v>0</v>
      </c>
      <c r="X308" s="1">
        <v>1860</v>
      </c>
      <c r="Y308" s="1" t="s">
        <v>51</v>
      </c>
      <c r="Z308" s="1">
        <v>1080</v>
      </c>
      <c r="AA308" s="1">
        <v>780</v>
      </c>
      <c r="AB308" s="1">
        <v>0</v>
      </c>
      <c r="AC308" s="1">
        <v>0</v>
      </c>
      <c r="AD308" s="1">
        <v>0</v>
      </c>
      <c r="AE308" s="1">
        <v>0</v>
      </c>
      <c r="AF308" s="1"/>
      <c r="AG308" s="1">
        <v>0</v>
      </c>
      <c r="AH308" s="1">
        <v>0</v>
      </c>
      <c r="AI308" s="1">
        <v>0</v>
      </c>
      <c r="AJ308" s="1">
        <v>0</v>
      </c>
      <c r="AK308" s="1">
        <v>2.4647999999999999</v>
      </c>
      <c r="AL308" s="1">
        <v>2.4647999999999999</v>
      </c>
      <c r="AM308" s="1">
        <v>2.4647999999999999</v>
      </c>
    </row>
    <row r="309" spans="1:39" x14ac:dyDescent="0.3">
      <c r="A309" s="21" t="str">
        <f t="shared" si="4"/>
        <v>HFA604LLER2026-01-18</v>
      </c>
      <c r="B309" t="str">
        <f>VLOOKUP(A309,Sheet1!A309:B1651,1,FALSE)</f>
        <v>HFA604LLER2026-01-18</v>
      </c>
      <c r="C309" s="3">
        <v>46040</v>
      </c>
      <c r="D309" s="1" t="s">
        <v>73</v>
      </c>
      <c r="E309" s="1" t="s">
        <v>38</v>
      </c>
      <c r="F309" s="1" t="s">
        <v>54</v>
      </c>
      <c r="G309" s="1" t="s">
        <v>39</v>
      </c>
      <c r="H309" s="1" t="s">
        <v>134</v>
      </c>
      <c r="I309" s="1" t="s">
        <v>41</v>
      </c>
      <c r="J309" s="1" t="s">
        <v>58</v>
      </c>
      <c r="K309" s="1" t="s">
        <v>59</v>
      </c>
      <c r="L309" s="1" t="s">
        <v>60</v>
      </c>
      <c r="M309" s="1" t="s">
        <v>45</v>
      </c>
      <c r="N309" s="1" t="s">
        <v>41</v>
      </c>
      <c r="O309" s="1" t="s">
        <v>42</v>
      </c>
      <c r="P309" s="1" t="s">
        <v>43</v>
      </c>
      <c r="Q309" s="1" t="s">
        <v>44</v>
      </c>
      <c r="R309" s="1" t="s">
        <v>45</v>
      </c>
      <c r="S309" s="1">
        <v>342</v>
      </c>
      <c r="T309" s="1">
        <v>0</v>
      </c>
      <c r="U309" s="4">
        <v>4.3749999999999997E-2</v>
      </c>
      <c r="V309" s="1">
        <v>1080</v>
      </c>
      <c r="W309" s="1">
        <v>1220</v>
      </c>
      <c r="X309" s="1">
        <v>2300</v>
      </c>
      <c r="Y309" s="1" t="s">
        <v>51</v>
      </c>
      <c r="Z309" s="1">
        <v>1670</v>
      </c>
      <c r="AA309" s="1">
        <v>630</v>
      </c>
      <c r="AB309" s="1">
        <v>0</v>
      </c>
      <c r="AC309" s="1">
        <v>0</v>
      </c>
      <c r="AD309" s="1">
        <v>0</v>
      </c>
      <c r="AE309" s="1">
        <v>0</v>
      </c>
      <c r="AF309" s="1"/>
      <c r="AG309" s="1">
        <v>0</v>
      </c>
      <c r="AH309" s="1">
        <v>0</v>
      </c>
      <c r="AI309" s="1">
        <v>0</v>
      </c>
      <c r="AJ309" s="1">
        <v>0</v>
      </c>
      <c r="AK309" s="1">
        <v>1.9907999999999999</v>
      </c>
      <c r="AL309" s="1">
        <v>1.9907999999999999</v>
      </c>
      <c r="AM309" s="1">
        <v>1.9907999999999999</v>
      </c>
    </row>
    <row r="310" spans="1:39" x14ac:dyDescent="0.3">
      <c r="A310" s="21" t="str">
        <f t="shared" si="4"/>
        <v>HFA801LLHA2026-01-19</v>
      </c>
      <c r="B310" t="str">
        <f>VLOOKUP(A310,Sheet1!A310:B1652,1,FALSE)</f>
        <v>HFA801LLHA2026-01-19</v>
      </c>
      <c r="C310" s="3">
        <v>46041</v>
      </c>
      <c r="D310" s="1" t="s">
        <v>133</v>
      </c>
      <c r="E310" s="1" t="s">
        <v>38</v>
      </c>
      <c r="F310" s="1"/>
      <c r="G310" s="1" t="s">
        <v>39</v>
      </c>
      <c r="H310" s="1" t="s">
        <v>134</v>
      </c>
      <c r="I310" s="1" t="s">
        <v>41</v>
      </c>
      <c r="J310" s="1" t="s">
        <v>42</v>
      </c>
      <c r="K310" s="1" t="s">
        <v>43</v>
      </c>
      <c r="L310" s="1" t="s">
        <v>44</v>
      </c>
      <c r="M310" s="1" t="s">
        <v>45</v>
      </c>
      <c r="N310" s="1" t="s">
        <v>67</v>
      </c>
      <c r="O310" s="1" t="s">
        <v>86</v>
      </c>
      <c r="P310" s="1" t="s">
        <v>87</v>
      </c>
      <c r="Q310" s="1" t="s">
        <v>88</v>
      </c>
      <c r="R310" s="1" t="s">
        <v>50</v>
      </c>
      <c r="S310" s="1">
        <v>264</v>
      </c>
      <c r="T310" s="1">
        <v>0</v>
      </c>
      <c r="U310" s="4">
        <v>3.6111111111111108E-2</v>
      </c>
      <c r="V310" s="1">
        <v>1670</v>
      </c>
      <c r="W310" s="1">
        <v>-40</v>
      </c>
      <c r="X310" s="1">
        <v>1630</v>
      </c>
      <c r="Y310" s="1" t="s">
        <v>51</v>
      </c>
      <c r="Z310" s="1">
        <v>1080</v>
      </c>
      <c r="AA310" s="1">
        <v>550</v>
      </c>
      <c r="AB310" s="1">
        <v>0</v>
      </c>
      <c r="AC310" s="1">
        <v>0</v>
      </c>
      <c r="AD310" s="1">
        <v>0</v>
      </c>
      <c r="AE310" s="1">
        <v>0</v>
      </c>
      <c r="AF310" s="1"/>
      <c r="AG310" s="1">
        <v>0</v>
      </c>
      <c r="AH310" s="1">
        <v>0</v>
      </c>
      <c r="AI310" s="1">
        <v>0</v>
      </c>
      <c r="AJ310" s="1">
        <v>0</v>
      </c>
      <c r="AK310" s="1">
        <v>1.738</v>
      </c>
      <c r="AL310" s="1">
        <v>1.738</v>
      </c>
      <c r="AM310" s="1">
        <v>1.738</v>
      </c>
    </row>
    <row r="311" spans="1:39" x14ac:dyDescent="0.3">
      <c r="A311" s="21" t="str">
        <f t="shared" si="4"/>
        <v>HFA802LCLK2026-01-19</v>
      </c>
      <c r="B311" t="str">
        <f>VLOOKUP(A311,Sheet1!A311:B1653,1,FALSE)</f>
        <v>HFA802LCLK2026-01-19</v>
      </c>
      <c r="C311" s="3">
        <v>46041</v>
      </c>
      <c r="D311" s="1" t="s">
        <v>135</v>
      </c>
      <c r="E311" s="1" t="s">
        <v>38</v>
      </c>
      <c r="F311" s="1"/>
      <c r="G311" s="1" t="s">
        <v>39</v>
      </c>
      <c r="H311" s="1" t="s">
        <v>134</v>
      </c>
      <c r="I311" s="1" t="s">
        <v>67</v>
      </c>
      <c r="J311" s="1" t="s">
        <v>86</v>
      </c>
      <c r="K311" s="1" t="s">
        <v>87</v>
      </c>
      <c r="L311" s="1" t="s">
        <v>88</v>
      </c>
      <c r="M311" s="1" t="s">
        <v>50</v>
      </c>
      <c r="N311" s="1" t="s">
        <v>41</v>
      </c>
      <c r="O311" s="1" t="s">
        <v>42</v>
      </c>
      <c r="P311" s="1" t="s">
        <v>43</v>
      </c>
      <c r="Q311" s="1" t="s">
        <v>44</v>
      </c>
      <c r="R311" s="1" t="s">
        <v>45</v>
      </c>
      <c r="S311" s="1">
        <v>264</v>
      </c>
      <c r="T311" s="1">
        <v>0</v>
      </c>
      <c r="U311" s="4">
        <v>3.3333333333333333E-2</v>
      </c>
      <c r="V311" s="1">
        <v>1080</v>
      </c>
      <c r="W311" s="1">
        <v>1020</v>
      </c>
      <c r="X311" s="1">
        <v>2100</v>
      </c>
      <c r="Y311" s="1" t="s">
        <v>51</v>
      </c>
      <c r="Z311" s="1">
        <v>1590</v>
      </c>
      <c r="AA311" s="1">
        <v>510</v>
      </c>
      <c r="AB311" s="1">
        <v>0</v>
      </c>
      <c r="AC311" s="1">
        <v>0</v>
      </c>
      <c r="AD311" s="1">
        <v>0</v>
      </c>
      <c r="AE311" s="1">
        <v>0</v>
      </c>
      <c r="AF311" s="1"/>
      <c r="AG311" s="1">
        <v>0</v>
      </c>
      <c r="AH311" s="1">
        <v>0</v>
      </c>
      <c r="AI311" s="1">
        <v>0</v>
      </c>
      <c r="AJ311" s="1">
        <v>0</v>
      </c>
      <c r="AK311" s="1">
        <v>1.6115999999999999</v>
      </c>
      <c r="AL311" s="1">
        <v>1.6115999999999999</v>
      </c>
      <c r="AM311" s="1">
        <v>1.6115999999999999</v>
      </c>
    </row>
    <row r="312" spans="1:39" x14ac:dyDescent="0.3">
      <c r="A312" s="21" t="str">
        <f t="shared" si="4"/>
        <v>HFA803LLHA2026-01-19</v>
      </c>
      <c r="B312" t="str">
        <f>VLOOKUP(A312,Sheet1!A312:B1654,1,FALSE)</f>
        <v>HFA803LLHA2026-01-19</v>
      </c>
      <c r="C312" s="3">
        <v>46041</v>
      </c>
      <c r="D312" s="1" t="s">
        <v>116</v>
      </c>
      <c r="E312" s="1" t="s">
        <v>38</v>
      </c>
      <c r="F312" s="1"/>
      <c r="G312" s="1" t="s">
        <v>39</v>
      </c>
      <c r="H312" s="1" t="s">
        <v>134</v>
      </c>
      <c r="I312" s="1" t="s">
        <v>41</v>
      </c>
      <c r="J312" s="1" t="s">
        <v>42</v>
      </c>
      <c r="K312" s="1" t="s">
        <v>43</v>
      </c>
      <c r="L312" s="1" t="s">
        <v>44</v>
      </c>
      <c r="M312" s="1" t="s">
        <v>45</v>
      </c>
      <c r="N312" s="1" t="s">
        <v>67</v>
      </c>
      <c r="O312" s="1" t="s">
        <v>86</v>
      </c>
      <c r="P312" s="1" t="s">
        <v>87</v>
      </c>
      <c r="Q312" s="1" t="s">
        <v>88</v>
      </c>
      <c r="R312" s="1" t="s">
        <v>50</v>
      </c>
      <c r="S312" s="1">
        <v>264</v>
      </c>
      <c r="T312" s="1">
        <v>0</v>
      </c>
      <c r="U312" s="4">
        <v>3.5416666666666666E-2</v>
      </c>
      <c r="V312" s="1">
        <v>1590</v>
      </c>
      <c r="W312" s="1">
        <v>0</v>
      </c>
      <c r="X312" s="1">
        <v>1590</v>
      </c>
      <c r="Y312" s="1" t="s">
        <v>51</v>
      </c>
      <c r="Z312" s="1">
        <v>1020</v>
      </c>
      <c r="AA312" s="1">
        <v>570</v>
      </c>
      <c r="AB312" s="1">
        <v>0</v>
      </c>
      <c r="AC312" s="1">
        <v>0</v>
      </c>
      <c r="AD312" s="1">
        <v>0</v>
      </c>
      <c r="AE312" s="1">
        <v>0</v>
      </c>
      <c r="AF312" s="1"/>
      <c r="AG312" s="1">
        <v>0</v>
      </c>
      <c r="AH312" s="1">
        <v>0</v>
      </c>
      <c r="AI312" s="1">
        <v>0</v>
      </c>
      <c r="AJ312" s="1">
        <v>0</v>
      </c>
      <c r="AK312" s="1">
        <v>1.8011999999999999</v>
      </c>
      <c r="AL312" s="1">
        <v>1.8011999999999999</v>
      </c>
      <c r="AM312" s="1">
        <v>1.8011999999999999</v>
      </c>
    </row>
    <row r="313" spans="1:39" x14ac:dyDescent="0.3">
      <c r="A313" s="21" t="str">
        <f t="shared" si="4"/>
        <v>HFA804LCLK2026-01-19</v>
      </c>
      <c r="B313" t="str">
        <f>VLOOKUP(A313,Sheet1!A313:B1655,1,FALSE)</f>
        <v>HFA804LCLK2026-01-19</v>
      </c>
      <c r="C313" s="3">
        <v>46041</v>
      </c>
      <c r="D313" s="1" t="s">
        <v>117</v>
      </c>
      <c r="E313" s="1" t="s">
        <v>38</v>
      </c>
      <c r="F313" s="1"/>
      <c r="G313" s="1" t="s">
        <v>39</v>
      </c>
      <c r="H313" s="1" t="s">
        <v>134</v>
      </c>
      <c r="I313" s="1" t="s">
        <v>67</v>
      </c>
      <c r="J313" s="1" t="s">
        <v>86</v>
      </c>
      <c r="K313" s="1" t="s">
        <v>87</v>
      </c>
      <c r="L313" s="1" t="s">
        <v>88</v>
      </c>
      <c r="M313" s="1" t="s">
        <v>50</v>
      </c>
      <c r="N313" s="1" t="s">
        <v>41</v>
      </c>
      <c r="O313" s="1" t="s">
        <v>42</v>
      </c>
      <c r="P313" s="1" t="s">
        <v>43</v>
      </c>
      <c r="Q313" s="1" t="s">
        <v>44</v>
      </c>
      <c r="R313" s="1" t="s">
        <v>45</v>
      </c>
      <c r="S313" s="1">
        <v>264</v>
      </c>
      <c r="T313" s="1">
        <v>0</v>
      </c>
      <c r="U313" s="4">
        <v>3.3333333333333333E-2</v>
      </c>
      <c r="V313" s="1">
        <v>1020</v>
      </c>
      <c r="W313" s="1">
        <v>1080</v>
      </c>
      <c r="X313" s="1">
        <v>2100</v>
      </c>
      <c r="Y313" s="1" t="s">
        <v>51</v>
      </c>
      <c r="Z313" s="1">
        <v>1570</v>
      </c>
      <c r="AA313" s="1">
        <v>530</v>
      </c>
      <c r="AB313" s="1">
        <v>0</v>
      </c>
      <c r="AC313" s="1">
        <v>0</v>
      </c>
      <c r="AD313" s="1">
        <v>0</v>
      </c>
      <c r="AE313" s="1">
        <v>0</v>
      </c>
      <c r="AF313" s="1"/>
      <c r="AG313" s="1">
        <v>0</v>
      </c>
      <c r="AH313" s="1">
        <v>0</v>
      </c>
      <c r="AI313" s="1">
        <v>0</v>
      </c>
      <c r="AJ313" s="1">
        <v>0</v>
      </c>
      <c r="AK313" s="1">
        <v>1.6748000000000001</v>
      </c>
      <c r="AL313" s="1">
        <v>1.6748000000000001</v>
      </c>
      <c r="AM313" s="1">
        <v>1.6748000000000001</v>
      </c>
    </row>
    <row r="314" spans="1:39" x14ac:dyDescent="0.3">
      <c r="A314" s="21" t="str">
        <f t="shared" si="4"/>
        <v>HFA605LLHA2026-01-19</v>
      </c>
      <c r="B314" t="str">
        <f>VLOOKUP(A314,Sheet1!A314:B1656,1,FALSE)</f>
        <v>HFA605LLHA2026-01-19</v>
      </c>
      <c r="C314" s="3">
        <v>46041</v>
      </c>
      <c r="D314" s="1" t="s">
        <v>62</v>
      </c>
      <c r="E314" s="1" t="s">
        <v>38</v>
      </c>
      <c r="F314" s="1" t="s">
        <v>54</v>
      </c>
      <c r="G314" s="1" t="s">
        <v>39</v>
      </c>
      <c r="H314" s="1" t="s">
        <v>134</v>
      </c>
      <c r="I314" s="1" t="s">
        <v>41</v>
      </c>
      <c r="J314" s="1" t="s">
        <v>42</v>
      </c>
      <c r="K314" s="1" t="s">
        <v>43</v>
      </c>
      <c r="L314" s="1" t="s">
        <v>44</v>
      </c>
      <c r="M314" s="1" t="s">
        <v>45</v>
      </c>
      <c r="N314" s="1" t="s">
        <v>41</v>
      </c>
      <c r="O314" s="1" t="s">
        <v>58</v>
      </c>
      <c r="P314" s="1" t="s">
        <v>59</v>
      </c>
      <c r="Q314" s="1" t="s">
        <v>60</v>
      </c>
      <c r="R314" s="1" t="s">
        <v>45</v>
      </c>
      <c r="S314" s="1">
        <v>342</v>
      </c>
      <c r="T314" s="1">
        <v>0</v>
      </c>
      <c r="U314" s="4">
        <v>4.3749999999999997E-2</v>
      </c>
      <c r="V314" s="1">
        <v>1570</v>
      </c>
      <c r="W314" s="1">
        <v>240</v>
      </c>
      <c r="X314" s="1">
        <v>1810</v>
      </c>
      <c r="Y314" s="1" t="s">
        <v>51</v>
      </c>
      <c r="Z314" s="1">
        <v>1040</v>
      </c>
      <c r="AA314" s="1">
        <v>770</v>
      </c>
      <c r="AB314" s="1">
        <v>0</v>
      </c>
      <c r="AC314" s="1">
        <v>0</v>
      </c>
      <c r="AD314" s="1">
        <v>0</v>
      </c>
      <c r="AE314" s="1">
        <v>0</v>
      </c>
      <c r="AF314" s="1"/>
      <c r="AG314" s="1">
        <v>0</v>
      </c>
      <c r="AH314" s="1">
        <v>0</v>
      </c>
      <c r="AI314" s="1">
        <v>0</v>
      </c>
      <c r="AJ314" s="1">
        <v>0</v>
      </c>
      <c r="AK314" s="1">
        <v>2.4331999999999998</v>
      </c>
      <c r="AL314" s="1">
        <v>2.4331999999999998</v>
      </c>
      <c r="AM314" s="1">
        <v>2.4331999999999998</v>
      </c>
    </row>
    <row r="315" spans="1:39" x14ac:dyDescent="0.3">
      <c r="A315" s="21" t="str">
        <f t="shared" si="4"/>
        <v>HFA606LLER2026-01-19</v>
      </c>
      <c r="B315" t="str">
        <f>VLOOKUP(A315,Sheet1!A315:B1657,1,FALSE)</f>
        <v>HFA606LLER2026-01-19</v>
      </c>
      <c r="C315" s="3">
        <v>46041</v>
      </c>
      <c r="D315" s="1" t="s">
        <v>63</v>
      </c>
      <c r="E315" s="1" t="s">
        <v>38</v>
      </c>
      <c r="F315" s="1" t="s">
        <v>54</v>
      </c>
      <c r="G315" s="1" t="s">
        <v>39</v>
      </c>
      <c r="H315" s="1" t="s">
        <v>134</v>
      </c>
      <c r="I315" s="1" t="s">
        <v>41</v>
      </c>
      <c r="J315" s="1" t="s">
        <v>58</v>
      </c>
      <c r="K315" s="1" t="s">
        <v>59</v>
      </c>
      <c r="L315" s="1" t="s">
        <v>60</v>
      </c>
      <c r="M315" s="1" t="s">
        <v>45</v>
      </c>
      <c r="N315" s="1" t="s">
        <v>41</v>
      </c>
      <c r="O315" s="1" t="s">
        <v>42</v>
      </c>
      <c r="P315" s="1" t="s">
        <v>43</v>
      </c>
      <c r="Q315" s="1" t="s">
        <v>44</v>
      </c>
      <c r="R315" s="1" t="s">
        <v>45</v>
      </c>
      <c r="S315" s="1">
        <v>342</v>
      </c>
      <c r="T315" s="1">
        <v>0</v>
      </c>
      <c r="U315" s="4">
        <v>4.7222222222222221E-2</v>
      </c>
      <c r="V315" s="1">
        <v>1040</v>
      </c>
      <c r="W315" s="1">
        <v>1260</v>
      </c>
      <c r="X315" s="1">
        <v>2300</v>
      </c>
      <c r="Y315" s="1" t="s">
        <v>51</v>
      </c>
      <c r="Z315" s="1">
        <v>1480</v>
      </c>
      <c r="AA315" s="1">
        <v>820</v>
      </c>
      <c r="AB315" s="1">
        <v>0</v>
      </c>
      <c r="AC315" s="1">
        <v>0</v>
      </c>
      <c r="AD315" s="1">
        <v>0</v>
      </c>
      <c r="AE315" s="1">
        <v>0</v>
      </c>
      <c r="AF315" s="1"/>
      <c r="AG315" s="1">
        <v>0</v>
      </c>
      <c r="AH315" s="1">
        <v>0</v>
      </c>
      <c r="AI315" s="1">
        <v>0</v>
      </c>
      <c r="AJ315" s="1">
        <v>0</v>
      </c>
      <c r="AK315" s="1">
        <v>2.5912000000000002</v>
      </c>
      <c r="AL315" s="1">
        <v>2.5912000000000002</v>
      </c>
      <c r="AM315" s="1">
        <v>2.5912000000000002</v>
      </c>
    </row>
    <row r="316" spans="1:39" x14ac:dyDescent="0.3">
      <c r="A316" s="21" t="str">
        <f t="shared" si="4"/>
        <v>HFA807LLHA2026-01-19</v>
      </c>
      <c r="B316" t="str">
        <f>VLOOKUP(A316,Sheet1!A316:B1658,1,FALSE)</f>
        <v>HFA807LLHA2026-01-19</v>
      </c>
      <c r="C316" s="3">
        <v>46041</v>
      </c>
      <c r="D316" s="1" t="s">
        <v>118</v>
      </c>
      <c r="E316" s="1" t="s">
        <v>38</v>
      </c>
      <c r="F316" s="1"/>
      <c r="G316" s="1" t="s">
        <v>39</v>
      </c>
      <c r="H316" s="1" t="s">
        <v>134</v>
      </c>
      <c r="I316" s="1" t="s">
        <v>41</v>
      </c>
      <c r="J316" s="1" t="s">
        <v>42</v>
      </c>
      <c r="K316" s="1" t="s">
        <v>43</v>
      </c>
      <c r="L316" s="1" t="s">
        <v>44</v>
      </c>
      <c r="M316" s="1" t="s">
        <v>45</v>
      </c>
      <c r="N316" s="1" t="s">
        <v>67</v>
      </c>
      <c r="O316" s="1" t="s">
        <v>86</v>
      </c>
      <c r="P316" s="1" t="s">
        <v>87</v>
      </c>
      <c r="Q316" s="1" t="s">
        <v>88</v>
      </c>
      <c r="R316" s="1" t="s">
        <v>50</v>
      </c>
      <c r="S316" s="1">
        <v>264</v>
      </c>
      <c r="T316" s="1">
        <v>0</v>
      </c>
      <c r="U316" s="4">
        <v>3.888888888888889E-2</v>
      </c>
      <c r="V316" s="1">
        <v>1480</v>
      </c>
      <c r="W316" s="1">
        <v>0</v>
      </c>
      <c r="X316" s="1">
        <v>1480</v>
      </c>
      <c r="Y316" s="1" t="s">
        <v>51</v>
      </c>
      <c r="Z316" s="1">
        <v>900</v>
      </c>
      <c r="AA316" s="1">
        <v>580</v>
      </c>
      <c r="AB316" s="1">
        <v>0</v>
      </c>
      <c r="AC316" s="1">
        <v>0</v>
      </c>
      <c r="AD316" s="1">
        <v>0</v>
      </c>
      <c r="AE316" s="1">
        <v>0</v>
      </c>
      <c r="AF316" s="1"/>
      <c r="AG316" s="1">
        <v>0</v>
      </c>
      <c r="AH316" s="1">
        <v>0</v>
      </c>
      <c r="AI316" s="1">
        <v>0</v>
      </c>
      <c r="AJ316" s="1">
        <v>0</v>
      </c>
      <c r="AK316" s="1">
        <v>1.8328</v>
      </c>
      <c r="AL316" s="1">
        <v>1.8328</v>
      </c>
      <c r="AM316" s="1">
        <v>1.8328</v>
      </c>
    </row>
    <row r="317" spans="1:39" x14ac:dyDescent="0.3">
      <c r="A317" s="21" t="str">
        <f t="shared" si="4"/>
        <v>HFA808LCLK2026-01-19</v>
      </c>
      <c r="B317" t="str">
        <f>VLOOKUP(A317,Sheet1!A317:B1659,1,FALSE)</f>
        <v>HFA808LCLK2026-01-19</v>
      </c>
      <c r="C317" s="3">
        <v>46041</v>
      </c>
      <c r="D317" s="1" t="s">
        <v>119</v>
      </c>
      <c r="E317" s="1" t="s">
        <v>38</v>
      </c>
      <c r="F317" s="1"/>
      <c r="G317" s="1" t="s">
        <v>39</v>
      </c>
      <c r="H317" s="1" t="s">
        <v>134</v>
      </c>
      <c r="I317" s="1" t="s">
        <v>67</v>
      </c>
      <c r="J317" s="1" t="s">
        <v>86</v>
      </c>
      <c r="K317" s="1" t="s">
        <v>87</v>
      </c>
      <c r="L317" s="1" t="s">
        <v>88</v>
      </c>
      <c r="M317" s="1" t="s">
        <v>50</v>
      </c>
      <c r="N317" s="1" t="s">
        <v>41</v>
      </c>
      <c r="O317" s="1" t="s">
        <v>42</v>
      </c>
      <c r="P317" s="1" t="s">
        <v>43</v>
      </c>
      <c r="Q317" s="1" t="s">
        <v>44</v>
      </c>
      <c r="R317" s="1" t="s">
        <v>45</v>
      </c>
      <c r="S317" s="1">
        <v>264</v>
      </c>
      <c r="T317" s="1">
        <v>0</v>
      </c>
      <c r="U317" s="4">
        <v>3.6111111111111108E-2</v>
      </c>
      <c r="V317" s="1">
        <v>900</v>
      </c>
      <c r="W317" s="1">
        <v>1500</v>
      </c>
      <c r="X317" s="1">
        <v>2400</v>
      </c>
      <c r="Y317" s="1" t="s">
        <v>51</v>
      </c>
      <c r="Z317" s="1">
        <v>1920</v>
      </c>
      <c r="AA317" s="1">
        <v>480</v>
      </c>
      <c r="AB317" s="1">
        <v>0</v>
      </c>
      <c r="AC317" s="1">
        <v>0</v>
      </c>
      <c r="AD317" s="1">
        <v>0</v>
      </c>
      <c r="AE317" s="1">
        <v>0</v>
      </c>
      <c r="AF317" s="1"/>
      <c r="AG317" s="1">
        <v>0</v>
      </c>
      <c r="AH317" s="1">
        <v>0</v>
      </c>
      <c r="AI317" s="1">
        <v>0</v>
      </c>
      <c r="AJ317" s="1">
        <v>0</v>
      </c>
      <c r="AK317" s="1">
        <v>1.5167999999999999</v>
      </c>
      <c r="AL317" s="1">
        <v>1.5167999999999999</v>
      </c>
      <c r="AM317" s="1">
        <v>1.5167999999999999</v>
      </c>
    </row>
    <row r="318" spans="1:39" x14ac:dyDescent="0.3">
      <c r="A318" s="21" t="str">
        <f t="shared" si="4"/>
        <v>HFA601LLHA2026-01-20</v>
      </c>
      <c r="B318" t="e">
        <f>VLOOKUP(A318,Sheet1!A318:B1660,1,FALSE)</f>
        <v>#N/A</v>
      </c>
      <c r="C318" s="3">
        <v>46042</v>
      </c>
      <c r="D318" s="1" t="s">
        <v>57</v>
      </c>
      <c r="E318" s="1" t="s">
        <v>38</v>
      </c>
      <c r="F318" s="1" t="s">
        <v>54</v>
      </c>
      <c r="G318" s="1" t="s">
        <v>39</v>
      </c>
      <c r="H318" s="1" t="s">
        <v>134</v>
      </c>
      <c r="I318" s="1" t="s">
        <v>41</v>
      </c>
      <c r="J318" s="1" t="s">
        <v>42</v>
      </c>
      <c r="K318" s="1" t="s">
        <v>43</v>
      </c>
      <c r="L318" s="1" t="s">
        <v>44</v>
      </c>
      <c r="M318" s="1" t="s">
        <v>45</v>
      </c>
      <c r="N318" s="1" t="s">
        <v>41</v>
      </c>
      <c r="O318" s="1" t="s">
        <v>58</v>
      </c>
      <c r="P318" s="1" t="s">
        <v>59</v>
      </c>
      <c r="Q318" s="1" t="s">
        <v>60</v>
      </c>
      <c r="R318" s="1" t="s">
        <v>45</v>
      </c>
      <c r="S318" s="1">
        <v>342</v>
      </c>
      <c r="T318" s="1">
        <v>0</v>
      </c>
      <c r="U318" s="4">
        <v>4.5138888888888888E-2</v>
      </c>
      <c r="V318" s="1">
        <v>1920</v>
      </c>
      <c r="W318" s="1">
        <v>-40</v>
      </c>
      <c r="X318" s="1">
        <v>1880</v>
      </c>
      <c r="Y318" s="1" t="s">
        <v>51</v>
      </c>
      <c r="Z318" s="1">
        <v>1180</v>
      </c>
      <c r="AA318" s="1">
        <v>700</v>
      </c>
      <c r="AB318" s="1">
        <v>0</v>
      </c>
      <c r="AC318" s="1">
        <v>0</v>
      </c>
      <c r="AD318" s="1">
        <v>0</v>
      </c>
      <c r="AE318" s="1">
        <v>0</v>
      </c>
      <c r="AF318" s="1"/>
      <c r="AG318" s="1">
        <v>0</v>
      </c>
      <c r="AH318" s="1">
        <v>0</v>
      </c>
      <c r="AI318" s="1">
        <v>0</v>
      </c>
      <c r="AJ318" s="1">
        <v>0</v>
      </c>
      <c r="AK318" s="1">
        <v>2.2120000000000002</v>
      </c>
      <c r="AL318" s="1">
        <v>2.2120000000000002</v>
      </c>
      <c r="AM318" s="1">
        <v>2.2120000000000002</v>
      </c>
    </row>
    <row r="319" spans="1:39" x14ac:dyDescent="0.3">
      <c r="A319" s="21" t="str">
        <f t="shared" si="4"/>
        <v>HFA602LLER2026-01-20</v>
      </c>
      <c r="B319" t="e">
        <f>VLOOKUP(A319,Sheet1!A319:B1661,1,FALSE)</f>
        <v>#N/A</v>
      </c>
      <c r="C319" s="3">
        <v>46042</v>
      </c>
      <c r="D319" s="1" t="s">
        <v>61</v>
      </c>
      <c r="E319" s="1" t="s">
        <v>38</v>
      </c>
      <c r="F319" s="1" t="s">
        <v>54</v>
      </c>
      <c r="G319" s="1" t="s">
        <v>39</v>
      </c>
      <c r="H319" s="1" t="s">
        <v>134</v>
      </c>
      <c r="I319" s="1" t="s">
        <v>41</v>
      </c>
      <c r="J319" s="1" t="s">
        <v>58</v>
      </c>
      <c r="K319" s="1" t="s">
        <v>59</v>
      </c>
      <c r="L319" s="1" t="s">
        <v>60</v>
      </c>
      <c r="M319" s="1" t="s">
        <v>45</v>
      </c>
      <c r="N319" s="1" t="s">
        <v>41</v>
      </c>
      <c r="O319" s="1" t="s">
        <v>42</v>
      </c>
      <c r="P319" s="1" t="s">
        <v>43</v>
      </c>
      <c r="Q319" s="1" t="s">
        <v>44</v>
      </c>
      <c r="R319" s="1" t="s">
        <v>45</v>
      </c>
      <c r="S319" s="1">
        <v>342</v>
      </c>
      <c r="T319" s="1">
        <v>0</v>
      </c>
      <c r="U319" s="4">
        <v>4.7916666666666663E-2</v>
      </c>
      <c r="V319" s="1">
        <v>1180</v>
      </c>
      <c r="W319" s="1">
        <v>1420</v>
      </c>
      <c r="X319" s="1">
        <v>2600</v>
      </c>
      <c r="Y319" s="1" t="s">
        <v>51</v>
      </c>
      <c r="Z319" s="1">
        <v>1880</v>
      </c>
      <c r="AA319" s="1">
        <v>720</v>
      </c>
      <c r="AB319" s="1">
        <v>0</v>
      </c>
      <c r="AC319" s="1">
        <v>0</v>
      </c>
      <c r="AD319" s="1">
        <v>0</v>
      </c>
      <c r="AE319" s="1">
        <v>0</v>
      </c>
      <c r="AF319" s="1"/>
      <c r="AG319" s="1">
        <v>0</v>
      </c>
      <c r="AH319" s="1">
        <v>0</v>
      </c>
      <c r="AI319" s="1">
        <v>0</v>
      </c>
      <c r="AJ319" s="1">
        <v>0</v>
      </c>
      <c r="AK319" s="1">
        <v>2.2751999999999999</v>
      </c>
      <c r="AL319" s="1">
        <v>2.2751999999999999</v>
      </c>
      <c r="AM319" s="1">
        <v>2.2751999999999999</v>
      </c>
    </row>
    <row r="320" spans="1:39" x14ac:dyDescent="0.3">
      <c r="A320" s="21" t="str">
        <f t="shared" si="4"/>
        <v>HFA605LLHA2026-01-20</v>
      </c>
      <c r="B320" t="str">
        <f>VLOOKUP(A320,Sheet1!A320:B1662,1,FALSE)</f>
        <v>HFA605LLHA2026-01-20</v>
      </c>
      <c r="C320" s="3">
        <v>46042</v>
      </c>
      <c r="D320" s="1" t="s">
        <v>62</v>
      </c>
      <c r="E320" s="1" t="s">
        <v>38</v>
      </c>
      <c r="F320" s="1" t="s">
        <v>54</v>
      </c>
      <c r="G320" s="1" t="s">
        <v>39</v>
      </c>
      <c r="H320" s="1" t="s">
        <v>134</v>
      </c>
      <c r="I320" s="1" t="s">
        <v>41</v>
      </c>
      <c r="J320" s="1" t="s">
        <v>42</v>
      </c>
      <c r="K320" s="1" t="s">
        <v>43</v>
      </c>
      <c r="L320" s="1" t="s">
        <v>44</v>
      </c>
      <c r="M320" s="1" t="s">
        <v>45</v>
      </c>
      <c r="N320" s="1" t="s">
        <v>41</v>
      </c>
      <c r="O320" s="1" t="s">
        <v>58</v>
      </c>
      <c r="P320" s="1" t="s">
        <v>59</v>
      </c>
      <c r="Q320" s="1" t="s">
        <v>60</v>
      </c>
      <c r="R320" s="1" t="s">
        <v>45</v>
      </c>
      <c r="S320" s="1">
        <v>342</v>
      </c>
      <c r="T320" s="1">
        <v>0</v>
      </c>
      <c r="U320" s="4">
        <v>4.3749999999999997E-2</v>
      </c>
      <c r="V320" s="1">
        <v>1880</v>
      </c>
      <c r="W320" s="1">
        <v>-10</v>
      </c>
      <c r="X320" s="1">
        <v>1870</v>
      </c>
      <c r="Y320" s="1" t="s">
        <v>51</v>
      </c>
      <c r="Z320" s="1">
        <v>1170</v>
      </c>
      <c r="AA320" s="1">
        <v>700</v>
      </c>
      <c r="AB320" s="1">
        <v>0</v>
      </c>
      <c r="AC320" s="1">
        <v>0</v>
      </c>
      <c r="AD320" s="1">
        <v>0</v>
      </c>
      <c r="AE320" s="1">
        <v>0</v>
      </c>
      <c r="AF320" s="1"/>
      <c r="AG320" s="1">
        <v>0</v>
      </c>
      <c r="AH320" s="1">
        <v>0</v>
      </c>
      <c r="AI320" s="1">
        <v>0</v>
      </c>
      <c r="AJ320" s="1">
        <v>0</v>
      </c>
      <c r="AK320" s="1">
        <v>2.2120000000000002</v>
      </c>
      <c r="AL320" s="1">
        <v>2.2120000000000002</v>
      </c>
      <c r="AM320" s="1">
        <v>2.2120000000000002</v>
      </c>
    </row>
    <row r="321" spans="1:39" x14ac:dyDescent="0.3">
      <c r="A321" s="21" t="str">
        <f t="shared" si="4"/>
        <v>HFA606LLER2026-01-20</v>
      </c>
      <c r="B321" t="str">
        <f>VLOOKUP(A321,Sheet1!A321:B1663,1,FALSE)</f>
        <v>HFA606LLER2026-01-20</v>
      </c>
      <c r="C321" s="3">
        <v>46042</v>
      </c>
      <c r="D321" s="1" t="s">
        <v>63</v>
      </c>
      <c r="E321" s="1" t="s">
        <v>38</v>
      </c>
      <c r="F321" s="1" t="s">
        <v>54</v>
      </c>
      <c r="G321" s="1" t="s">
        <v>39</v>
      </c>
      <c r="H321" s="1" t="s">
        <v>134</v>
      </c>
      <c r="I321" s="1" t="s">
        <v>41</v>
      </c>
      <c r="J321" s="1" t="s">
        <v>58</v>
      </c>
      <c r="K321" s="1" t="s">
        <v>59</v>
      </c>
      <c r="L321" s="1" t="s">
        <v>60</v>
      </c>
      <c r="M321" s="1" t="s">
        <v>45</v>
      </c>
      <c r="N321" s="1" t="s">
        <v>41</v>
      </c>
      <c r="O321" s="1" t="s">
        <v>42</v>
      </c>
      <c r="P321" s="1" t="s">
        <v>43</v>
      </c>
      <c r="Q321" s="1" t="s">
        <v>44</v>
      </c>
      <c r="R321" s="1" t="s">
        <v>45</v>
      </c>
      <c r="S321" s="1">
        <v>342</v>
      </c>
      <c r="T321" s="1">
        <v>0</v>
      </c>
      <c r="U321" s="4">
        <v>4.8611111111111105E-2</v>
      </c>
      <c r="V321" s="1">
        <v>1170</v>
      </c>
      <c r="W321" s="1">
        <v>1130</v>
      </c>
      <c r="X321" s="1">
        <v>2300</v>
      </c>
      <c r="Y321" s="1" t="s">
        <v>51</v>
      </c>
      <c r="Z321" s="1">
        <v>1490</v>
      </c>
      <c r="AA321" s="1">
        <v>810</v>
      </c>
      <c r="AB321" s="1">
        <v>0</v>
      </c>
      <c r="AC321" s="1">
        <v>0</v>
      </c>
      <c r="AD321" s="1">
        <v>0</v>
      </c>
      <c r="AE321" s="1">
        <v>0</v>
      </c>
      <c r="AF321" s="1"/>
      <c r="AG321" s="1">
        <v>0</v>
      </c>
      <c r="AH321" s="1">
        <v>0</v>
      </c>
      <c r="AI321" s="1">
        <v>0</v>
      </c>
      <c r="AJ321" s="1">
        <v>0</v>
      </c>
      <c r="AK321" s="1">
        <v>2.5596000000000001</v>
      </c>
      <c r="AL321" s="1">
        <v>2.5596000000000001</v>
      </c>
      <c r="AM321" s="1">
        <v>2.5596000000000001</v>
      </c>
    </row>
    <row r="322" spans="1:39" x14ac:dyDescent="0.3">
      <c r="A322" s="21" t="str">
        <f t="shared" si="4"/>
        <v>HFA601LLHA2026-01-21</v>
      </c>
      <c r="B322" t="e">
        <f>VLOOKUP(A322,Sheet1!A322:B1664,1,FALSE)</f>
        <v>#N/A</v>
      </c>
      <c r="C322" s="3">
        <v>46043</v>
      </c>
      <c r="D322" s="1" t="s">
        <v>57</v>
      </c>
      <c r="E322" s="1" t="s">
        <v>38</v>
      </c>
      <c r="F322" s="1" t="s">
        <v>54</v>
      </c>
      <c r="G322" s="1" t="s">
        <v>39</v>
      </c>
      <c r="H322" s="1" t="s">
        <v>134</v>
      </c>
      <c r="I322" s="1" t="s">
        <v>41</v>
      </c>
      <c r="J322" s="1" t="s">
        <v>42</v>
      </c>
      <c r="K322" s="1" t="s">
        <v>43</v>
      </c>
      <c r="L322" s="1" t="s">
        <v>44</v>
      </c>
      <c r="M322" s="1" t="s">
        <v>45</v>
      </c>
      <c r="N322" s="1" t="s">
        <v>41</v>
      </c>
      <c r="O322" s="1" t="s">
        <v>58</v>
      </c>
      <c r="P322" s="1" t="s">
        <v>59</v>
      </c>
      <c r="Q322" s="1" t="s">
        <v>60</v>
      </c>
      <c r="R322" s="1" t="s">
        <v>45</v>
      </c>
      <c r="S322" s="1">
        <v>342</v>
      </c>
      <c r="T322" s="1">
        <v>0</v>
      </c>
      <c r="U322" s="4">
        <v>4.4444444444444439E-2</v>
      </c>
      <c r="V322" s="1">
        <v>1490</v>
      </c>
      <c r="W322" s="1">
        <v>310</v>
      </c>
      <c r="X322" s="1">
        <v>1800</v>
      </c>
      <c r="Y322" s="1" t="s">
        <v>51</v>
      </c>
      <c r="Z322" s="1">
        <v>1110</v>
      </c>
      <c r="AA322" s="1">
        <v>690</v>
      </c>
      <c r="AB322" s="1">
        <v>0</v>
      </c>
      <c r="AC322" s="1">
        <v>0</v>
      </c>
      <c r="AD322" s="1">
        <v>0</v>
      </c>
      <c r="AE322" s="1">
        <v>0</v>
      </c>
      <c r="AF322" s="1"/>
      <c r="AG322" s="1">
        <v>0</v>
      </c>
      <c r="AH322" s="1">
        <v>0</v>
      </c>
      <c r="AI322" s="1">
        <v>0</v>
      </c>
      <c r="AJ322" s="1">
        <v>0</v>
      </c>
      <c r="AK322" s="1">
        <v>2.1804000000000001</v>
      </c>
      <c r="AL322" s="1">
        <v>2.1804000000000001</v>
      </c>
      <c r="AM322" s="1">
        <v>2.1804000000000001</v>
      </c>
    </row>
    <row r="323" spans="1:39" x14ac:dyDescent="0.3">
      <c r="A323" s="21" t="str">
        <f t="shared" ref="A323:A386" si="5">CONCATENATE(D323,K323,TEXT(C323,"YYYY-MM-DD"))</f>
        <v>HFA602LLER2026-01-21</v>
      </c>
      <c r="B323" t="e">
        <f>VLOOKUP(A323,Sheet1!A323:B1665,1,FALSE)</f>
        <v>#N/A</v>
      </c>
      <c r="C323" s="3">
        <v>46043</v>
      </c>
      <c r="D323" s="1" t="s">
        <v>61</v>
      </c>
      <c r="E323" s="1" t="s">
        <v>38</v>
      </c>
      <c r="F323" s="1" t="s">
        <v>54</v>
      </c>
      <c r="G323" s="1" t="s">
        <v>39</v>
      </c>
      <c r="H323" s="1" t="s">
        <v>134</v>
      </c>
      <c r="I323" s="1" t="s">
        <v>41</v>
      </c>
      <c r="J323" s="1" t="s">
        <v>58</v>
      </c>
      <c r="K323" s="1" t="s">
        <v>59</v>
      </c>
      <c r="L323" s="1" t="s">
        <v>60</v>
      </c>
      <c r="M323" s="1" t="s">
        <v>45</v>
      </c>
      <c r="N323" s="1" t="s">
        <v>41</v>
      </c>
      <c r="O323" s="1" t="s">
        <v>42</v>
      </c>
      <c r="P323" s="1" t="s">
        <v>43</v>
      </c>
      <c r="Q323" s="1" t="s">
        <v>44</v>
      </c>
      <c r="R323" s="1" t="s">
        <v>45</v>
      </c>
      <c r="S323" s="1">
        <v>342</v>
      </c>
      <c r="T323" s="1">
        <v>0</v>
      </c>
      <c r="U323" s="4">
        <v>4.3055555555555555E-2</v>
      </c>
      <c r="V323" s="1">
        <v>1110</v>
      </c>
      <c r="W323" s="1">
        <v>1190</v>
      </c>
      <c r="X323" s="1">
        <v>2300</v>
      </c>
      <c r="Y323" s="1" t="s">
        <v>51</v>
      </c>
      <c r="Z323" s="1">
        <v>1580</v>
      </c>
      <c r="AA323" s="1">
        <v>720</v>
      </c>
      <c r="AB323" s="1">
        <v>0</v>
      </c>
      <c r="AC323" s="1">
        <v>0</v>
      </c>
      <c r="AD323" s="1">
        <v>0</v>
      </c>
      <c r="AE323" s="1">
        <v>0</v>
      </c>
      <c r="AF323" s="1"/>
      <c r="AG323" s="1">
        <v>0</v>
      </c>
      <c r="AH323" s="1">
        <v>0</v>
      </c>
      <c r="AI323" s="1">
        <v>0</v>
      </c>
      <c r="AJ323" s="1">
        <v>0</v>
      </c>
      <c r="AK323" s="1">
        <v>2.2751999999999999</v>
      </c>
      <c r="AL323" s="1">
        <v>2.2751999999999999</v>
      </c>
      <c r="AM323" s="1">
        <v>2.2751999999999999</v>
      </c>
    </row>
    <row r="324" spans="1:39" x14ac:dyDescent="0.3">
      <c r="A324" s="21" t="str">
        <f t="shared" si="5"/>
        <v>HFA851LLHA2026-01-21</v>
      </c>
      <c r="B324" t="str">
        <f>VLOOKUP(A324,Sheet1!A324:B1666,1,FALSE)</f>
        <v>HFA851LLHA2026-01-21</v>
      </c>
      <c r="C324" s="3">
        <v>46043</v>
      </c>
      <c r="D324" s="1" t="s">
        <v>66</v>
      </c>
      <c r="E324" s="1" t="s">
        <v>38</v>
      </c>
      <c r="F324" s="1"/>
      <c r="G324" s="1" t="s">
        <v>39</v>
      </c>
      <c r="H324" s="1" t="s">
        <v>134</v>
      </c>
      <c r="I324" s="1" t="s">
        <v>41</v>
      </c>
      <c r="J324" s="1" t="s">
        <v>42</v>
      </c>
      <c r="K324" s="1" t="s">
        <v>43</v>
      </c>
      <c r="L324" s="1" t="s">
        <v>44</v>
      </c>
      <c r="M324" s="1" t="s">
        <v>45</v>
      </c>
      <c r="N324" s="1" t="s">
        <v>67</v>
      </c>
      <c r="O324" s="1" t="s">
        <v>68</v>
      </c>
      <c r="P324" s="1" t="s">
        <v>69</v>
      </c>
      <c r="Q324" s="1" t="s">
        <v>70</v>
      </c>
      <c r="R324" s="1" t="s">
        <v>50</v>
      </c>
      <c r="S324" s="1">
        <v>318</v>
      </c>
      <c r="T324" s="1">
        <v>0</v>
      </c>
      <c r="U324" s="4">
        <v>4.7222222222222221E-2</v>
      </c>
      <c r="V324" s="1">
        <v>1580</v>
      </c>
      <c r="W324" s="1">
        <v>0</v>
      </c>
      <c r="X324" s="1">
        <v>1580</v>
      </c>
      <c r="Y324" s="1" t="s">
        <v>51</v>
      </c>
      <c r="Z324" s="1">
        <v>770</v>
      </c>
      <c r="AA324" s="1">
        <v>810</v>
      </c>
      <c r="AB324" s="1">
        <v>0</v>
      </c>
      <c r="AC324" s="1">
        <v>0</v>
      </c>
      <c r="AD324" s="1">
        <v>0</v>
      </c>
      <c r="AE324" s="1">
        <v>0</v>
      </c>
      <c r="AF324" s="1"/>
      <c r="AG324" s="1">
        <v>0</v>
      </c>
      <c r="AH324" s="1">
        <v>0</v>
      </c>
      <c r="AI324" s="1">
        <v>0</v>
      </c>
      <c r="AJ324" s="1">
        <v>0</v>
      </c>
      <c r="AK324" s="1">
        <v>2.5596000000000001</v>
      </c>
      <c r="AL324" s="1">
        <v>2.5596000000000001</v>
      </c>
      <c r="AM324" s="1">
        <v>2.5596000000000001</v>
      </c>
    </row>
    <row r="325" spans="1:39" x14ac:dyDescent="0.3">
      <c r="A325" s="21" t="str">
        <f t="shared" si="5"/>
        <v>HFA852LCPH2026-01-21</v>
      </c>
      <c r="B325" t="str">
        <f>VLOOKUP(A325,Sheet1!A325:B1667,1,FALSE)</f>
        <v>HFA852LCPH2026-01-21</v>
      </c>
      <c r="C325" s="3">
        <v>46043</v>
      </c>
      <c r="D325" s="1" t="s">
        <v>71</v>
      </c>
      <c r="E325" s="1" t="s">
        <v>38</v>
      </c>
      <c r="F325" s="1"/>
      <c r="G325" s="1" t="s">
        <v>39</v>
      </c>
      <c r="H325" s="1" t="s">
        <v>134</v>
      </c>
      <c r="I325" s="1" t="s">
        <v>67</v>
      </c>
      <c r="J325" s="1" t="s">
        <v>68</v>
      </c>
      <c r="K325" s="1" t="s">
        <v>69</v>
      </c>
      <c r="L325" s="1" t="s">
        <v>70</v>
      </c>
      <c r="M325" s="1" t="s">
        <v>50</v>
      </c>
      <c r="N325" s="1" t="s">
        <v>41</v>
      </c>
      <c r="O325" s="1" t="s">
        <v>42</v>
      </c>
      <c r="P325" s="1" t="s">
        <v>43</v>
      </c>
      <c r="Q325" s="1" t="s">
        <v>44</v>
      </c>
      <c r="R325" s="1" t="s">
        <v>45</v>
      </c>
      <c r="S325" s="1">
        <v>318</v>
      </c>
      <c r="T325" s="1">
        <v>0</v>
      </c>
      <c r="U325" s="4">
        <v>4.2361111111111106E-2</v>
      </c>
      <c r="V325" s="1">
        <v>770</v>
      </c>
      <c r="W325" s="1">
        <v>1730</v>
      </c>
      <c r="X325" s="1">
        <v>2500</v>
      </c>
      <c r="Y325" s="1" t="s">
        <v>51</v>
      </c>
      <c r="Z325" s="1">
        <v>1910</v>
      </c>
      <c r="AA325" s="1">
        <v>590</v>
      </c>
      <c r="AB325" s="1">
        <v>0</v>
      </c>
      <c r="AC325" s="1">
        <v>0</v>
      </c>
      <c r="AD325" s="1">
        <v>0</v>
      </c>
      <c r="AE325" s="1">
        <v>0</v>
      </c>
      <c r="AF325" s="1"/>
      <c r="AG325" s="1">
        <v>0</v>
      </c>
      <c r="AH325" s="1">
        <v>0</v>
      </c>
      <c r="AI325" s="1">
        <v>0</v>
      </c>
      <c r="AJ325" s="1">
        <v>0</v>
      </c>
      <c r="AK325" s="1">
        <v>1.8644000000000001</v>
      </c>
      <c r="AL325" s="1">
        <v>1.8644000000000001</v>
      </c>
      <c r="AM325" s="1">
        <v>1.8644000000000001</v>
      </c>
    </row>
    <row r="326" spans="1:39" x14ac:dyDescent="0.3">
      <c r="A326" s="21" t="str">
        <f t="shared" si="5"/>
        <v>HFA603LLHA2026-01-22</v>
      </c>
      <c r="B326" t="e">
        <f>VLOOKUP(A326,Sheet1!A326:B1668,1,FALSE)</f>
        <v>#N/A</v>
      </c>
      <c r="C326" s="3">
        <v>46044</v>
      </c>
      <c r="D326" s="1" t="s">
        <v>72</v>
      </c>
      <c r="E326" s="1" t="s">
        <v>38</v>
      </c>
      <c r="F326" s="1" t="s">
        <v>54</v>
      </c>
      <c r="G326" s="1" t="s">
        <v>39</v>
      </c>
      <c r="H326" s="1" t="s">
        <v>134</v>
      </c>
      <c r="I326" s="1" t="s">
        <v>41</v>
      </c>
      <c r="J326" s="1" t="s">
        <v>42</v>
      </c>
      <c r="K326" s="1" t="s">
        <v>43</v>
      </c>
      <c r="L326" s="1" t="s">
        <v>44</v>
      </c>
      <c r="M326" s="1" t="s">
        <v>45</v>
      </c>
      <c r="N326" s="1" t="s">
        <v>41</v>
      </c>
      <c r="O326" s="1" t="s">
        <v>58</v>
      </c>
      <c r="P326" s="1" t="s">
        <v>59</v>
      </c>
      <c r="Q326" s="1" t="s">
        <v>60</v>
      </c>
      <c r="R326" s="1" t="s">
        <v>45</v>
      </c>
      <c r="S326" s="1">
        <v>342</v>
      </c>
      <c r="T326" s="1">
        <v>0</v>
      </c>
      <c r="U326" s="4">
        <v>4.9305555555555554E-2</v>
      </c>
      <c r="V326" s="1">
        <v>1910</v>
      </c>
      <c r="W326" s="1">
        <v>-40</v>
      </c>
      <c r="X326" s="1">
        <v>1870</v>
      </c>
      <c r="Y326" s="1" t="s">
        <v>51</v>
      </c>
      <c r="Z326" s="1">
        <v>1080</v>
      </c>
      <c r="AA326" s="1">
        <v>790</v>
      </c>
      <c r="AB326" s="1">
        <v>0</v>
      </c>
      <c r="AC326" s="1">
        <v>0</v>
      </c>
      <c r="AD326" s="1">
        <v>0</v>
      </c>
      <c r="AE326" s="1">
        <v>0</v>
      </c>
      <c r="AF326" s="1"/>
      <c r="AG326" s="1">
        <v>0</v>
      </c>
      <c r="AH326" s="1">
        <v>0</v>
      </c>
      <c r="AI326" s="1">
        <v>0</v>
      </c>
      <c r="AJ326" s="1">
        <v>0</v>
      </c>
      <c r="AK326" s="1">
        <v>2.4964</v>
      </c>
      <c r="AL326" s="1">
        <v>2.4964</v>
      </c>
      <c r="AM326" s="1">
        <v>2.4964</v>
      </c>
    </row>
    <row r="327" spans="1:39" x14ac:dyDescent="0.3">
      <c r="A327" s="21" t="str">
        <f t="shared" si="5"/>
        <v>HFA604LLER2026-01-22</v>
      </c>
      <c r="B327" t="str">
        <f>VLOOKUP(A327,Sheet1!A327:B1669,1,FALSE)</f>
        <v>HFA604LLER2026-01-22</v>
      </c>
      <c r="C327" s="3">
        <v>46044</v>
      </c>
      <c r="D327" s="1" t="s">
        <v>73</v>
      </c>
      <c r="E327" s="1" t="s">
        <v>38</v>
      </c>
      <c r="F327" s="1" t="s">
        <v>54</v>
      </c>
      <c r="G327" s="1" t="s">
        <v>39</v>
      </c>
      <c r="H327" s="1" t="s">
        <v>134</v>
      </c>
      <c r="I327" s="1" t="s">
        <v>41</v>
      </c>
      <c r="J327" s="1" t="s">
        <v>58</v>
      </c>
      <c r="K327" s="1" t="s">
        <v>59</v>
      </c>
      <c r="L327" s="1" t="s">
        <v>60</v>
      </c>
      <c r="M327" s="1" t="s">
        <v>45</v>
      </c>
      <c r="N327" s="1" t="s">
        <v>41</v>
      </c>
      <c r="O327" s="1" t="s">
        <v>42</v>
      </c>
      <c r="P327" s="1" t="s">
        <v>43</v>
      </c>
      <c r="Q327" s="1" t="s">
        <v>44</v>
      </c>
      <c r="R327" s="1" t="s">
        <v>45</v>
      </c>
      <c r="S327" s="1">
        <v>342</v>
      </c>
      <c r="T327" s="1">
        <v>0</v>
      </c>
      <c r="U327" s="4">
        <v>4.3749999999999997E-2</v>
      </c>
      <c r="V327" s="1">
        <v>1080</v>
      </c>
      <c r="W327" s="1">
        <v>1910</v>
      </c>
      <c r="X327" s="1">
        <v>2990</v>
      </c>
      <c r="Y327" s="1" t="s">
        <v>51</v>
      </c>
      <c r="Z327" s="1">
        <v>2360</v>
      </c>
      <c r="AA327" s="1">
        <v>630</v>
      </c>
      <c r="AB327" s="1">
        <v>0</v>
      </c>
      <c r="AC327" s="1">
        <v>0</v>
      </c>
      <c r="AD327" s="1">
        <v>0</v>
      </c>
      <c r="AE327" s="1">
        <v>0</v>
      </c>
      <c r="AF327" s="1"/>
      <c r="AG327" s="1">
        <v>0</v>
      </c>
      <c r="AH327" s="1">
        <v>0</v>
      </c>
      <c r="AI327" s="1">
        <v>0</v>
      </c>
      <c r="AJ327" s="1">
        <v>0</v>
      </c>
      <c r="AK327" s="1">
        <v>1.9907999999999999</v>
      </c>
      <c r="AL327" s="1">
        <v>1.9907999999999999</v>
      </c>
      <c r="AM327" s="1">
        <v>1.9907999999999999</v>
      </c>
    </row>
    <row r="328" spans="1:39" x14ac:dyDescent="0.3">
      <c r="A328" s="21" t="str">
        <f t="shared" si="5"/>
        <v>HFA601LLHA2026-01-23</v>
      </c>
      <c r="B328" t="e">
        <f>VLOOKUP(A328,Sheet1!A328:B1670,1,FALSE)</f>
        <v>#N/A</v>
      </c>
      <c r="C328" s="3">
        <v>46045</v>
      </c>
      <c r="D328" s="1" t="s">
        <v>57</v>
      </c>
      <c r="E328" s="1" t="s">
        <v>38</v>
      </c>
      <c r="F328" s="1" t="s">
        <v>54</v>
      </c>
      <c r="G328" s="1" t="s">
        <v>39</v>
      </c>
      <c r="H328" s="1" t="s">
        <v>134</v>
      </c>
      <c r="I328" s="1" t="s">
        <v>41</v>
      </c>
      <c r="J328" s="1" t="s">
        <v>42</v>
      </c>
      <c r="K328" s="1" t="s">
        <v>43</v>
      </c>
      <c r="L328" s="1" t="s">
        <v>44</v>
      </c>
      <c r="M328" s="1" t="s">
        <v>45</v>
      </c>
      <c r="N328" s="1" t="s">
        <v>41</v>
      </c>
      <c r="O328" s="1" t="s">
        <v>58</v>
      </c>
      <c r="P328" s="1" t="s">
        <v>59</v>
      </c>
      <c r="Q328" s="1" t="s">
        <v>60</v>
      </c>
      <c r="R328" s="1" t="s">
        <v>45</v>
      </c>
      <c r="S328" s="1">
        <v>342</v>
      </c>
      <c r="T328" s="1">
        <v>0</v>
      </c>
      <c r="U328" s="4">
        <v>4.6527777777777779E-2</v>
      </c>
      <c r="V328" s="1">
        <v>2360</v>
      </c>
      <c r="W328" s="1">
        <v>-50</v>
      </c>
      <c r="X328" s="1">
        <v>2310</v>
      </c>
      <c r="Y328" s="1" t="s">
        <v>51</v>
      </c>
      <c r="Z328" s="1">
        <v>1550</v>
      </c>
      <c r="AA328" s="1">
        <v>760</v>
      </c>
      <c r="AB328" s="1">
        <v>0</v>
      </c>
      <c r="AC328" s="1">
        <v>0</v>
      </c>
      <c r="AD328" s="1">
        <v>0</v>
      </c>
      <c r="AE328" s="1">
        <v>0</v>
      </c>
      <c r="AF328" s="1"/>
      <c r="AG328" s="1">
        <v>0</v>
      </c>
      <c r="AH328" s="1">
        <v>0</v>
      </c>
      <c r="AI328" s="1">
        <v>0</v>
      </c>
      <c r="AJ328" s="1">
        <v>0</v>
      </c>
      <c r="AK328" s="1">
        <v>2.4016000000000002</v>
      </c>
      <c r="AL328" s="1">
        <v>2.4016000000000002</v>
      </c>
      <c r="AM328" s="1">
        <v>2.4016000000000002</v>
      </c>
    </row>
    <row r="329" spans="1:39" x14ac:dyDescent="0.3">
      <c r="A329" s="21" t="str">
        <f t="shared" si="5"/>
        <v>HFA602LLER2026-01-23</v>
      </c>
      <c r="B329" t="e">
        <f>VLOOKUP(A329,Sheet1!A329:B1671,1,FALSE)</f>
        <v>#N/A</v>
      </c>
      <c r="C329" s="3">
        <v>46045</v>
      </c>
      <c r="D329" s="1" t="s">
        <v>61</v>
      </c>
      <c r="E329" s="1" t="s">
        <v>38</v>
      </c>
      <c r="F329" s="1" t="s">
        <v>54</v>
      </c>
      <c r="G329" s="1" t="s">
        <v>39</v>
      </c>
      <c r="H329" s="1" t="s">
        <v>134</v>
      </c>
      <c r="I329" s="1" t="s">
        <v>41</v>
      </c>
      <c r="J329" s="1" t="s">
        <v>58</v>
      </c>
      <c r="K329" s="1" t="s">
        <v>59</v>
      </c>
      <c r="L329" s="1" t="s">
        <v>60</v>
      </c>
      <c r="M329" s="1" t="s">
        <v>45</v>
      </c>
      <c r="N329" s="1" t="s">
        <v>41</v>
      </c>
      <c r="O329" s="1" t="s">
        <v>42</v>
      </c>
      <c r="P329" s="1" t="s">
        <v>43</v>
      </c>
      <c r="Q329" s="1" t="s">
        <v>44</v>
      </c>
      <c r="R329" s="1" t="s">
        <v>45</v>
      </c>
      <c r="S329" s="1">
        <v>342</v>
      </c>
      <c r="T329" s="1">
        <v>0</v>
      </c>
      <c r="U329" s="4">
        <v>4.2361111111111106E-2</v>
      </c>
      <c r="V329" s="1">
        <v>1550</v>
      </c>
      <c r="W329" s="1">
        <v>650</v>
      </c>
      <c r="X329" s="1">
        <v>2200</v>
      </c>
      <c r="Y329" s="1" t="s">
        <v>51</v>
      </c>
      <c r="Z329" s="1">
        <v>1520</v>
      </c>
      <c r="AA329" s="1">
        <v>680</v>
      </c>
      <c r="AB329" s="1">
        <v>0</v>
      </c>
      <c r="AC329" s="1">
        <v>0</v>
      </c>
      <c r="AD329" s="1">
        <v>0</v>
      </c>
      <c r="AE329" s="1">
        <v>0</v>
      </c>
      <c r="AF329" s="1"/>
      <c r="AG329" s="1">
        <v>0</v>
      </c>
      <c r="AH329" s="1">
        <v>0</v>
      </c>
      <c r="AI329" s="1">
        <v>0</v>
      </c>
      <c r="AJ329" s="1">
        <v>0</v>
      </c>
      <c r="AK329" s="1">
        <v>2.1488</v>
      </c>
      <c r="AL329" s="1">
        <v>2.1488</v>
      </c>
      <c r="AM329" s="1">
        <v>2.1488</v>
      </c>
    </row>
    <row r="330" spans="1:39" x14ac:dyDescent="0.3">
      <c r="A330" s="21" t="str">
        <f t="shared" si="5"/>
        <v>HFA807LLHA2026-01-24</v>
      </c>
      <c r="B330" t="str">
        <f>VLOOKUP(A330,Sheet1!A330:B1672,1,FALSE)</f>
        <v>HFA807LLHA2026-01-24</v>
      </c>
      <c r="C330" s="3">
        <v>46046</v>
      </c>
      <c r="D330" s="1" t="s">
        <v>118</v>
      </c>
      <c r="E330" s="1" t="s">
        <v>38</v>
      </c>
      <c r="F330" s="1"/>
      <c r="G330" s="1" t="s">
        <v>39</v>
      </c>
      <c r="H330" s="1" t="s">
        <v>134</v>
      </c>
      <c r="I330" s="1" t="s">
        <v>41</v>
      </c>
      <c r="J330" s="1" t="s">
        <v>42</v>
      </c>
      <c r="K330" s="1" t="s">
        <v>43</v>
      </c>
      <c r="L330" s="1" t="s">
        <v>44</v>
      </c>
      <c r="M330" s="1" t="s">
        <v>45</v>
      </c>
      <c r="N330" s="1" t="s">
        <v>67</v>
      </c>
      <c r="O330" s="1" t="s">
        <v>86</v>
      </c>
      <c r="P330" s="1" t="s">
        <v>87</v>
      </c>
      <c r="Q330" s="1" t="s">
        <v>88</v>
      </c>
      <c r="R330" s="1" t="s">
        <v>50</v>
      </c>
      <c r="S330" s="1">
        <v>264</v>
      </c>
      <c r="T330" s="1">
        <v>0</v>
      </c>
      <c r="U330" s="4">
        <v>3.7499999999999999E-2</v>
      </c>
      <c r="V330" s="1">
        <v>1520</v>
      </c>
      <c r="W330" s="1">
        <v>0</v>
      </c>
      <c r="X330" s="1">
        <v>1520</v>
      </c>
      <c r="Y330" s="1" t="s">
        <v>51</v>
      </c>
      <c r="Z330" s="1">
        <v>920</v>
      </c>
      <c r="AA330" s="1">
        <v>600</v>
      </c>
      <c r="AB330" s="1">
        <v>0</v>
      </c>
      <c r="AC330" s="1">
        <v>0</v>
      </c>
      <c r="AD330" s="1">
        <v>0</v>
      </c>
      <c r="AE330" s="1">
        <v>0</v>
      </c>
      <c r="AF330" s="1"/>
      <c r="AG330" s="1">
        <v>0</v>
      </c>
      <c r="AH330" s="1">
        <v>0</v>
      </c>
      <c r="AI330" s="1">
        <v>0</v>
      </c>
      <c r="AJ330" s="1">
        <v>0</v>
      </c>
      <c r="AK330" s="1">
        <v>1.8959999999999999</v>
      </c>
      <c r="AL330" s="1">
        <v>1.8959999999999999</v>
      </c>
      <c r="AM330" s="1">
        <v>1.8959999999999999</v>
      </c>
    </row>
    <row r="331" spans="1:39" x14ac:dyDescent="0.3">
      <c r="A331" s="21" t="str">
        <f t="shared" si="5"/>
        <v>HFA808LCLK2026-01-24</v>
      </c>
      <c r="B331" t="str">
        <f>VLOOKUP(A331,Sheet1!A331:B1673,1,FALSE)</f>
        <v>HFA808LCLK2026-01-24</v>
      </c>
      <c r="C331" s="3">
        <v>46046</v>
      </c>
      <c r="D331" s="1" t="s">
        <v>119</v>
      </c>
      <c r="E331" s="1" t="s">
        <v>38</v>
      </c>
      <c r="F331" s="1"/>
      <c r="G331" s="1" t="s">
        <v>39</v>
      </c>
      <c r="H331" s="1" t="s">
        <v>134</v>
      </c>
      <c r="I331" s="1" t="s">
        <v>67</v>
      </c>
      <c r="J331" s="1" t="s">
        <v>86</v>
      </c>
      <c r="K331" s="1" t="s">
        <v>87</v>
      </c>
      <c r="L331" s="1" t="s">
        <v>88</v>
      </c>
      <c r="M331" s="1" t="s">
        <v>50</v>
      </c>
      <c r="N331" s="1" t="s">
        <v>41</v>
      </c>
      <c r="O331" s="1" t="s">
        <v>42</v>
      </c>
      <c r="P331" s="1" t="s">
        <v>43</v>
      </c>
      <c r="Q331" s="1" t="s">
        <v>44</v>
      </c>
      <c r="R331" s="1" t="s">
        <v>45</v>
      </c>
      <c r="S331" s="1">
        <v>264</v>
      </c>
      <c r="T331" s="1">
        <v>0</v>
      </c>
      <c r="U331" s="4">
        <v>3.8194444444444448E-2</v>
      </c>
      <c r="V331" s="1">
        <v>920</v>
      </c>
      <c r="W331" s="1">
        <v>1080</v>
      </c>
      <c r="X331" s="1">
        <v>2000</v>
      </c>
      <c r="Y331" s="1" t="s">
        <v>51</v>
      </c>
      <c r="Z331" s="1">
        <v>1440</v>
      </c>
      <c r="AA331" s="1">
        <v>560</v>
      </c>
      <c r="AB331" s="1">
        <v>0</v>
      </c>
      <c r="AC331" s="1">
        <v>0</v>
      </c>
      <c r="AD331" s="1">
        <v>0</v>
      </c>
      <c r="AE331" s="1">
        <v>0</v>
      </c>
      <c r="AF331" s="1"/>
      <c r="AG331" s="1">
        <v>0</v>
      </c>
      <c r="AH331" s="1">
        <v>0</v>
      </c>
      <c r="AI331" s="1">
        <v>0</v>
      </c>
      <c r="AJ331" s="1">
        <v>0</v>
      </c>
      <c r="AK331" s="1">
        <v>1.7696000000000001</v>
      </c>
      <c r="AL331" s="1">
        <v>1.7696000000000001</v>
      </c>
      <c r="AM331" s="1">
        <v>1.7696000000000001</v>
      </c>
    </row>
    <row r="332" spans="1:39" x14ac:dyDescent="0.3">
      <c r="A332" s="21" t="str">
        <f t="shared" si="5"/>
        <v>HFA803LLHA2026-01-25</v>
      </c>
      <c r="B332" t="str">
        <f>VLOOKUP(A332,Sheet1!A332:B1674,1,FALSE)</f>
        <v>HFA803LLHA2026-01-25</v>
      </c>
      <c r="C332" s="3">
        <v>46047</v>
      </c>
      <c r="D332" s="1" t="s">
        <v>116</v>
      </c>
      <c r="E332" s="1" t="s">
        <v>38</v>
      </c>
      <c r="F332" s="1"/>
      <c r="G332" s="1" t="s">
        <v>39</v>
      </c>
      <c r="H332" s="1" t="s">
        <v>134</v>
      </c>
      <c r="I332" s="1" t="s">
        <v>41</v>
      </c>
      <c r="J332" s="1" t="s">
        <v>42</v>
      </c>
      <c r="K332" s="1" t="s">
        <v>43</v>
      </c>
      <c r="L332" s="1" t="s">
        <v>44</v>
      </c>
      <c r="M332" s="1" t="s">
        <v>45</v>
      </c>
      <c r="N332" s="1" t="s">
        <v>67</v>
      </c>
      <c r="O332" s="1" t="s">
        <v>86</v>
      </c>
      <c r="P332" s="1" t="s">
        <v>87</v>
      </c>
      <c r="Q332" s="1" t="s">
        <v>88</v>
      </c>
      <c r="R332" s="1" t="s">
        <v>50</v>
      </c>
      <c r="S332" s="1">
        <v>264</v>
      </c>
      <c r="T332" s="1">
        <v>0</v>
      </c>
      <c r="U332" s="4">
        <v>3.6805555555555557E-2</v>
      </c>
      <c r="V332" s="1">
        <v>1440</v>
      </c>
      <c r="W332" s="1">
        <v>-30</v>
      </c>
      <c r="X332" s="1">
        <v>1410</v>
      </c>
      <c r="Y332" s="1" t="s">
        <v>51</v>
      </c>
      <c r="Z332" s="1">
        <v>880</v>
      </c>
      <c r="AA332" s="1">
        <v>530</v>
      </c>
      <c r="AB332" s="1">
        <v>0</v>
      </c>
      <c r="AC332" s="1">
        <v>0</v>
      </c>
      <c r="AD332" s="1">
        <v>0</v>
      </c>
      <c r="AE332" s="1">
        <v>0</v>
      </c>
      <c r="AF332" s="1"/>
      <c r="AG332" s="1">
        <v>0</v>
      </c>
      <c r="AH332" s="1">
        <v>0</v>
      </c>
      <c r="AI332" s="1">
        <v>0</v>
      </c>
      <c r="AJ332" s="1">
        <v>0</v>
      </c>
      <c r="AK332" s="1">
        <v>1.6748000000000001</v>
      </c>
      <c r="AL332" s="1">
        <v>1.6748000000000001</v>
      </c>
      <c r="AM332" s="1">
        <v>1.6748000000000001</v>
      </c>
    </row>
    <row r="333" spans="1:39" x14ac:dyDescent="0.3">
      <c r="A333" s="21" t="str">
        <f t="shared" si="5"/>
        <v>HFA804LCLK2026-01-25</v>
      </c>
      <c r="B333" t="str">
        <f>VLOOKUP(A333,Sheet1!A333:B1675,1,FALSE)</f>
        <v>HFA804LCLK2026-01-25</v>
      </c>
      <c r="C333" s="3">
        <v>46047</v>
      </c>
      <c r="D333" s="1" t="s">
        <v>117</v>
      </c>
      <c r="E333" s="1" t="s">
        <v>38</v>
      </c>
      <c r="F333" s="1"/>
      <c r="G333" s="1" t="s">
        <v>39</v>
      </c>
      <c r="H333" s="1" t="s">
        <v>134</v>
      </c>
      <c r="I333" s="1" t="s">
        <v>67</v>
      </c>
      <c r="J333" s="1" t="s">
        <v>86</v>
      </c>
      <c r="K333" s="1" t="s">
        <v>87</v>
      </c>
      <c r="L333" s="1" t="s">
        <v>88</v>
      </c>
      <c r="M333" s="1" t="s">
        <v>50</v>
      </c>
      <c r="N333" s="1" t="s">
        <v>41</v>
      </c>
      <c r="O333" s="1" t="s">
        <v>42</v>
      </c>
      <c r="P333" s="1" t="s">
        <v>43</v>
      </c>
      <c r="Q333" s="1" t="s">
        <v>44</v>
      </c>
      <c r="R333" s="1" t="s">
        <v>45</v>
      </c>
      <c r="S333" s="1">
        <v>264</v>
      </c>
      <c r="T333" s="1">
        <v>0</v>
      </c>
      <c r="U333" s="4">
        <v>3.8194444444444448E-2</v>
      </c>
      <c r="V333" s="1">
        <v>880</v>
      </c>
      <c r="W333" s="1">
        <v>1220</v>
      </c>
      <c r="X333" s="1">
        <v>2100</v>
      </c>
      <c r="Y333" s="1" t="s">
        <v>51</v>
      </c>
      <c r="Z333" s="1">
        <v>1530</v>
      </c>
      <c r="AA333" s="1">
        <v>570</v>
      </c>
      <c r="AB333" s="1">
        <v>0</v>
      </c>
      <c r="AC333" s="1">
        <v>0</v>
      </c>
      <c r="AD333" s="1">
        <v>0</v>
      </c>
      <c r="AE333" s="1">
        <v>0</v>
      </c>
      <c r="AF333" s="1"/>
      <c r="AG333" s="1">
        <v>0</v>
      </c>
      <c r="AH333" s="1">
        <v>0</v>
      </c>
      <c r="AI333" s="1">
        <v>0</v>
      </c>
      <c r="AJ333" s="1">
        <v>0</v>
      </c>
      <c r="AK333" s="1">
        <v>1.8011999999999999</v>
      </c>
      <c r="AL333" s="1">
        <v>1.8011999999999999</v>
      </c>
      <c r="AM333" s="1">
        <v>1.8011999999999999</v>
      </c>
    </row>
    <row r="334" spans="1:39" x14ac:dyDescent="0.3">
      <c r="A334" s="21" t="str">
        <f t="shared" si="5"/>
        <v>HFA805LLHA2026-01-25</v>
      </c>
      <c r="B334" t="str">
        <f>VLOOKUP(A334,Sheet1!A334:B1676,1,FALSE)</f>
        <v>HFA805LLHA2026-01-25</v>
      </c>
      <c r="C334" s="3">
        <v>46047</v>
      </c>
      <c r="D334" s="1" t="s">
        <v>114</v>
      </c>
      <c r="E334" s="1" t="s">
        <v>38</v>
      </c>
      <c r="F334" s="1"/>
      <c r="G334" s="1" t="s">
        <v>39</v>
      </c>
      <c r="H334" s="1" t="s">
        <v>134</v>
      </c>
      <c r="I334" s="1" t="s">
        <v>41</v>
      </c>
      <c r="J334" s="1" t="s">
        <v>42</v>
      </c>
      <c r="K334" s="1" t="s">
        <v>43</v>
      </c>
      <c r="L334" s="1" t="s">
        <v>44</v>
      </c>
      <c r="M334" s="1" t="s">
        <v>45</v>
      </c>
      <c r="N334" s="1" t="s">
        <v>67</v>
      </c>
      <c r="O334" s="1" t="s">
        <v>86</v>
      </c>
      <c r="P334" s="1" t="s">
        <v>87</v>
      </c>
      <c r="Q334" s="1" t="s">
        <v>88</v>
      </c>
      <c r="R334" s="1" t="s">
        <v>50</v>
      </c>
      <c r="S334" s="1">
        <v>264</v>
      </c>
      <c r="T334" s="1">
        <v>0</v>
      </c>
      <c r="U334" s="4">
        <v>3.6805555555555557E-2</v>
      </c>
      <c r="V334" s="1">
        <v>1530</v>
      </c>
      <c r="W334" s="1">
        <v>10</v>
      </c>
      <c r="X334" s="1">
        <v>1540</v>
      </c>
      <c r="Y334" s="1" t="s">
        <v>51</v>
      </c>
      <c r="Z334" s="1">
        <v>960</v>
      </c>
      <c r="AA334" s="1">
        <v>580</v>
      </c>
      <c r="AB334" s="1">
        <v>0</v>
      </c>
      <c r="AC334" s="1">
        <v>0</v>
      </c>
      <c r="AD334" s="1">
        <v>0</v>
      </c>
      <c r="AE334" s="1">
        <v>0</v>
      </c>
      <c r="AF334" s="1"/>
      <c r="AG334" s="1">
        <v>0</v>
      </c>
      <c r="AH334" s="1">
        <v>0</v>
      </c>
      <c r="AI334" s="1">
        <v>0</v>
      </c>
      <c r="AJ334" s="1">
        <v>0</v>
      </c>
      <c r="AK334" s="1">
        <v>1.8328</v>
      </c>
      <c r="AL334" s="1">
        <v>1.8328</v>
      </c>
      <c r="AM334" s="1">
        <v>1.8328</v>
      </c>
    </row>
    <row r="335" spans="1:39" x14ac:dyDescent="0.3">
      <c r="A335" s="21" t="str">
        <f t="shared" si="5"/>
        <v>HFA806LCLK2026-01-25</v>
      </c>
      <c r="B335" t="str">
        <f>VLOOKUP(A335,Sheet1!A335:B1677,1,FALSE)</f>
        <v>HFA806LCLK2026-01-25</v>
      </c>
      <c r="C335" s="3">
        <v>46047</v>
      </c>
      <c r="D335" s="1" t="s">
        <v>115</v>
      </c>
      <c r="E335" s="1" t="s">
        <v>38</v>
      </c>
      <c r="F335" s="1"/>
      <c r="G335" s="1" t="s">
        <v>39</v>
      </c>
      <c r="H335" s="1" t="s">
        <v>134</v>
      </c>
      <c r="I335" s="1" t="s">
        <v>67</v>
      </c>
      <c r="J335" s="1" t="s">
        <v>86</v>
      </c>
      <c r="K335" s="1" t="s">
        <v>87</v>
      </c>
      <c r="L335" s="1" t="s">
        <v>88</v>
      </c>
      <c r="M335" s="1" t="s">
        <v>50</v>
      </c>
      <c r="N335" s="1" t="s">
        <v>41</v>
      </c>
      <c r="O335" s="1" t="s">
        <v>42</v>
      </c>
      <c r="P335" s="1" t="s">
        <v>43</v>
      </c>
      <c r="Q335" s="1" t="s">
        <v>44</v>
      </c>
      <c r="R335" s="1" t="s">
        <v>45</v>
      </c>
      <c r="S335" s="1">
        <v>264</v>
      </c>
      <c r="T335" s="1">
        <v>0</v>
      </c>
      <c r="U335" s="4">
        <v>4.3055555555555555E-2</v>
      </c>
      <c r="V335" s="1">
        <v>960</v>
      </c>
      <c r="W335" s="1">
        <v>1040</v>
      </c>
      <c r="X335" s="1">
        <v>2000</v>
      </c>
      <c r="Y335" s="1" t="s">
        <v>51</v>
      </c>
      <c r="Z335" s="1">
        <v>1410</v>
      </c>
      <c r="AA335" s="1">
        <v>590</v>
      </c>
      <c r="AB335" s="1">
        <v>0</v>
      </c>
      <c r="AC335" s="1">
        <v>0</v>
      </c>
      <c r="AD335" s="1">
        <v>0</v>
      </c>
      <c r="AE335" s="1">
        <v>0</v>
      </c>
      <c r="AF335" s="1"/>
      <c r="AG335" s="1">
        <v>0</v>
      </c>
      <c r="AH335" s="1">
        <v>0</v>
      </c>
      <c r="AI335" s="1">
        <v>0</v>
      </c>
      <c r="AJ335" s="1">
        <v>0</v>
      </c>
      <c r="AK335" s="1">
        <v>1.8644000000000001</v>
      </c>
      <c r="AL335" s="1">
        <v>1.8644000000000001</v>
      </c>
      <c r="AM335" s="1">
        <v>1.8644000000000001</v>
      </c>
    </row>
    <row r="336" spans="1:39" x14ac:dyDescent="0.3">
      <c r="A336" s="21" t="str">
        <f t="shared" si="5"/>
        <v>HFA807LLHA2026-01-25</v>
      </c>
      <c r="B336" t="str">
        <f>VLOOKUP(A336,Sheet1!A336:B1678,1,FALSE)</f>
        <v>HFA807LLHA2026-01-25</v>
      </c>
      <c r="C336" s="3">
        <v>46047</v>
      </c>
      <c r="D336" s="1" t="s">
        <v>118</v>
      </c>
      <c r="E336" s="1" t="s">
        <v>38</v>
      </c>
      <c r="F336" s="1"/>
      <c r="G336" s="1" t="s">
        <v>39</v>
      </c>
      <c r="H336" s="1" t="s">
        <v>134</v>
      </c>
      <c r="I336" s="1" t="s">
        <v>41</v>
      </c>
      <c r="J336" s="1" t="s">
        <v>42</v>
      </c>
      <c r="K336" s="1" t="s">
        <v>43</v>
      </c>
      <c r="L336" s="1" t="s">
        <v>44</v>
      </c>
      <c r="M336" s="1" t="s">
        <v>45</v>
      </c>
      <c r="N336" s="1" t="s">
        <v>67</v>
      </c>
      <c r="O336" s="1" t="s">
        <v>86</v>
      </c>
      <c r="P336" s="1" t="s">
        <v>87</v>
      </c>
      <c r="Q336" s="1" t="s">
        <v>88</v>
      </c>
      <c r="R336" s="1" t="s">
        <v>50</v>
      </c>
      <c r="S336" s="1">
        <v>264</v>
      </c>
      <c r="T336" s="1">
        <v>0</v>
      </c>
      <c r="U336" s="4">
        <v>3.6805555555555557E-2</v>
      </c>
      <c r="V336" s="1">
        <v>1410</v>
      </c>
      <c r="W336" s="1">
        <v>0</v>
      </c>
      <c r="X336" s="1">
        <v>1410</v>
      </c>
      <c r="Y336" s="1" t="s">
        <v>51</v>
      </c>
      <c r="Z336" s="1">
        <v>810</v>
      </c>
      <c r="AA336" s="1">
        <v>600</v>
      </c>
      <c r="AB336" s="1">
        <v>0</v>
      </c>
      <c r="AC336" s="1">
        <v>0</v>
      </c>
      <c r="AD336" s="1">
        <v>0</v>
      </c>
      <c r="AE336" s="1">
        <v>0</v>
      </c>
      <c r="AF336" s="1"/>
      <c r="AG336" s="1">
        <v>0</v>
      </c>
      <c r="AH336" s="1">
        <v>0</v>
      </c>
      <c r="AI336" s="1">
        <v>0</v>
      </c>
      <c r="AJ336" s="1">
        <v>0</v>
      </c>
      <c r="AK336" s="1">
        <v>1.8959999999999999</v>
      </c>
      <c r="AL336" s="1">
        <v>1.8959999999999999</v>
      </c>
      <c r="AM336" s="1">
        <v>1.8959999999999999</v>
      </c>
    </row>
    <row r="337" spans="1:39" x14ac:dyDescent="0.3">
      <c r="A337" s="21" t="str">
        <f t="shared" si="5"/>
        <v>HFA808LCLK2026-01-25</v>
      </c>
      <c r="B337" t="str">
        <f>VLOOKUP(A337,Sheet1!A337:B1679,1,FALSE)</f>
        <v>HFA808LCLK2026-01-25</v>
      </c>
      <c r="C337" s="3">
        <v>46047</v>
      </c>
      <c r="D337" s="1" t="s">
        <v>119</v>
      </c>
      <c r="E337" s="1" t="s">
        <v>38</v>
      </c>
      <c r="F337" s="1"/>
      <c r="G337" s="1" t="s">
        <v>39</v>
      </c>
      <c r="H337" s="1" t="s">
        <v>134</v>
      </c>
      <c r="I337" s="1" t="s">
        <v>67</v>
      </c>
      <c r="J337" s="1" t="s">
        <v>86</v>
      </c>
      <c r="K337" s="1" t="s">
        <v>87</v>
      </c>
      <c r="L337" s="1" t="s">
        <v>88</v>
      </c>
      <c r="M337" s="1" t="s">
        <v>50</v>
      </c>
      <c r="N337" s="1" t="s">
        <v>41</v>
      </c>
      <c r="O337" s="1" t="s">
        <v>42</v>
      </c>
      <c r="P337" s="1" t="s">
        <v>43</v>
      </c>
      <c r="Q337" s="1" t="s">
        <v>44</v>
      </c>
      <c r="R337" s="1" t="s">
        <v>45</v>
      </c>
      <c r="S337" s="1">
        <v>264</v>
      </c>
      <c r="T337" s="1">
        <v>0</v>
      </c>
      <c r="U337" s="4">
        <v>3.6805555555555557E-2</v>
      </c>
      <c r="V337" s="1">
        <v>810</v>
      </c>
      <c r="W337" s="1">
        <v>1190</v>
      </c>
      <c r="X337" s="1">
        <v>2000</v>
      </c>
      <c r="Y337" s="1" t="s">
        <v>51</v>
      </c>
      <c r="Z337" s="1">
        <v>1440</v>
      </c>
      <c r="AA337" s="1">
        <v>560</v>
      </c>
      <c r="AB337" s="1">
        <v>0</v>
      </c>
      <c r="AC337" s="1">
        <v>0</v>
      </c>
      <c r="AD337" s="1">
        <v>0</v>
      </c>
      <c r="AE337" s="1">
        <v>0</v>
      </c>
      <c r="AF337" s="1"/>
      <c r="AG337" s="1">
        <v>0</v>
      </c>
      <c r="AH337" s="1">
        <v>0</v>
      </c>
      <c r="AI337" s="1">
        <v>0</v>
      </c>
      <c r="AJ337" s="1">
        <v>0</v>
      </c>
      <c r="AK337" s="1">
        <v>1.7696000000000001</v>
      </c>
      <c r="AL337" s="1">
        <v>1.7696000000000001</v>
      </c>
      <c r="AM337" s="1">
        <v>1.7696000000000001</v>
      </c>
    </row>
    <row r="338" spans="1:39" x14ac:dyDescent="0.3">
      <c r="A338" s="21" t="str">
        <f t="shared" si="5"/>
        <v>HFA801LLHA2026-01-26</v>
      </c>
      <c r="B338" t="str">
        <f>VLOOKUP(A338,Sheet1!A338:B1680,1,FALSE)</f>
        <v>HFA801LLHA2026-01-26</v>
      </c>
      <c r="C338" s="3">
        <v>46048</v>
      </c>
      <c r="D338" s="1" t="s">
        <v>133</v>
      </c>
      <c r="E338" s="1" t="s">
        <v>38</v>
      </c>
      <c r="F338" s="1"/>
      <c r="G338" s="1" t="s">
        <v>39</v>
      </c>
      <c r="H338" s="1" t="s">
        <v>134</v>
      </c>
      <c r="I338" s="1" t="s">
        <v>41</v>
      </c>
      <c r="J338" s="1" t="s">
        <v>42</v>
      </c>
      <c r="K338" s="1" t="s">
        <v>43</v>
      </c>
      <c r="L338" s="1" t="s">
        <v>44</v>
      </c>
      <c r="M338" s="1" t="s">
        <v>45</v>
      </c>
      <c r="N338" s="1" t="s">
        <v>67</v>
      </c>
      <c r="O338" s="1" t="s">
        <v>86</v>
      </c>
      <c r="P338" s="1" t="s">
        <v>87</v>
      </c>
      <c r="Q338" s="1" t="s">
        <v>88</v>
      </c>
      <c r="R338" s="1" t="s">
        <v>50</v>
      </c>
      <c r="S338" s="1">
        <v>264</v>
      </c>
      <c r="T338" s="1">
        <v>0</v>
      </c>
      <c r="U338" s="4">
        <v>3.888888888888889E-2</v>
      </c>
      <c r="V338" s="1">
        <v>1440</v>
      </c>
      <c r="W338" s="1">
        <v>-50</v>
      </c>
      <c r="X338" s="1">
        <v>1390</v>
      </c>
      <c r="Y338" s="1" t="s">
        <v>51</v>
      </c>
      <c r="Z338" s="1">
        <v>860</v>
      </c>
      <c r="AA338" s="1">
        <v>530</v>
      </c>
      <c r="AB338" s="1">
        <v>0</v>
      </c>
      <c r="AC338" s="1">
        <v>0</v>
      </c>
      <c r="AD338" s="1">
        <v>0</v>
      </c>
      <c r="AE338" s="1">
        <v>0</v>
      </c>
      <c r="AF338" s="1"/>
      <c r="AG338" s="1">
        <v>0</v>
      </c>
      <c r="AH338" s="1">
        <v>0</v>
      </c>
      <c r="AI338" s="1">
        <v>0</v>
      </c>
      <c r="AJ338" s="1">
        <v>0</v>
      </c>
      <c r="AK338" s="1">
        <v>1.6748000000000001</v>
      </c>
      <c r="AL338" s="1">
        <v>1.6748000000000001</v>
      </c>
      <c r="AM338" s="1">
        <v>1.6748000000000001</v>
      </c>
    </row>
    <row r="339" spans="1:39" x14ac:dyDescent="0.3">
      <c r="A339" s="21" t="str">
        <f t="shared" si="5"/>
        <v>HFA802LCLK2026-01-26</v>
      </c>
      <c r="B339" t="str">
        <f>VLOOKUP(A339,Sheet1!A339:B1681,1,FALSE)</f>
        <v>HFA802LCLK2026-01-26</v>
      </c>
      <c r="C339" s="3">
        <v>46048</v>
      </c>
      <c r="D339" s="1" t="s">
        <v>135</v>
      </c>
      <c r="E339" s="1" t="s">
        <v>38</v>
      </c>
      <c r="F339" s="1"/>
      <c r="G339" s="1" t="s">
        <v>39</v>
      </c>
      <c r="H339" s="1" t="s">
        <v>134</v>
      </c>
      <c r="I339" s="1" t="s">
        <v>67</v>
      </c>
      <c r="J339" s="1" t="s">
        <v>86</v>
      </c>
      <c r="K339" s="1" t="s">
        <v>87</v>
      </c>
      <c r="L339" s="1" t="s">
        <v>88</v>
      </c>
      <c r="M339" s="1" t="s">
        <v>50</v>
      </c>
      <c r="N339" s="1" t="s">
        <v>41</v>
      </c>
      <c r="O339" s="1" t="s">
        <v>42</v>
      </c>
      <c r="P339" s="1" t="s">
        <v>43</v>
      </c>
      <c r="Q339" s="1" t="s">
        <v>44</v>
      </c>
      <c r="R339" s="1" t="s">
        <v>45</v>
      </c>
      <c r="S339" s="1">
        <v>264</v>
      </c>
      <c r="T339" s="1">
        <v>0</v>
      </c>
      <c r="U339" s="4">
        <v>3.8194444444444448E-2</v>
      </c>
      <c r="V339" s="1">
        <v>860</v>
      </c>
      <c r="W339" s="1">
        <v>1540</v>
      </c>
      <c r="X339" s="1">
        <v>2400</v>
      </c>
      <c r="Y339" s="1" t="s">
        <v>51</v>
      </c>
      <c r="Z339" s="1">
        <v>1840</v>
      </c>
      <c r="AA339" s="1">
        <v>560</v>
      </c>
      <c r="AB339" s="1">
        <v>0</v>
      </c>
      <c r="AC339" s="1">
        <v>0</v>
      </c>
      <c r="AD339" s="1">
        <v>0</v>
      </c>
      <c r="AE339" s="1">
        <v>0</v>
      </c>
      <c r="AF339" s="1"/>
      <c r="AG339" s="1">
        <v>0</v>
      </c>
      <c r="AH339" s="1">
        <v>0</v>
      </c>
      <c r="AI339" s="1">
        <v>0</v>
      </c>
      <c r="AJ339" s="1">
        <v>0</v>
      </c>
      <c r="AK339" s="1">
        <v>1.7696000000000001</v>
      </c>
      <c r="AL339" s="1">
        <v>1.7696000000000001</v>
      </c>
      <c r="AM339" s="1">
        <v>1.7696000000000001</v>
      </c>
    </row>
    <row r="340" spans="1:39" x14ac:dyDescent="0.3">
      <c r="A340" s="21" t="str">
        <f t="shared" si="5"/>
        <v>HFA601LLHA2026-01-26</v>
      </c>
      <c r="B340" t="e">
        <f>VLOOKUP(A340,Sheet1!A340:B1682,1,FALSE)</f>
        <v>#N/A</v>
      </c>
      <c r="C340" s="3">
        <v>46048</v>
      </c>
      <c r="D340" s="1" t="s">
        <v>57</v>
      </c>
      <c r="E340" s="1" t="s">
        <v>38</v>
      </c>
      <c r="F340" s="1" t="s">
        <v>54</v>
      </c>
      <c r="G340" s="1" t="s">
        <v>39</v>
      </c>
      <c r="H340" s="1" t="s">
        <v>134</v>
      </c>
      <c r="I340" s="1" t="s">
        <v>41</v>
      </c>
      <c r="J340" s="1" t="s">
        <v>42</v>
      </c>
      <c r="K340" s="1" t="s">
        <v>43</v>
      </c>
      <c r="L340" s="1" t="s">
        <v>44</v>
      </c>
      <c r="M340" s="1" t="s">
        <v>45</v>
      </c>
      <c r="N340" s="1" t="s">
        <v>41</v>
      </c>
      <c r="O340" s="1" t="s">
        <v>58</v>
      </c>
      <c r="P340" s="1" t="s">
        <v>59</v>
      </c>
      <c r="Q340" s="1" t="s">
        <v>60</v>
      </c>
      <c r="R340" s="1" t="s">
        <v>45</v>
      </c>
      <c r="S340" s="1">
        <v>342</v>
      </c>
      <c r="T340" s="1">
        <v>0</v>
      </c>
      <c r="U340" s="4">
        <v>4.9999999999999996E-2</v>
      </c>
      <c r="V340" s="1">
        <v>1840</v>
      </c>
      <c r="W340" s="1">
        <v>0</v>
      </c>
      <c r="X340" s="1">
        <v>1840</v>
      </c>
      <c r="Y340" s="1" t="s">
        <v>51</v>
      </c>
      <c r="Z340" s="1">
        <v>1030</v>
      </c>
      <c r="AA340" s="1">
        <v>810</v>
      </c>
      <c r="AB340" s="1">
        <v>0</v>
      </c>
      <c r="AC340" s="1">
        <v>0</v>
      </c>
      <c r="AD340" s="1">
        <v>0</v>
      </c>
      <c r="AE340" s="1">
        <v>0</v>
      </c>
      <c r="AF340" s="1"/>
      <c r="AG340" s="1">
        <v>0</v>
      </c>
      <c r="AH340" s="1">
        <v>0</v>
      </c>
      <c r="AI340" s="1">
        <v>0</v>
      </c>
      <c r="AJ340" s="1">
        <v>0</v>
      </c>
      <c r="AK340" s="1">
        <v>2.5596000000000001</v>
      </c>
      <c r="AL340" s="1">
        <v>2.5596000000000001</v>
      </c>
      <c r="AM340" s="1">
        <v>2.5596000000000001</v>
      </c>
    </row>
    <row r="341" spans="1:39" x14ac:dyDescent="0.3">
      <c r="A341" s="21" t="str">
        <f t="shared" si="5"/>
        <v>HFA602LLER2026-01-26</v>
      </c>
      <c r="B341" t="e">
        <f>VLOOKUP(A341,Sheet1!A341:B1683,1,FALSE)</f>
        <v>#N/A</v>
      </c>
      <c r="C341" s="3">
        <v>46048</v>
      </c>
      <c r="D341" s="1" t="s">
        <v>61</v>
      </c>
      <c r="E341" s="1" t="s">
        <v>38</v>
      </c>
      <c r="F341" s="1" t="s">
        <v>54</v>
      </c>
      <c r="G341" s="1" t="s">
        <v>39</v>
      </c>
      <c r="H341" s="1" t="s">
        <v>134</v>
      </c>
      <c r="I341" s="1" t="s">
        <v>41</v>
      </c>
      <c r="J341" s="1" t="s">
        <v>58</v>
      </c>
      <c r="K341" s="1" t="s">
        <v>59</v>
      </c>
      <c r="L341" s="1" t="s">
        <v>60</v>
      </c>
      <c r="M341" s="1" t="s">
        <v>45</v>
      </c>
      <c r="N341" s="1" t="s">
        <v>41</v>
      </c>
      <c r="O341" s="1" t="s">
        <v>42</v>
      </c>
      <c r="P341" s="1" t="s">
        <v>43</v>
      </c>
      <c r="Q341" s="1" t="s">
        <v>44</v>
      </c>
      <c r="R341" s="1" t="s">
        <v>45</v>
      </c>
      <c r="S341" s="1">
        <v>342</v>
      </c>
      <c r="T341" s="1">
        <v>0</v>
      </c>
      <c r="U341" s="4">
        <v>3.9583333333333331E-2</v>
      </c>
      <c r="V341" s="1">
        <v>1030</v>
      </c>
      <c r="W341" s="1">
        <v>1070</v>
      </c>
      <c r="X341" s="1">
        <v>2100</v>
      </c>
      <c r="Y341" s="1" t="s">
        <v>51</v>
      </c>
      <c r="Z341" s="1">
        <v>1420</v>
      </c>
      <c r="AA341" s="1">
        <v>680</v>
      </c>
      <c r="AB341" s="1">
        <v>0</v>
      </c>
      <c r="AC341" s="1">
        <v>0</v>
      </c>
      <c r="AD341" s="1">
        <v>0</v>
      </c>
      <c r="AE341" s="1">
        <v>0</v>
      </c>
      <c r="AF341" s="1"/>
      <c r="AG341" s="1">
        <v>0</v>
      </c>
      <c r="AH341" s="1">
        <v>0</v>
      </c>
      <c r="AI341" s="1">
        <v>0</v>
      </c>
      <c r="AJ341" s="1">
        <v>0</v>
      </c>
      <c r="AK341" s="1">
        <v>2.1488</v>
      </c>
      <c r="AL341" s="1">
        <v>2.1488</v>
      </c>
      <c r="AM341" s="1">
        <v>2.1488</v>
      </c>
    </row>
    <row r="342" spans="1:39" x14ac:dyDescent="0.3">
      <c r="A342" s="21" t="str">
        <f t="shared" si="5"/>
        <v>HFA807LLHA2026-01-26</v>
      </c>
      <c r="B342" t="str">
        <f>VLOOKUP(A342,Sheet1!A342:B1684,1,FALSE)</f>
        <v>HFA807LLHA2026-01-26</v>
      </c>
      <c r="C342" s="3">
        <v>46048</v>
      </c>
      <c r="D342" s="1" t="s">
        <v>118</v>
      </c>
      <c r="E342" s="1" t="s">
        <v>38</v>
      </c>
      <c r="F342" s="1"/>
      <c r="G342" s="1" t="s">
        <v>39</v>
      </c>
      <c r="H342" s="1" t="s">
        <v>134</v>
      </c>
      <c r="I342" s="1" t="s">
        <v>41</v>
      </c>
      <c r="J342" s="1" t="s">
        <v>42</v>
      </c>
      <c r="K342" s="1" t="s">
        <v>43</v>
      </c>
      <c r="L342" s="1" t="s">
        <v>44</v>
      </c>
      <c r="M342" s="1" t="s">
        <v>45</v>
      </c>
      <c r="N342" s="1" t="s">
        <v>67</v>
      </c>
      <c r="O342" s="1" t="s">
        <v>86</v>
      </c>
      <c r="P342" s="1" t="s">
        <v>87</v>
      </c>
      <c r="Q342" s="1" t="s">
        <v>88</v>
      </c>
      <c r="R342" s="1" t="s">
        <v>50</v>
      </c>
      <c r="S342" s="1">
        <v>264</v>
      </c>
      <c r="T342" s="1">
        <v>0</v>
      </c>
      <c r="U342" s="4">
        <v>3.6111111111111108E-2</v>
      </c>
      <c r="V342" s="1">
        <v>1420</v>
      </c>
      <c r="W342" s="1">
        <v>-20</v>
      </c>
      <c r="X342" s="1">
        <v>1400</v>
      </c>
      <c r="Y342" s="1" t="s">
        <v>51</v>
      </c>
      <c r="Z342" s="1">
        <v>870</v>
      </c>
      <c r="AA342" s="1">
        <v>530</v>
      </c>
      <c r="AB342" s="1">
        <v>0</v>
      </c>
      <c r="AC342" s="1">
        <v>0</v>
      </c>
      <c r="AD342" s="1">
        <v>0</v>
      </c>
      <c r="AE342" s="1">
        <v>0</v>
      </c>
      <c r="AF342" s="1"/>
      <c r="AG342" s="1">
        <v>0</v>
      </c>
      <c r="AH342" s="1">
        <v>0</v>
      </c>
      <c r="AI342" s="1">
        <v>0</v>
      </c>
      <c r="AJ342" s="1">
        <v>0</v>
      </c>
      <c r="AK342" s="1">
        <v>1.6748000000000001</v>
      </c>
      <c r="AL342" s="1">
        <v>1.6748000000000001</v>
      </c>
      <c r="AM342" s="1">
        <v>1.6748000000000001</v>
      </c>
    </row>
    <row r="343" spans="1:39" x14ac:dyDescent="0.3">
      <c r="A343" s="21" t="str">
        <f t="shared" si="5"/>
        <v>HFA808LCLK2026-01-26</v>
      </c>
      <c r="B343" t="str">
        <f>VLOOKUP(A343,Sheet1!A343:B1685,1,FALSE)</f>
        <v>HFA808LCLK2026-01-26</v>
      </c>
      <c r="C343" s="3">
        <v>46048</v>
      </c>
      <c r="D343" s="1" t="s">
        <v>119</v>
      </c>
      <c r="E343" s="1" t="s">
        <v>38</v>
      </c>
      <c r="F343" s="1"/>
      <c r="G343" s="1" t="s">
        <v>39</v>
      </c>
      <c r="H343" s="1" t="s">
        <v>134</v>
      </c>
      <c r="I343" s="1" t="s">
        <v>67</v>
      </c>
      <c r="J343" s="1" t="s">
        <v>86</v>
      </c>
      <c r="K343" s="1" t="s">
        <v>87</v>
      </c>
      <c r="L343" s="1" t="s">
        <v>88</v>
      </c>
      <c r="M343" s="1" t="s">
        <v>50</v>
      </c>
      <c r="N343" s="1" t="s">
        <v>41</v>
      </c>
      <c r="O343" s="1" t="s">
        <v>42</v>
      </c>
      <c r="P343" s="1" t="s">
        <v>43</v>
      </c>
      <c r="Q343" s="1" t="s">
        <v>44</v>
      </c>
      <c r="R343" s="1" t="s">
        <v>45</v>
      </c>
      <c r="S343" s="1">
        <v>264</v>
      </c>
      <c r="T343" s="1">
        <v>0</v>
      </c>
      <c r="U343" s="4">
        <v>4.2361111111111106E-2</v>
      </c>
      <c r="V343" s="1">
        <v>870</v>
      </c>
      <c r="W343" s="1">
        <v>1530</v>
      </c>
      <c r="X343" s="1">
        <v>2400</v>
      </c>
      <c r="Y343" s="1" t="s">
        <v>51</v>
      </c>
      <c r="Z343" s="1">
        <v>1850</v>
      </c>
      <c r="AA343" s="1">
        <v>550</v>
      </c>
      <c r="AB343" s="1">
        <v>0</v>
      </c>
      <c r="AC343" s="1">
        <v>0</v>
      </c>
      <c r="AD343" s="1">
        <v>0</v>
      </c>
      <c r="AE343" s="1">
        <v>0</v>
      </c>
      <c r="AF343" s="1"/>
      <c r="AG343" s="1">
        <v>0</v>
      </c>
      <c r="AH343" s="1">
        <v>0</v>
      </c>
      <c r="AI343" s="1">
        <v>0</v>
      </c>
      <c r="AJ343" s="1">
        <v>0</v>
      </c>
      <c r="AK343" s="1">
        <v>1.738</v>
      </c>
      <c r="AL343" s="1">
        <v>1.738</v>
      </c>
      <c r="AM343" s="1">
        <v>1.738</v>
      </c>
    </row>
    <row r="344" spans="1:39" x14ac:dyDescent="0.3">
      <c r="A344" s="21" t="str">
        <f t="shared" si="5"/>
        <v>HFA605LLHA2026-01-27</v>
      </c>
      <c r="B344" t="str">
        <f>VLOOKUP(A344,Sheet1!A344:B1686,1,FALSE)</f>
        <v>HFA605LLHA2026-01-27</v>
      </c>
      <c r="C344" s="3">
        <v>46049</v>
      </c>
      <c r="D344" s="1" t="s">
        <v>62</v>
      </c>
      <c r="E344" s="1" t="s">
        <v>38</v>
      </c>
      <c r="F344" s="1" t="s">
        <v>54</v>
      </c>
      <c r="G344" s="1" t="s">
        <v>39</v>
      </c>
      <c r="H344" s="1" t="s">
        <v>134</v>
      </c>
      <c r="I344" s="1" t="s">
        <v>41</v>
      </c>
      <c r="J344" s="1" t="s">
        <v>42</v>
      </c>
      <c r="K344" s="1" t="s">
        <v>43</v>
      </c>
      <c r="L344" s="1" t="s">
        <v>44</v>
      </c>
      <c r="M344" s="1" t="s">
        <v>45</v>
      </c>
      <c r="N344" s="1" t="s">
        <v>41</v>
      </c>
      <c r="O344" s="1" t="s">
        <v>58</v>
      </c>
      <c r="P344" s="1" t="s">
        <v>59</v>
      </c>
      <c r="Q344" s="1" t="s">
        <v>60</v>
      </c>
      <c r="R344" s="1" t="s">
        <v>45</v>
      </c>
      <c r="S344" s="1">
        <v>342</v>
      </c>
      <c r="T344" s="1">
        <v>0</v>
      </c>
      <c r="U344" s="4">
        <v>4.6527777777777779E-2</v>
      </c>
      <c r="V344" s="1">
        <v>1850</v>
      </c>
      <c r="W344" s="1">
        <v>-10</v>
      </c>
      <c r="X344" s="1">
        <v>1840</v>
      </c>
      <c r="Y344" s="1" t="s">
        <v>51</v>
      </c>
      <c r="Z344" s="1">
        <v>1050</v>
      </c>
      <c r="AA344" s="1">
        <v>790</v>
      </c>
      <c r="AB344" s="1">
        <v>0</v>
      </c>
      <c r="AC344" s="1">
        <v>0</v>
      </c>
      <c r="AD344" s="1">
        <v>0</v>
      </c>
      <c r="AE344" s="1">
        <v>0</v>
      </c>
      <c r="AF344" s="1"/>
      <c r="AG344" s="1">
        <v>0</v>
      </c>
      <c r="AH344" s="1">
        <v>0</v>
      </c>
      <c r="AI344" s="1">
        <v>0</v>
      </c>
      <c r="AJ344" s="1">
        <v>0</v>
      </c>
      <c r="AK344" s="1">
        <v>2.4964</v>
      </c>
      <c r="AL344" s="1">
        <v>2.4964</v>
      </c>
      <c r="AM344" s="1">
        <v>2.4964</v>
      </c>
    </row>
    <row r="345" spans="1:39" x14ac:dyDescent="0.3">
      <c r="A345" s="21" t="str">
        <f t="shared" si="5"/>
        <v>HFA606LLER2026-01-27</v>
      </c>
      <c r="B345" t="str">
        <f>VLOOKUP(A345,Sheet1!A345:B1687,1,FALSE)</f>
        <v>HFA606LLER2026-01-27</v>
      </c>
      <c r="C345" s="3">
        <v>46049</v>
      </c>
      <c r="D345" s="1" t="s">
        <v>63</v>
      </c>
      <c r="E345" s="1" t="s">
        <v>38</v>
      </c>
      <c r="F345" s="1" t="s">
        <v>54</v>
      </c>
      <c r="G345" s="1" t="s">
        <v>39</v>
      </c>
      <c r="H345" s="1" t="s">
        <v>134</v>
      </c>
      <c r="I345" s="1" t="s">
        <v>41</v>
      </c>
      <c r="J345" s="1" t="s">
        <v>58</v>
      </c>
      <c r="K345" s="1" t="s">
        <v>59</v>
      </c>
      <c r="L345" s="1" t="s">
        <v>60</v>
      </c>
      <c r="M345" s="1" t="s">
        <v>45</v>
      </c>
      <c r="N345" s="1" t="s">
        <v>41</v>
      </c>
      <c r="O345" s="1" t="s">
        <v>42</v>
      </c>
      <c r="P345" s="1" t="s">
        <v>43</v>
      </c>
      <c r="Q345" s="1" t="s">
        <v>44</v>
      </c>
      <c r="R345" s="1" t="s">
        <v>45</v>
      </c>
      <c r="S345" s="1">
        <v>342</v>
      </c>
      <c r="T345" s="1">
        <v>0</v>
      </c>
      <c r="U345" s="4">
        <v>3.9583333333333331E-2</v>
      </c>
      <c r="V345" s="1">
        <v>1050</v>
      </c>
      <c r="W345" s="1">
        <v>1150</v>
      </c>
      <c r="X345" s="1">
        <v>2200</v>
      </c>
      <c r="Y345" s="1" t="s">
        <v>51</v>
      </c>
      <c r="Z345" s="1">
        <v>1540</v>
      </c>
      <c r="AA345" s="1">
        <v>660</v>
      </c>
      <c r="AB345" s="1">
        <v>0</v>
      </c>
      <c r="AC345" s="1">
        <v>0</v>
      </c>
      <c r="AD345" s="1">
        <v>0</v>
      </c>
      <c r="AE345" s="1">
        <v>0</v>
      </c>
      <c r="AF345" s="1"/>
      <c r="AG345" s="1">
        <v>0</v>
      </c>
      <c r="AH345" s="1">
        <v>0</v>
      </c>
      <c r="AI345" s="1">
        <v>0</v>
      </c>
      <c r="AJ345" s="1">
        <v>0</v>
      </c>
      <c r="AK345" s="1">
        <v>2.0855999999999999</v>
      </c>
      <c r="AL345" s="1">
        <v>2.0855999999999999</v>
      </c>
      <c r="AM345" s="1">
        <v>2.0855999999999999</v>
      </c>
    </row>
    <row r="346" spans="1:39" x14ac:dyDescent="0.3">
      <c r="A346" s="21" t="str">
        <f t="shared" si="5"/>
        <v>HFA807LLHA2026-01-27</v>
      </c>
      <c r="B346" t="str">
        <f>VLOOKUP(A346,Sheet1!A346:B1688,1,FALSE)</f>
        <v>HFA807LLHA2026-01-27</v>
      </c>
      <c r="C346" s="3">
        <v>46049</v>
      </c>
      <c r="D346" s="1" t="s">
        <v>118</v>
      </c>
      <c r="E346" s="1" t="s">
        <v>38</v>
      </c>
      <c r="F346" s="1"/>
      <c r="G346" s="1" t="s">
        <v>39</v>
      </c>
      <c r="H346" s="1" t="s">
        <v>134</v>
      </c>
      <c r="I346" s="1" t="s">
        <v>41</v>
      </c>
      <c r="J346" s="1" t="s">
        <v>42</v>
      </c>
      <c r="K346" s="1" t="s">
        <v>43</v>
      </c>
      <c r="L346" s="1" t="s">
        <v>44</v>
      </c>
      <c r="M346" s="1" t="s">
        <v>45</v>
      </c>
      <c r="N346" s="1" t="s">
        <v>67</v>
      </c>
      <c r="O346" s="1" t="s">
        <v>86</v>
      </c>
      <c r="P346" s="1" t="s">
        <v>87</v>
      </c>
      <c r="Q346" s="1" t="s">
        <v>88</v>
      </c>
      <c r="R346" s="1" t="s">
        <v>50</v>
      </c>
      <c r="S346" s="1">
        <v>264</v>
      </c>
      <c r="T346" s="1">
        <v>0</v>
      </c>
      <c r="U346" s="4">
        <v>3.888888888888889E-2</v>
      </c>
      <c r="V346" s="1">
        <v>1540</v>
      </c>
      <c r="W346" s="1">
        <v>-10</v>
      </c>
      <c r="X346" s="1">
        <v>1530</v>
      </c>
      <c r="Y346" s="1" t="s">
        <v>51</v>
      </c>
      <c r="Z346" s="1">
        <v>990</v>
      </c>
      <c r="AA346" s="1">
        <v>540</v>
      </c>
      <c r="AB346" s="1">
        <v>0</v>
      </c>
      <c r="AC346" s="1">
        <v>0</v>
      </c>
      <c r="AD346" s="1">
        <v>0</v>
      </c>
      <c r="AE346" s="1">
        <v>0</v>
      </c>
      <c r="AF346" s="1"/>
      <c r="AG346" s="1">
        <v>0</v>
      </c>
      <c r="AH346" s="1">
        <v>0</v>
      </c>
      <c r="AI346" s="1">
        <v>0</v>
      </c>
      <c r="AJ346" s="1">
        <v>0</v>
      </c>
      <c r="AK346" s="1">
        <v>1.7063999999999999</v>
      </c>
      <c r="AL346" s="1">
        <v>1.7063999999999999</v>
      </c>
      <c r="AM346" s="1">
        <v>1.7063999999999999</v>
      </c>
    </row>
    <row r="347" spans="1:39" x14ac:dyDescent="0.3">
      <c r="A347" s="21" t="str">
        <f t="shared" si="5"/>
        <v>HFA808LCLK2026-01-27</v>
      </c>
      <c r="B347" t="str">
        <f>VLOOKUP(A347,Sheet1!A347:B1689,1,FALSE)</f>
        <v>HFA808LCLK2026-01-27</v>
      </c>
      <c r="C347" s="3">
        <v>46049</v>
      </c>
      <c r="D347" s="1" t="s">
        <v>119</v>
      </c>
      <c r="E347" s="1" t="s">
        <v>38</v>
      </c>
      <c r="F347" s="1"/>
      <c r="G347" s="1" t="s">
        <v>39</v>
      </c>
      <c r="H347" s="1" t="s">
        <v>134</v>
      </c>
      <c r="I347" s="1" t="s">
        <v>67</v>
      </c>
      <c r="J347" s="1" t="s">
        <v>86</v>
      </c>
      <c r="K347" s="1" t="s">
        <v>87</v>
      </c>
      <c r="L347" s="1" t="s">
        <v>88</v>
      </c>
      <c r="M347" s="1" t="s">
        <v>50</v>
      </c>
      <c r="N347" s="1" t="s">
        <v>41</v>
      </c>
      <c r="O347" s="1" t="s">
        <v>42</v>
      </c>
      <c r="P347" s="1" t="s">
        <v>43</v>
      </c>
      <c r="Q347" s="1" t="s">
        <v>44</v>
      </c>
      <c r="R347" s="1" t="s">
        <v>45</v>
      </c>
      <c r="S347" s="1">
        <v>264</v>
      </c>
      <c r="T347" s="1">
        <v>0</v>
      </c>
      <c r="U347" s="4">
        <v>3.888888888888889E-2</v>
      </c>
      <c r="V347" s="1">
        <v>990</v>
      </c>
      <c r="W347" s="1">
        <v>1110</v>
      </c>
      <c r="X347" s="1">
        <v>2100</v>
      </c>
      <c r="Y347" s="1" t="s">
        <v>51</v>
      </c>
      <c r="Z347" s="1">
        <v>1560</v>
      </c>
      <c r="AA347" s="1">
        <v>540</v>
      </c>
      <c r="AB347" s="1">
        <v>0</v>
      </c>
      <c r="AC347" s="1">
        <v>0</v>
      </c>
      <c r="AD347" s="1">
        <v>0</v>
      </c>
      <c r="AE347" s="1">
        <v>0</v>
      </c>
      <c r="AF347" s="1"/>
      <c r="AG347" s="1">
        <v>0</v>
      </c>
      <c r="AH347" s="1">
        <v>0</v>
      </c>
      <c r="AI347" s="1">
        <v>0</v>
      </c>
      <c r="AJ347" s="1">
        <v>0</v>
      </c>
      <c r="AK347" s="1">
        <v>1.7063999999999999</v>
      </c>
      <c r="AL347" s="1">
        <v>1.7063999999999999</v>
      </c>
      <c r="AM347" s="1">
        <v>1.7063999999999999</v>
      </c>
    </row>
    <row r="348" spans="1:39" x14ac:dyDescent="0.3">
      <c r="A348" s="21" t="str">
        <f t="shared" si="5"/>
        <v>HFA801LLHA2026-01-28</v>
      </c>
      <c r="B348" t="str">
        <f>VLOOKUP(A348,Sheet1!A348:B1690,1,FALSE)</f>
        <v>HFA801LLHA2026-01-28</v>
      </c>
      <c r="C348" s="3">
        <v>46050</v>
      </c>
      <c r="D348" s="1" t="s">
        <v>133</v>
      </c>
      <c r="E348" s="1" t="s">
        <v>38</v>
      </c>
      <c r="F348" s="1"/>
      <c r="G348" s="1" t="s">
        <v>39</v>
      </c>
      <c r="H348" s="1" t="s">
        <v>134</v>
      </c>
      <c r="I348" s="1" t="s">
        <v>41</v>
      </c>
      <c r="J348" s="1" t="s">
        <v>42</v>
      </c>
      <c r="K348" s="1" t="s">
        <v>43</v>
      </c>
      <c r="L348" s="1" t="s">
        <v>44</v>
      </c>
      <c r="M348" s="1" t="s">
        <v>45</v>
      </c>
      <c r="N348" s="1" t="s">
        <v>67</v>
      </c>
      <c r="O348" s="1" t="s">
        <v>86</v>
      </c>
      <c r="P348" s="1" t="s">
        <v>87</v>
      </c>
      <c r="Q348" s="1" t="s">
        <v>88</v>
      </c>
      <c r="R348" s="1" t="s">
        <v>50</v>
      </c>
      <c r="S348" s="1">
        <v>264</v>
      </c>
      <c r="T348" s="1">
        <v>0</v>
      </c>
      <c r="U348" s="4">
        <v>4.0972222222222222E-2</v>
      </c>
      <c r="V348" s="1">
        <v>1560</v>
      </c>
      <c r="W348" s="1">
        <v>-30</v>
      </c>
      <c r="X348" s="1">
        <v>1530</v>
      </c>
      <c r="Y348" s="1" t="s">
        <v>51</v>
      </c>
      <c r="Z348" s="1">
        <v>980</v>
      </c>
      <c r="AA348" s="1">
        <v>550</v>
      </c>
      <c r="AB348" s="1">
        <v>0</v>
      </c>
      <c r="AC348" s="1">
        <v>0</v>
      </c>
      <c r="AD348" s="1">
        <v>0</v>
      </c>
      <c r="AE348" s="1">
        <v>0</v>
      </c>
      <c r="AF348" s="1"/>
      <c r="AG348" s="1">
        <v>0</v>
      </c>
      <c r="AH348" s="1">
        <v>0</v>
      </c>
      <c r="AI348" s="1">
        <v>0</v>
      </c>
      <c r="AJ348" s="1">
        <v>0</v>
      </c>
      <c r="AK348" s="1">
        <v>1.738</v>
      </c>
      <c r="AL348" s="1">
        <v>1.738</v>
      </c>
      <c r="AM348" s="1">
        <v>1.738</v>
      </c>
    </row>
    <row r="349" spans="1:39" x14ac:dyDescent="0.3">
      <c r="A349" s="21" t="str">
        <f t="shared" si="5"/>
        <v>HFA802LCLK2026-01-28</v>
      </c>
      <c r="B349" t="str">
        <f>VLOOKUP(A349,Sheet1!A349:B1691,1,FALSE)</f>
        <v>HFA802LCLK2026-01-28</v>
      </c>
      <c r="C349" s="3">
        <v>46050</v>
      </c>
      <c r="D349" s="1" t="s">
        <v>135</v>
      </c>
      <c r="E349" s="1" t="s">
        <v>38</v>
      </c>
      <c r="F349" s="1"/>
      <c r="G349" s="1" t="s">
        <v>39</v>
      </c>
      <c r="H349" s="1" t="s">
        <v>134</v>
      </c>
      <c r="I349" s="1" t="s">
        <v>67</v>
      </c>
      <c r="J349" s="1" t="s">
        <v>86</v>
      </c>
      <c r="K349" s="1" t="s">
        <v>87</v>
      </c>
      <c r="L349" s="1" t="s">
        <v>88</v>
      </c>
      <c r="M349" s="1" t="s">
        <v>50</v>
      </c>
      <c r="N349" s="1" t="s">
        <v>41</v>
      </c>
      <c r="O349" s="1" t="s">
        <v>42</v>
      </c>
      <c r="P349" s="1" t="s">
        <v>43</v>
      </c>
      <c r="Q349" s="1" t="s">
        <v>44</v>
      </c>
      <c r="R349" s="1" t="s">
        <v>45</v>
      </c>
      <c r="S349" s="1">
        <v>264</v>
      </c>
      <c r="T349" s="1">
        <v>0</v>
      </c>
      <c r="U349" s="4">
        <v>3.6111111111111108E-2</v>
      </c>
      <c r="V349" s="1">
        <v>980</v>
      </c>
      <c r="W349" s="1">
        <v>1420</v>
      </c>
      <c r="X349" s="1">
        <v>2400</v>
      </c>
      <c r="Y349" s="1" t="s">
        <v>51</v>
      </c>
      <c r="Z349" s="1">
        <v>1930</v>
      </c>
      <c r="AA349" s="1">
        <v>470</v>
      </c>
      <c r="AB349" s="1">
        <v>0</v>
      </c>
      <c r="AC349" s="1">
        <v>0</v>
      </c>
      <c r="AD349" s="1">
        <v>0</v>
      </c>
      <c r="AE349" s="1">
        <v>0</v>
      </c>
      <c r="AF349" s="1"/>
      <c r="AG349" s="1">
        <v>0</v>
      </c>
      <c r="AH349" s="1">
        <v>0</v>
      </c>
      <c r="AI349" s="1">
        <v>0</v>
      </c>
      <c r="AJ349" s="1">
        <v>0</v>
      </c>
      <c r="AK349" s="1">
        <v>1.4852000000000001</v>
      </c>
      <c r="AL349" s="1">
        <v>1.4852000000000001</v>
      </c>
      <c r="AM349" s="1">
        <v>1.4852000000000001</v>
      </c>
    </row>
    <row r="350" spans="1:39" x14ac:dyDescent="0.3">
      <c r="A350" s="21" t="str">
        <f t="shared" si="5"/>
        <v>HFA605LLHA2026-01-28</v>
      </c>
      <c r="B350" t="str">
        <f>VLOOKUP(A350,Sheet1!A350:B1692,1,FALSE)</f>
        <v>HFA605LLHA2026-01-28</v>
      </c>
      <c r="C350" s="3">
        <v>46050</v>
      </c>
      <c r="D350" s="1" t="s">
        <v>62</v>
      </c>
      <c r="E350" s="1" t="s">
        <v>38</v>
      </c>
      <c r="F350" s="1" t="s">
        <v>54</v>
      </c>
      <c r="G350" s="1" t="s">
        <v>39</v>
      </c>
      <c r="H350" s="1" t="s">
        <v>134</v>
      </c>
      <c r="I350" s="1" t="s">
        <v>41</v>
      </c>
      <c r="J350" s="1" t="s">
        <v>42</v>
      </c>
      <c r="K350" s="1" t="s">
        <v>43</v>
      </c>
      <c r="L350" s="1" t="s">
        <v>44</v>
      </c>
      <c r="M350" s="1" t="s">
        <v>45</v>
      </c>
      <c r="N350" s="1" t="s">
        <v>41</v>
      </c>
      <c r="O350" s="1" t="s">
        <v>58</v>
      </c>
      <c r="P350" s="1" t="s">
        <v>59</v>
      </c>
      <c r="Q350" s="1" t="s">
        <v>60</v>
      </c>
      <c r="R350" s="1" t="s">
        <v>45</v>
      </c>
      <c r="S350" s="1">
        <v>342</v>
      </c>
      <c r="T350" s="1">
        <v>0</v>
      </c>
      <c r="U350" s="4">
        <v>4.9999999999999996E-2</v>
      </c>
      <c r="V350" s="1">
        <v>1930</v>
      </c>
      <c r="W350" s="1">
        <v>-30</v>
      </c>
      <c r="X350" s="1">
        <v>1900</v>
      </c>
      <c r="Y350" s="1" t="s">
        <v>51</v>
      </c>
      <c r="Z350" s="1">
        <v>1120</v>
      </c>
      <c r="AA350" s="1">
        <v>780</v>
      </c>
      <c r="AB350" s="1">
        <v>0</v>
      </c>
      <c r="AC350" s="1">
        <v>0</v>
      </c>
      <c r="AD350" s="1">
        <v>0</v>
      </c>
      <c r="AE350" s="1">
        <v>0</v>
      </c>
      <c r="AF350" s="1"/>
      <c r="AG350" s="1">
        <v>0</v>
      </c>
      <c r="AH350" s="1">
        <v>0</v>
      </c>
      <c r="AI350" s="1">
        <v>0</v>
      </c>
      <c r="AJ350" s="1">
        <v>0</v>
      </c>
      <c r="AK350" s="1">
        <v>2.4647999999999999</v>
      </c>
      <c r="AL350" s="1">
        <v>2.4647999999999999</v>
      </c>
      <c r="AM350" s="1">
        <v>2.4647999999999999</v>
      </c>
    </row>
    <row r="351" spans="1:39" x14ac:dyDescent="0.3">
      <c r="A351" s="21" t="str">
        <f t="shared" si="5"/>
        <v>HFA606LLER2026-01-28</v>
      </c>
      <c r="B351" t="str">
        <f>VLOOKUP(A351,Sheet1!A351:B1693,1,FALSE)</f>
        <v>HFA606LLER2026-01-28</v>
      </c>
      <c r="C351" s="3">
        <v>46050</v>
      </c>
      <c r="D351" s="1" t="s">
        <v>63</v>
      </c>
      <c r="E351" s="1" t="s">
        <v>38</v>
      </c>
      <c r="F351" s="1" t="s">
        <v>54</v>
      </c>
      <c r="G351" s="1" t="s">
        <v>39</v>
      </c>
      <c r="H351" s="1" t="s">
        <v>134</v>
      </c>
      <c r="I351" s="1" t="s">
        <v>41</v>
      </c>
      <c r="J351" s="1" t="s">
        <v>58</v>
      </c>
      <c r="K351" s="1" t="s">
        <v>59</v>
      </c>
      <c r="L351" s="1" t="s">
        <v>60</v>
      </c>
      <c r="M351" s="1" t="s">
        <v>45</v>
      </c>
      <c r="N351" s="1" t="s">
        <v>41</v>
      </c>
      <c r="O351" s="1" t="s">
        <v>42</v>
      </c>
      <c r="P351" s="1" t="s">
        <v>43</v>
      </c>
      <c r="Q351" s="1" t="s">
        <v>44</v>
      </c>
      <c r="R351" s="1" t="s">
        <v>45</v>
      </c>
      <c r="S351" s="1">
        <v>342</v>
      </c>
      <c r="T351" s="1">
        <v>0</v>
      </c>
      <c r="U351" s="4">
        <v>4.5138888888888888E-2</v>
      </c>
      <c r="V351" s="1">
        <v>1120</v>
      </c>
      <c r="W351" s="1">
        <v>1080</v>
      </c>
      <c r="X351" s="1">
        <v>2200</v>
      </c>
      <c r="Y351" s="1" t="s">
        <v>51</v>
      </c>
      <c r="Z351" s="1">
        <v>1440</v>
      </c>
      <c r="AA351" s="1">
        <v>760</v>
      </c>
      <c r="AB351" s="1">
        <v>0</v>
      </c>
      <c r="AC351" s="1">
        <v>0</v>
      </c>
      <c r="AD351" s="1">
        <v>0</v>
      </c>
      <c r="AE351" s="1">
        <v>0</v>
      </c>
      <c r="AF351" s="1"/>
      <c r="AG351" s="1">
        <v>0</v>
      </c>
      <c r="AH351" s="1">
        <v>0</v>
      </c>
      <c r="AI351" s="1">
        <v>0</v>
      </c>
      <c r="AJ351" s="1">
        <v>0</v>
      </c>
      <c r="AK351" s="1">
        <v>2.4016000000000002</v>
      </c>
      <c r="AL351" s="1">
        <v>2.4016000000000002</v>
      </c>
      <c r="AM351" s="1">
        <v>2.4016000000000002</v>
      </c>
    </row>
    <row r="352" spans="1:39" x14ac:dyDescent="0.3">
      <c r="A352" s="21" t="str">
        <f t="shared" si="5"/>
        <v>HFA807LLHA2026-01-28</v>
      </c>
      <c r="B352" t="str">
        <f>VLOOKUP(A352,Sheet1!A352:B1694,1,FALSE)</f>
        <v>HFA807LLHA2026-01-28</v>
      </c>
      <c r="C352" s="3">
        <v>46050</v>
      </c>
      <c r="D352" s="1" t="s">
        <v>118</v>
      </c>
      <c r="E352" s="1" t="s">
        <v>38</v>
      </c>
      <c r="F352" s="1"/>
      <c r="G352" s="1" t="s">
        <v>39</v>
      </c>
      <c r="H352" s="1" t="s">
        <v>134</v>
      </c>
      <c r="I352" s="1" t="s">
        <v>41</v>
      </c>
      <c r="J352" s="1" t="s">
        <v>42</v>
      </c>
      <c r="K352" s="1" t="s">
        <v>43</v>
      </c>
      <c r="L352" s="1" t="s">
        <v>44</v>
      </c>
      <c r="M352" s="1" t="s">
        <v>45</v>
      </c>
      <c r="N352" s="1" t="s">
        <v>67</v>
      </c>
      <c r="O352" s="1" t="s">
        <v>86</v>
      </c>
      <c r="P352" s="1" t="s">
        <v>87</v>
      </c>
      <c r="Q352" s="1" t="s">
        <v>88</v>
      </c>
      <c r="R352" s="1" t="s">
        <v>50</v>
      </c>
      <c r="S352" s="1">
        <v>264</v>
      </c>
      <c r="T352" s="1">
        <v>0</v>
      </c>
      <c r="U352" s="4">
        <v>3.9583333333333331E-2</v>
      </c>
      <c r="V352" s="1">
        <v>1440</v>
      </c>
      <c r="W352" s="1">
        <v>160</v>
      </c>
      <c r="X352" s="1">
        <v>1600</v>
      </c>
      <c r="Y352" s="1" t="s">
        <v>51</v>
      </c>
      <c r="Z352" s="1">
        <v>980</v>
      </c>
      <c r="AA352" s="1">
        <v>620</v>
      </c>
      <c r="AB352" s="1">
        <v>0</v>
      </c>
      <c r="AC352" s="1">
        <v>0</v>
      </c>
      <c r="AD352" s="1">
        <v>0</v>
      </c>
      <c r="AE352" s="1">
        <v>0</v>
      </c>
      <c r="AF352" s="1"/>
      <c r="AG352" s="1">
        <v>0</v>
      </c>
      <c r="AH352" s="1">
        <v>0</v>
      </c>
      <c r="AI352" s="1">
        <v>0</v>
      </c>
      <c r="AJ352" s="1">
        <v>0</v>
      </c>
      <c r="AK352" s="1">
        <v>1.9592000000000001</v>
      </c>
      <c r="AL352" s="1">
        <v>1.9592000000000001</v>
      </c>
      <c r="AM352" s="1">
        <v>1.9592000000000001</v>
      </c>
    </row>
    <row r="353" spans="1:39" x14ac:dyDescent="0.3">
      <c r="A353" s="21" t="str">
        <f t="shared" si="5"/>
        <v>HFA808LCLK2026-01-28</v>
      </c>
      <c r="B353" t="str">
        <f>VLOOKUP(A353,Sheet1!A353:B1695,1,FALSE)</f>
        <v>HFA808LCLK2026-01-28</v>
      </c>
      <c r="C353" s="3">
        <v>46050</v>
      </c>
      <c r="D353" s="1" t="s">
        <v>119</v>
      </c>
      <c r="E353" s="1" t="s">
        <v>38</v>
      </c>
      <c r="F353" s="1"/>
      <c r="G353" s="1" t="s">
        <v>39</v>
      </c>
      <c r="H353" s="1" t="s">
        <v>134</v>
      </c>
      <c r="I353" s="1" t="s">
        <v>67</v>
      </c>
      <c r="J353" s="1" t="s">
        <v>86</v>
      </c>
      <c r="K353" s="1" t="s">
        <v>87</v>
      </c>
      <c r="L353" s="1" t="s">
        <v>88</v>
      </c>
      <c r="M353" s="1" t="s">
        <v>50</v>
      </c>
      <c r="N353" s="1" t="s">
        <v>41</v>
      </c>
      <c r="O353" s="1" t="s">
        <v>42</v>
      </c>
      <c r="P353" s="1" t="s">
        <v>43</v>
      </c>
      <c r="Q353" s="1" t="s">
        <v>44</v>
      </c>
      <c r="R353" s="1" t="s">
        <v>45</v>
      </c>
      <c r="S353" s="1">
        <v>264</v>
      </c>
      <c r="T353" s="1">
        <v>0</v>
      </c>
      <c r="U353" s="4">
        <v>3.9583333333333331E-2</v>
      </c>
      <c r="V353" s="1">
        <v>980</v>
      </c>
      <c r="W353" s="1">
        <v>1020</v>
      </c>
      <c r="X353" s="1">
        <v>2000</v>
      </c>
      <c r="Y353" s="1" t="s">
        <v>51</v>
      </c>
      <c r="Z353" s="1">
        <v>1470</v>
      </c>
      <c r="AA353" s="1">
        <v>530</v>
      </c>
      <c r="AB353" s="1">
        <v>0</v>
      </c>
      <c r="AC353" s="1">
        <v>0</v>
      </c>
      <c r="AD353" s="1">
        <v>0</v>
      </c>
      <c r="AE353" s="1">
        <v>0</v>
      </c>
      <c r="AF353" s="1"/>
      <c r="AG353" s="1">
        <v>0</v>
      </c>
      <c r="AH353" s="1">
        <v>0</v>
      </c>
      <c r="AI353" s="1">
        <v>0</v>
      </c>
      <c r="AJ353" s="1">
        <v>0</v>
      </c>
      <c r="AK353" s="1">
        <v>1.6748000000000001</v>
      </c>
      <c r="AL353" s="1">
        <v>1.6748000000000001</v>
      </c>
      <c r="AM353" s="1">
        <v>1.6748000000000001</v>
      </c>
    </row>
    <row r="354" spans="1:39" x14ac:dyDescent="0.3">
      <c r="A354" s="21" t="str">
        <f t="shared" si="5"/>
        <v>HFA801LLHA2026-01-29</v>
      </c>
      <c r="B354" t="str">
        <f>VLOOKUP(A354,Sheet1!A354:B1696,1,FALSE)</f>
        <v>HFA801LLHA2026-01-29</v>
      </c>
      <c r="C354" s="3">
        <v>46051</v>
      </c>
      <c r="D354" s="1" t="s">
        <v>133</v>
      </c>
      <c r="E354" s="1" t="s">
        <v>38</v>
      </c>
      <c r="F354" s="1"/>
      <c r="G354" s="1" t="s">
        <v>39</v>
      </c>
      <c r="H354" s="1" t="s">
        <v>134</v>
      </c>
      <c r="I354" s="1" t="s">
        <v>41</v>
      </c>
      <c r="J354" s="1" t="s">
        <v>42</v>
      </c>
      <c r="K354" s="1" t="s">
        <v>43</v>
      </c>
      <c r="L354" s="1" t="s">
        <v>44</v>
      </c>
      <c r="M354" s="1" t="s">
        <v>45</v>
      </c>
      <c r="N354" s="1" t="s">
        <v>67</v>
      </c>
      <c r="O354" s="1" t="s">
        <v>86</v>
      </c>
      <c r="P354" s="1" t="s">
        <v>87</v>
      </c>
      <c r="Q354" s="1" t="s">
        <v>88</v>
      </c>
      <c r="R354" s="1" t="s">
        <v>50</v>
      </c>
      <c r="S354" s="1">
        <v>264</v>
      </c>
      <c r="T354" s="1">
        <v>0</v>
      </c>
      <c r="U354" s="4">
        <v>3.6111111111111108E-2</v>
      </c>
      <c r="V354" s="1">
        <v>1470</v>
      </c>
      <c r="W354" s="1">
        <v>0</v>
      </c>
      <c r="X354" s="1">
        <v>1470</v>
      </c>
      <c r="Y354" s="1" t="s">
        <v>51</v>
      </c>
      <c r="Z354" s="1">
        <v>870</v>
      </c>
      <c r="AA354" s="1">
        <v>600</v>
      </c>
      <c r="AB354" s="1">
        <v>0</v>
      </c>
      <c r="AC354" s="1">
        <v>0</v>
      </c>
      <c r="AD354" s="1">
        <v>0</v>
      </c>
      <c r="AE354" s="1">
        <v>0</v>
      </c>
      <c r="AF354" s="1"/>
      <c r="AG354" s="1">
        <v>0</v>
      </c>
      <c r="AH354" s="1">
        <v>0</v>
      </c>
      <c r="AI354" s="1">
        <v>0</v>
      </c>
      <c r="AJ354" s="1">
        <v>0</v>
      </c>
      <c r="AK354" s="1">
        <v>1.8959999999999999</v>
      </c>
      <c r="AL354" s="1">
        <v>1.8959999999999999</v>
      </c>
      <c r="AM354" s="1">
        <v>1.8959999999999999</v>
      </c>
    </row>
    <row r="355" spans="1:39" x14ac:dyDescent="0.3">
      <c r="A355" s="21" t="str">
        <f t="shared" si="5"/>
        <v>HFA802LCLK2026-01-29</v>
      </c>
      <c r="B355" t="str">
        <f>VLOOKUP(A355,Sheet1!A355:B1697,1,FALSE)</f>
        <v>HFA802LCLK2026-01-29</v>
      </c>
      <c r="C355" s="3">
        <v>46051</v>
      </c>
      <c r="D355" s="1" t="s">
        <v>135</v>
      </c>
      <c r="E355" s="1" t="s">
        <v>38</v>
      </c>
      <c r="F355" s="1"/>
      <c r="G355" s="1" t="s">
        <v>39</v>
      </c>
      <c r="H355" s="1" t="s">
        <v>134</v>
      </c>
      <c r="I355" s="1" t="s">
        <v>67</v>
      </c>
      <c r="J355" s="1" t="s">
        <v>86</v>
      </c>
      <c r="K355" s="1" t="s">
        <v>87</v>
      </c>
      <c r="L355" s="1" t="s">
        <v>88</v>
      </c>
      <c r="M355" s="1" t="s">
        <v>50</v>
      </c>
      <c r="N355" s="1" t="s">
        <v>41</v>
      </c>
      <c r="O355" s="1" t="s">
        <v>42</v>
      </c>
      <c r="P355" s="1" t="s">
        <v>43</v>
      </c>
      <c r="Q355" s="1" t="s">
        <v>44</v>
      </c>
      <c r="R355" s="1" t="s">
        <v>45</v>
      </c>
      <c r="S355" s="1">
        <v>264</v>
      </c>
      <c r="T355" s="1">
        <v>0</v>
      </c>
      <c r="U355" s="4">
        <v>3.4722222222222224E-2</v>
      </c>
      <c r="V355" s="1">
        <v>870</v>
      </c>
      <c r="W355" s="1">
        <v>1130</v>
      </c>
      <c r="X355" s="1">
        <v>2000</v>
      </c>
      <c r="Y355" s="1" t="s">
        <v>51</v>
      </c>
      <c r="Z355" s="1">
        <v>1500</v>
      </c>
      <c r="AA355" s="1">
        <v>500</v>
      </c>
      <c r="AB355" s="1">
        <v>0</v>
      </c>
      <c r="AC355" s="1">
        <v>0</v>
      </c>
      <c r="AD355" s="1">
        <v>0</v>
      </c>
      <c r="AE355" s="1">
        <v>0</v>
      </c>
      <c r="AF355" s="1"/>
      <c r="AG355" s="1">
        <v>0</v>
      </c>
      <c r="AH355" s="1">
        <v>0</v>
      </c>
      <c r="AI355" s="1">
        <v>0</v>
      </c>
      <c r="AJ355" s="1">
        <v>0</v>
      </c>
      <c r="AK355" s="1">
        <v>1.58</v>
      </c>
      <c r="AL355" s="1">
        <v>1.58</v>
      </c>
      <c r="AM355" s="1">
        <v>1.58</v>
      </c>
    </row>
    <row r="356" spans="1:39" x14ac:dyDescent="0.3">
      <c r="A356" s="21" t="str">
        <f t="shared" si="5"/>
        <v>HFA803LLHA2026-01-29</v>
      </c>
      <c r="B356" t="str">
        <f>VLOOKUP(A356,Sheet1!A356:B1698,1,FALSE)</f>
        <v>HFA803LLHA2026-01-29</v>
      </c>
      <c r="C356" s="3">
        <v>46051</v>
      </c>
      <c r="D356" s="1" t="s">
        <v>116</v>
      </c>
      <c r="E356" s="1" t="s">
        <v>38</v>
      </c>
      <c r="F356" s="1"/>
      <c r="G356" s="1" t="s">
        <v>39</v>
      </c>
      <c r="H356" s="1" t="s">
        <v>134</v>
      </c>
      <c r="I356" s="1" t="s">
        <v>41</v>
      </c>
      <c r="J356" s="1" t="s">
        <v>42</v>
      </c>
      <c r="K356" s="1" t="s">
        <v>43</v>
      </c>
      <c r="L356" s="1" t="s">
        <v>44</v>
      </c>
      <c r="M356" s="1" t="s">
        <v>45</v>
      </c>
      <c r="N356" s="1" t="s">
        <v>67</v>
      </c>
      <c r="O356" s="1" t="s">
        <v>86</v>
      </c>
      <c r="P356" s="1" t="s">
        <v>87</v>
      </c>
      <c r="Q356" s="1" t="s">
        <v>88</v>
      </c>
      <c r="R356" s="1" t="s">
        <v>50</v>
      </c>
      <c r="S356" s="1">
        <v>264</v>
      </c>
      <c r="T356" s="1">
        <v>0</v>
      </c>
      <c r="U356" s="4">
        <v>3.4722222222222224E-2</v>
      </c>
      <c r="V356" s="1">
        <v>1500</v>
      </c>
      <c r="W356" s="1">
        <v>0</v>
      </c>
      <c r="X356" s="1">
        <v>1500</v>
      </c>
      <c r="Y356" s="1" t="s">
        <v>51</v>
      </c>
      <c r="Z356" s="1">
        <v>930</v>
      </c>
      <c r="AA356" s="1">
        <v>570</v>
      </c>
      <c r="AB356" s="1">
        <v>0</v>
      </c>
      <c r="AC356" s="1">
        <v>0</v>
      </c>
      <c r="AD356" s="1">
        <v>0</v>
      </c>
      <c r="AE356" s="1">
        <v>0</v>
      </c>
      <c r="AF356" s="1"/>
      <c r="AG356" s="1">
        <v>0</v>
      </c>
      <c r="AH356" s="1">
        <v>0</v>
      </c>
      <c r="AI356" s="1">
        <v>0</v>
      </c>
      <c r="AJ356" s="1">
        <v>0</v>
      </c>
      <c r="AK356" s="1">
        <v>1.8011999999999999</v>
      </c>
      <c r="AL356" s="1">
        <v>1.8011999999999999</v>
      </c>
      <c r="AM356" s="1">
        <v>1.8011999999999999</v>
      </c>
    </row>
    <row r="357" spans="1:39" x14ac:dyDescent="0.3">
      <c r="A357" s="21" t="str">
        <f t="shared" si="5"/>
        <v>HFA804LCLK2026-01-29</v>
      </c>
      <c r="B357" t="str">
        <f>VLOOKUP(A357,Sheet1!A357:B1699,1,FALSE)</f>
        <v>HFA804LCLK2026-01-29</v>
      </c>
      <c r="C357" s="3">
        <v>46051</v>
      </c>
      <c r="D357" s="1" t="s">
        <v>117</v>
      </c>
      <c r="E357" s="1" t="s">
        <v>38</v>
      </c>
      <c r="F357" s="1"/>
      <c r="G357" s="1" t="s">
        <v>39</v>
      </c>
      <c r="H357" s="1" t="s">
        <v>134</v>
      </c>
      <c r="I357" s="1" t="s">
        <v>67</v>
      </c>
      <c r="J357" s="1" t="s">
        <v>86</v>
      </c>
      <c r="K357" s="1" t="s">
        <v>87</v>
      </c>
      <c r="L357" s="1" t="s">
        <v>88</v>
      </c>
      <c r="M357" s="1" t="s">
        <v>50</v>
      </c>
      <c r="N357" s="1" t="s">
        <v>41</v>
      </c>
      <c r="O357" s="1" t="s">
        <v>42</v>
      </c>
      <c r="P357" s="1" t="s">
        <v>43</v>
      </c>
      <c r="Q357" s="1" t="s">
        <v>44</v>
      </c>
      <c r="R357" s="1" t="s">
        <v>45</v>
      </c>
      <c r="S357" s="1">
        <v>264</v>
      </c>
      <c r="T357" s="1">
        <v>0</v>
      </c>
      <c r="U357" s="4">
        <v>4.0972222222222222E-2</v>
      </c>
      <c r="V357" s="1">
        <v>930</v>
      </c>
      <c r="W357" s="1">
        <v>1370</v>
      </c>
      <c r="X357" s="1">
        <v>2300</v>
      </c>
      <c r="Y357" s="1" t="s">
        <v>51</v>
      </c>
      <c r="Z357" s="1">
        <v>1790</v>
      </c>
      <c r="AA357" s="1">
        <v>510</v>
      </c>
      <c r="AB357" s="1">
        <v>0</v>
      </c>
      <c r="AC357" s="1">
        <v>0</v>
      </c>
      <c r="AD357" s="1">
        <v>0</v>
      </c>
      <c r="AE357" s="1">
        <v>0</v>
      </c>
      <c r="AF357" s="1"/>
      <c r="AG357" s="1">
        <v>0</v>
      </c>
      <c r="AH357" s="1">
        <v>0</v>
      </c>
      <c r="AI357" s="1">
        <v>0</v>
      </c>
      <c r="AJ357" s="1">
        <v>0</v>
      </c>
      <c r="AK357" s="1">
        <v>1.6115999999999999</v>
      </c>
      <c r="AL357" s="1">
        <v>1.6115999999999999</v>
      </c>
      <c r="AM357" s="1">
        <v>1.6115999999999999</v>
      </c>
    </row>
    <row r="358" spans="1:39" x14ac:dyDescent="0.3">
      <c r="A358" s="21" t="str">
        <f t="shared" si="5"/>
        <v>HFA605LLHA2026-01-29</v>
      </c>
      <c r="B358" t="str">
        <f>VLOOKUP(A358,Sheet1!A358:B1700,1,FALSE)</f>
        <v>HFA605LLHA2026-01-29</v>
      </c>
      <c r="C358" s="3">
        <v>46051</v>
      </c>
      <c r="D358" s="1" t="s">
        <v>62</v>
      </c>
      <c r="E358" s="1" t="s">
        <v>38</v>
      </c>
      <c r="F358" s="1" t="s">
        <v>54</v>
      </c>
      <c r="G358" s="1" t="s">
        <v>39</v>
      </c>
      <c r="H358" s="1" t="s">
        <v>134</v>
      </c>
      <c r="I358" s="1" t="s">
        <v>41</v>
      </c>
      <c r="J358" s="1" t="s">
        <v>42</v>
      </c>
      <c r="K358" s="1" t="s">
        <v>43</v>
      </c>
      <c r="L358" s="1" t="s">
        <v>44</v>
      </c>
      <c r="M358" s="1" t="s">
        <v>45</v>
      </c>
      <c r="N358" s="1" t="s">
        <v>41</v>
      </c>
      <c r="O358" s="1" t="s">
        <v>58</v>
      </c>
      <c r="P358" s="1" t="s">
        <v>59</v>
      </c>
      <c r="Q358" s="1" t="s">
        <v>60</v>
      </c>
      <c r="R358" s="1" t="s">
        <v>45</v>
      </c>
      <c r="S358" s="1">
        <v>342</v>
      </c>
      <c r="T358" s="1">
        <v>0</v>
      </c>
      <c r="U358" s="4">
        <v>4.3749999999999997E-2</v>
      </c>
      <c r="V358" s="1">
        <v>1790</v>
      </c>
      <c r="W358" s="1">
        <v>-10</v>
      </c>
      <c r="X358" s="1">
        <v>1780</v>
      </c>
      <c r="Y358" s="1" t="s">
        <v>51</v>
      </c>
      <c r="Z358" s="1">
        <v>1060</v>
      </c>
      <c r="AA358" s="1">
        <v>720</v>
      </c>
      <c r="AB358" s="1">
        <v>0</v>
      </c>
      <c r="AC358" s="1">
        <v>0</v>
      </c>
      <c r="AD358" s="1">
        <v>0</v>
      </c>
      <c r="AE358" s="1">
        <v>0</v>
      </c>
      <c r="AF358" s="1"/>
      <c r="AG358" s="1">
        <v>0</v>
      </c>
      <c r="AH358" s="1">
        <v>0</v>
      </c>
      <c r="AI358" s="1">
        <v>0</v>
      </c>
      <c r="AJ358" s="1">
        <v>0</v>
      </c>
      <c r="AK358" s="1">
        <v>2.2751999999999999</v>
      </c>
      <c r="AL358" s="1">
        <v>2.2751999999999999</v>
      </c>
      <c r="AM358" s="1">
        <v>2.2751999999999999</v>
      </c>
    </row>
    <row r="359" spans="1:39" x14ac:dyDescent="0.3">
      <c r="A359" s="21" t="str">
        <f t="shared" si="5"/>
        <v>HFA606LLER2026-01-29</v>
      </c>
      <c r="B359" t="str">
        <f>VLOOKUP(A359,Sheet1!A359:B1701,1,FALSE)</f>
        <v>HFA606LLER2026-01-29</v>
      </c>
      <c r="C359" s="3">
        <v>46051</v>
      </c>
      <c r="D359" s="1" t="s">
        <v>63</v>
      </c>
      <c r="E359" s="1" t="s">
        <v>38</v>
      </c>
      <c r="F359" s="1" t="s">
        <v>54</v>
      </c>
      <c r="G359" s="1" t="s">
        <v>39</v>
      </c>
      <c r="H359" s="1" t="s">
        <v>134</v>
      </c>
      <c r="I359" s="1" t="s">
        <v>41</v>
      </c>
      <c r="J359" s="1" t="s">
        <v>58</v>
      </c>
      <c r="K359" s="1" t="s">
        <v>59</v>
      </c>
      <c r="L359" s="1" t="s">
        <v>60</v>
      </c>
      <c r="M359" s="1" t="s">
        <v>45</v>
      </c>
      <c r="N359" s="1" t="s">
        <v>41</v>
      </c>
      <c r="O359" s="1" t="s">
        <v>42</v>
      </c>
      <c r="P359" s="1" t="s">
        <v>43</v>
      </c>
      <c r="Q359" s="1" t="s">
        <v>44</v>
      </c>
      <c r="R359" s="1" t="s">
        <v>45</v>
      </c>
      <c r="S359" s="1">
        <v>342</v>
      </c>
      <c r="T359" s="1">
        <v>0</v>
      </c>
      <c r="U359" s="4">
        <v>4.5138888888888888E-2</v>
      </c>
      <c r="V359" s="1">
        <v>1060</v>
      </c>
      <c r="W359" s="1">
        <v>1140</v>
      </c>
      <c r="X359" s="1">
        <v>2200</v>
      </c>
      <c r="Y359" s="1" t="s">
        <v>51</v>
      </c>
      <c r="Z359" s="1">
        <v>1480</v>
      </c>
      <c r="AA359" s="1">
        <v>720</v>
      </c>
      <c r="AB359" s="1">
        <v>0</v>
      </c>
      <c r="AC359" s="1">
        <v>0</v>
      </c>
      <c r="AD359" s="1">
        <v>0</v>
      </c>
      <c r="AE359" s="1">
        <v>0</v>
      </c>
      <c r="AF359" s="1"/>
      <c r="AG359" s="1">
        <v>0</v>
      </c>
      <c r="AH359" s="1">
        <v>0</v>
      </c>
      <c r="AI359" s="1">
        <v>0</v>
      </c>
      <c r="AJ359" s="1">
        <v>0</v>
      </c>
      <c r="AK359" s="1">
        <v>2.2751999999999999</v>
      </c>
      <c r="AL359" s="1">
        <v>2.2751999999999999</v>
      </c>
      <c r="AM359" s="1">
        <v>2.2751999999999999</v>
      </c>
    </row>
    <row r="360" spans="1:39" x14ac:dyDescent="0.3">
      <c r="A360" s="21" t="str">
        <f t="shared" si="5"/>
        <v>HFA801LLHA2026-01-30</v>
      </c>
      <c r="B360" t="str">
        <f>VLOOKUP(A360,Sheet1!A360:B1702,1,FALSE)</f>
        <v>HFA801LLHA2026-01-30</v>
      </c>
      <c r="C360" s="3">
        <v>46052</v>
      </c>
      <c r="D360" s="1" t="s">
        <v>133</v>
      </c>
      <c r="E360" s="1" t="s">
        <v>38</v>
      </c>
      <c r="F360" s="1"/>
      <c r="G360" s="1" t="s">
        <v>39</v>
      </c>
      <c r="H360" s="1" t="s">
        <v>134</v>
      </c>
      <c r="I360" s="1" t="s">
        <v>41</v>
      </c>
      <c r="J360" s="1" t="s">
        <v>42</v>
      </c>
      <c r="K360" s="1" t="s">
        <v>43</v>
      </c>
      <c r="L360" s="1" t="s">
        <v>44</v>
      </c>
      <c r="M360" s="1" t="s">
        <v>45</v>
      </c>
      <c r="N360" s="1" t="s">
        <v>67</v>
      </c>
      <c r="O360" s="1" t="s">
        <v>86</v>
      </c>
      <c r="P360" s="1" t="s">
        <v>87</v>
      </c>
      <c r="Q360" s="1" t="s">
        <v>88</v>
      </c>
      <c r="R360" s="1" t="s">
        <v>50</v>
      </c>
      <c r="S360" s="1">
        <v>264</v>
      </c>
      <c r="T360" s="1">
        <v>0</v>
      </c>
      <c r="U360" s="4">
        <v>3.7499999999999999E-2</v>
      </c>
      <c r="V360" s="1">
        <v>1480</v>
      </c>
      <c r="W360" s="1">
        <v>-20</v>
      </c>
      <c r="X360" s="1">
        <v>1460</v>
      </c>
      <c r="Y360" s="1" t="s">
        <v>51</v>
      </c>
      <c r="Z360" s="1">
        <v>900</v>
      </c>
      <c r="AA360" s="1">
        <v>560</v>
      </c>
      <c r="AB360" s="1">
        <v>0</v>
      </c>
      <c r="AC360" s="1">
        <v>0</v>
      </c>
      <c r="AD360" s="1">
        <v>0</v>
      </c>
      <c r="AE360" s="1">
        <v>0</v>
      </c>
      <c r="AF360" s="1"/>
      <c r="AG360" s="1">
        <v>0</v>
      </c>
      <c r="AH360" s="1">
        <v>0</v>
      </c>
      <c r="AI360" s="1">
        <v>0</v>
      </c>
      <c r="AJ360" s="1">
        <v>0</v>
      </c>
      <c r="AK360" s="1">
        <v>1.7696000000000001</v>
      </c>
      <c r="AL360" s="1">
        <v>1.7696000000000001</v>
      </c>
      <c r="AM360" s="1">
        <v>1.7696000000000001</v>
      </c>
    </row>
    <row r="361" spans="1:39" x14ac:dyDescent="0.3">
      <c r="A361" s="21" t="str">
        <f t="shared" si="5"/>
        <v>HFA802LCLK2026-01-30</v>
      </c>
      <c r="B361" t="str">
        <f>VLOOKUP(A361,Sheet1!A361:B1703,1,FALSE)</f>
        <v>HFA802LCLK2026-01-30</v>
      </c>
      <c r="C361" s="3">
        <v>46052</v>
      </c>
      <c r="D361" s="1" t="s">
        <v>135</v>
      </c>
      <c r="E361" s="1" t="s">
        <v>38</v>
      </c>
      <c r="F361" s="1"/>
      <c r="G361" s="1" t="s">
        <v>39</v>
      </c>
      <c r="H361" s="1" t="s">
        <v>134</v>
      </c>
      <c r="I361" s="1" t="s">
        <v>67</v>
      </c>
      <c r="J361" s="1" t="s">
        <v>86</v>
      </c>
      <c r="K361" s="1" t="s">
        <v>87</v>
      </c>
      <c r="L361" s="1" t="s">
        <v>88</v>
      </c>
      <c r="M361" s="1" t="s">
        <v>50</v>
      </c>
      <c r="N361" s="1" t="s">
        <v>41</v>
      </c>
      <c r="O361" s="1" t="s">
        <v>42</v>
      </c>
      <c r="P361" s="1" t="s">
        <v>43</v>
      </c>
      <c r="Q361" s="1" t="s">
        <v>44</v>
      </c>
      <c r="R361" s="1" t="s">
        <v>45</v>
      </c>
      <c r="S361" s="1">
        <v>264</v>
      </c>
      <c r="T361" s="1">
        <v>0</v>
      </c>
      <c r="U361" s="4">
        <v>3.6111111111111108E-2</v>
      </c>
      <c r="V361" s="1">
        <v>900</v>
      </c>
      <c r="W361" s="1">
        <v>1200</v>
      </c>
      <c r="X361" s="1">
        <v>2100</v>
      </c>
      <c r="Y361" s="1" t="s">
        <v>51</v>
      </c>
      <c r="Z361" s="1">
        <v>1580</v>
      </c>
      <c r="AA361" s="1">
        <v>520</v>
      </c>
      <c r="AB361" s="1">
        <v>0</v>
      </c>
      <c r="AC361" s="1">
        <v>0</v>
      </c>
      <c r="AD361" s="1">
        <v>0</v>
      </c>
      <c r="AE361" s="1">
        <v>0</v>
      </c>
      <c r="AF361" s="1"/>
      <c r="AG361" s="1">
        <v>0</v>
      </c>
      <c r="AH361" s="1">
        <v>0</v>
      </c>
      <c r="AI361" s="1">
        <v>0</v>
      </c>
      <c r="AJ361" s="1">
        <v>0</v>
      </c>
      <c r="AK361" s="1">
        <v>1.6432</v>
      </c>
      <c r="AL361" s="1">
        <v>1.6432</v>
      </c>
      <c r="AM361" s="1">
        <v>1.6432</v>
      </c>
    </row>
    <row r="362" spans="1:39" x14ac:dyDescent="0.3">
      <c r="A362" s="21" t="str">
        <f t="shared" si="5"/>
        <v>HFA803LLHA2026-01-30</v>
      </c>
      <c r="B362" t="str">
        <f>VLOOKUP(A362,Sheet1!A362:B1704,1,FALSE)</f>
        <v>HFA803LLHA2026-01-30</v>
      </c>
      <c r="C362" s="3">
        <v>46052</v>
      </c>
      <c r="D362" s="1" t="s">
        <v>116</v>
      </c>
      <c r="E362" s="1" t="s">
        <v>38</v>
      </c>
      <c r="F362" s="1"/>
      <c r="G362" s="1" t="s">
        <v>39</v>
      </c>
      <c r="H362" s="1" t="s">
        <v>134</v>
      </c>
      <c r="I362" s="1" t="s">
        <v>41</v>
      </c>
      <c r="J362" s="1" t="s">
        <v>42</v>
      </c>
      <c r="K362" s="1" t="s">
        <v>43</v>
      </c>
      <c r="L362" s="1" t="s">
        <v>44</v>
      </c>
      <c r="M362" s="1" t="s">
        <v>45</v>
      </c>
      <c r="N362" s="1" t="s">
        <v>67</v>
      </c>
      <c r="O362" s="1" t="s">
        <v>86</v>
      </c>
      <c r="P362" s="1" t="s">
        <v>87</v>
      </c>
      <c r="Q362" s="1" t="s">
        <v>88</v>
      </c>
      <c r="R362" s="1" t="s">
        <v>50</v>
      </c>
      <c r="S362" s="1">
        <v>264</v>
      </c>
      <c r="T362" s="1">
        <v>0</v>
      </c>
      <c r="U362" s="4">
        <v>3.8194444444444448E-2</v>
      </c>
      <c r="V362" s="1">
        <v>1580</v>
      </c>
      <c r="W362" s="1">
        <v>-10</v>
      </c>
      <c r="X362" s="1">
        <v>1570</v>
      </c>
      <c r="Y362" s="1" t="s">
        <v>51</v>
      </c>
      <c r="Z362" s="1">
        <v>990</v>
      </c>
      <c r="AA362" s="1">
        <v>580</v>
      </c>
      <c r="AB362" s="1">
        <v>0</v>
      </c>
      <c r="AC362" s="1">
        <v>0</v>
      </c>
      <c r="AD362" s="1">
        <v>0</v>
      </c>
      <c r="AE362" s="1">
        <v>0</v>
      </c>
      <c r="AF362" s="1"/>
      <c r="AG362" s="1">
        <v>0</v>
      </c>
      <c r="AH362" s="1">
        <v>0</v>
      </c>
      <c r="AI362" s="1">
        <v>0</v>
      </c>
      <c r="AJ362" s="1">
        <v>0</v>
      </c>
      <c r="AK362" s="1">
        <v>1.8328</v>
      </c>
      <c r="AL362" s="1">
        <v>1.8328</v>
      </c>
      <c r="AM362" s="1">
        <v>1.8328</v>
      </c>
    </row>
    <row r="363" spans="1:39" x14ac:dyDescent="0.3">
      <c r="A363" s="21" t="str">
        <f t="shared" si="5"/>
        <v>HFA804LCLK2026-01-30</v>
      </c>
      <c r="B363" t="str">
        <f>VLOOKUP(A363,Sheet1!A363:B1705,1,FALSE)</f>
        <v>HFA804LCLK2026-01-30</v>
      </c>
      <c r="C363" s="3">
        <v>46052</v>
      </c>
      <c r="D363" s="1" t="s">
        <v>117</v>
      </c>
      <c r="E363" s="1" t="s">
        <v>38</v>
      </c>
      <c r="F363" s="1"/>
      <c r="G363" s="1" t="s">
        <v>39</v>
      </c>
      <c r="H363" s="1" t="s">
        <v>134</v>
      </c>
      <c r="I363" s="1" t="s">
        <v>67</v>
      </c>
      <c r="J363" s="1" t="s">
        <v>86</v>
      </c>
      <c r="K363" s="1" t="s">
        <v>87</v>
      </c>
      <c r="L363" s="1" t="s">
        <v>88</v>
      </c>
      <c r="M363" s="1" t="s">
        <v>50</v>
      </c>
      <c r="N363" s="1" t="s">
        <v>41</v>
      </c>
      <c r="O363" s="1" t="s">
        <v>42</v>
      </c>
      <c r="P363" s="1" t="s">
        <v>43</v>
      </c>
      <c r="Q363" s="1" t="s">
        <v>44</v>
      </c>
      <c r="R363" s="1" t="s">
        <v>45</v>
      </c>
      <c r="S363" s="1">
        <v>264</v>
      </c>
      <c r="T363" s="1">
        <v>0</v>
      </c>
      <c r="U363" s="4">
        <v>3.8194444444444448E-2</v>
      </c>
      <c r="V363" s="1">
        <v>990</v>
      </c>
      <c r="W363" s="1">
        <v>1110</v>
      </c>
      <c r="X363" s="1">
        <v>2100</v>
      </c>
      <c r="Y363" s="1" t="s">
        <v>51</v>
      </c>
      <c r="Z363" s="1">
        <v>1570</v>
      </c>
      <c r="AA363" s="1">
        <v>530</v>
      </c>
      <c r="AB363" s="1">
        <v>0</v>
      </c>
      <c r="AC363" s="1">
        <v>0</v>
      </c>
      <c r="AD363" s="1">
        <v>0</v>
      </c>
      <c r="AE363" s="1">
        <v>0</v>
      </c>
      <c r="AF363" s="1"/>
      <c r="AG363" s="1">
        <v>0</v>
      </c>
      <c r="AH363" s="1">
        <v>0</v>
      </c>
      <c r="AI363" s="1">
        <v>0</v>
      </c>
      <c r="AJ363" s="1">
        <v>0</v>
      </c>
      <c r="AK363" s="1">
        <v>1.6748000000000001</v>
      </c>
      <c r="AL363" s="1">
        <v>1.6748000000000001</v>
      </c>
      <c r="AM363" s="1">
        <v>1.6748000000000001</v>
      </c>
    </row>
    <row r="364" spans="1:39" x14ac:dyDescent="0.3">
      <c r="A364" s="21" t="str">
        <f t="shared" si="5"/>
        <v>HFA807LLHA2026-01-31</v>
      </c>
      <c r="B364" t="str">
        <f>VLOOKUP(A364,Sheet1!A364:B1706,1,FALSE)</f>
        <v>HFA807LLHA2026-01-31</v>
      </c>
      <c r="C364" s="3">
        <v>46053</v>
      </c>
      <c r="D364" s="1" t="s">
        <v>118</v>
      </c>
      <c r="E364" s="1" t="s">
        <v>38</v>
      </c>
      <c r="F364" s="1"/>
      <c r="G364" s="1" t="s">
        <v>39</v>
      </c>
      <c r="H364" s="1" t="s">
        <v>134</v>
      </c>
      <c r="I364" s="1" t="s">
        <v>41</v>
      </c>
      <c r="J364" s="1" t="s">
        <v>42</v>
      </c>
      <c r="K364" s="1" t="s">
        <v>43</v>
      </c>
      <c r="L364" s="1" t="s">
        <v>44</v>
      </c>
      <c r="M364" s="1" t="s">
        <v>45</v>
      </c>
      <c r="N364" s="1" t="s">
        <v>67</v>
      </c>
      <c r="O364" s="1" t="s">
        <v>86</v>
      </c>
      <c r="P364" s="1" t="s">
        <v>87</v>
      </c>
      <c r="Q364" s="1" t="s">
        <v>88</v>
      </c>
      <c r="R364" s="1" t="s">
        <v>50</v>
      </c>
      <c r="S364" s="1">
        <v>264</v>
      </c>
      <c r="T364" s="1">
        <v>0</v>
      </c>
      <c r="U364" s="4">
        <v>3.8194444444444448E-2</v>
      </c>
      <c r="V364" s="1">
        <v>1570</v>
      </c>
      <c r="W364" s="1">
        <v>-40</v>
      </c>
      <c r="X364" s="1">
        <v>1530</v>
      </c>
      <c r="Y364" s="1" t="s">
        <v>51</v>
      </c>
      <c r="Z364" s="1">
        <v>980</v>
      </c>
      <c r="AA364" s="1">
        <v>550</v>
      </c>
      <c r="AB364" s="1">
        <v>0</v>
      </c>
      <c r="AC364" s="1">
        <v>0</v>
      </c>
      <c r="AD364" s="1">
        <v>0</v>
      </c>
      <c r="AE364" s="1">
        <v>0</v>
      </c>
      <c r="AF364" s="1"/>
      <c r="AG364" s="1">
        <v>0</v>
      </c>
      <c r="AH364" s="1">
        <v>0</v>
      </c>
      <c r="AI364" s="1">
        <v>0</v>
      </c>
      <c r="AJ364" s="1">
        <v>0</v>
      </c>
      <c r="AK364" s="1">
        <v>1.738</v>
      </c>
      <c r="AL364" s="1">
        <v>1.738</v>
      </c>
      <c r="AM364" s="1">
        <v>1.738</v>
      </c>
    </row>
    <row r="365" spans="1:39" x14ac:dyDescent="0.3">
      <c r="A365" s="21" t="str">
        <f t="shared" si="5"/>
        <v>HFA808LCLK2026-01-31</v>
      </c>
      <c r="B365" t="str">
        <f>VLOOKUP(A365,Sheet1!A365:B1707,1,FALSE)</f>
        <v>HFA808LCLK2026-01-31</v>
      </c>
      <c r="C365" s="3">
        <v>46053</v>
      </c>
      <c r="D365" s="1" t="s">
        <v>119</v>
      </c>
      <c r="E365" s="1" t="s">
        <v>38</v>
      </c>
      <c r="F365" s="1"/>
      <c r="G365" s="1" t="s">
        <v>39</v>
      </c>
      <c r="H365" s="1" t="s">
        <v>134</v>
      </c>
      <c r="I365" s="1" t="s">
        <v>67</v>
      </c>
      <c r="J365" s="1" t="s">
        <v>86</v>
      </c>
      <c r="K365" s="1" t="s">
        <v>87</v>
      </c>
      <c r="L365" s="1" t="s">
        <v>88</v>
      </c>
      <c r="M365" s="1" t="s">
        <v>50</v>
      </c>
      <c r="N365" s="1" t="s">
        <v>41</v>
      </c>
      <c r="O365" s="1" t="s">
        <v>42</v>
      </c>
      <c r="P365" s="1" t="s">
        <v>43</v>
      </c>
      <c r="Q365" s="1" t="s">
        <v>44</v>
      </c>
      <c r="R365" s="1" t="s">
        <v>45</v>
      </c>
      <c r="S365" s="1">
        <v>264</v>
      </c>
      <c r="T365" s="1">
        <v>0</v>
      </c>
      <c r="U365" s="4">
        <v>4.0972222222222222E-2</v>
      </c>
      <c r="V365" s="1">
        <v>980</v>
      </c>
      <c r="W365" s="1">
        <v>1220</v>
      </c>
      <c r="X365" s="1">
        <v>2200</v>
      </c>
      <c r="Y365" s="1" t="s">
        <v>51</v>
      </c>
      <c r="Z365" s="1">
        <v>1630</v>
      </c>
      <c r="AA365" s="1">
        <v>570</v>
      </c>
      <c r="AB365" s="1">
        <v>0</v>
      </c>
      <c r="AC365" s="1">
        <v>0</v>
      </c>
      <c r="AD365" s="1">
        <v>0</v>
      </c>
      <c r="AE365" s="1">
        <v>0</v>
      </c>
      <c r="AF365" s="1"/>
      <c r="AG365" s="1">
        <v>0</v>
      </c>
      <c r="AH365" s="1">
        <v>0</v>
      </c>
      <c r="AI365" s="1">
        <v>0</v>
      </c>
      <c r="AJ365" s="1">
        <v>0</v>
      </c>
      <c r="AK365" s="1">
        <v>1.8011999999999999</v>
      </c>
      <c r="AL365" s="1">
        <v>1.8011999999999999</v>
      </c>
      <c r="AM365" s="1">
        <v>1.8011999999999999</v>
      </c>
    </row>
    <row r="366" spans="1:39" x14ac:dyDescent="0.3">
      <c r="A366" s="21" t="str">
        <f t="shared" si="5"/>
        <v>HFA703LLHA2026-02-01</v>
      </c>
      <c r="B366" t="str">
        <f>VLOOKUP(A366,Sheet1!A366:B1708,1,FALSE)</f>
        <v>HFA703LLHA2026-02-01</v>
      </c>
      <c r="C366" s="3">
        <v>46054</v>
      </c>
      <c r="D366" s="1" t="s">
        <v>37</v>
      </c>
      <c r="E366" s="1" t="s">
        <v>38</v>
      </c>
      <c r="F366" s="1"/>
      <c r="G366" s="1" t="s">
        <v>39</v>
      </c>
      <c r="H366" s="1" t="s">
        <v>134</v>
      </c>
      <c r="I366" s="1" t="s">
        <v>41</v>
      </c>
      <c r="J366" s="1" t="s">
        <v>42</v>
      </c>
      <c r="K366" s="1" t="s">
        <v>43</v>
      </c>
      <c r="L366" s="1" t="s">
        <v>44</v>
      </c>
      <c r="M366" s="1" t="s">
        <v>45</v>
      </c>
      <c r="N366" s="1" t="s">
        <v>46</v>
      </c>
      <c r="O366" s="1" t="s">
        <v>47</v>
      </c>
      <c r="P366" s="1" t="s">
        <v>48</v>
      </c>
      <c r="Q366" s="1" t="s">
        <v>49</v>
      </c>
      <c r="R366" s="1" t="s">
        <v>50</v>
      </c>
      <c r="S366" s="1">
        <v>1157</v>
      </c>
      <c r="T366" s="1">
        <v>0</v>
      </c>
      <c r="U366" s="4">
        <v>0.11736111111111111</v>
      </c>
      <c r="V366" s="1">
        <v>1630</v>
      </c>
      <c r="W366" s="1">
        <v>1670</v>
      </c>
      <c r="X366" s="1">
        <v>3300</v>
      </c>
      <c r="Y366" s="1" t="s">
        <v>51</v>
      </c>
      <c r="Z366" s="1">
        <v>1320</v>
      </c>
      <c r="AA366" s="1">
        <v>1980</v>
      </c>
      <c r="AB366" s="1">
        <v>0</v>
      </c>
      <c r="AC366" s="1">
        <v>0</v>
      </c>
      <c r="AD366" s="1">
        <v>0</v>
      </c>
      <c r="AE366" s="1">
        <v>0</v>
      </c>
      <c r="AF366" s="1"/>
      <c r="AG366" s="1">
        <v>0</v>
      </c>
      <c r="AH366" s="1">
        <v>0</v>
      </c>
      <c r="AI366" s="1">
        <v>0</v>
      </c>
      <c r="AJ366" s="1">
        <v>0</v>
      </c>
      <c r="AK366" s="1">
        <v>6.2568000000000001</v>
      </c>
      <c r="AL366" s="1">
        <v>6.2568000000000001</v>
      </c>
      <c r="AM366" s="1">
        <v>6.2568000000000001</v>
      </c>
    </row>
    <row r="367" spans="1:39" x14ac:dyDescent="0.3">
      <c r="A367" s="21" t="str">
        <f t="shared" si="5"/>
        <v>HFA704LGAV2026-02-01</v>
      </c>
      <c r="B367" t="str">
        <f>VLOOKUP(A367,Sheet1!A367:B1709,1,FALSE)</f>
        <v>HFA704LGAV2026-02-01</v>
      </c>
      <c r="C367" s="3">
        <v>46054</v>
      </c>
      <c r="D367" s="1" t="s">
        <v>52</v>
      </c>
      <c r="E367" s="1" t="s">
        <v>38</v>
      </c>
      <c r="F367" s="1"/>
      <c r="G367" s="1" t="s">
        <v>39</v>
      </c>
      <c r="H367" s="1" t="s">
        <v>134</v>
      </c>
      <c r="I367" s="1" t="s">
        <v>46</v>
      </c>
      <c r="J367" s="1" t="s">
        <v>47</v>
      </c>
      <c r="K367" s="1" t="s">
        <v>48</v>
      </c>
      <c r="L367" s="1" t="s">
        <v>49</v>
      </c>
      <c r="M367" s="1" t="s">
        <v>50</v>
      </c>
      <c r="N367" s="1" t="s">
        <v>41</v>
      </c>
      <c r="O367" s="1" t="s">
        <v>42</v>
      </c>
      <c r="P367" s="1" t="s">
        <v>43</v>
      </c>
      <c r="Q367" s="1" t="s">
        <v>44</v>
      </c>
      <c r="R367" s="1" t="s">
        <v>45</v>
      </c>
      <c r="S367" s="1">
        <v>1157</v>
      </c>
      <c r="T367" s="1">
        <v>0</v>
      </c>
      <c r="U367" s="4">
        <v>0.11527777777777777</v>
      </c>
      <c r="V367" s="1">
        <v>1320</v>
      </c>
      <c r="W367" s="1">
        <v>1380</v>
      </c>
      <c r="X367" s="1">
        <v>2700</v>
      </c>
      <c r="Y367" s="1" t="s">
        <v>51</v>
      </c>
      <c r="Z367" s="1">
        <v>860</v>
      </c>
      <c r="AA367" s="1">
        <v>1840</v>
      </c>
      <c r="AB367" s="1">
        <v>0</v>
      </c>
      <c r="AC367" s="1">
        <v>0</v>
      </c>
      <c r="AD367" s="1">
        <v>0</v>
      </c>
      <c r="AE367" s="1">
        <v>0</v>
      </c>
      <c r="AF367" s="1"/>
      <c r="AG367" s="1">
        <v>0</v>
      </c>
      <c r="AH367" s="1">
        <v>0</v>
      </c>
      <c r="AI367" s="1">
        <v>0</v>
      </c>
      <c r="AJ367" s="1">
        <v>0</v>
      </c>
      <c r="AK367" s="1">
        <v>5.8144</v>
      </c>
      <c r="AL367" s="1">
        <v>5.8144</v>
      </c>
      <c r="AM367" s="1">
        <v>5.8144</v>
      </c>
    </row>
    <row r="368" spans="1:39" x14ac:dyDescent="0.3">
      <c r="A368" s="21" t="str">
        <f t="shared" si="5"/>
        <v>HFA601LLHA2026-02-02</v>
      </c>
      <c r="B368" t="e">
        <f>VLOOKUP(A368,Sheet1!A368:B1710,1,FALSE)</f>
        <v>#N/A</v>
      </c>
      <c r="C368" s="3">
        <v>46055</v>
      </c>
      <c r="D368" s="1" t="s">
        <v>57</v>
      </c>
      <c r="E368" s="1" t="s">
        <v>38</v>
      </c>
      <c r="F368" s="1" t="s">
        <v>54</v>
      </c>
      <c r="G368" s="1" t="s">
        <v>39</v>
      </c>
      <c r="H368" s="1" t="s">
        <v>134</v>
      </c>
      <c r="I368" s="1" t="s">
        <v>41</v>
      </c>
      <c r="J368" s="1" t="s">
        <v>42</v>
      </c>
      <c r="K368" s="1" t="s">
        <v>43</v>
      </c>
      <c r="L368" s="1" t="s">
        <v>44</v>
      </c>
      <c r="M368" s="1" t="s">
        <v>45</v>
      </c>
      <c r="N368" s="1" t="s">
        <v>41</v>
      </c>
      <c r="O368" s="1" t="s">
        <v>58</v>
      </c>
      <c r="P368" s="1" t="s">
        <v>59</v>
      </c>
      <c r="Q368" s="1" t="s">
        <v>60</v>
      </c>
      <c r="R368" s="1" t="s">
        <v>45</v>
      </c>
      <c r="S368" s="1">
        <v>342</v>
      </c>
      <c r="T368" s="1">
        <v>0</v>
      </c>
      <c r="U368" s="4">
        <v>4.7916666666666663E-2</v>
      </c>
      <c r="V368" s="1">
        <v>860</v>
      </c>
      <c r="W368" s="1">
        <v>940</v>
      </c>
      <c r="X368" s="1">
        <v>1800</v>
      </c>
      <c r="Y368" s="1" t="s">
        <v>51</v>
      </c>
      <c r="Z368" s="1">
        <v>1020</v>
      </c>
      <c r="AA368" s="1">
        <v>780</v>
      </c>
      <c r="AB368" s="1">
        <v>0</v>
      </c>
      <c r="AC368" s="1">
        <v>0</v>
      </c>
      <c r="AD368" s="1">
        <v>0</v>
      </c>
      <c r="AE368" s="1">
        <v>0</v>
      </c>
      <c r="AF368" s="1"/>
      <c r="AG368" s="1">
        <v>0</v>
      </c>
      <c r="AH368" s="1">
        <v>0</v>
      </c>
      <c r="AI368" s="1">
        <v>0</v>
      </c>
      <c r="AJ368" s="1">
        <v>0</v>
      </c>
      <c r="AK368" s="1">
        <v>2.4647999999999999</v>
      </c>
      <c r="AL368" s="1">
        <v>2.4647999999999999</v>
      </c>
      <c r="AM368" s="1">
        <v>2.4647999999999999</v>
      </c>
    </row>
    <row r="369" spans="1:39" x14ac:dyDescent="0.3">
      <c r="A369" s="21" t="str">
        <f t="shared" si="5"/>
        <v>HFA602LLER2026-02-02</v>
      </c>
      <c r="B369" t="e">
        <f>VLOOKUP(A369,Sheet1!A369:B1711,1,FALSE)</f>
        <v>#N/A</v>
      </c>
      <c r="C369" s="3">
        <v>46055</v>
      </c>
      <c r="D369" s="1" t="s">
        <v>61</v>
      </c>
      <c r="E369" s="1" t="s">
        <v>38</v>
      </c>
      <c r="F369" s="1" t="s">
        <v>54</v>
      </c>
      <c r="G369" s="1" t="s">
        <v>39</v>
      </c>
      <c r="H369" s="1" t="s">
        <v>134</v>
      </c>
      <c r="I369" s="1" t="s">
        <v>41</v>
      </c>
      <c r="J369" s="1" t="s">
        <v>58</v>
      </c>
      <c r="K369" s="1" t="s">
        <v>59</v>
      </c>
      <c r="L369" s="1" t="s">
        <v>60</v>
      </c>
      <c r="M369" s="1" t="s">
        <v>45</v>
      </c>
      <c r="N369" s="1" t="s">
        <v>41</v>
      </c>
      <c r="O369" s="1" t="s">
        <v>42</v>
      </c>
      <c r="P369" s="1" t="s">
        <v>43</v>
      </c>
      <c r="Q369" s="1" t="s">
        <v>44</v>
      </c>
      <c r="R369" s="1" t="s">
        <v>45</v>
      </c>
      <c r="S369" s="1">
        <v>342</v>
      </c>
      <c r="T369" s="1">
        <v>0</v>
      </c>
      <c r="U369" s="4">
        <v>4.7916666666666663E-2</v>
      </c>
      <c r="V369" s="1">
        <v>1020</v>
      </c>
      <c r="W369" s="1">
        <v>1180</v>
      </c>
      <c r="X369" s="1">
        <v>2200</v>
      </c>
      <c r="Y369" s="1" t="s">
        <v>51</v>
      </c>
      <c r="Z369" s="1">
        <v>1500</v>
      </c>
      <c r="AA369" s="1">
        <v>700</v>
      </c>
      <c r="AB369" s="1">
        <v>0</v>
      </c>
      <c r="AC369" s="1">
        <v>0</v>
      </c>
      <c r="AD369" s="1">
        <v>0</v>
      </c>
      <c r="AE369" s="1">
        <v>0</v>
      </c>
      <c r="AF369" s="1"/>
      <c r="AG369" s="1">
        <v>0</v>
      </c>
      <c r="AH369" s="1">
        <v>0</v>
      </c>
      <c r="AI369" s="1">
        <v>0</v>
      </c>
      <c r="AJ369" s="1">
        <v>0</v>
      </c>
      <c r="AK369" s="1">
        <v>2.2120000000000002</v>
      </c>
      <c r="AL369" s="1">
        <v>2.2120000000000002</v>
      </c>
      <c r="AM369" s="1">
        <v>2.2120000000000002</v>
      </c>
    </row>
    <row r="370" spans="1:39" x14ac:dyDescent="0.3">
      <c r="A370" s="21" t="str">
        <f t="shared" si="5"/>
        <v>HFA803LLHA2026-02-02</v>
      </c>
      <c r="B370" t="str">
        <f>VLOOKUP(A370,Sheet1!A370:B1712,1,FALSE)</f>
        <v>HFA803LLHA2026-02-02</v>
      </c>
      <c r="C370" s="3">
        <v>46055</v>
      </c>
      <c r="D370" s="1" t="s">
        <v>116</v>
      </c>
      <c r="E370" s="1" t="s">
        <v>38</v>
      </c>
      <c r="F370" s="1"/>
      <c r="G370" s="1" t="s">
        <v>39</v>
      </c>
      <c r="H370" s="1" t="s">
        <v>134</v>
      </c>
      <c r="I370" s="1" t="s">
        <v>41</v>
      </c>
      <c r="J370" s="1" t="s">
        <v>42</v>
      </c>
      <c r="K370" s="1" t="s">
        <v>43</v>
      </c>
      <c r="L370" s="1" t="s">
        <v>44</v>
      </c>
      <c r="M370" s="1" t="s">
        <v>45</v>
      </c>
      <c r="N370" s="1" t="s">
        <v>67</v>
      </c>
      <c r="O370" s="1" t="s">
        <v>86</v>
      </c>
      <c r="P370" s="1" t="s">
        <v>87</v>
      </c>
      <c r="Q370" s="1" t="s">
        <v>88</v>
      </c>
      <c r="R370" s="1" t="s">
        <v>50</v>
      </c>
      <c r="S370" s="1">
        <v>264</v>
      </c>
      <c r="T370" s="1">
        <v>0</v>
      </c>
      <c r="U370" s="4">
        <v>4.0972222222222222E-2</v>
      </c>
      <c r="V370" s="1">
        <v>1500</v>
      </c>
      <c r="W370" s="1">
        <v>400</v>
      </c>
      <c r="X370" s="1">
        <v>1900</v>
      </c>
      <c r="Y370" s="1" t="s">
        <v>51</v>
      </c>
      <c r="Z370" s="1">
        <v>1220</v>
      </c>
      <c r="AA370" s="1">
        <v>680</v>
      </c>
      <c r="AB370" s="1">
        <v>0</v>
      </c>
      <c r="AC370" s="1">
        <v>0</v>
      </c>
      <c r="AD370" s="1">
        <v>0</v>
      </c>
      <c r="AE370" s="1">
        <v>0</v>
      </c>
      <c r="AF370" s="1"/>
      <c r="AG370" s="1">
        <v>0</v>
      </c>
      <c r="AH370" s="1">
        <v>0</v>
      </c>
      <c r="AI370" s="1">
        <v>0</v>
      </c>
      <c r="AJ370" s="1">
        <v>0</v>
      </c>
      <c r="AK370" s="1">
        <v>2.1488</v>
      </c>
      <c r="AL370" s="1">
        <v>2.1488</v>
      </c>
      <c r="AM370" s="1">
        <v>2.1488</v>
      </c>
    </row>
    <row r="371" spans="1:39" x14ac:dyDescent="0.3">
      <c r="A371" s="21" t="str">
        <f t="shared" si="5"/>
        <v>HFA804LCLK2026-02-02</v>
      </c>
      <c r="B371" t="str">
        <f>VLOOKUP(A371,Sheet1!A371:B1713,1,FALSE)</f>
        <v>HFA804LCLK2026-02-02</v>
      </c>
      <c r="C371" s="3">
        <v>46055</v>
      </c>
      <c r="D371" s="1" t="s">
        <v>117</v>
      </c>
      <c r="E371" s="1" t="s">
        <v>38</v>
      </c>
      <c r="F371" s="1"/>
      <c r="G371" s="1" t="s">
        <v>39</v>
      </c>
      <c r="H371" s="1" t="s">
        <v>134</v>
      </c>
      <c r="I371" s="1" t="s">
        <v>67</v>
      </c>
      <c r="J371" s="1" t="s">
        <v>86</v>
      </c>
      <c r="K371" s="1" t="s">
        <v>87</v>
      </c>
      <c r="L371" s="1" t="s">
        <v>88</v>
      </c>
      <c r="M371" s="1" t="s">
        <v>50</v>
      </c>
      <c r="N371" s="1" t="s">
        <v>41</v>
      </c>
      <c r="O371" s="1" t="s">
        <v>42</v>
      </c>
      <c r="P371" s="1" t="s">
        <v>43</v>
      </c>
      <c r="Q371" s="1" t="s">
        <v>44</v>
      </c>
      <c r="R371" s="1" t="s">
        <v>45</v>
      </c>
      <c r="S371" s="1">
        <v>264</v>
      </c>
      <c r="T371" s="1">
        <v>0</v>
      </c>
      <c r="U371" s="4">
        <v>4.1666666666666664E-2</v>
      </c>
      <c r="V371" s="1">
        <v>1220</v>
      </c>
      <c r="W371" s="1">
        <v>1280</v>
      </c>
      <c r="X371" s="1">
        <v>2500</v>
      </c>
      <c r="Y371" s="1" t="s">
        <v>51</v>
      </c>
      <c r="Z371" s="1">
        <v>1970</v>
      </c>
      <c r="AA371" s="1">
        <v>530</v>
      </c>
      <c r="AB371" s="1">
        <v>0</v>
      </c>
      <c r="AC371" s="1">
        <v>0</v>
      </c>
      <c r="AD371" s="1">
        <v>0</v>
      </c>
      <c r="AE371" s="1">
        <v>0</v>
      </c>
      <c r="AF371" s="1"/>
      <c r="AG371" s="1">
        <v>0</v>
      </c>
      <c r="AH371" s="1">
        <v>0</v>
      </c>
      <c r="AI371" s="1">
        <v>0</v>
      </c>
      <c r="AJ371" s="1">
        <v>0</v>
      </c>
      <c r="AK371" s="1">
        <v>1.6748000000000001</v>
      </c>
      <c r="AL371" s="1">
        <v>1.6748000000000001</v>
      </c>
      <c r="AM371" s="1">
        <v>1.6748000000000001</v>
      </c>
    </row>
    <row r="372" spans="1:39" x14ac:dyDescent="0.3">
      <c r="A372" s="21" t="str">
        <f t="shared" si="5"/>
        <v>HFA605LLHA2026-02-03</v>
      </c>
      <c r="B372" t="e">
        <f>VLOOKUP(A372,Sheet1!A372:B1714,1,FALSE)</f>
        <v>#N/A</v>
      </c>
      <c r="C372" s="3">
        <v>46056</v>
      </c>
      <c r="D372" s="1" t="s">
        <v>62</v>
      </c>
      <c r="E372" s="1" t="s">
        <v>38</v>
      </c>
      <c r="F372" s="1" t="s">
        <v>54</v>
      </c>
      <c r="G372" s="1" t="s">
        <v>39</v>
      </c>
      <c r="H372" s="1" t="s">
        <v>134</v>
      </c>
      <c r="I372" s="1" t="s">
        <v>41</v>
      </c>
      <c r="J372" s="1" t="s">
        <v>42</v>
      </c>
      <c r="K372" s="1" t="s">
        <v>43</v>
      </c>
      <c r="L372" s="1" t="s">
        <v>44</v>
      </c>
      <c r="M372" s="1" t="s">
        <v>45</v>
      </c>
      <c r="N372" s="1" t="s">
        <v>41</v>
      </c>
      <c r="O372" s="1" t="s">
        <v>58</v>
      </c>
      <c r="P372" s="1" t="s">
        <v>59</v>
      </c>
      <c r="Q372" s="1" t="s">
        <v>60</v>
      </c>
      <c r="R372" s="1" t="s">
        <v>45</v>
      </c>
      <c r="S372" s="1">
        <v>342</v>
      </c>
      <c r="T372" s="1">
        <v>0</v>
      </c>
      <c r="U372" s="4">
        <v>4.3055555555555555E-2</v>
      </c>
      <c r="V372" s="1">
        <v>1970</v>
      </c>
      <c r="W372" s="1">
        <v>0</v>
      </c>
      <c r="X372" s="1">
        <v>1970</v>
      </c>
      <c r="Y372" s="1" t="s">
        <v>51</v>
      </c>
      <c r="Z372" s="1">
        <v>1310</v>
      </c>
      <c r="AA372" s="1">
        <v>660</v>
      </c>
      <c r="AB372" s="1">
        <v>0</v>
      </c>
      <c r="AC372" s="1">
        <v>0</v>
      </c>
      <c r="AD372" s="1">
        <v>0</v>
      </c>
      <c r="AE372" s="1">
        <v>0</v>
      </c>
      <c r="AF372" s="1"/>
      <c r="AG372" s="1">
        <v>0</v>
      </c>
      <c r="AH372" s="1">
        <v>0</v>
      </c>
      <c r="AI372" s="1">
        <v>0</v>
      </c>
      <c r="AJ372" s="1">
        <v>0</v>
      </c>
      <c r="AK372" s="1">
        <v>2.0855999999999999</v>
      </c>
      <c r="AL372" s="1">
        <v>2.0855999999999999</v>
      </c>
      <c r="AM372" s="1">
        <v>2.0855999999999999</v>
      </c>
    </row>
    <row r="373" spans="1:39" x14ac:dyDescent="0.3">
      <c r="A373" s="21" t="str">
        <f t="shared" si="5"/>
        <v>HFA606LLER2026-02-03</v>
      </c>
      <c r="B373" t="str">
        <f>VLOOKUP(A373,Sheet1!A373:B1715,1,FALSE)</f>
        <v>HFA606LLER2026-02-03</v>
      </c>
      <c r="C373" s="3">
        <v>46056</v>
      </c>
      <c r="D373" s="1" t="s">
        <v>63</v>
      </c>
      <c r="E373" s="1" t="s">
        <v>38</v>
      </c>
      <c r="F373" s="1" t="s">
        <v>54</v>
      </c>
      <c r="G373" s="1" t="s">
        <v>39</v>
      </c>
      <c r="H373" s="1" t="s">
        <v>134</v>
      </c>
      <c r="I373" s="1" t="s">
        <v>41</v>
      </c>
      <c r="J373" s="1" t="s">
        <v>58</v>
      </c>
      <c r="K373" s="1" t="s">
        <v>59</v>
      </c>
      <c r="L373" s="1" t="s">
        <v>60</v>
      </c>
      <c r="M373" s="1" t="s">
        <v>45</v>
      </c>
      <c r="N373" s="1" t="s">
        <v>41</v>
      </c>
      <c r="O373" s="1" t="s">
        <v>42</v>
      </c>
      <c r="P373" s="1" t="s">
        <v>43</v>
      </c>
      <c r="Q373" s="1" t="s">
        <v>44</v>
      </c>
      <c r="R373" s="1" t="s">
        <v>45</v>
      </c>
      <c r="S373" s="1">
        <v>342</v>
      </c>
      <c r="T373" s="1">
        <v>0</v>
      </c>
      <c r="U373" s="4">
        <v>5.0694444444444445E-2</v>
      </c>
      <c r="V373" s="1">
        <v>1310</v>
      </c>
      <c r="W373" s="1">
        <v>990</v>
      </c>
      <c r="X373" s="1">
        <v>2300</v>
      </c>
      <c r="Y373" s="1" t="s">
        <v>51</v>
      </c>
      <c r="Z373" s="1">
        <v>1570</v>
      </c>
      <c r="AA373" s="1">
        <v>730</v>
      </c>
      <c r="AB373" s="1">
        <v>0</v>
      </c>
      <c r="AC373" s="1">
        <v>0</v>
      </c>
      <c r="AD373" s="1">
        <v>0</v>
      </c>
      <c r="AE373" s="1">
        <v>0</v>
      </c>
      <c r="AF373" s="1"/>
      <c r="AG373" s="1">
        <v>0</v>
      </c>
      <c r="AH373" s="1">
        <v>0</v>
      </c>
      <c r="AI373" s="1">
        <v>0</v>
      </c>
      <c r="AJ373" s="1">
        <v>0</v>
      </c>
      <c r="AK373" s="1">
        <v>2.3068</v>
      </c>
      <c r="AL373" s="1">
        <v>2.3068</v>
      </c>
      <c r="AM373" s="1">
        <v>2.3068</v>
      </c>
    </row>
    <row r="374" spans="1:39" x14ac:dyDescent="0.3">
      <c r="A374" s="21" t="str">
        <f t="shared" si="5"/>
        <v>HFA807LLHA2026-02-03</v>
      </c>
      <c r="B374" t="str">
        <f>VLOOKUP(A374,Sheet1!A374:B1716,1,FALSE)</f>
        <v>HFA807LLHA2026-02-03</v>
      </c>
      <c r="C374" s="3">
        <v>46056</v>
      </c>
      <c r="D374" s="1" t="s">
        <v>118</v>
      </c>
      <c r="E374" s="1" t="s">
        <v>38</v>
      </c>
      <c r="F374" s="1"/>
      <c r="G374" s="1" t="s">
        <v>39</v>
      </c>
      <c r="H374" s="1" t="s">
        <v>134</v>
      </c>
      <c r="I374" s="1" t="s">
        <v>41</v>
      </c>
      <c r="J374" s="1" t="s">
        <v>42</v>
      </c>
      <c r="K374" s="1" t="s">
        <v>43</v>
      </c>
      <c r="L374" s="1" t="s">
        <v>44</v>
      </c>
      <c r="M374" s="1" t="s">
        <v>45</v>
      </c>
      <c r="N374" s="1" t="s">
        <v>67</v>
      </c>
      <c r="O374" s="1" t="s">
        <v>86</v>
      </c>
      <c r="P374" s="1" t="s">
        <v>87</v>
      </c>
      <c r="Q374" s="1" t="s">
        <v>88</v>
      </c>
      <c r="R374" s="1" t="s">
        <v>50</v>
      </c>
      <c r="S374" s="1">
        <v>264</v>
      </c>
      <c r="T374" s="1">
        <v>0</v>
      </c>
      <c r="U374" s="4">
        <v>3.9583333333333331E-2</v>
      </c>
      <c r="V374" s="1">
        <v>1570</v>
      </c>
      <c r="W374" s="1">
        <v>0</v>
      </c>
      <c r="X374" s="1">
        <v>1570</v>
      </c>
      <c r="Y374" s="1" t="s">
        <v>51</v>
      </c>
      <c r="Z374" s="1">
        <v>970</v>
      </c>
      <c r="AA374" s="1">
        <v>600</v>
      </c>
      <c r="AB374" s="1">
        <v>0</v>
      </c>
      <c r="AC374" s="1">
        <v>0</v>
      </c>
      <c r="AD374" s="1">
        <v>0</v>
      </c>
      <c r="AE374" s="1">
        <v>0</v>
      </c>
      <c r="AF374" s="1"/>
      <c r="AG374" s="1">
        <v>0</v>
      </c>
      <c r="AH374" s="1">
        <v>0</v>
      </c>
      <c r="AI374" s="1">
        <v>0</v>
      </c>
      <c r="AJ374" s="1">
        <v>0</v>
      </c>
      <c r="AK374" s="1">
        <v>1.8959999999999999</v>
      </c>
      <c r="AL374" s="1">
        <v>1.8959999999999999</v>
      </c>
      <c r="AM374" s="1">
        <v>1.8959999999999999</v>
      </c>
    </row>
    <row r="375" spans="1:39" x14ac:dyDescent="0.3">
      <c r="A375" s="21" t="str">
        <f t="shared" si="5"/>
        <v>HFA808LCLK2026-02-03</v>
      </c>
      <c r="B375" t="str">
        <f>VLOOKUP(A375,Sheet1!A375:B1717,1,FALSE)</f>
        <v>HFA808LCLK2026-02-03</v>
      </c>
      <c r="C375" s="3">
        <v>46056</v>
      </c>
      <c r="D375" s="1" t="s">
        <v>119</v>
      </c>
      <c r="E375" s="1" t="s">
        <v>38</v>
      </c>
      <c r="F375" s="1"/>
      <c r="G375" s="1" t="s">
        <v>39</v>
      </c>
      <c r="H375" s="1" t="s">
        <v>134</v>
      </c>
      <c r="I375" s="1" t="s">
        <v>67</v>
      </c>
      <c r="J375" s="1" t="s">
        <v>86</v>
      </c>
      <c r="K375" s="1" t="s">
        <v>87</v>
      </c>
      <c r="L375" s="1" t="s">
        <v>88</v>
      </c>
      <c r="M375" s="1" t="s">
        <v>50</v>
      </c>
      <c r="N375" s="1" t="s">
        <v>41</v>
      </c>
      <c r="O375" s="1" t="s">
        <v>42</v>
      </c>
      <c r="P375" s="1" t="s">
        <v>43</v>
      </c>
      <c r="Q375" s="1" t="s">
        <v>44</v>
      </c>
      <c r="R375" s="1" t="s">
        <v>45</v>
      </c>
      <c r="S375" s="1">
        <v>264</v>
      </c>
      <c r="T375" s="1">
        <v>0</v>
      </c>
      <c r="U375" s="4">
        <v>3.7499999999999999E-2</v>
      </c>
      <c r="V375" s="1">
        <v>970</v>
      </c>
      <c r="W375" s="1">
        <v>1030</v>
      </c>
      <c r="X375" s="1">
        <v>2000</v>
      </c>
      <c r="Y375" s="1" t="s">
        <v>51</v>
      </c>
      <c r="Z375" s="1">
        <v>1520</v>
      </c>
      <c r="AA375" s="1">
        <v>480</v>
      </c>
      <c r="AB375" s="1">
        <v>0</v>
      </c>
      <c r="AC375" s="1">
        <v>0</v>
      </c>
      <c r="AD375" s="1">
        <v>0</v>
      </c>
      <c r="AE375" s="1">
        <v>0</v>
      </c>
      <c r="AF375" s="1"/>
      <c r="AG375" s="1">
        <v>0</v>
      </c>
      <c r="AH375" s="1">
        <v>0</v>
      </c>
      <c r="AI375" s="1">
        <v>0</v>
      </c>
      <c r="AJ375" s="1">
        <v>0</v>
      </c>
      <c r="AK375" s="1">
        <v>1.5167999999999999</v>
      </c>
      <c r="AL375" s="1">
        <v>1.5167999999999999</v>
      </c>
      <c r="AM375" s="1">
        <v>1.5167999999999999</v>
      </c>
    </row>
    <row r="376" spans="1:39" x14ac:dyDescent="0.3">
      <c r="A376" s="21" t="str">
        <f t="shared" si="5"/>
        <v>HFA801LLHA2026-02-04</v>
      </c>
      <c r="B376" t="str">
        <f>VLOOKUP(A376,Sheet1!A376:B1718,1,FALSE)</f>
        <v>HFA801LLHA2026-02-04</v>
      </c>
      <c r="C376" s="3">
        <v>46057</v>
      </c>
      <c r="D376" s="1" t="s">
        <v>133</v>
      </c>
      <c r="E376" s="1" t="s">
        <v>38</v>
      </c>
      <c r="F376" s="1"/>
      <c r="G376" s="1" t="s">
        <v>39</v>
      </c>
      <c r="H376" s="1" t="s">
        <v>134</v>
      </c>
      <c r="I376" s="1" t="s">
        <v>41</v>
      </c>
      <c r="J376" s="1" t="s">
        <v>42</v>
      </c>
      <c r="K376" s="1" t="s">
        <v>43</v>
      </c>
      <c r="L376" s="1" t="s">
        <v>44</v>
      </c>
      <c r="M376" s="1" t="s">
        <v>45</v>
      </c>
      <c r="N376" s="1" t="s">
        <v>67</v>
      </c>
      <c r="O376" s="1" t="s">
        <v>86</v>
      </c>
      <c r="P376" s="1" t="s">
        <v>87</v>
      </c>
      <c r="Q376" s="1" t="s">
        <v>88</v>
      </c>
      <c r="R376" s="1" t="s">
        <v>50</v>
      </c>
      <c r="S376" s="1">
        <v>264</v>
      </c>
      <c r="T376" s="1">
        <v>0</v>
      </c>
      <c r="U376" s="4">
        <v>4.1666666666666664E-2</v>
      </c>
      <c r="V376" s="1">
        <v>1520</v>
      </c>
      <c r="W376" s="1">
        <v>-20</v>
      </c>
      <c r="X376" s="1">
        <v>1500</v>
      </c>
      <c r="Y376" s="1" t="s">
        <v>51</v>
      </c>
      <c r="Z376" s="1">
        <v>900</v>
      </c>
      <c r="AA376" s="1">
        <v>600</v>
      </c>
      <c r="AB376" s="1">
        <v>0</v>
      </c>
      <c r="AC376" s="1">
        <v>0</v>
      </c>
      <c r="AD376" s="1">
        <v>0</v>
      </c>
      <c r="AE376" s="1">
        <v>0</v>
      </c>
      <c r="AF376" s="1"/>
      <c r="AG376" s="1">
        <v>0</v>
      </c>
      <c r="AH376" s="1">
        <v>0</v>
      </c>
      <c r="AI376" s="1">
        <v>0</v>
      </c>
      <c r="AJ376" s="1">
        <v>0</v>
      </c>
      <c r="AK376" s="1">
        <v>1.8959999999999999</v>
      </c>
      <c r="AL376" s="1">
        <v>1.8959999999999999</v>
      </c>
      <c r="AM376" s="1">
        <v>1.8959999999999999</v>
      </c>
    </row>
    <row r="377" spans="1:39" x14ac:dyDescent="0.3">
      <c r="A377" s="21" t="str">
        <f t="shared" si="5"/>
        <v>HFA802LCLK2026-02-04</v>
      </c>
      <c r="B377" t="str">
        <f>VLOOKUP(A377,Sheet1!A377:B1719,1,FALSE)</f>
        <v>HFA802LCLK2026-02-04</v>
      </c>
      <c r="C377" s="3">
        <v>46057</v>
      </c>
      <c r="D377" s="1" t="s">
        <v>135</v>
      </c>
      <c r="E377" s="1" t="s">
        <v>38</v>
      </c>
      <c r="F377" s="1"/>
      <c r="G377" s="1" t="s">
        <v>39</v>
      </c>
      <c r="H377" s="1" t="s">
        <v>134</v>
      </c>
      <c r="I377" s="1" t="s">
        <v>67</v>
      </c>
      <c r="J377" s="1" t="s">
        <v>86</v>
      </c>
      <c r="K377" s="1" t="s">
        <v>87</v>
      </c>
      <c r="L377" s="1" t="s">
        <v>88</v>
      </c>
      <c r="M377" s="1" t="s">
        <v>50</v>
      </c>
      <c r="N377" s="1" t="s">
        <v>41</v>
      </c>
      <c r="O377" s="1" t="s">
        <v>42</v>
      </c>
      <c r="P377" s="1" t="s">
        <v>43</v>
      </c>
      <c r="Q377" s="1" t="s">
        <v>44</v>
      </c>
      <c r="R377" s="1" t="s">
        <v>45</v>
      </c>
      <c r="S377" s="1">
        <v>264</v>
      </c>
      <c r="T377" s="1">
        <v>0</v>
      </c>
      <c r="U377" s="4">
        <v>3.7499999999999999E-2</v>
      </c>
      <c r="V377" s="1">
        <v>900</v>
      </c>
      <c r="W377" s="1">
        <v>1400</v>
      </c>
      <c r="X377" s="1">
        <v>2300</v>
      </c>
      <c r="Y377" s="1" t="s">
        <v>51</v>
      </c>
      <c r="Z377" s="1">
        <v>1790</v>
      </c>
      <c r="AA377" s="1">
        <v>510</v>
      </c>
      <c r="AB377" s="1">
        <v>0</v>
      </c>
      <c r="AC377" s="1">
        <v>0</v>
      </c>
      <c r="AD377" s="1">
        <v>0</v>
      </c>
      <c r="AE377" s="1">
        <v>0</v>
      </c>
      <c r="AF377" s="1"/>
      <c r="AG377" s="1">
        <v>0</v>
      </c>
      <c r="AH377" s="1">
        <v>0</v>
      </c>
      <c r="AI377" s="1">
        <v>0</v>
      </c>
      <c r="AJ377" s="1">
        <v>0</v>
      </c>
      <c r="AK377" s="1">
        <v>1.6115999999999999</v>
      </c>
      <c r="AL377" s="1">
        <v>1.6115999999999999</v>
      </c>
      <c r="AM377" s="1">
        <v>1.6115999999999999</v>
      </c>
    </row>
    <row r="378" spans="1:39" x14ac:dyDescent="0.3">
      <c r="A378" s="21" t="str">
        <f t="shared" si="5"/>
        <v>HFA605LLHA2026-02-04</v>
      </c>
      <c r="B378" t="e">
        <f>VLOOKUP(A378,Sheet1!A378:B1720,1,FALSE)</f>
        <v>#N/A</v>
      </c>
      <c r="C378" s="3">
        <v>46057</v>
      </c>
      <c r="D378" s="1" t="s">
        <v>62</v>
      </c>
      <c r="E378" s="1" t="s">
        <v>38</v>
      </c>
      <c r="F378" s="1" t="s">
        <v>54</v>
      </c>
      <c r="G378" s="1" t="s">
        <v>39</v>
      </c>
      <c r="H378" s="1" t="s">
        <v>134</v>
      </c>
      <c r="I378" s="1" t="s">
        <v>41</v>
      </c>
      <c r="J378" s="1" t="s">
        <v>42</v>
      </c>
      <c r="K378" s="1" t="s">
        <v>43</v>
      </c>
      <c r="L378" s="1" t="s">
        <v>44</v>
      </c>
      <c r="M378" s="1" t="s">
        <v>45</v>
      </c>
      <c r="N378" s="1" t="s">
        <v>41</v>
      </c>
      <c r="O378" s="1" t="s">
        <v>58</v>
      </c>
      <c r="P378" s="1" t="s">
        <v>59</v>
      </c>
      <c r="Q378" s="1" t="s">
        <v>60</v>
      </c>
      <c r="R378" s="1" t="s">
        <v>45</v>
      </c>
      <c r="S378" s="1">
        <v>342</v>
      </c>
      <c r="T378" s="1">
        <v>0</v>
      </c>
      <c r="U378" s="4">
        <v>4.3055555555555555E-2</v>
      </c>
      <c r="V378" s="1">
        <v>1790</v>
      </c>
      <c r="W378" s="1">
        <v>-40</v>
      </c>
      <c r="X378" s="1">
        <v>1750</v>
      </c>
      <c r="Y378" s="1" t="s">
        <v>51</v>
      </c>
      <c r="Z378" s="1">
        <v>1040</v>
      </c>
      <c r="AA378" s="1">
        <v>710</v>
      </c>
      <c r="AB378" s="1">
        <v>0</v>
      </c>
      <c r="AC378" s="1">
        <v>0</v>
      </c>
      <c r="AD378" s="1">
        <v>0</v>
      </c>
      <c r="AE378" s="1">
        <v>0</v>
      </c>
      <c r="AF378" s="1"/>
      <c r="AG378" s="1">
        <v>0</v>
      </c>
      <c r="AH378" s="1">
        <v>0</v>
      </c>
      <c r="AI378" s="1">
        <v>0</v>
      </c>
      <c r="AJ378" s="1">
        <v>0</v>
      </c>
      <c r="AK378" s="1">
        <v>2.2435999999999998</v>
      </c>
      <c r="AL378" s="1">
        <v>2.2435999999999998</v>
      </c>
      <c r="AM378" s="1">
        <v>2.2435999999999998</v>
      </c>
    </row>
    <row r="379" spans="1:39" x14ac:dyDescent="0.3">
      <c r="A379" s="21" t="str">
        <f t="shared" si="5"/>
        <v>HFA606LLER2026-02-04</v>
      </c>
      <c r="B379" t="str">
        <f>VLOOKUP(A379,Sheet1!A379:B1721,1,FALSE)</f>
        <v>HFA606LLER2026-02-04</v>
      </c>
      <c r="C379" s="3">
        <v>46057</v>
      </c>
      <c r="D379" s="1" t="s">
        <v>63</v>
      </c>
      <c r="E379" s="1" t="s">
        <v>38</v>
      </c>
      <c r="F379" s="1" t="s">
        <v>54</v>
      </c>
      <c r="G379" s="1" t="s">
        <v>39</v>
      </c>
      <c r="H379" s="1" t="s">
        <v>134</v>
      </c>
      <c r="I379" s="1" t="s">
        <v>41</v>
      </c>
      <c r="J379" s="1" t="s">
        <v>58</v>
      </c>
      <c r="K379" s="1" t="s">
        <v>59</v>
      </c>
      <c r="L379" s="1" t="s">
        <v>60</v>
      </c>
      <c r="M379" s="1" t="s">
        <v>45</v>
      </c>
      <c r="N379" s="1" t="s">
        <v>41</v>
      </c>
      <c r="O379" s="1" t="s">
        <v>42</v>
      </c>
      <c r="P379" s="1" t="s">
        <v>43</v>
      </c>
      <c r="Q379" s="1" t="s">
        <v>44</v>
      </c>
      <c r="R379" s="1" t="s">
        <v>45</v>
      </c>
      <c r="S379" s="1">
        <v>342</v>
      </c>
      <c r="T379" s="1">
        <v>0</v>
      </c>
      <c r="U379" s="4">
        <v>4.583333333333333E-2</v>
      </c>
      <c r="V379" s="1">
        <v>1040</v>
      </c>
      <c r="W379" s="1">
        <v>1060</v>
      </c>
      <c r="X379" s="1">
        <v>2100</v>
      </c>
      <c r="Y379" s="1" t="s">
        <v>51</v>
      </c>
      <c r="Z379" s="1">
        <v>1350</v>
      </c>
      <c r="AA379" s="1">
        <v>750</v>
      </c>
      <c r="AB379" s="1">
        <v>0</v>
      </c>
      <c r="AC379" s="1">
        <v>0</v>
      </c>
      <c r="AD379" s="1">
        <v>0</v>
      </c>
      <c r="AE379" s="1">
        <v>0</v>
      </c>
      <c r="AF379" s="1"/>
      <c r="AG379" s="1">
        <v>0</v>
      </c>
      <c r="AH379" s="1">
        <v>0</v>
      </c>
      <c r="AI379" s="1">
        <v>0</v>
      </c>
      <c r="AJ379" s="1">
        <v>0</v>
      </c>
      <c r="AK379" s="1">
        <v>2.37</v>
      </c>
      <c r="AL379" s="1">
        <v>2.37</v>
      </c>
      <c r="AM379" s="1">
        <v>2.37</v>
      </c>
    </row>
    <row r="380" spans="1:39" x14ac:dyDescent="0.3">
      <c r="A380" s="21" t="str">
        <f t="shared" si="5"/>
        <v>HFA807LLHA2026-02-04</v>
      </c>
      <c r="B380" t="str">
        <f>VLOOKUP(A380,Sheet1!A380:B1722,1,FALSE)</f>
        <v>HFA807LLHA2026-02-04</v>
      </c>
      <c r="C380" s="3">
        <v>46057</v>
      </c>
      <c r="D380" s="1" t="s">
        <v>118</v>
      </c>
      <c r="E380" s="1" t="s">
        <v>38</v>
      </c>
      <c r="F380" s="1"/>
      <c r="G380" s="1" t="s">
        <v>39</v>
      </c>
      <c r="H380" s="1" t="s">
        <v>134</v>
      </c>
      <c r="I380" s="1" t="s">
        <v>41</v>
      </c>
      <c r="J380" s="1" t="s">
        <v>42</v>
      </c>
      <c r="K380" s="1" t="s">
        <v>43</v>
      </c>
      <c r="L380" s="1" t="s">
        <v>44</v>
      </c>
      <c r="M380" s="1" t="s">
        <v>45</v>
      </c>
      <c r="N380" s="1" t="s">
        <v>67</v>
      </c>
      <c r="O380" s="1" t="s">
        <v>86</v>
      </c>
      <c r="P380" s="1" t="s">
        <v>87</v>
      </c>
      <c r="Q380" s="1" t="s">
        <v>88</v>
      </c>
      <c r="R380" s="1" t="s">
        <v>50</v>
      </c>
      <c r="S380" s="1">
        <v>264</v>
      </c>
      <c r="T380" s="1">
        <v>0</v>
      </c>
      <c r="U380" s="4">
        <v>3.5416666666666666E-2</v>
      </c>
      <c r="V380" s="1">
        <v>1350</v>
      </c>
      <c r="W380" s="1">
        <v>0</v>
      </c>
      <c r="X380" s="1">
        <v>1350</v>
      </c>
      <c r="Y380" s="1" t="s">
        <v>51</v>
      </c>
      <c r="Z380" s="1">
        <v>750</v>
      </c>
      <c r="AA380" s="1">
        <v>600</v>
      </c>
      <c r="AB380" s="1">
        <v>0</v>
      </c>
      <c r="AC380" s="1">
        <v>0</v>
      </c>
      <c r="AD380" s="1">
        <v>0</v>
      </c>
      <c r="AE380" s="1">
        <v>0</v>
      </c>
      <c r="AF380" s="1"/>
      <c r="AG380" s="1">
        <v>0</v>
      </c>
      <c r="AH380" s="1">
        <v>0</v>
      </c>
      <c r="AI380" s="1">
        <v>0</v>
      </c>
      <c r="AJ380" s="1">
        <v>0</v>
      </c>
      <c r="AK380" s="1">
        <v>1.8959999999999999</v>
      </c>
      <c r="AL380" s="1">
        <v>1.8959999999999999</v>
      </c>
      <c r="AM380" s="1">
        <v>1.8959999999999999</v>
      </c>
    </row>
    <row r="381" spans="1:39" x14ac:dyDescent="0.3">
      <c r="A381" s="21" t="str">
        <f t="shared" si="5"/>
        <v>HFA808LCLK2026-02-04</v>
      </c>
      <c r="B381" t="str">
        <f>VLOOKUP(A381,Sheet1!A381:B1723,1,FALSE)</f>
        <v>HFA808LCLK2026-02-04</v>
      </c>
      <c r="C381" s="3">
        <v>46057</v>
      </c>
      <c r="D381" s="1" t="s">
        <v>119</v>
      </c>
      <c r="E381" s="1" t="s">
        <v>38</v>
      </c>
      <c r="F381" s="1"/>
      <c r="G381" s="1" t="s">
        <v>39</v>
      </c>
      <c r="H381" s="1" t="s">
        <v>134</v>
      </c>
      <c r="I381" s="1" t="s">
        <v>67</v>
      </c>
      <c r="J381" s="1" t="s">
        <v>86</v>
      </c>
      <c r="K381" s="1" t="s">
        <v>87</v>
      </c>
      <c r="L381" s="1" t="s">
        <v>88</v>
      </c>
      <c r="M381" s="1" t="s">
        <v>50</v>
      </c>
      <c r="N381" s="1" t="s">
        <v>41</v>
      </c>
      <c r="O381" s="1" t="s">
        <v>42</v>
      </c>
      <c r="P381" s="1" t="s">
        <v>43</v>
      </c>
      <c r="Q381" s="1" t="s">
        <v>44</v>
      </c>
      <c r="R381" s="1" t="s">
        <v>45</v>
      </c>
      <c r="S381" s="1">
        <v>264</v>
      </c>
      <c r="T381" s="1">
        <v>0</v>
      </c>
      <c r="U381" s="4">
        <v>3.9583333333333331E-2</v>
      </c>
      <c r="V381" s="1">
        <v>750</v>
      </c>
      <c r="W381" s="1">
        <v>1250</v>
      </c>
      <c r="X381" s="1">
        <v>2000</v>
      </c>
      <c r="Y381" s="1" t="s">
        <v>51</v>
      </c>
      <c r="Z381" s="1">
        <v>1430</v>
      </c>
      <c r="AA381" s="1">
        <v>570</v>
      </c>
      <c r="AB381" s="1">
        <v>0</v>
      </c>
      <c r="AC381" s="1">
        <v>0</v>
      </c>
      <c r="AD381" s="1">
        <v>0</v>
      </c>
      <c r="AE381" s="1">
        <v>0</v>
      </c>
      <c r="AF381" s="1"/>
      <c r="AG381" s="1">
        <v>0</v>
      </c>
      <c r="AH381" s="1">
        <v>0</v>
      </c>
      <c r="AI381" s="1">
        <v>0</v>
      </c>
      <c r="AJ381" s="1">
        <v>0</v>
      </c>
      <c r="AK381" s="1">
        <v>1.8011999999999999</v>
      </c>
      <c r="AL381" s="1">
        <v>1.8011999999999999</v>
      </c>
      <c r="AM381" s="1">
        <v>1.8011999999999999</v>
      </c>
    </row>
    <row r="382" spans="1:39" x14ac:dyDescent="0.3">
      <c r="A382" s="21" t="str">
        <f t="shared" si="5"/>
        <v>HFA801LLHA2026-02-05</v>
      </c>
      <c r="B382" t="str">
        <f>VLOOKUP(A382,Sheet1!A382:B1724,1,FALSE)</f>
        <v>HFA801LLHA2026-02-05</v>
      </c>
      <c r="C382" s="3">
        <v>46058</v>
      </c>
      <c r="D382" s="1" t="s">
        <v>133</v>
      </c>
      <c r="E382" s="1" t="s">
        <v>38</v>
      </c>
      <c r="F382" s="1"/>
      <c r="G382" s="1" t="s">
        <v>39</v>
      </c>
      <c r="H382" s="1" t="s">
        <v>134</v>
      </c>
      <c r="I382" s="1" t="s">
        <v>41</v>
      </c>
      <c r="J382" s="1" t="s">
        <v>42</v>
      </c>
      <c r="K382" s="1" t="s">
        <v>43</v>
      </c>
      <c r="L382" s="1" t="s">
        <v>44</v>
      </c>
      <c r="M382" s="1" t="s">
        <v>45</v>
      </c>
      <c r="N382" s="1" t="s">
        <v>67</v>
      </c>
      <c r="O382" s="1" t="s">
        <v>86</v>
      </c>
      <c r="P382" s="1" t="s">
        <v>87</v>
      </c>
      <c r="Q382" s="1" t="s">
        <v>88</v>
      </c>
      <c r="R382" s="1" t="s">
        <v>50</v>
      </c>
      <c r="S382" s="1">
        <v>264</v>
      </c>
      <c r="T382" s="1">
        <v>0</v>
      </c>
      <c r="U382" s="4">
        <v>4.1666666666666664E-2</v>
      </c>
      <c r="V382" s="1">
        <v>1430</v>
      </c>
      <c r="W382" s="1">
        <v>-60</v>
      </c>
      <c r="X382" s="1">
        <v>1370</v>
      </c>
      <c r="Y382" s="1" t="s">
        <v>51</v>
      </c>
      <c r="Z382" s="1">
        <v>850</v>
      </c>
      <c r="AA382" s="1">
        <v>520</v>
      </c>
      <c r="AB382" s="1">
        <v>0</v>
      </c>
      <c r="AC382" s="1">
        <v>0</v>
      </c>
      <c r="AD382" s="1">
        <v>0</v>
      </c>
      <c r="AE382" s="1">
        <v>0</v>
      </c>
      <c r="AF382" s="1"/>
      <c r="AG382" s="1">
        <v>0</v>
      </c>
      <c r="AH382" s="1">
        <v>0</v>
      </c>
      <c r="AI382" s="1">
        <v>0</v>
      </c>
      <c r="AJ382" s="1">
        <v>0</v>
      </c>
      <c r="AK382" s="1">
        <v>1.6432</v>
      </c>
      <c r="AL382" s="1">
        <v>1.6432</v>
      </c>
      <c r="AM382" s="1">
        <v>1.6432</v>
      </c>
    </row>
    <row r="383" spans="1:39" x14ac:dyDescent="0.3">
      <c r="A383" s="21" t="str">
        <f t="shared" si="5"/>
        <v>HFA802LCLK2026-02-05</v>
      </c>
      <c r="B383" t="str">
        <f>VLOOKUP(A383,Sheet1!A383:B1725,1,FALSE)</f>
        <v>HFA802LCLK2026-02-05</v>
      </c>
      <c r="C383" s="3">
        <v>46058</v>
      </c>
      <c r="D383" s="1" t="s">
        <v>135</v>
      </c>
      <c r="E383" s="1" t="s">
        <v>38</v>
      </c>
      <c r="F383" s="1"/>
      <c r="G383" s="1" t="s">
        <v>39</v>
      </c>
      <c r="H383" s="1" t="s">
        <v>134</v>
      </c>
      <c r="I383" s="1" t="s">
        <v>67</v>
      </c>
      <c r="J383" s="1" t="s">
        <v>86</v>
      </c>
      <c r="K383" s="1" t="s">
        <v>87</v>
      </c>
      <c r="L383" s="1" t="s">
        <v>88</v>
      </c>
      <c r="M383" s="1" t="s">
        <v>50</v>
      </c>
      <c r="N383" s="1" t="s">
        <v>41</v>
      </c>
      <c r="O383" s="1" t="s">
        <v>42</v>
      </c>
      <c r="P383" s="1" t="s">
        <v>43</v>
      </c>
      <c r="Q383" s="1" t="s">
        <v>44</v>
      </c>
      <c r="R383" s="1" t="s">
        <v>45</v>
      </c>
      <c r="S383" s="1">
        <v>264</v>
      </c>
      <c r="T383" s="1">
        <v>0</v>
      </c>
      <c r="U383" s="4">
        <v>3.6805555555555557E-2</v>
      </c>
      <c r="V383" s="1">
        <v>850</v>
      </c>
      <c r="W383" s="1">
        <v>1150</v>
      </c>
      <c r="X383" s="1">
        <v>2000</v>
      </c>
      <c r="Y383" s="1" t="s">
        <v>51</v>
      </c>
      <c r="Z383" s="1">
        <v>1440</v>
      </c>
      <c r="AA383" s="1">
        <v>560</v>
      </c>
      <c r="AB383" s="1">
        <v>0</v>
      </c>
      <c r="AC383" s="1">
        <v>0</v>
      </c>
      <c r="AD383" s="1">
        <v>0</v>
      </c>
      <c r="AE383" s="1">
        <v>0</v>
      </c>
      <c r="AF383" s="1"/>
      <c r="AG383" s="1">
        <v>0</v>
      </c>
      <c r="AH383" s="1">
        <v>0</v>
      </c>
      <c r="AI383" s="1">
        <v>0</v>
      </c>
      <c r="AJ383" s="1">
        <v>0</v>
      </c>
      <c r="AK383" s="1">
        <v>1.7696000000000001</v>
      </c>
      <c r="AL383" s="1">
        <v>1.7696000000000001</v>
      </c>
      <c r="AM383" s="1">
        <v>1.7696000000000001</v>
      </c>
    </row>
    <row r="384" spans="1:39" x14ac:dyDescent="0.3">
      <c r="A384" s="21" t="str">
        <f t="shared" si="5"/>
        <v>HFA803LLHA2026-02-05</v>
      </c>
      <c r="B384" t="str">
        <f>VLOOKUP(A384,Sheet1!A384:B1726,1,FALSE)</f>
        <v>HFA803LLHA2026-02-05</v>
      </c>
      <c r="C384" s="3">
        <v>46058</v>
      </c>
      <c r="D384" s="1" t="s">
        <v>116</v>
      </c>
      <c r="E384" s="1" t="s">
        <v>38</v>
      </c>
      <c r="F384" s="1"/>
      <c r="G384" s="1" t="s">
        <v>39</v>
      </c>
      <c r="H384" s="1" t="s">
        <v>134</v>
      </c>
      <c r="I384" s="1" t="s">
        <v>41</v>
      </c>
      <c r="J384" s="1" t="s">
        <v>42</v>
      </c>
      <c r="K384" s="1" t="s">
        <v>43</v>
      </c>
      <c r="L384" s="1" t="s">
        <v>44</v>
      </c>
      <c r="M384" s="1" t="s">
        <v>45</v>
      </c>
      <c r="N384" s="1" t="s">
        <v>67</v>
      </c>
      <c r="O384" s="1" t="s">
        <v>86</v>
      </c>
      <c r="P384" s="1" t="s">
        <v>87</v>
      </c>
      <c r="Q384" s="1" t="s">
        <v>88</v>
      </c>
      <c r="R384" s="1" t="s">
        <v>50</v>
      </c>
      <c r="S384" s="1">
        <v>264</v>
      </c>
      <c r="T384" s="1">
        <v>0</v>
      </c>
      <c r="U384" s="4">
        <v>4.5138888888888888E-2</v>
      </c>
      <c r="V384" s="1">
        <v>1440</v>
      </c>
      <c r="W384" s="1">
        <v>0</v>
      </c>
      <c r="X384" s="1">
        <v>1440</v>
      </c>
      <c r="Y384" s="1" t="s">
        <v>51</v>
      </c>
      <c r="Z384" s="1">
        <v>790</v>
      </c>
      <c r="AA384" s="1">
        <v>650</v>
      </c>
      <c r="AB384" s="1">
        <v>0</v>
      </c>
      <c r="AC384" s="1">
        <v>0</v>
      </c>
      <c r="AD384" s="1">
        <v>0</v>
      </c>
      <c r="AE384" s="1">
        <v>0</v>
      </c>
      <c r="AF384" s="1"/>
      <c r="AG384" s="1">
        <v>0</v>
      </c>
      <c r="AH384" s="1">
        <v>0</v>
      </c>
      <c r="AI384" s="1">
        <v>0</v>
      </c>
      <c r="AJ384" s="1">
        <v>0</v>
      </c>
      <c r="AK384" s="1">
        <v>2.0539999999999998</v>
      </c>
      <c r="AL384" s="1">
        <v>2.0539999999999998</v>
      </c>
      <c r="AM384" s="1">
        <v>2.0539999999999998</v>
      </c>
    </row>
    <row r="385" spans="1:39" x14ac:dyDescent="0.3">
      <c r="A385" s="21" t="str">
        <f t="shared" si="5"/>
        <v>HFA804LCLK2026-02-05</v>
      </c>
      <c r="B385" t="str">
        <f>VLOOKUP(A385,Sheet1!A385:B1727,1,FALSE)</f>
        <v>HFA804LCLK2026-02-05</v>
      </c>
      <c r="C385" s="3">
        <v>46058</v>
      </c>
      <c r="D385" s="1" t="s">
        <v>117</v>
      </c>
      <c r="E385" s="1" t="s">
        <v>38</v>
      </c>
      <c r="F385" s="1"/>
      <c r="G385" s="1" t="s">
        <v>39</v>
      </c>
      <c r="H385" s="1" t="s">
        <v>134</v>
      </c>
      <c r="I385" s="1" t="s">
        <v>67</v>
      </c>
      <c r="J385" s="1" t="s">
        <v>86</v>
      </c>
      <c r="K385" s="1" t="s">
        <v>87</v>
      </c>
      <c r="L385" s="1" t="s">
        <v>88</v>
      </c>
      <c r="M385" s="1" t="s">
        <v>50</v>
      </c>
      <c r="N385" s="1" t="s">
        <v>41</v>
      </c>
      <c r="O385" s="1" t="s">
        <v>42</v>
      </c>
      <c r="P385" s="1" t="s">
        <v>43</v>
      </c>
      <c r="Q385" s="1" t="s">
        <v>44</v>
      </c>
      <c r="R385" s="1" t="s">
        <v>45</v>
      </c>
      <c r="S385" s="1">
        <v>264</v>
      </c>
      <c r="T385" s="1">
        <v>0</v>
      </c>
      <c r="U385" s="4">
        <v>3.9583333333333331E-2</v>
      </c>
      <c r="V385" s="1">
        <v>790</v>
      </c>
      <c r="W385" s="1">
        <v>1310</v>
      </c>
      <c r="X385" s="1">
        <v>2100</v>
      </c>
      <c r="Y385" s="1" t="s">
        <v>51</v>
      </c>
      <c r="Z385" s="1">
        <v>1540</v>
      </c>
      <c r="AA385" s="1">
        <v>560</v>
      </c>
      <c r="AB385" s="1">
        <v>0</v>
      </c>
      <c r="AC385" s="1">
        <v>0</v>
      </c>
      <c r="AD385" s="1">
        <v>0</v>
      </c>
      <c r="AE385" s="1">
        <v>0</v>
      </c>
      <c r="AF385" s="1"/>
      <c r="AG385" s="1">
        <v>0</v>
      </c>
      <c r="AH385" s="1">
        <v>0</v>
      </c>
      <c r="AI385" s="1">
        <v>0</v>
      </c>
      <c r="AJ385" s="1">
        <v>0</v>
      </c>
      <c r="AK385" s="1">
        <v>1.7696000000000001</v>
      </c>
      <c r="AL385" s="1">
        <v>1.7696000000000001</v>
      </c>
      <c r="AM385" s="1">
        <v>1.7696000000000001</v>
      </c>
    </row>
    <row r="386" spans="1:39" x14ac:dyDescent="0.3">
      <c r="A386" s="21" t="str">
        <f t="shared" si="5"/>
        <v>HFA803LLHA2026-02-06</v>
      </c>
      <c r="B386" t="str">
        <f>VLOOKUP(A386,Sheet1!A386:B1728,1,FALSE)</f>
        <v>HFA803LLHA2026-02-06</v>
      </c>
      <c r="C386" s="3">
        <v>46059</v>
      </c>
      <c r="D386" s="1" t="s">
        <v>116</v>
      </c>
      <c r="E386" s="1" t="s">
        <v>38</v>
      </c>
      <c r="F386" s="1"/>
      <c r="G386" s="1" t="s">
        <v>39</v>
      </c>
      <c r="H386" s="1" t="s">
        <v>134</v>
      </c>
      <c r="I386" s="1" t="s">
        <v>41</v>
      </c>
      <c r="J386" s="1" t="s">
        <v>42</v>
      </c>
      <c r="K386" s="1" t="s">
        <v>43</v>
      </c>
      <c r="L386" s="1" t="s">
        <v>44</v>
      </c>
      <c r="M386" s="1" t="s">
        <v>45</v>
      </c>
      <c r="N386" s="1" t="s">
        <v>67</v>
      </c>
      <c r="O386" s="1" t="s">
        <v>86</v>
      </c>
      <c r="P386" s="1" t="s">
        <v>87</v>
      </c>
      <c r="Q386" s="1" t="s">
        <v>88</v>
      </c>
      <c r="R386" s="1" t="s">
        <v>50</v>
      </c>
      <c r="S386" s="1">
        <v>264</v>
      </c>
      <c r="T386" s="1">
        <v>0</v>
      </c>
      <c r="U386" s="4">
        <v>3.7499999999999999E-2</v>
      </c>
      <c r="V386" s="1">
        <v>1540</v>
      </c>
      <c r="W386" s="1">
        <v>-40</v>
      </c>
      <c r="X386" s="1">
        <v>1500</v>
      </c>
      <c r="Y386" s="1" t="s">
        <v>51</v>
      </c>
      <c r="Z386" s="1">
        <v>990</v>
      </c>
      <c r="AA386" s="1">
        <v>510</v>
      </c>
      <c r="AB386" s="1">
        <v>0</v>
      </c>
      <c r="AC386" s="1">
        <v>0</v>
      </c>
      <c r="AD386" s="1">
        <v>0</v>
      </c>
      <c r="AE386" s="1">
        <v>0</v>
      </c>
      <c r="AF386" s="1"/>
      <c r="AG386" s="1">
        <v>0</v>
      </c>
      <c r="AH386" s="1">
        <v>0</v>
      </c>
      <c r="AI386" s="1">
        <v>0</v>
      </c>
      <c r="AJ386" s="1">
        <v>0</v>
      </c>
      <c r="AK386" s="1">
        <v>1.6115999999999999</v>
      </c>
      <c r="AL386" s="1">
        <v>1.6115999999999999</v>
      </c>
      <c r="AM386" s="1">
        <v>1.6115999999999999</v>
      </c>
    </row>
    <row r="387" spans="1:39" x14ac:dyDescent="0.3">
      <c r="A387" s="21" t="str">
        <f t="shared" ref="A387:A450" si="6">CONCATENATE(D387,K387,TEXT(C387,"YYYY-MM-DD"))</f>
        <v>HFA804LCLK2026-02-06</v>
      </c>
      <c r="B387" t="str">
        <f>VLOOKUP(A387,Sheet1!A387:B1729,1,FALSE)</f>
        <v>HFA804LCLK2026-02-06</v>
      </c>
      <c r="C387" s="3">
        <v>46059</v>
      </c>
      <c r="D387" s="1" t="s">
        <v>117</v>
      </c>
      <c r="E387" s="1" t="s">
        <v>38</v>
      </c>
      <c r="F387" s="1"/>
      <c r="G387" s="1" t="s">
        <v>39</v>
      </c>
      <c r="H387" s="1" t="s">
        <v>134</v>
      </c>
      <c r="I387" s="1" t="s">
        <v>67</v>
      </c>
      <c r="J387" s="1" t="s">
        <v>86</v>
      </c>
      <c r="K387" s="1" t="s">
        <v>87</v>
      </c>
      <c r="L387" s="1" t="s">
        <v>88</v>
      </c>
      <c r="M387" s="1" t="s">
        <v>50</v>
      </c>
      <c r="N387" s="1" t="s">
        <v>41</v>
      </c>
      <c r="O387" s="1" t="s">
        <v>42</v>
      </c>
      <c r="P387" s="1" t="s">
        <v>43</v>
      </c>
      <c r="Q387" s="1" t="s">
        <v>44</v>
      </c>
      <c r="R387" s="1" t="s">
        <v>45</v>
      </c>
      <c r="S387" s="1">
        <v>264</v>
      </c>
      <c r="T387" s="1">
        <v>0</v>
      </c>
      <c r="U387" s="4">
        <v>4.2361111111111106E-2</v>
      </c>
      <c r="V387" s="1">
        <v>990</v>
      </c>
      <c r="W387" s="1">
        <v>1010</v>
      </c>
      <c r="X387" s="1">
        <v>2000</v>
      </c>
      <c r="Y387" s="1" t="s">
        <v>51</v>
      </c>
      <c r="Z387" s="1">
        <v>1400</v>
      </c>
      <c r="AA387" s="1">
        <v>600</v>
      </c>
      <c r="AB387" s="1">
        <v>0</v>
      </c>
      <c r="AC387" s="1">
        <v>0</v>
      </c>
      <c r="AD387" s="1">
        <v>0</v>
      </c>
      <c r="AE387" s="1">
        <v>0</v>
      </c>
      <c r="AF387" s="1"/>
      <c r="AG387" s="1">
        <v>0</v>
      </c>
      <c r="AH387" s="1">
        <v>0</v>
      </c>
      <c r="AI387" s="1">
        <v>0</v>
      </c>
      <c r="AJ387" s="1">
        <v>0</v>
      </c>
      <c r="AK387" s="1">
        <v>1.8959999999999999</v>
      </c>
      <c r="AL387" s="1">
        <v>1.8959999999999999</v>
      </c>
      <c r="AM387" s="1">
        <v>1.8959999999999999</v>
      </c>
    </row>
    <row r="388" spans="1:39" x14ac:dyDescent="0.3">
      <c r="A388" s="21" t="str">
        <f t="shared" si="6"/>
        <v>HFA805LLHA2026-02-07</v>
      </c>
      <c r="B388" t="str">
        <f>VLOOKUP(A388,Sheet1!A388:B1730,1,FALSE)</f>
        <v>HFA805LLHA2026-02-07</v>
      </c>
      <c r="C388" s="3">
        <v>46060</v>
      </c>
      <c r="D388" s="1" t="s">
        <v>114</v>
      </c>
      <c r="E388" s="1" t="s">
        <v>38</v>
      </c>
      <c r="F388" s="1"/>
      <c r="G388" s="1" t="s">
        <v>39</v>
      </c>
      <c r="H388" s="1" t="s">
        <v>134</v>
      </c>
      <c r="I388" s="1" t="s">
        <v>41</v>
      </c>
      <c r="J388" s="1" t="s">
        <v>42</v>
      </c>
      <c r="K388" s="1" t="s">
        <v>43</v>
      </c>
      <c r="L388" s="1" t="s">
        <v>44</v>
      </c>
      <c r="M388" s="1" t="s">
        <v>45</v>
      </c>
      <c r="N388" s="1" t="s">
        <v>67</v>
      </c>
      <c r="O388" s="1" t="s">
        <v>86</v>
      </c>
      <c r="P388" s="1" t="s">
        <v>87</v>
      </c>
      <c r="Q388" s="1" t="s">
        <v>88</v>
      </c>
      <c r="R388" s="1" t="s">
        <v>50</v>
      </c>
      <c r="S388" s="1">
        <v>264</v>
      </c>
      <c r="T388" s="1">
        <v>0</v>
      </c>
      <c r="U388" s="4">
        <v>3.7499999999999999E-2</v>
      </c>
      <c r="V388" s="1">
        <v>1400</v>
      </c>
      <c r="W388" s="1">
        <v>110</v>
      </c>
      <c r="X388" s="1">
        <v>1510</v>
      </c>
      <c r="Y388" s="1" t="s">
        <v>51</v>
      </c>
      <c r="Z388" s="1">
        <v>910</v>
      </c>
      <c r="AA388" s="1">
        <v>600</v>
      </c>
      <c r="AB388" s="1">
        <v>0</v>
      </c>
      <c r="AC388" s="1">
        <v>0</v>
      </c>
      <c r="AD388" s="1">
        <v>0</v>
      </c>
      <c r="AE388" s="1">
        <v>0</v>
      </c>
      <c r="AF388" s="1"/>
      <c r="AG388" s="1">
        <v>0</v>
      </c>
      <c r="AH388" s="1">
        <v>0</v>
      </c>
      <c r="AI388" s="1">
        <v>0</v>
      </c>
      <c r="AJ388" s="1">
        <v>0</v>
      </c>
      <c r="AK388" s="1">
        <v>1.8959999999999999</v>
      </c>
      <c r="AL388" s="1">
        <v>1.8959999999999999</v>
      </c>
      <c r="AM388" s="1">
        <v>1.8959999999999999</v>
      </c>
    </row>
    <row r="389" spans="1:39" x14ac:dyDescent="0.3">
      <c r="A389" s="21" t="str">
        <f t="shared" si="6"/>
        <v>HFA806LCLK2026-02-07</v>
      </c>
      <c r="B389" t="str">
        <f>VLOOKUP(A389,Sheet1!A389:B1731,1,FALSE)</f>
        <v>HFA806LCLK2026-02-07</v>
      </c>
      <c r="C389" s="3">
        <v>46060</v>
      </c>
      <c r="D389" s="1" t="s">
        <v>115</v>
      </c>
      <c r="E389" s="1" t="s">
        <v>38</v>
      </c>
      <c r="F389" s="1"/>
      <c r="G389" s="1" t="s">
        <v>39</v>
      </c>
      <c r="H389" s="1" t="s">
        <v>134</v>
      </c>
      <c r="I389" s="1" t="s">
        <v>67</v>
      </c>
      <c r="J389" s="1" t="s">
        <v>86</v>
      </c>
      <c r="K389" s="1" t="s">
        <v>87</v>
      </c>
      <c r="L389" s="1" t="s">
        <v>88</v>
      </c>
      <c r="M389" s="1" t="s">
        <v>50</v>
      </c>
      <c r="N389" s="1" t="s">
        <v>41</v>
      </c>
      <c r="O389" s="1" t="s">
        <v>42</v>
      </c>
      <c r="P389" s="1" t="s">
        <v>43</v>
      </c>
      <c r="Q389" s="1" t="s">
        <v>44</v>
      </c>
      <c r="R389" s="1" t="s">
        <v>45</v>
      </c>
      <c r="S389" s="1">
        <v>264</v>
      </c>
      <c r="T389" s="1">
        <v>0</v>
      </c>
      <c r="U389" s="4">
        <v>4.027777777777778E-2</v>
      </c>
      <c r="V389" s="1">
        <v>910</v>
      </c>
      <c r="W389" s="1">
        <v>1090</v>
      </c>
      <c r="X389" s="1">
        <v>2000</v>
      </c>
      <c r="Y389" s="1" t="s">
        <v>51</v>
      </c>
      <c r="Z389" s="1">
        <v>1450</v>
      </c>
      <c r="AA389" s="1">
        <v>550</v>
      </c>
      <c r="AB389" s="1">
        <v>0</v>
      </c>
      <c r="AC389" s="1">
        <v>0</v>
      </c>
      <c r="AD389" s="1">
        <v>0</v>
      </c>
      <c r="AE389" s="1">
        <v>0</v>
      </c>
      <c r="AF389" s="1"/>
      <c r="AG389" s="1">
        <v>0</v>
      </c>
      <c r="AH389" s="1">
        <v>0</v>
      </c>
      <c r="AI389" s="1">
        <v>0</v>
      </c>
      <c r="AJ389" s="1">
        <v>0</v>
      </c>
      <c r="AK389" s="1">
        <v>1.738</v>
      </c>
      <c r="AL389" s="1">
        <v>1.738</v>
      </c>
      <c r="AM389" s="1">
        <v>1.738</v>
      </c>
    </row>
    <row r="390" spans="1:39" x14ac:dyDescent="0.3">
      <c r="A390" s="21" t="str">
        <f t="shared" si="6"/>
        <v>HFA807LLHA2026-02-07</v>
      </c>
      <c r="B390" t="str">
        <f>VLOOKUP(A390,Sheet1!A390:B1732,1,FALSE)</f>
        <v>HFA807LLHA2026-02-07</v>
      </c>
      <c r="C390" s="3">
        <v>46060</v>
      </c>
      <c r="D390" s="1" t="s">
        <v>118</v>
      </c>
      <c r="E390" s="1" t="s">
        <v>38</v>
      </c>
      <c r="F390" s="1"/>
      <c r="G390" s="1" t="s">
        <v>39</v>
      </c>
      <c r="H390" s="1" t="s">
        <v>134</v>
      </c>
      <c r="I390" s="1" t="s">
        <v>41</v>
      </c>
      <c r="J390" s="1" t="s">
        <v>42</v>
      </c>
      <c r="K390" s="1" t="s">
        <v>43</v>
      </c>
      <c r="L390" s="1" t="s">
        <v>44</v>
      </c>
      <c r="M390" s="1" t="s">
        <v>45</v>
      </c>
      <c r="N390" s="1" t="s">
        <v>67</v>
      </c>
      <c r="O390" s="1" t="s">
        <v>86</v>
      </c>
      <c r="P390" s="1" t="s">
        <v>87</v>
      </c>
      <c r="Q390" s="1" t="s">
        <v>88</v>
      </c>
      <c r="R390" s="1" t="s">
        <v>50</v>
      </c>
      <c r="S390" s="1">
        <v>264</v>
      </c>
      <c r="T390" s="1">
        <v>0</v>
      </c>
      <c r="U390" s="4">
        <v>4.0972222222222222E-2</v>
      </c>
      <c r="V390" s="1">
        <v>1450</v>
      </c>
      <c r="W390" s="1">
        <v>-10</v>
      </c>
      <c r="X390" s="1">
        <v>1440</v>
      </c>
      <c r="Y390" s="1" t="s">
        <v>51</v>
      </c>
      <c r="Z390" s="1">
        <v>810</v>
      </c>
      <c r="AA390" s="1">
        <v>630</v>
      </c>
      <c r="AB390" s="1">
        <v>0</v>
      </c>
      <c r="AC390" s="1">
        <v>0</v>
      </c>
      <c r="AD390" s="1">
        <v>0</v>
      </c>
      <c r="AE390" s="1">
        <v>0</v>
      </c>
      <c r="AF390" s="1"/>
      <c r="AG390" s="1">
        <v>0</v>
      </c>
      <c r="AH390" s="1">
        <v>0</v>
      </c>
      <c r="AI390" s="1">
        <v>0</v>
      </c>
      <c r="AJ390" s="1">
        <v>0</v>
      </c>
      <c r="AK390" s="1">
        <v>1.9907999999999999</v>
      </c>
      <c r="AL390" s="1">
        <v>1.9907999999999999</v>
      </c>
      <c r="AM390" s="1">
        <v>1.9907999999999999</v>
      </c>
    </row>
    <row r="391" spans="1:39" x14ac:dyDescent="0.3">
      <c r="A391" s="21" t="str">
        <f t="shared" si="6"/>
        <v>HFA808LCLK2026-02-07</v>
      </c>
      <c r="B391" t="str">
        <f>VLOOKUP(A391,Sheet1!A391:B1733,1,FALSE)</f>
        <v>HFA808LCLK2026-02-07</v>
      </c>
      <c r="C391" s="3">
        <v>46060</v>
      </c>
      <c r="D391" s="1" t="s">
        <v>119</v>
      </c>
      <c r="E391" s="1" t="s">
        <v>38</v>
      </c>
      <c r="F391" s="1"/>
      <c r="G391" s="1" t="s">
        <v>39</v>
      </c>
      <c r="H391" s="1" t="s">
        <v>134</v>
      </c>
      <c r="I391" s="1" t="s">
        <v>67</v>
      </c>
      <c r="J391" s="1" t="s">
        <v>86</v>
      </c>
      <c r="K391" s="1" t="s">
        <v>87</v>
      </c>
      <c r="L391" s="1" t="s">
        <v>88</v>
      </c>
      <c r="M391" s="1" t="s">
        <v>50</v>
      </c>
      <c r="N391" s="1" t="s">
        <v>41</v>
      </c>
      <c r="O391" s="1" t="s">
        <v>42</v>
      </c>
      <c r="P391" s="1" t="s">
        <v>43</v>
      </c>
      <c r="Q391" s="1" t="s">
        <v>44</v>
      </c>
      <c r="R391" s="1" t="s">
        <v>45</v>
      </c>
      <c r="S391" s="1">
        <v>264</v>
      </c>
      <c r="T391" s="1">
        <v>0</v>
      </c>
      <c r="U391" s="4">
        <v>3.7499999999999999E-2</v>
      </c>
      <c r="V391" s="1">
        <v>810</v>
      </c>
      <c r="W391" s="1">
        <v>1290</v>
      </c>
      <c r="X391" s="1">
        <v>2100</v>
      </c>
      <c r="Y391" s="1" t="s">
        <v>51</v>
      </c>
      <c r="Z391" s="1">
        <v>1580</v>
      </c>
      <c r="AA391" s="1">
        <v>520</v>
      </c>
      <c r="AB391" s="1">
        <v>0</v>
      </c>
      <c r="AC391" s="1">
        <v>0</v>
      </c>
      <c r="AD391" s="1">
        <v>0</v>
      </c>
      <c r="AE391" s="1">
        <v>0</v>
      </c>
      <c r="AF391" s="1"/>
      <c r="AG391" s="1">
        <v>0</v>
      </c>
      <c r="AH391" s="1">
        <v>0</v>
      </c>
      <c r="AI391" s="1">
        <v>0</v>
      </c>
      <c r="AJ391" s="1">
        <v>0</v>
      </c>
      <c r="AK391" s="1">
        <v>1.6432</v>
      </c>
      <c r="AL391" s="1">
        <v>1.6432</v>
      </c>
      <c r="AM391" s="1">
        <v>1.6432</v>
      </c>
    </row>
    <row r="392" spans="1:39" x14ac:dyDescent="0.3">
      <c r="A392" s="21" t="str">
        <f t="shared" si="6"/>
        <v>HFA803LLHA2026-02-08</v>
      </c>
      <c r="B392" t="str">
        <f>VLOOKUP(A392,Sheet1!A392:B1734,1,FALSE)</f>
        <v>HFA803LLHA2026-02-08</v>
      </c>
      <c r="C392" s="3">
        <v>46061</v>
      </c>
      <c r="D392" s="1" t="s">
        <v>116</v>
      </c>
      <c r="E392" s="1" t="s">
        <v>38</v>
      </c>
      <c r="F392" s="1"/>
      <c r="G392" s="1" t="s">
        <v>39</v>
      </c>
      <c r="H392" s="1" t="s">
        <v>134</v>
      </c>
      <c r="I392" s="1" t="s">
        <v>41</v>
      </c>
      <c r="J392" s="1" t="s">
        <v>42</v>
      </c>
      <c r="K392" s="1" t="s">
        <v>43</v>
      </c>
      <c r="L392" s="1" t="s">
        <v>44</v>
      </c>
      <c r="M392" s="1" t="s">
        <v>45</v>
      </c>
      <c r="N392" s="1" t="s">
        <v>67</v>
      </c>
      <c r="O392" s="1" t="s">
        <v>86</v>
      </c>
      <c r="P392" s="1" t="s">
        <v>87</v>
      </c>
      <c r="Q392" s="1" t="s">
        <v>88</v>
      </c>
      <c r="R392" s="1" t="s">
        <v>50</v>
      </c>
      <c r="S392" s="1">
        <v>264</v>
      </c>
      <c r="T392" s="1">
        <v>0</v>
      </c>
      <c r="U392" s="4">
        <v>3.888888888888889E-2</v>
      </c>
      <c r="V392" s="1">
        <v>1580</v>
      </c>
      <c r="W392" s="1">
        <v>-10</v>
      </c>
      <c r="X392" s="1">
        <v>1570</v>
      </c>
      <c r="Y392" s="1" t="s">
        <v>51</v>
      </c>
      <c r="Z392" s="1">
        <v>980</v>
      </c>
      <c r="AA392" s="1">
        <v>590</v>
      </c>
      <c r="AB392" s="1">
        <v>0</v>
      </c>
      <c r="AC392" s="1">
        <v>0</v>
      </c>
      <c r="AD392" s="1">
        <v>0</v>
      </c>
      <c r="AE392" s="1">
        <v>0</v>
      </c>
      <c r="AF392" s="1"/>
      <c r="AG392" s="1">
        <v>0</v>
      </c>
      <c r="AH392" s="1">
        <v>0</v>
      </c>
      <c r="AI392" s="1">
        <v>0</v>
      </c>
      <c r="AJ392" s="1">
        <v>0</v>
      </c>
      <c r="AK392" s="1">
        <v>1.8644000000000001</v>
      </c>
      <c r="AL392" s="1">
        <v>1.8644000000000001</v>
      </c>
      <c r="AM392" s="1">
        <v>1.8644000000000001</v>
      </c>
    </row>
    <row r="393" spans="1:39" x14ac:dyDescent="0.3">
      <c r="A393" s="21" t="str">
        <f t="shared" si="6"/>
        <v>HFA804LCLK2026-02-08</v>
      </c>
      <c r="B393" t="str">
        <f>VLOOKUP(A393,Sheet1!A393:B1735,1,FALSE)</f>
        <v>HFA804LCLK2026-02-08</v>
      </c>
      <c r="C393" s="3">
        <v>46061</v>
      </c>
      <c r="D393" s="1" t="s">
        <v>117</v>
      </c>
      <c r="E393" s="1" t="s">
        <v>38</v>
      </c>
      <c r="F393" s="1"/>
      <c r="G393" s="1" t="s">
        <v>39</v>
      </c>
      <c r="H393" s="1" t="s">
        <v>134</v>
      </c>
      <c r="I393" s="1" t="s">
        <v>67</v>
      </c>
      <c r="J393" s="1" t="s">
        <v>86</v>
      </c>
      <c r="K393" s="1" t="s">
        <v>87</v>
      </c>
      <c r="L393" s="1" t="s">
        <v>88</v>
      </c>
      <c r="M393" s="1" t="s">
        <v>50</v>
      </c>
      <c r="N393" s="1" t="s">
        <v>41</v>
      </c>
      <c r="O393" s="1" t="s">
        <v>42</v>
      </c>
      <c r="P393" s="1" t="s">
        <v>43</v>
      </c>
      <c r="Q393" s="1" t="s">
        <v>44</v>
      </c>
      <c r="R393" s="1" t="s">
        <v>45</v>
      </c>
      <c r="S393" s="1">
        <v>264</v>
      </c>
      <c r="T393" s="1">
        <v>0</v>
      </c>
      <c r="U393" s="4">
        <v>4.2361111111111106E-2</v>
      </c>
      <c r="V393" s="1">
        <v>980</v>
      </c>
      <c r="W393" s="1">
        <v>1320</v>
      </c>
      <c r="X393" s="1">
        <v>2300</v>
      </c>
      <c r="Y393" s="1" t="s">
        <v>51</v>
      </c>
      <c r="Z393" s="1">
        <v>1730</v>
      </c>
      <c r="AA393" s="1">
        <v>570</v>
      </c>
      <c r="AB393" s="1">
        <v>0</v>
      </c>
      <c r="AC393" s="1">
        <v>0</v>
      </c>
      <c r="AD393" s="1">
        <v>0</v>
      </c>
      <c r="AE393" s="1">
        <v>0</v>
      </c>
      <c r="AF393" s="1"/>
      <c r="AG393" s="1">
        <v>0</v>
      </c>
      <c r="AH393" s="1">
        <v>0</v>
      </c>
      <c r="AI393" s="1">
        <v>0</v>
      </c>
      <c r="AJ393" s="1">
        <v>0</v>
      </c>
      <c r="AK393" s="1">
        <v>1.8011999999999999</v>
      </c>
      <c r="AL393" s="1">
        <v>1.8011999999999999</v>
      </c>
      <c r="AM393" s="1">
        <v>1.8011999999999999</v>
      </c>
    </row>
    <row r="394" spans="1:39" x14ac:dyDescent="0.3">
      <c r="A394" s="21" t="str">
        <f t="shared" si="6"/>
        <v>HFA605LLHA2026-02-08</v>
      </c>
      <c r="B394" t="e">
        <f>VLOOKUP(A394,Sheet1!A394:B1736,1,FALSE)</f>
        <v>#N/A</v>
      </c>
      <c r="C394" s="3">
        <v>46061</v>
      </c>
      <c r="D394" s="1" t="s">
        <v>62</v>
      </c>
      <c r="E394" s="1" t="s">
        <v>38</v>
      </c>
      <c r="F394" s="1" t="s">
        <v>54</v>
      </c>
      <c r="G394" s="1" t="s">
        <v>39</v>
      </c>
      <c r="H394" s="1" t="s">
        <v>134</v>
      </c>
      <c r="I394" s="1" t="s">
        <v>41</v>
      </c>
      <c r="J394" s="1" t="s">
        <v>42</v>
      </c>
      <c r="K394" s="1" t="s">
        <v>43</v>
      </c>
      <c r="L394" s="1" t="s">
        <v>44</v>
      </c>
      <c r="M394" s="1" t="s">
        <v>45</v>
      </c>
      <c r="N394" s="1" t="s">
        <v>41</v>
      </c>
      <c r="O394" s="1" t="s">
        <v>58</v>
      </c>
      <c r="P394" s="1" t="s">
        <v>59</v>
      </c>
      <c r="Q394" s="1" t="s">
        <v>60</v>
      </c>
      <c r="R394" s="1" t="s">
        <v>45</v>
      </c>
      <c r="S394" s="1">
        <v>342</v>
      </c>
      <c r="T394" s="1">
        <v>0</v>
      </c>
      <c r="U394" s="4">
        <v>4.3749999999999997E-2</v>
      </c>
      <c r="V394" s="1">
        <v>1730</v>
      </c>
      <c r="W394" s="1">
        <v>70</v>
      </c>
      <c r="X394" s="1">
        <v>1800</v>
      </c>
      <c r="Y394" s="1" t="s">
        <v>51</v>
      </c>
      <c r="Z394" s="1">
        <v>1090</v>
      </c>
      <c r="AA394" s="1">
        <v>710</v>
      </c>
      <c r="AB394" s="1">
        <v>0</v>
      </c>
      <c r="AC394" s="1">
        <v>0</v>
      </c>
      <c r="AD394" s="1">
        <v>0</v>
      </c>
      <c r="AE394" s="1">
        <v>0</v>
      </c>
      <c r="AF394" s="1"/>
      <c r="AG394" s="1">
        <v>0</v>
      </c>
      <c r="AH394" s="1">
        <v>0</v>
      </c>
      <c r="AI394" s="1">
        <v>0</v>
      </c>
      <c r="AJ394" s="1">
        <v>0</v>
      </c>
      <c r="AK394" s="1">
        <v>2.2435999999999998</v>
      </c>
      <c r="AL394" s="1">
        <v>2.2435999999999998</v>
      </c>
      <c r="AM394" s="1">
        <v>2.2435999999999998</v>
      </c>
    </row>
    <row r="395" spans="1:39" x14ac:dyDescent="0.3">
      <c r="A395" s="21" t="str">
        <f t="shared" si="6"/>
        <v>HFA606LLER2026-02-08</v>
      </c>
      <c r="B395" t="str">
        <f>VLOOKUP(A395,Sheet1!A395:B1737,1,FALSE)</f>
        <v>HFA606LLER2026-02-08</v>
      </c>
      <c r="C395" s="3">
        <v>46061</v>
      </c>
      <c r="D395" s="1" t="s">
        <v>63</v>
      </c>
      <c r="E395" s="1" t="s">
        <v>38</v>
      </c>
      <c r="F395" s="1" t="s">
        <v>54</v>
      </c>
      <c r="G395" s="1" t="s">
        <v>39</v>
      </c>
      <c r="H395" s="1" t="s">
        <v>134</v>
      </c>
      <c r="I395" s="1" t="s">
        <v>41</v>
      </c>
      <c r="J395" s="1" t="s">
        <v>58</v>
      </c>
      <c r="K395" s="1" t="s">
        <v>59</v>
      </c>
      <c r="L395" s="1" t="s">
        <v>60</v>
      </c>
      <c r="M395" s="1" t="s">
        <v>45</v>
      </c>
      <c r="N395" s="1" t="s">
        <v>41</v>
      </c>
      <c r="O395" s="1" t="s">
        <v>42</v>
      </c>
      <c r="P395" s="1" t="s">
        <v>43</v>
      </c>
      <c r="Q395" s="1" t="s">
        <v>44</v>
      </c>
      <c r="R395" s="1" t="s">
        <v>45</v>
      </c>
      <c r="S395" s="1">
        <v>342</v>
      </c>
      <c r="T395" s="1">
        <v>0</v>
      </c>
      <c r="U395" s="4">
        <v>5.0694444444444445E-2</v>
      </c>
      <c r="V395" s="1">
        <v>1090</v>
      </c>
      <c r="W395" s="1">
        <v>1210</v>
      </c>
      <c r="X395" s="1">
        <v>2300</v>
      </c>
      <c r="Y395" s="1" t="s">
        <v>51</v>
      </c>
      <c r="Z395" s="1">
        <v>1590</v>
      </c>
      <c r="AA395" s="1">
        <v>710</v>
      </c>
      <c r="AB395" s="1">
        <v>0</v>
      </c>
      <c r="AC395" s="1">
        <v>0</v>
      </c>
      <c r="AD395" s="1">
        <v>0</v>
      </c>
      <c r="AE395" s="1">
        <v>0</v>
      </c>
      <c r="AF395" s="1"/>
      <c r="AG395" s="1">
        <v>0</v>
      </c>
      <c r="AH395" s="1">
        <v>0</v>
      </c>
      <c r="AI395" s="1">
        <v>0</v>
      </c>
      <c r="AJ395" s="1">
        <v>0</v>
      </c>
      <c r="AK395" s="1">
        <v>2.2435999999999998</v>
      </c>
      <c r="AL395" s="1">
        <v>2.2435999999999998</v>
      </c>
      <c r="AM395" s="1">
        <v>2.2435999999999998</v>
      </c>
    </row>
    <row r="396" spans="1:39" x14ac:dyDescent="0.3">
      <c r="A396" s="21" t="str">
        <f t="shared" si="6"/>
        <v>HFA801LLHA2026-02-09</v>
      </c>
      <c r="B396" t="str">
        <f>VLOOKUP(A396,Sheet1!A396:B1738,1,FALSE)</f>
        <v>HFA801LLHA2026-02-09</v>
      </c>
      <c r="C396" s="3">
        <v>46062</v>
      </c>
      <c r="D396" s="1" t="s">
        <v>133</v>
      </c>
      <c r="E396" s="1" t="s">
        <v>38</v>
      </c>
      <c r="F396" s="1"/>
      <c r="G396" s="1" t="s">
        <v>39</v>
      </c>
      <c r="H396" s="1" t="s">
        <v>134</v>
      </c>
      <c r="I396" s="1" t="s">
        <v>41</v>
      </c>
      <c r="J396" s="1" t="s">
        <v>42</v>
      </c>
      <c r="K396" s="1" t="s">
        <v>43</v>
      </c>
      <c r="L396" s="1" t="s">
        <v>44</v>
      </c>
      <c r="M396" s="1" t="s">
        <v>45</v>
      </c>
      <c r="N396" s="1" t="s">
        <v>67</v>
      </c>
      <c r="O396" s="1" t="s">
        <v>86</v>
      </c>
      <c r="P396" s="1" t="s">
        <v>87</v>
      </c>
      <c r="Q396" s="1" t="s">
        <v>88</v>
      </c>
      <c r="R396" s="1" t="s">
        <v>50</v>
      </c>
      <c r="S396" s="1">
        <v>264</v>
      </c>
      <c r="T396" s="1">
        <v>0</v>
      </c>
      <c r="U396" s="4">
        <v>3.4027777777777775E-2</v>
      </c>
      <c r="V396" s="1">
        <v>1590</v>
      </c>
      <c r="W396" s="1">
        <v>-30</v>
      </c>
      <c r="X396" s="1">
        <v>1560</v>
      </c>
      <c r="Y396" s="1" t="s">
        <v>51</v>
      </c>
      <c r="Z396" s="1">
        <v>960</v>
      </c>
      <c r="AA396" s="1">
        <v>600</v>
      </c>
      <c r="AB396" s="1">
        <v>0</v>
      </c>
      <c r="AC396" s="1">
        <v>0</v>
      </c>
      <c r="AD396" s="1">
        <v>0</v>
      </c>
      <c r="AE396" s="1">
        <v>0</v>
      </c>
      <c r="AF396" s="1"/>
      <c r="AG396" s="1">
        <v>0</v>
      </c>
      <c r="AH396" s="1">
        <v>0</v>
      </c>
      <c r="AI396" s="1">
        <v>0</v>
      </c>
      <c r="AJ396" s="1">
        <v>0</v>
      </c>
      <c r="AK396" s="1">
        <v>1.8959999999999999</v>
      </c>
      <c r="AL396" s="1">
        <v>1.8959999999999999</v>
      </c>
      <c r="AM396" s="1">
        <v>1.8959999999999999</v>
      </c>
    </row>
    <row r="397" spans="1:39" x14ac:dyDescent="0.3">
      <c r="A397" s="21" t="str">
        <f t="shared" si="6"/>
        <v>HFA802LCLK2026-02-09</v>
      </c>
      <c r="B397" t="str">
        <f>VLOOKUP(A397,Sheet1!A397:B1739,1,FALSE)</f>
        <v>HFA802LCLK2026-02-09</v>
      </c>
      <c r="C397" s="3">
        <v>46062</v>
      </c>
      <c r="D397" s="1" t="s">
        <v>135</v>
      </c>
      <c r="E397" s="1" t="s">
        <v>38</v>
      </c>
      <c r="F397" s="1"/>
      <c r="G397" s="1" t="s">
        <v>39</v>
      </c>
      <c r="H397" s="1" t="s">
        <v>134</v>
      </c>
      <c r="I397" s="1" t="s">
        <v>67</v>
      </c>
      <c r="J397" s="1" t="s">
        <v>86</v>
      </c>
      <c r="K397" s="1" t="s">
        <v>87</v>
      </c>
      <c r="L397" s="1" t="s">
        <v>88</v>
      </c>
      <c r="M397" s="1" t="s">
        <v>50</v>
      </c>
      <c r="N397" s="1" t="s">
        <v>41</v>
      </c>
      <c r="O397" s="1" t="s">
        <v>42</v>
      </c>
      <c r="P397" s="1" t="s">
        <v>43</v>
      </c>
      <c r="Q397" s="1" t="s">
        <v>44</v>
      </c>
      <c r="R397" s="1" t="s">
        <v>45</v>
      </c>
      <c r="S397" s="1">
        <v>264</v>
      </c>
      <c r="T397" s="1">
        <v>0</v>
      </c>
      <c r="U397" s="4">
        <v>3.4722222222222224E-2</v>
      </c>
      <c r="V397" s="1">
        <v>960</v>
      </c>
      <c r="W397" s="1">
        <v>1440</v>
      </c>
      <c r="X397" s="1">
        <v>2400</v>
      </c>
      <c r="Y397" s="1" t="s">
        <v>51</v>
      </c>
      <c r="Z397" s="1">
        <v>1940</v>
      </c>
      <c r="AA397" s="1">
        <v>460</v>
      </c>
      <c r="AB397" s="1">
        <v>0</v>
      </c>
      <c r="AC397" s="1">
        <v>0</v>
      </c>
      <c r="AD397" s="1">
        <v>0</v>
      </c>
      <c r="AE397" s="1">
        <v>0</v>
      </c>
      <c r="AF397" s="1"/>
      <c r="AG397" s="1">
        <v>0</v>
      </c>
      <c r="AH397" s="1">
        <v>0</v>
      </c>
      <c r="AI397" s="1">
        <v>0</v>
      </c>
      <c r="AJ397" s="1">
        <v>0</v>
      </c>
      <c r="AK397" s="1">
        <v>1.4536</v>
      </c>
      <c r="AL397" s="1">
        <v>1.4536</v>
      </c>
      <c r="AM397" s="1">
        <v>1.4536</v>
      </c>
    </row>
    <row r="398" spans="1:39" x14ac:dyDescent="0.3">
      <c r="A398" s="21" t="str">
        <f t="shared" si="6"/>
        <v>HFA605LLHA2026-02-10</v>
      </c>
      <c r="B398" t="e">
        <f>VLOOKUP(A398,Sheet1!A398:B1740,1,FALSE)</f>
        <v>#N/A</v>
      </c>
      <c r="C398" s="3">
        <v>46063</v>
      </c>
      <c r="D398" s="1" t="s">
        <v>62</v>
      </c>
      <c r="E398" s="1" t="s">
        <v>38</v>
      </c>
      <c r="F398" s="1" t="s">
        <v>54</v>
      </c>
      <c r="G398" s="1" t="s">
        <v>39</v>
      </c>
      <c r="H398" s="1" t="s">
        <v>134</v>
      </c>
      <c r="I398" s="1" t="s">
        <v>41</v>
      </c>
      <c r="J398" s="1" t="s">
        <v>42</v>
      </c>
      <c r="K398" s="1" t="s">
        <v>43</v>
      </c>
      <c r="L398" s="1" t="s">
        <v>44</v>
      </c>
      <c r="M398" s="1" t="s">
        <v>45</v>
      </c>
      <c r="N398" s="1" t="s">
        <v>41</v>
      </c>
      <c r="O398" s="1" t="s">
        <v>58</v>
      </c>
      <c r="P398" s="1" t="s">
        <v>59</v>
      </c>
      <c r="Q398" s="1" t="s">
        <v>60</v>
      </c>
      <c r="R398" s="1" t="s">
        <v>45</v>
      </c>
      <c r="S398" s="1">
        <v>342</v>
      </c>
      <c r="T398" s="1">
        <v>0</v>
      </c>
      <c r="U398" s="4">
        <v>4.7222222222222221E-2</v>
      </c>
      <c r="V398" s="1">
        <v>1940</v>
      </c>
      <c r="W398" s="1">
        <v>-20</v>
      </c>
      <c r="X398" s="1">
        <v>1920</v>
      </c>
      <c r="Y398" s="1" t="s">
        <v>51</v>
      </c>
      <c r="Z398" s="1">
        <v>1190</v>
      </c>
      <c r="AA398" s="1">
        <v>730</v>
      </c>
      <c r="AB398" s="1">
        <v>0</v>
      </c>
      <c r="AC398" s="1">
        <v>0</v>
      </c>
      <c r="AD398" s="1">
        <v>0</v>
      </c>
      <c r="AE398" s="1">
        <v>0</v>
      </c>
      <c r="AF398" s="1"/>
      <c r="AG398" s="1">
        <v>0</v>
      </c>
      <c r="AH398" s="1">
        <v>0</v>
      </c>
      <c r="AI398" s="1">
        <v>0</v>
      </c>
      <c r="AJ398" s="1">
        <v>0</v>
      </c>
      <c r="AK398" s="1">
        <v>2.3068</v>
      </c>
      <c r="AL398" s="1">
        <v>2.3068</v>
      </c>
      <c r="AM398" s="1">
        <v>2.3068</v>
      </c>
    </row>
    <row r="399" spans="1:39" x14ac:dyDescent="0.3">
      <c r="A399" s="21" t="str">
        <f t="shared" si="6"/>
        <v>HFA606LLER2026-02-10</v>
      </c>
      <c r="B399" t="str">
        <f>VLOOKUP(A399,Sheet1!A399:B1741,1,FALSE)</f>
        <v>HFA606LLER2026-02-10</v>
      </c>
      <c r="C399" s="3">
        <v>46063</v>
      </c>
      <c r="D399" s="1" t="s">
        <v>63</v>
      </c>
      <c r="E399" s="1" t="s">
        <v>38</v>
      </c>
      <c r="F399" s="1" t="s">
        <v>54</v>
      </c>
      <c r="G399" s="1" t="s">
        <v>39</v>
      </c>
      <c r="H399" s="1" t="s">
        <v>134</v>
      </c>
      <c r="I399" s="1" t="s">
        <v>41</v>
      </c>
      <c r="J399" s="1" t="s">
        <v>58</v>
      </c>
      <c r="K399" s="1" t="s">
        <v>59</v>
      </c>
      <c r="L399" s="1" t="s">
        <v>60</v>
      </c>
      <c r="M399" s="1" t="s">
        <v>45</v>
      </c>
      <c r="N399" s="1" t="s">
        <v>41</v>
      </c>
      <c r="O399" s="1" t="s">
        <v>42</v>
      </c>
      <c r="P399" s="1" t="s">
        <v>43</v>
      </c>
      <c r="Q399" s="1" t="s">
        <v>44</v>
      </c>
      <c r="R399" s="1" t="s">
        <v>45</v>
      </c>
      <c r="S399" s="1">
        <v>342</v>
      </c>
      <c r="T399" s="1">
        <v>0</v>
      </c>
      <c r="U399" s="4">
        <v>5.1388888888888887E-2</v>
      </c>
      <c r="V399" s="1">
        <v>1190</v>
      </c>
      <c r="W399" s="1">
        <v>910</v>
      </c>
      <c r="X399" s="1">
        <v>2100</v>
      </c>
      <c r="Y399" s="1" t="s">
        <v>51</v>
      </c>
      <c r="Z399" s="1">
        <v>1320</v>
      </c>
      <c r="AA399" s="1">
        <v>780</v>
      </c>
      <c r="AB399" s="1">
        <v>0</v>
      </c>
      <c r="AC399" s="1">
        <v>0</v>
      </c>
      <c r="AD399" s="1">
        <v>0</v>
      </c>
      <c r="AE399" s="1">
        <v>0</v>
      </c>
      <c r="AF399" s="1"/>
      <c r="AG399" s="1">
        <v>0</v>
      </c>
      <c r="AH399" s="1">
        <v>0</v>
      </c>
      <c r="AI399" s="1">
        <v>0</v>
      </c>
      <c r="AJ399" s="1">
        <v>0</v>
      </c>
      <c r="AK399" s="1">
        <v>2.4647999999999999</v>
      </c>
      <c r="AL399" s="1">
        <v>2.4647999999999999</v>
      </c>
      <c r="AM399" s="1">
        <v>2.4647999999999999</v>
      </c>
    </row>
    <row r="400" spans="1:39" x14ac:dyDescent="0.3">
      <c r="A400" s="21" t="str">
        <f t="shared" si="6"/>
        <v>HFA807LLHA2026-02-10</v>
      </c>
      <c r="B400" t="str">
        <f>VLOOKUP(A400,Sheet1!A400:B1742,1,FALSE)</f>
        <v>HFA807LLHA2026-02-10</v>
      </c>
      <c r="C400" s="3">
        <v>46063</v>
      </c>
      <c r="D400" s="1" t="s">
        <v>118</v>
      </c>
      <c r="E400" s="1" t="s">
        <v>38</v>
      </c>
      <c r="F400" s="1"/>
      <c r="G400" s="1" t="s">
        <v>39</v>
      </c>
      <c r="H400" s="1" t="s">
        <v>134</v>
      </c>
      <c r="I400" s="1" t="s">
        <v>41</v>
      </c>
      <c r="J400" s="1" t="s">
        <v>42</v>
      </c>
      <c r="K400" s="1" t="s">
        <v>43</v>
      </c>
      <c r="L400" s="1" t="s">
        <v>44</v>
      </c>
      <c r="M400" s="1" t="s">
        <v>45</v>
      </c>
      <c r="N400" s="1" t="s">
        <v>67</v>
      </c>
      <c r="O400" s="1" t="s">
        <v>86</v>
      </c>
      <c r="P400" s="1" t="s">
        <v>87</v>
      </c>
      <c r="Q400" s="1" t="s">
        <v>88</v>
      </c>
      <c r="R400" s="1" t="s">
        <v>50</v>
      </c>
      <c r="S400" s="1">
        <v>264</v>
      </c>
      <c r="T400" s="1">
        <v>0</v>
      </c>
      <c r="U400" s="4">
        <v>3.9583333333333331E-2</v>
      </c>
      <c r="V400" s="1">
        <v>1320</v>
      </c>
      <c r="W400" s="1">
        <v>80</v>
      </c>
      <c r="X400" s="1">
        <v>1400</v>
      </c>
      <c r="Y400" s="1" t="s">
        <v>51</v>
      </c>
      <c r="Z400" s="1">
        <v>800</v>
      </c>
      <c r="AA400" s="1">
        <v>600</v>
      </c>
      <c r="AB400" s="1">
        <v>0</v>
      </c>
      <c r="AC400" s="1">
        <v>0</v>
      </c>
      <c r="AD400" s="1">
        <v>0</v>
      </c>
      <c r="AE400" s="1">
        <v>0</v>
      </c>
      <c r="AF400" s="1"/>
      <c r="AG400" s="1">
        <v>0</v>
      </c>
      <c r="AH400" s="1">
        <v>0</v>
      </c>
      <c r="AI400" s="1">
        <v>0</v>
      </c>
      <c r="AJ400" s="1">
        <v>0</v>
      </c>
      <c r="AK400" s="1">
        <v>1.8959999999999999</v>
      </c>
      <c r="AL400" s="1">
        <v>1.8959999999999999</v>
      </c>
      <c r="AM400" s="1">
        <v>1.8959999999999999</v>
      </c>
    </row>
    <row r="401" spans="1:39" x14ac:dyDescent="0.3">
      <c r="A401" s="21" t="str">
        <f t="shared" si="6"/>
        <v>HFA808LCLK2026-02-10</v>
      </c>
      <c r="B401" t="str">
        <f>VLOOKUP(A401,Sheet1!A401:B1743,1,FALSE)</f>
        <v>HFA808LCLK2026-02-10</v>
      </c>
      <c r="C401" s="3">
        <v>46063</v>
      </c>
      <c r="D401" s="1" t="s">
        <v>119</v>
      </c>
      <c r="E401" s="1" t="s">
        <v>38</v>
      </c>
      <c r="F401" s="1"/>
      <c r="G401" s="1" t="s">
        <v>39</v>
      </c>
      <c r="H401" s="1" t="s">
        <v>134</v>
      </c>
      <c r="I401" s="1" t="s">
        <v>67</v>
      </c>
      <c r="J401" s="1" t="s">
        <v>86</v>
      </c>
      <c r="K401" s="1" t="s">
        <v>87</v>
      </c>
      <c r="L401" s="1" t="s">
        <v>88</v>
      </c>
      <c r="M401" s="1" t="s">
        <v>50</v>
      </c>
      <c r="N401" s="1" t="s">
        <v>41</v>
      </c>
      <c r="O401" s="1" t="s">
        <v>42</v>
      </c>
      <c r="P401" s="1" t="s">
        <v>43</v>
      </c>
      <c r="Q401" s="1" t="s">
        <v>44</v>
      </c>
      <c r="R401" s="1" t="s">
        <v>45</v>
      </c>
      <c r="S401" s="1">
        <v>264</v>
      </c>
      <c r="T401" s="1">
        <v>0</v>
      </c>
      <c r="U401" s="4">
        <v>3.9583333333333331E-2</v>
      </c>
      <c r="V401" s="1">
        <v>800</v>
      </c>
      <c r="W401" s="1">
        <v>1200</v>
      </c>
      <c r="X401" s="1">
        <v>2000</v>
      </c>
      <c r="Y401" s="1" t="s">
        <v>51</v>
      </c>
      <c r="Z401" s="1">
        <v>1460</v>
      </c>
      <c r="AA401" s="1">
        <v>540</v>
      </c>
      <c r="AB401" s="1">
        <v>0</v>
      </c>
      <c r="AC401" s="1">
        <v>0</v>
      </c>
      <c r="AD401" s="1">
        <v>0</v>
      </c>
      <c r="AE401" s="1">
        <v>0</v>
      </c>
      <c r="AF401" s="1"/>
      <c r="AG401" s="1">
        <v>0</v>
      </c>
      <c r="AH401" s="1">
        <v>0</v>
      </c>
      <c r="AI401" s="1">
        <v>0</v>
      </c>
      <c r="AJ401" s="1">
        <v>0</v>
      </c>
      <c r="AK401" s="1">
        <v>1.7063999999999999</v>
      </c>
      <c r="AL401" s="1">
        <v>1.7063999999999999</v>
      </c>
      <c r="AM401" s="1">
        <v>1.7063999999999999</v>
      </c>
    </row>
    <row r="402" spans="1:39" x14ac:dyDescent="0.3">
      <c r="A402" s="21" t="str">
        <f t="shared" si="6"/>
        <v>HFA803LLHA2026-02-11</v>
      </c>
      <c r="B402" t="str">
        <f>VLOOKUP(A402,Sheet1!A402:B1744,1,FALSE)</f>
        <v>HFA803LLHA2026-02-11</v>
      </c>
      <c r="C402" s="3">
        <v>46064</v>
      </c>
      <c r="D402" s="1" t="s">
        <v>116</v>
      </c>
      <c r="E402" s="1" t="s">
        <v>38</v>
      </c>
      <c r="F402" s="1"/>
      <c r="G402" s="1" t="s">
        <v>39</v>
      </c>
      <c r="H402" s="1" t="s">
        <v>134</v>
      </c>
      <c r="I402" s="1" t="s">
        <v>41</v>
      </c>
      <c r="J402" s="1" t="s">
        <v>42</v>
      </c>
      <c r="K402" s="1" t="s">
        <v>43</v>
      </c>
      <c r="L402" s="1" t="s">
        <v>44</v>
      </c>
      <c r="M402" s="1" t="s">
        <v>45</v>
      </c>
      <c r="N402" s="1" t="s">
        <v>67</v>
      </c>
      <c r="O402" s="1" t="s">
        <v>86</v>
      </c>
      <c r="P402" s="1" t="s">
        <v>87</v>
      </c>
      <c r="Q402" s="1" t="s">
        <v>88</v>
      </c>
      <c r="R402" s="1" t="s">
        <v>50</v>
      </c>
      <c r="S402" s="1">
        <v>264</v>
      </c>
      <c r="T402" s="1">
        <v>0</v>
      </c>
      <c r="U402" s="4">
        <v>3.6805555555555557E-2</v>
      </c>
      <c r="V402" s="1">
        <v>1460</v>
      </c>
      <c r="W402" s="1">
        <v>-40</v>
      </c>
      <c r="X402" s="1">
        <v>1420</v>
      </c>
      <c r="Y402" s="1" t="s">
        <v>51</v>
      </c>
      <c r="Z402" s="1">
        <v>780</v>
      </c>
      <c r="AA402" s="1">
        <v>640</v>
      </c>
      <c r="AB402" s="1">
        <v>0</v>
      </c>
      <c r="AC402" s="1">
        <v>0</v>
      </c>
      <c r="AD402" s="1">
        <v>0</v>
      </c>
      <c r="AE402" s="1">
        <v>0</v>
      </c>
      <c r="AF402" s="1"/>
      <c r="AG402" s="1">
        <v>0</v>
      </c>
      <c r="AH402" s="1">
        <v>0</v>
      </c>
      <c r="AI402" s="1">
        <v>0</v>
      </c>
      <c r="AJ402" s="1">
        <v>0</v>
      </c>
      <c r="AK402" s="1">
        <v>2.0224000000000002</v>
      </c>
      <c r="AL402" s="1">
        <v>2.0224000000000002</v>
      </c>
      <c r="AM402" s="1">
        <v>2.0224000000000002</v>
      </c>
    </row>
    <row r="403" spans="1:39" x14ac:dyDescent="0.3">
      <c r="A403" s="21" t="str">
        <f t="shared" si="6"/>
        <v>HFA804LCLK2026-02-11</v>
      </c>
      <c r="B403" t="str">
        <f>VLOOKUP(A403,Sheet1!A403:B1745,1,FALSE)</f>
        <v>HFA804LCLK2026-02-11</v>
      </c>
      <c r="C403" s="3">
        <v>46064</v>
      </c>
      <c r="D403" s="1" t="s">
        <v>117</v>
      </c>
      <c r="E403" s="1" t="s">
        <v>38</v>
      </c>
      <c r="F403" s="1"/>
      <c r="G403" s="1" t="s">
        <v>39</v>
      </c>
      <c r="H403" s="1" t="s">
        <v>134</v>
      </c>
      <c r="I403" s="1" t="s">
        <v>67</v>
      </c>
      <c r="J403" s="1" t="s">
        <v>86</v>
      </c>
      <c r="K403" s="1" t="s">
        <v>87</v>
      </c>
      <c r="L403" s="1" t="s">
        <v>88</v>
      </c>
      <c r="M403" s="1" t="s">
        <v>50</v>
      </c>
      <c r="N403" s="1" t="s">
        <v>41</v>
      </c>
      <c r="O403" s="1" t="s">
        <v>42</v>
      </c>
      <c r="P403" s="1" t="s">
        <v>43</v>
      </c>
      <c r="Q403" s="1" t="s">
        <v>44</v>
      </c>
      <c r="R403" s="1" t="s">
        <v>45</v>
      </c>
      <c r="S403" s="1">
        <v>264</v>
      </c>
      <c r="T403" s="1">
        <v>0</v>
      </c>
      <c r="U403" s="4">
        <v>4.4444444444444439E-2</v>
      </c>
      <c r="V403" s="1">
        <v>780</v>
      </c>
      <c r="W403" s="1">
        <v>1720</v>
      </c>
      <c r="X403" s="1">
        <v>2500</v>
      </c>
      <c r="Y403" s="1" t="s">
        <v>51</v>
      </c>
      <c r="Z403" s="1">
        <v>1890</v>
      </c>
      <c r="AA403" s="1">
        <v>610</v>
      </c>
      <c r="AB403" s="1">
        <v>0</v>
      </c>
      <c r="AC403" s="1">
        <v>0</v>
      </c>
      <c r="AD403" s="1">
        <v>0</v>
      </c>
      <c r="AE403" s="1">
        <v>0</v>
      </c>
      <c r="AF403" s="1"/>
      <c r="AG403" s="1">
        <v>0</v>
      </c>
      <c r="AH403" s="1">
        <v>0</v>
      </c>
      <c r="AI403" s="1">
        <v>0</v>
      </c>
      <c r="AJ403" s="1">
        <v>0</v>
      </c>
      <c r="AK403" s="1">
        <v>1.9276</v>
      </c>
      <c r="AL403" s="1">
        <v>1.9276</v>
      </c>
      <c r="AM403" s="1">
        <v>1.9276</v>
      </c>
    </row>
    <row r="404" spans="1:39" x14ac:dyDescent="0.3">
      <c r="A404" s="21" t="str">
        <f t="shared" si="6"/>
        <v>HFA605LLHA2026-02-11</v>
      </c>
      <c r="B404" t="e">
        <f>VLOOKUP(A404,Sheet1!A404:B1746,1,FALSE)</f>
        <v>#N/A</v>
      </c>
      <c r="C404" s="3">
        <v>46064</v>
      </c>
      <c r="D404" s="1" t="s">
        <v>62</v>
      </c>
      <c r="E404" s="1" t="s">
        <v>38</v>
      </c>
      <c r="F404" s="1" t="s">
        <v>54</v>
      </c>
      <c r="G404" s="1" t="s">
        <v>39</v>
      </c>
      <c r="H404" s="1" t="s">
        <v>134</v>
      </c>
      <c r="I404" s="1" t="s">
        <v>41</v>
      </c>
      <c r="J404" s="1" t="s">
        <v>42</v>
      </c>
      <c r="K404" s="1" t="s">
        <v>43</v>
      </c>
      <c r="L404" s="1" t="s">
        <v>44</v>
      </c>
      <c r="M404" s="1" t="s">
        <v>45</v>
      </c>
      <c r="N404" s="1" t="s">
        <v>41</v>
      </c>
      <c r="O404" s="1" t="s">
        <v>58</v>
      </c>
      <c r="P404" s="1" t="s">
        <v>59</v>
      </c>
      <c r="Q404" s="1" t="s">
        <v>60</v>
      </c>
      <c r="R404" s="1" t="s">
        <v>45</v>
      </c>
      <c r="S404" s="1">
        <v>342</v>
      </c>
      <c r="T404" s="1">
        <v>0</v>
      </c>
      <c r="U404" s="4">
        <v>4.7222222222222221E-2</v>
      </c>
      <c r="V404" s="1">
        <v>1890</v>
      </c>
      <c r="W404" s="1">
        <v>-50</v>
      </c>
      <c r="X404" s="1">
        <v>1840</v>
      </c>
      <c r="Y404" s="1" t="s">
        <v>51</v>
      </c>
      <c r="Z404" s="1">
        <v>1110</v>
      </c>
      <c r="AA404" s="1">
        <v>730</v>
      </c>
      <c r="AB404" s="1">
        <v>0</v>
      </c>
      <c r="AC404" s="1">
        <v>0</v>
      </c>
      <c r="AD404" s="1">
        <v>0</v>
      </c>
      <c r="AE404" s="1">
        <v>0</v>
      </c>
      <c r="AF404" s="1"/>
      <c r="AG404" s="1">
        <v>0</v>
      </c>
      <c r="AH404" s="1">
        <v>0</v>
      </c>
      <c r="AI404" s="1">
        <v>0</v>
      </c>
      <c r="AJ404" s="1">
        <v>0</v>
      </c>
      <c r="AK404" s="1">
        <v>2.3068</v>
      </c>
      <c r="AL404" s="1">
        <v>2.3068</v>
      </c>
      <c r="AM404" s="1">
        <v>2.3068</v>
      </c>
    </row>
    <row r="405" spans="1:39" x14ac:dyDescent="0.3">
      <c r="A405" s="21" t="str">
        <f t="shared" si="6"/>
        <v>HFA606LLER2026-02-11</v>
      </c>
      <c r="B405" t="str">
        <f>VLOOKUP(A405,Sheet1!A405:B1747,1,FALSE)</f>
        <v>HFA606LLER2026-02-11</v>
      </c>
      <c r="C405" s="3">
        <v>46064</v>
      </c>
      <c r="D405" s="1" t="s">
        <v>63</v>
      </c>
      <c r="E405" s="1" t="s">
        <v>38</v>
      </c>
      <c r="F405" s="1" t="s">
        <v>54</v>
      </c>
      <c r="G405" s="1" t="s">
        <v>39</v>
      </c>
      <c r="H405" s="1" t="s">
        <v>134</v>
      </c>
      <c r="I405" s="1" t="s">
        <v>41</v>
      </c>
      <c r="J405" s="1" t="s">
        <v>58</v>
      </c>
      <c r="K405" s="1" t="s">
        <v>59</v>
      </c>
      <c r="L405" s="1" t="s">
        <v>60</v>
      </c>
      <c r="M405" s="1" t="s">
        <v>45</v>
      </c>
      <c r="N405" s="1" t="s">
        <v>41</v>
      </c>
      <c r="O405" s="1" t="s">
        <v>42</v>
      </c>
      <c r="P405" s="1" t="s">
        <v>43</v>
      </c>
      <c r="Q405" s="1" t="s">
        <v>44</v>
      </c>
      <c r="R405" s="1" t="s">
        <v>45</v>
      </c>
      <c r="S405" s="1">
        <v>342</v>
      </c>
      <c r="T405" s="1">
        <v>0</v>
      </c>
      <c r="U405" s="4">
        <v>4.7916666666666663E-2</v>
      </c>
      <c r="V405" s="1">
        <v>1110</v>
      </c>
      <c r="W405" s="1">
        <v>1190</v>
      </c>
      <c r="X405" s="1">
        <v>2300</v>
      </c>
      <c r="Y405" s="1" t="s">
        <v>51</v>
      </c>
      <c r="Z405" s="1">
        <v>1600</v>
      </c>
      <c r="AA405" s="1">
        <v>700</v>
      </c>
      <c r="AB405" s="1">
        <v>0</v>
      </c>
      <c r="AC405" s="1">
        <v>0</v>
      </c>
      <c r="AD405" s="1">
        <v>0</v>
      </c>
      <c r="AE405" s="1">
        <v>0</v>
      </c>
      <c r="AF405" s="1"/>
      <c r="AG405" s="1">
        <v>0</v>
      </c>
      <c r="AH405" s="1">
        <v>0</v>
      </c>
      <c r="AI405" s="1">
        <v>0</v>
      </c>
      <c r="AJ405" s="1">
        <v>0</v>
      </c>
      <c r="AK405" s="1">
        <v>2.2120000000000002</v>
      </c>
      <c r="AL405" s="1">
        <v>2.2120000000000002</v>
      </c>
      <c r="AM405" s="1">
        <v>2.2120000000000002</v>
      </c>
    </row>
    <row r="406" spans="1:39" x14ac:dyDescent="0.3">
      <c r="A406" s="21" t="str">
        <f t="shared" si="6"/>
        <v>HFA807LLHA2026-02-11</v>
      </c>
      <c r="B406" t="str">
        <f>VLOOKUP(A406,Sheet1!A406:B1748,1,FALSE)</f>
        <v>HFA807LLHA2026-02-11</v>
      </c>
      <c r="C406" s="3">
        <v>46064</v>
      </c>
      <c r="D406" s="1" t="s">
        <v>118</v>
      </c>
      <c r="E406" s="1" t="s">
        <v>38</v>
      </c>
      <c r="F406" s="1"/>
      <c r="G406" s="1" t="s">
        <v>39</v>
      </c>
      <c r="H406" s="1" t="s">
        <v>134</v>
      </c>
      <c r="I406" s="1" t="s">
        <v>41</v>
      </c>
      <c r="J406" s="1" t="s">
        <v>42</v>
      </c>
      <c r="K406" s="1" t="s">
        <v>43</v>
      </c>
      <c r="L406" s="1" t="s">
        <v>44</v>
      </c>
      <c r="M406" s="1" t="s">
        <v>45</v>
      </c>
      <c r="N406" s="1" t="s">
        <v>67</v>
      </c>
      <c r="O406" s="1" t="s">
        <v>86</v>
      </c>
      <c r="P406" s="1" t="s">
        <v>87</v>
      </c>
      <c r="Q406" s="1" t="s">
        <v>88</v>
      </c>
      <c r="R406" s="1" t="s">
        <v>50</v>
      </c>
      <c r="S406" s="1">
        <v>264</v>
      </c>
      <c r="T406" s="1">
        <v>0</v>
      </c>
      <c r="U406" s="4">
        <v>4.3055555555555555E-2</v>
      </c>
      <c r="V406" s="1">
        <v>1600</v>
      </c>
      <c r="W406" s="1">
        <v>0</v>
      </c>
      <c r="X406" s="1">
        <v>1600</v>
      </c>
      <c r="Y406" s="1" t="s">
        <v>51</v>
      </c>
      <c r="Z406" s="1">
        <v>980</v>
      </c>
      <c r="AA406" s="1">
        <v>620</v>
      </c>
      <c r="AB406" s="1">
        <v>0</v>
      </c>
      <c r="AC406" s="1">
        <v>0</v>
      </c>
      <c r="AD406" s="1">
        <v>0</v>
      </c>
      <c r="AE406" s="1">
        <v>0</v>
      </c>
      <c r="AF406" s="1"/>
      <c r="AG406" s="1">
        <v>0</v>
      </c>
      <c r="AH406" s="1">
        <v>0</v>
      </c>
      <c r="AI406" s="1">
        <v>0</v>
      </c>
      <c r="AJ406" s="1">
        <v>0</v>
      </c>
      <c r="AK406" s="1">
        <v>1.9592000000000001</v>
      </c>
      <c r="AL406" s="1">
        <v>1.9592000000000001</v>
      </c>
      <c r="AM406" s="1">
        <v>1.9592000000000001</v>
      </c>
    </row>
    <row r="407" spans="1:39" x14ac:dyDescent="0.3">
      <c r="A407" s="21" t="str">
        <f t="shared" si="6"/>
        <v>HFA808LCLK2026-02-11</v>
      </c>
      <c r="B407" t="str">
        <f>VLOOKUP(A407,Sheet1!A407:B1749,1,FALSE)</f>
        <v>HFA808LCLK2026-02-11</v>
      </c>
      <c r="C407" s="3">
        <v>46064</v>
      </c>
      <c r="D407" s="1" t="s">
        <v>119</v>
      </c>
      <c r="E407" s="1" t="s">
        <v>38</v>
      </c>
      <c r="F407" s="1"/>
      <c r="G407" s="1" t="s">
        <v>39</v>
      </c>
      <c r="H407" s="1" t="s">
        <v>134</v>
      </c>
      <c r="I407" s="1" t="s">
        <v>67</v>
      </c>
      <c r="J407" s="1" t="s">
        <v>86</v>
      </c>
      <c r="K407" s="1" t="s">
        <v>87</v>
      </c>
      <c r="L407" s="1" t="s">
        <v>88</v>
      </c>
      <c r="M407" s="1" t="s">
        <v>50</v>
      </c>
      <c r="N407" s="1" t="s">
        <v>41</v>
      </c>
      <c r="O407" s="1" t="s">
        <v>42</v>
      </c>
      <c r="P407" s="1" t="s">
        <v>43</v>
      </c>
      <c r="Q407" s="1" t="s">
        <v>44</v>
      </c>
      <c r="R407" s="1" t="s">
        <v>45</v>
      </c>
      <c r="S407" s="1">
        <v>264</v>
      </c>
      <c r="T407" s="1">
        <v>0</v>
      </c>
      <c r="U407" s="4">
        <v>4.0972222222222222E-2</v>
      </c>
      <c r="V407" s="1">
        <v>980</v>
      </c>
      <c r="W407" s="1">
        <v>1220</v>
      </c>
      <c r="X407" s="1">
        <v>2200</v>
      </c>
      <c r="Y407" s="1" t="s">
        <v>51</v>
      </c>
      <c r="Z407" s="1">
        <v>1660</v>
      </c>
      <c r="AA407" s="1">
        <v>540</v>
      </c>
      <c r="AB407" s="1">
        <v>0</v>
      </c>
      <c r="AC407" s="1">
        <v>0</v>
      </c>
      <c r="AD407" s="1">
        <v>0</v>
      </c>
      <c r="AE407" s="1">
        <v>0</v>
      </c>
      <c r="AF407" s="1"/>
      <c r="AG407" s="1">
        <v>0</v>
      </c>
      <c r="AH407" s="1">
        <v>0</v>
      </c>
      <c r="AI407" s="1">
        <v>0</v>
      </c>
      <c r="AJ407" s="1">
        <v>0</v>
      </c>
      <c r="AK407" s="1">
        <v>1.7063999999999999</v>
      </c>
      <c r="AL407" s="1">
        <v>1.7063999999999999</v>
      </c>
      <c r="AM407" s="1">
        <v>1.7063999999999999</v>
      </c>
    </row>
    <row r="408" spans="1:39" x14ac:dyDescent="0.3">
      <c r="A408" s="21" t="str">
        <f t="shared" si="6"/>
        <v>HFA801LLHA2026-02-12</v>
      </c>
      <c r="B408" t="str">
        <f>VLOOKUP(A408,Sheet1!A408:B1750,1,FALSE)</f>
        <v>HFA801LLHA2026-02-12</v>
      </c>
      <c r="C408" s="3">
        <v>46065</v>
      </c>
      <c r="D408" s="1" t="s">
        <v>133</v>
      </c>
      <c r="E408" s="1" t="s">
        <v>38</v>
      </c>
      <c r="F408" s="1"/>
      <c r="G408" s="1" t="s">
        <v>39</v>
      </c>
      <c r="H408" s="1" t="s">
        <v>134</v>
      </c>
      <c r="I408" s="1" t="s">
        <v>41</v>
      </c>
      <c r="J408" s="1" t="s">
        <v>42</v>
      </c>
      <c r="K408" s="1" t="s">
        <v>43</v>
      </c>
      <c r="L408" s="1" t="s">
        <v>44</v>
      </c>
      <c r="M408" s="1" t="s">
        <v>45</v>
      </c>
      <c r="N408" s="1" t="s">
        <v>67</v>
      </c>
      <c r="O408" s="1" t="s">
        <v>86</v>
      </c>
      <c r="P408" s="1" t="s">
        <v>87</v>
      </c>
      <c r="Q408" s="1" t="s">
        <v>88</v>
      </c>
      <c r="R408" s="1" t="s">
        <v>50</v>
      </c>
      <c r="S408" s="1">
        <v>264</v>
      </c>
      <c r="T408" s="1">
        <v>0</v>
      </c>
      <c r="U408" s="4">
        <v>4.1666666666666664E-2</v>
      </c>
      <c r="V408" s="1">
        <v>1660</v>
      </c>
      <c r="W408" s="1">
        <v>-30</v>
      </c>
      <c r="X408" s="1">
        <v>1630</v>
      </c>
      <c r="Y408" s="1" t="s">
        <v>51</v>
      </c>
      <c r="Z408" s="1">
        <v>1040</v>
      </c>
      <c r="AA408" s="1">
        <v>590</v>
      </c>
      <c r="AB408" s="1">
        <v>0</v>
      </c>
      <c r="AC408" s="1">
        <v>0</v>
      </c>
      <c r="AD408" s="1">
        <v>0</v>
      </c>
      <c r="AE408" s="1">
        <v>0</v>
      </c>
      <c r="AF408" s="1"/>
      <c r="AG408" s="1">
        <v>0</v>
      </c>
      <c r="AH408" s="1">
        <v>0</v>
      </c>
      <c r="AI408" s="1">
        <v>0</v>
      </c>
      <c r="AJ408" s="1">
        <v>0</v>
      </c>
      <c r="AK408" s="1">
        <v>1.8644000000000001</v>
      </c>
      <c r="AL408" s="1">
        <v>1.8644000000000001</v>
      </c>
      <c r="AM408" s="1">
        <v>1.8644000000000001</v>
      </c>
    </row>
    <row r="409" spans="1:39" x14ac:dyDescent="0.3">
      <c r="A409" s="21" t="str">
        <f t="shared" si="6"/>
        <v>HFA802LCLK2026-02-12</v>
      </c>
      <c r="B409" t="str">
        <f>VLOOKUP(A409,Sheet1!A409:B1751,1,FALSE)</f>
        <v>HFA802LCLK2026-02-12</v>
      </c>
      <c r="C409" s="3">
        <v>46065</v>
      </c>
      <c r="D409" s="1" t="s">
        <v>135</v>
      </c>
      <c r="E409" s="1" t="s">
        <v>38</v>
      </c>
      <c r="F409" s="1"/>
      <c r="G409" s="1" t="s">
        <v>39</v>
      </c>
      <c r="H409" s="1" t="s">
        <v>134</v>
      </c>
      <c r="I409" s="1" t="s">
        <v>67</v>
      </c>
      <c r="J409" s="1" t="s">
        <v>86</v>
      </c>
      <c r="K409" s="1" t="s">
        <v>87</v>
      </c>
      <c r="L409" s="1" t="s">
        <v>88</v>
      </c>
      <c r="M409" s="1" t="s">
        <v>50</v>
      </c>
      <c r="N409" s="1" t="s">
        <v>41</v>
      </c>
      <c r="O409" s="1" t="s">
        <v>42</v>
      </c>
      <c r="P409" s="1" t="s">
        <v>43</v>
      </c>
      <c r="Q409" s="1" t="s">
        <v>44</v>
      </c>
      <c r="R409" s="1" t="s">
        <v>45</v>
      </c>
      <c r="S409" s="1">
        <v>264</v>
      </c>
      <c r="T409" s="1">
        <v>0</v>
      </c>
      <c r="U409" s="4">
        <v>3.6111111111111108E-2</v>
      </c>
      <c r="V409" s="1">
        <v>1040</v>
      </c>
      <c r="W409" s="1">
        <v>1060</v>
      </c>
      <c r="X409" s="1">
        <v>2100</v>
      </c>
      <c r="Y409" s="1" t="s">
        <v>51</v>
      </c>
      <c r="Z409" s="1">
        <v>1550</v>
      </c>
      <c r="AA409" s="1">
        <v>550</v>
      </c>
      <c r="AB409" s="1">
        <v>0</v>
      </c>
      <c r="AC409" s="1">
        <v>0</v>
      </c>
      <c r="AD409" s="1">
        <v>0</v>
      </c>
      <c r="AE409" s="1">
        <v>0</v>
      </c>
      <c r="AF409" s="1"/>
      <c r="AG409" s="1">
        <v>0</v>
      </c>
      <c r="AH409" s="1">
        <v>0</v>
      </c>
      <c r="AI409" s="1">
        <v>0</v>
      </c>
      <c r="AJ409" s="1">
        <v>0</v>
      </c>
      <c r="AK409" s="1">
        <v>1.738</v>
      </c>
      <c r="AL409" s="1">
        <v>1.738</v>
      </c>
      <c r="AM409" s="1">
        <v>1.738</v>
      </c>
    </row>
    <row r="410" spans="1:39" x14ac:dyDescent="0.3">
      <c r="A410" s="21" t="str">
        <f t="shared" si="6"/>
        <v>HFA803LLHA2026-02-12</v>
      </c>
      <c r="B410" t="str">
        <f>VLOOKUP(A410,Sheet1!A410:B1752,1,FALSE)</f>
        <v>HFA803LLHA2026-02-12</v>
      </c>
      <c r="C410" s="3">
        <v>46065</v>
      </c>
      <c r="D410" s="1" t="s">
        <v>116</v>
      </c>
      <c r="E410" s="1" t="s">
        <v>38</v>
      </c>
      <c r="F410" s="1"/>
      <c r="G410" s="1" t="s">
        <v>39</v>
      </c>
      <c r="H410" s="1" t="s">
        <v>134</v>
      </c>
      <c r="I410" s="1" t="s">
        <v>41</v>
      </c>
      <c r="J410" s="1" t="s">
        <v>42</v>
      </c>
      <c r="K410" s="1" t="s">
        <v>43</v>
      </c>
      <c r="L410" s="1" t="s">
        <v>44</v>
      </c>
      <c r="M410" s="1" t="s">
        <v>45</v>
      </c>
      <c r="N410" s="1" t="s">
        <v>67</v>
      </c>
      <c r="O410" s="1" t="s">
        <v>86</v>
      </c>
      <c r="P410" s="1" t="s">
        <v>87</v>
      </c>
      <c r="Q410" s="1" t="s">
        <v>88</v>
      </c>
      <c r="R410" s="1" t="s">
        <v>50</v>
      </c>
      <c r="S410" s="1">
        <v>264</v>
      </c>
      <c r="T410" s="1">
        <v>0</v>
      </c>
      <c r="U410" s="4">
        <v>4.027777777777778E-2</v>
      </c>
      <c r="V410" s="1">
        <v>1550</v>
      </c>
      <c r="W410" s="1">
        <v>0</v>
      </c>
      <c r="X410" s="1">
        <v>1550</v>
      </c>
      <c r="Y410" s="1" t="s">
        <v>51</v>
      </c>
      <c r="Z410" s="1">
        <v>920</v>
      </c>
      <c r="AA410" s="1">
        <v>630</v>
      </c>
      <c r="AB410" s="1">
        <v>0</v>
      </c>
      <c r="AC410" s="1">
        <v>0</v>
      </c>
      <c r="AD410" s="1">
        <v>0</v>
      </c>
      <c r="AE410" s="1">
        <v>0</v>
      </c>
      <c r="AF410" s="1"/>
      <c r="AG410" s="1">
        <v>0</v>
      </c>
      <c r="AH410" s="1">
        <v>0</v>
      </c>
      <c r="AI410" s="1">
        <v>0</v>
      </c>
      <c r="AJ410" s="1">
        <v>0</v>
      </c>
      <c r="AK410" s="1">
        <v>1.9907999999999999</v>
      </c>
      <c r="AL410" s="1">
        <v>1.9907999999999999</v>
      </c>
      <c r="AM410" s="1">
        <v>1.9907999999999999</v>
      </c>
    </row>
    <row r="411" spans="1:39" x14ac:dyDescent="0.3">
      <c r="A411" s="21" t="str">
        <f t="shared" si="6"/>
        <v>HFA804LCLK2026-02-12</v>
      </c>
      <c r="B411" t="str">
        <f>VLOOKUP(A411,Sheet1!A411:B1753,1,FALSE)</f>
        <v>HFA804LCLK2026-02-12</v>
      </c>
      <c r="C411" s="3">
        <v>46065</v>
      </c>
      <c r="D411" s="1" t="s">
        <v>117</v>
      </c>
      <c r="E411" s="1" t="s">
        <v>38</v>
      </c>
      <c r="F411" s="1"/>
      <c r="G411" s="1" t="s">
        <v>39</v>
      </c>
      <c r="H411" s="1" t="s">
        <v>134</v>
      </c>
      <c r="I411" s="1" t="s">
        <v>67</v>
      </c>
      <c r="J411" s="1" t="s">
        <v>86</v>
      </c>
      <c r="K411" s="1" t="s">
        <v>87</v>
      </c>
      <c r="L411" s="1" t="s">
        <v>88</v>
      </c>
      <c r="M411" s="1" t="s">
        <v>50</v>
      </c>
      <c r="N411" s="1" t="s">
        <v>41</v>
      </c>
      <c r="O411" s="1" t="s">
        <v>42</v>
      </c>
      <c r="P411" s="1" t="s">
        <v>43</v>
      </c>
      <c r="Q411" s="1" t="s">
        <v>44</v>
      </c>
      <c r="R411" s="1" t="s">
        <v>45</v>
      </c>
      <c r="S411" s="1">
        <v>264</v>
      </c>
      <c r="T411" s="1">
        <v>0</v>
      </c>
      <c r="U411" s="4">
        <v>3.9583333333333331E-2</v>
      </c>
      <c r="V411" s="1">
        <v>920</v>
      </c>
      <c r="W411" s="1">
        <v>1180</v>
      </c>
      <c r="X411" s="1">
        <v>2100</v>
      </c>
      <c r="Y411" s="1" t="s">
        <v>51</v>
      </c>
      <c r="Z411" s="1">
        <v>1480</v>
      </c>
      <c r="AA411" s="1">
        <v>620</v>
      </c>
      <c r="AB411" s="1">
        <v>0</v>
      </c>
      <c r="AC411" s="1">
        <v>0</v>
      </c>
      <c r="AD411" s="1">
        <v>0</v>
      </c>
      <c r="AE411" s="1">
        <v>0</v>
      </c>
      <c r="AF411" s="1"/>
      <c r="AG411" s="1">
        <v>0</v>
      </c>
      <c r="AH411" s="1">
        <v>0</v>
      </c>
      <c r="AI411" s="1">
        <v>0</v>
      </c>
      <c r="AJ411" s="1">
        <v>0</v>
      </c>
      <c r="AK411" s="1">
        <v>1.9592000000000001</v>
      </c>
      <c r="AL411" s="1">
        <v>1.9592000000000001</v>
      </c>
      <c r="AM411" s="1">
        <v>1.9592000000000001</v>
      </c>
    </row>
    <row r="412" spans="1:39" x14ac:dyDescent="0.3">
      <c r="A412" s="21" t="str">
        <f t="shared" si="6"/>
        <v>HFA801LLHA2026-02-13</v>
      </c>
      <c r="B412" t="str">
        <f>VLOOKUP(A412,Sheet1!A412:B1754,1,FALSE)</f>
        <v>HFA801LLHA2026-02-13</v>
      </c>
      <c r="C412" s="3">
        <v>46066</v>
      </c>
      <c r="D412" s="1" t="s">
        <v>133</v>
      </c>
      <c r="E412" s="1" t="s">
        <v>38</v>
      </c>
      <c r="F412" s="1"/>
      <c r="G412" s="1" t="s">
        <v>39</v>
      </c>
      <c r="H412" s="1" t="s">
        <v>134</v>
      </c>
      <c r="I412" s="1" t="s">
        <v>41</v>
      </c>
      <c r="J412" s="1" t="s">
        <v>42</v>
      </c>
      <c r="K412" s="1" t="s">
        <v>43</v>
      </c>
      <c r="L412" s="1" t="s">
        <v>44</v>
      </c>
      <c r="M412" s="1" t="s">
        <v>45</v>
      </c>
      <c r="N412" s="1" t="s">
        <v>67</v>
      </c>
      <c r="O412" s="1" t="s">
        <v>86</v>
      </c>
      <c r="P412" s="1" t="s">
        <v>87</v>
      </c>
      <c r="Q412" s="1" t="s">
        <v>88</v>
      </c>
      <c r="R412" s="1" t="s">
        <v>50</v>
      </c>
      <c r="S412" s="1">
        <v>264</v>
      </c>
      <c r="T412" s="1">
        <v>0</v>
      </c>
      <c r="U412" s="4">
        <v>3.2638888888888891E-2</v>
      </c>
      <c r="V412" s="1">
        <v>1480</v>
      </c>
      <c r="W412" s="1">
        <v>-20</v>
      </c>
      <c r="X412" s="1">
        <v>1460</v>
      </c>
      <c r="Y412" s="1" t="s">
        <v>51</v>
      </c>
      <c r="Z412" s="1">
        <v>930</v>
      </c>
      <c r="AA412" s="1">
        <v>530</v>
      </c>
      <c r="AB412" s="1">
        <v>0</v>
      </c>
      <c r="AC412" s="1">
        <v>0</v>
      </c>
      <c r="AD412" s="1">
        <v>0</v>
      </c>
      <c r="AE412" s="1">
        <v>0</v>
      </c>
      <c r="AF412" s="1"/>
      <c r="AG412" s="1">
        <v>0</v>
      </c>
      <c r="AH412" s="1">
        <v>0</v>
      </c>
      <c r="AI412" s="1">
        <v>0</v>
      </c>
      <c r="AJ412" s="1">
        <v>0</v>
      </c>
      <c r="AK412" s="1">
        <v>1.6748000000000001</v>
      </c>
      <c r="AL412" s="1">
        <v>1.6748000000000001</v>
      </c>
      <c r="AM412" s="1">
        <v>1.6748000000000001</v>
      </c>
    </row>
    <row r="413" spans="1:39" x14ac:dyDescent="0.3">
      <c r="A413" s="21" t="str">
        <f t="shared" si="6"/>
        <v>HFA802LCLK2026-02-13</v>
      </c>
      <c r="B413" t="str">
        <f>VLOOKUP(A413,Sheet1!A413:B1755,1,FALSE)</f>
        <v>HFA802LCLK2026-02-13</v>
      </c>
      <c r="C413" s="3">
        <v>46066</v>
      </c>
      <c r="D413" s="1" t="s">
        <v>135</v>
      </c>
      <c r="E413" s="1" t="s">
        <v>38</v>
      </c>
      <c r="F413" s="1"/>
      <c r="G413" s="1" t="s">
        <v>39</v>
      </c>
      <c r="H413" s="1" t="s">
        <v>134</v>
      </c>
      <c r="I413" s="1" t="s">
        <v>67</v>
      </c>
      <c r="J413" s="1" t="s">
        <v>86</v>
      </c>
      <c r="K413" s="1" t="s">
        <v>87</v>
      </c>
      <c r="L413" s="1" t="s">
        <v>88</v>
      </c>
      <c r="M413" s="1" t="s">
        <v>50</v>
      </c>
      <c r="N413" s="1" t="s">
        <v>41</v>
      </c>
      <c r="O413" s="1" t="s">
        <v>42</v>
      </c>
      <c r="P413" s="1" t="s">
        <v>43</v>
      </c>
      <c r="Q413" s="1" t="s">
        <v>44</v>
      </c>
      <c r="R413" s="1" t="s">
        <v>45</v>
      </c>
      <c r="S413" s="1">
        <v>264</v>
      </c>
      <c r="T413" s="1">
        <v>0</v>
      </c>
      <c r="U413" s="4">
        <v>4.3749999999999997E-2</v>
      </c>
      <c r="V413" s="1">
        <v>930</v>
      </c>
      <c r="W413" s="1">
        <v>1270</v>
      </c>
      <c r="X413" s="1">
        <v>2200</v>
      </c>
      <c r="Y413" s="1" t="s">
        <v>51</v>
      </c>
      <c r="Z413" s="1">
        <v>1530</v>
      </c>
      <c r="AA413" s="1">
        <v>670</v>
      </c>
      <c r="AB413" s="1">
        <v>0</v>
      </c>
      <c r="AC413" s="1">
        <v>0</v>
      </c>
      <c r="AD413" s="1">
        <v>0</v>
      </c>
      <c r="AE413" s="1">
        <v>0</v>
      </c>
      <c r="AF413" s="1"/>
      <c r="AG413" s="1">
        <v>0</v>
      </c>
      <c r="AH413" s="1">
        <v>0</v>
      </c>
      <c r="AI413" s="1">
        <v>0</v>
      </c>
      <c r="AJ413" s="1">
        <v>0</v>
      </c>
      <c r="AK413" s="1">
        <v>2.1172</v>
      </c>
      <c r="AL413" s="1">
        <v>2.1172</v>
      </c>
      <c r="AM413" s="1">
        <v>2.1172</v>
      </c>
    </row>
    <row r="414" spans="1:39" x14ac:dyDescent="0.3">
      <c r="A414" s="21" t="str">
        <f t="shared" si="6"/>
        <v>HFA803LLHA2026-02-13</v>
      </c>
      <c r="B414" t="str">
        <f>VLOOKUP(A414,Sheet1!A414:B1756,1,FALSE)</f>
        <v>HFA803LLHA2026-02-13</v>
      </c>
      <c r="C414" s="3">
        <v>46066</v>
      </c>
      <c r="D414" s="1" t="s">
        <v>116</v>
      </c>
      <c r="E414" s="1" t="s">
        <v>38</v>
      </c>
      <c r="F414" s="1"/>
      <c r="G414" s="1" t="s">
        <v>39</v>
      </c>
      <c r="H414" s="1" t="s">
        <v>134</v>
      </c>
      <c r="I414" s="1" t="s">
        <v>41</v>
      </c>
      <c r="J414" s="1" t="s">
        <v>42</v>
      </c>
      <c r="K414" s="1" t="s">
        <v>43</v>
      </c>
      <c r="L414" s="1" t="s">
        <v>44</v>
      </c>
      <c r="M414" s="1" t="s">
        <v>45</v>
      </c>
      <c r="N414" s="1" t="s">
        <v>67</v>
      </c>
      <c r="O414" s="1" t="s">
        <v>86</v>
      </c>
      <c r="P414" s="1" t="s">
        <v>87</v>
      </c>
      <c r="Q414" s="1" t="s">
        <v>88</v>
      </c>
      <c r="R414" s="1" t="s">
        <v>50</v>
      </c>
      <c r="S414" s="1">
        <v>264</v>
      </c>
      <c r="T414" s="1">
        <v>0</v>
      </c>
      <c r="U414" s="4">
        <v>3.6805555555555557E-2</v>
      </c>
      <c r="V414" s="1">
        <v>1530</v>
      </c>
      <c r="W414" s="1">
        <v>-10</v>
      </c>
      <c r="X414" s="1">
        <v>1520</v>
      </c>
      <c r="Y414" s="1" t="s">
        <v>51</v>
      </c>
      <c r="Z414" s="1">
        <v>930</v>
      </c>
      <c r="AA414" s="1">
        <v>590</v>
      </c>
      <c r="AB414" s="1">
        <v>0</v>
      </c>
      <c r="AC414" s="1">
        <v>0</v>
      </c>
      <c r="AD414" s="1">
        <v>0</v>
      </c>
      <c r="AE414" s="1">
        <v>0</v>
      </c>
      <c r="AF414" s="1"/>
      <c r="AG414" s="1">
        <v>0</v>
      </c>
      <c r="AH414" s="1">
        <v>0</v>
      </c>
      <c r="AI414" s="1">
        <v>0</v>
      </c>
      <c r="AJ414" s="1">
        <v>0</v>
      </c>
      <c r="AK414" s="1">
        <v>1.8644000000000001</v>
      </c>
      <c r="AL414" s="1">
        <v>1.8644000000000001</v>
      </c>
      <c r="AM414" s="1">
        <v>1.8644000000000001</v>
      </c>
    </row>
    <row r="415" spans="1:39" x14ac:dyDescent="0.3">
      <c r="A415" s="21" t="str">
        <f t="shared" si="6"/>
        <v>HFA804LCLK2026-02-13</v>
      </c>
      <c r="B415" t="str">
        <f>VLOOKUP(A415,Sheet1!A415:B1757,1,FALSE)</f>
        <v>HFA804LCLK2026-02-13</v>
      </c>
      <c r="C415" s="3">
        <v>46066</v>
      </c>
      <c r="D415" s="1" t="s">
        <v>117</v>
      </c>
      <c r="E415" s="1" t="s">
        <v>38</v>
      </c>
      <c r="F415" s="1"/>
      <c r="G415" s="1" t="s">
        <v>39</v>
      </c>
      <c r="H415" s="1" t="s">
        <v>134</v>
      </c>
      <c r="I415" s="1" t="s">
        <v>67</v>
      </c>
      <c r="J415" s="1" t="s">
        <v>86</v>
      </c>
      <c r="K415" s="1" t="s">
        <v>87</v>
      </c>
      <c r="L415" s="1" t="s">
        <v>88</v>
      </c>
      <c r="M415" s="1" t="s">
        <v>50</v>
      </c>
      <c r="N415" s="1" t="s">
        <v>41</v>
      </c>
      <c r="O415" s="1" t="s">
        <v>42</v>
      </c>
      <c r="P415" s="1" t="s">
        <v>43</v>
      </c>
      <c r="Q415" s="1" t="s">
        <v>44</v>
      </c>
      <c r="R415" s="1" t="s">
        <v>45</v>
      </c>
      <c r="S415" s="1">
        <v>264</v>
      </c>
      <c r="T415" s="1">
        <v>0</v>
      </c>
      <c r="U415" s="4">
        <v>3.9583333333333331E-2</v>
      </c>
      <c r="V415" s="1">
        <v>930</v>
      </c>
      <c r="W415" s="1">
        <v>1270</v>
      </c>
      <c r="X415" s="1">
        <v>2200</v>
      </c>
      <c r="Y415" s="1" t="s">
        <v>51</v>
      </c>
      <c r="Z415" s="1">
        <v>1580</v>
      </c>
      <c r="AA415" s="1">
        <v>620</v>
      </c>
      <c r="AB415" s="1">
        <v>0</v>
      </c>
      <c r="AC415" s="1">
        <v>0</v>
      </c>
      <c r="AD415" s="1">
        <v>0</v>
      </c>
      <c r="AE415" s="1">
        <v>0</v>
      </c>
      <c r="AF415" s="1"/>
      <c r="AG415" s="1">
        <v>0</v>
      </c>
      <c r="AH415" s="1">
        <v>0</v>
      </c>
      <c r="AI415" s="1">
        <v>0</v>
      </c>
      <c r="AJ415" s="1">
        <v>0</v>
      </c>
      <c r="AK415" s="1">
        <v>1.9592000000000001</v>
      </c>
      <c r="AL415" s="1">
        <v>1.9592000000000001</v>
      </c>
      <c r="AM415" s="1">
        <v>1.9592000000000001</v>
      </c>
    </row>
    <row r="416" spans="1:39" x14ac:dyDescent="0.3">
      <c r="A416" s="21" t="str">
        <f t="shared" si="6"/>
        <v>HFA805LLHA2026-02-14</v>
      </c>
      <c r="B416" t="str">
        <f>VLOOKUP(A416,Sheet1!A416:B1758,1,FALSE)</f>
        <v>HFA805LLHA2026-02-14</v>
      </c>
      <c r="C416" s="3">
        <v>46067</v>
      </c>
      <c r="D416" s="1" t="s">
        <v>114</v>
      </c>
      <c r="E416" s="1" t="s">
        <v>38</v>
      </c>
      <c r="F416" s="1"/>
      <c r="G416" s="1" t="s">
        <v>39</v>
      </c>
      <c r="H416" s="1" t="s">
        <v>134</v>
      </c>
      <c r="I416" s="1" t="s">
        <v>41</v>
      </c>
      <c r="J416" s="1" t="s">
        <v>42</v>
      </c>
      <c r="K416" s="1" t="s">
        <v>43</v>
      </c>
      <c r="L416" s="1" t="s">
        <v>44</v>
      </c>
      <c r="M416" s="1" t="s">
        <v>45</v>
      </c>
      <c r="N416" s="1" t="s">
        <v>67</v>
      </c>
      <c r="O416" s="1" t="s">
        <v>86</v>
      </c>
      <c r="P416" s="1" t="s">
        <v>87</v>
      </c>
      <c r="Q416" s="1" t="s">
        <v>88</v>
      </c>
      <c r="R416" s="1" t="s">
        <v>50</v>
      </c>
      <c r="S416" s="1">
        <v>264</v>
      </c>
      <c r="T416" s="1">
        <v>0</v>
      </c>
      <c r="U416" s="4">
        <v>3.7499999999999999E-2</v>
      </c>
      <c r="V416" s="1">
        <v>1580</v>
      </c>
      <c r="W416" s="1">
        <v>-20</v>
      </c>
      <c r="X416" s="1">
        <v>1560</v>
      </c>
      <c r="Y416" s="1" t="s">
        <v>51</v>
      </c>
      <c r="Z416" s="1">
        <v>980</v>
      </c>
      <c r="AA416" s="1">
        <v>580</v>
      </c>
      <c r="AB416" s="1">
        <v>0</v>
      </c>
      <c r="AC416" s="1">
        <v>0</v>
      </c>
      <c r="AD416" s="1">
        <v>0</v>
      </c>
      <c r="AE416" s="1">
        <v>0</v>
      </c>
      <c r="AF416" s="1"/>
      <c r="AG416" s="1">
        <v>0</v>
      </c>
      <c r="AH416" s="1">
        <v>0</v>
      </c>
      <c r="AI416" s="1">
        <v>0</v>
      </c>
      <c r="AJ416" s="1">
        <v>0</v>
      </c>
      <c r="AK416" s="1">
        <v>1.8328</v>
      </c>
      <c r="AL416" s="1">
        <v>1.8328</v>
      </c>
      <c r="AM416" s="1">
        <v>1.8328</v>
      </c>
    </row>
    <row r="417" spans="1:39" x14ac:dyDescent="0.3">
      <c r="A417" s="21" t="str">
        <f t="shared" si="6"/>
        <v>HFA806LCLK2026-02-14</v>
      </c>
      <c r="B417" t="str">
        <f>VLOOKUP(A417,Sheet1!A417:B1759,1,FALSE)</f>
        <v>HFA806LCLK2026-02-14</v>
      </c>
      <c r="C417" s="3">
        <v>46067</v>
      </c>
      <c r="D417" s="1" t="s">
        <v>115</v>
      </c>
      <c r="E417" s="1" t="s">
        <v>38</v>
      </c>
      <c r="F417" s="1"/>
      <c r="G417" s="1" t="s">
        <v>39</v>
      </c>
      <c r="H417" s="1" t="s">
        <v>134</v>
      </c>
      <c r="I417" s="1" t="s">
        <v>67</v>
      </c>
      <c r="J417" s="1" t="s">
        <v>86</v>
      </c>
      <c r="K417" s="1" t="s">
        <v>87</v>
      </c>
      <c r="L417" s="1" t="s">
        <v>88</v>
      </c>
      <c r="M417" s="1" t="s">
        <v>50</v>
      </c>
      <c r="N417" s="1" t="s">
        <v>41</v>
      </c>
      <c r="O417" s="1" t="s">
        <v>42</v>
      </c>
      <c r="P417" s="1" t="s">
        <v>43</v>
      </c>
      <c r="Q417" s="1" t="s">
        <v>44</v>
      </c>
      <c r="R417" s="1" t="s">
        <v>45</v>
      </c>
      <c r="S417" s="1">
        <v>264</v>
      </c>
      <c r="T417" s="1">
        <v>0</v>
      </c>
      <c r="U417" s="4">
        <v>3.6805555555555557E-2</v>
      </c>
      <c r="V417" s="1">
        <v>980</v>
      </c>
      <c r="W417" s="1">
        <v>1020</v>
      </c>
      <c r="X417" s="1">
        <v>2000</v>
      </c>
      <c r="Y417" s="1" t="s">
        <v>51</v>
      </c>
      <c r="Z417" s="1">
        <v>1430</v>
      </c>
      <c r="AA417" s="1">
        <v>570</v>
      </c>
      <c r="AB417" s="1">
        <v>0</v>
      </c>
      <c r="AC417" s="1">
        <v>0</v>
      </c>
      <c r="AD417" s="1">
        <v>0</v>
      </c>
      <c r="AE417" s="1">
        <v>0</v>
      </c>
      <c r="AF417" s="1"/>
      <c r="AG417" s="1">
        <v>0</v>
      </c>
      <c r="AH417" s="1">
        <v>0</v>
      </c>
      <c r="AI417" s="1">
        <v>0</v>
      </c>
      <c r="AJ417" s="1">
        <v>0</v>
      </c>
      <c r="AK417" s="1">
        <v>1.8011999999999999</v>
      </c>
      <c r="AL417" s="1">
        <v>1.8011999999999999</v>
      </c>
      <c r="AM417" s="1">
        <v>1.8011999999999999</v>
      </c>
    </row>
    <row r="418" spans="1:39" x14ac:dyDescent="0.3">
      <c r="A418" s="21" t="str">
        <f t="shared" si="6"/>
        <v>HFA807LLHA2026-02-14</v>
      </c>
      <c r="B418" t="str">
        <f>VLOOKUP(A418,Sheet1!A418:B1760,1,FALSE)</f>
        <v>HFA807LLHA2026-02-14</v>
      </c>
      <c r="C418" s="3">
        <v>46067</v>
      </c>
      <c r="D418" s="1" t="s">
        <v>118</v>
      </c>
      <c r="E418" s="1" t="s">
        <v>38</v>
      </c>
      <c r="F418" s="1"/>
      <c r="G418" s="1" t="s">
        <v>39</v>
      </c>
      <c r="H418" s="1" t="s">
        <v>134</v>
      </c>
      <c r="I418" s="1" t="s">
        <v>41</v>
      </c>
      <c r="J418" s="1" t="s">
        <v>42</v>
      </c>
      <c r="K418" s="1" t="s">
        <v>43</v>
      </c>
      <c r="L418" s="1" t="s">
        <v>44</v>
      </c>
      <c r="M418" s="1" t="s">
        <v>45</v>
      </c>
      <c r="N418" s="1" t="s">
        <v>67</v>
      </c>
      <c r="O418" s="1" t="s">
        <v>86</v>
      </c>
      <c r="P418" s="1" t="s">
        <v>87</v>
      </c>
      <c r="Q418" s="1" t="s">
        <v>88</v>
      </c>
      <c r="R418" s="1" t="s">
        <v>50</v>
      </c>
      <c r="S418" s="1">
        <v>264</v>
      </c>
      <c r="T418" s="1">
        <v>0</v>
      </c>
      <c r="U418" s="4">
        <v>4.0972222222222222E-2</v>
      </c>
      <c r="V418" s="1">
        <v>1430</v>
      </c>
      <c r="W418" s="1">
        <v>0</v>
      </c>
      <c r="X418" s="1">
        <v>1430</v>
      </c>
      <c r="Y418" s="1" t="s">
        <v>51</v>
      </c>
      <c r="Z418" s="1">
        <v>810</v>
      </c>
      <c r="AA418" s="1">
        <v>620</v>
      </c>
      <c r="AB418" s="1">
        <v>0</v>
      </c>
      <c r="AC418" s="1">
        <v>0</v>
      </c>
      <c r="AD418" s="1">
        <v>0</v>
      </c>
      <c r="AE418" s="1">
        <v>0</v>
      </c>
      <c r="AF418" s="1"/>
      <c r="AG418" s="1">
        <v>0</v>
      </c>
      <c r="AH418" s="1">
        <v>0</v>
      </c>
      <c r="AI418" s="1">
        <v>0</v>
      </c>
      <c r="AJ418" s="1">
        <v>0</v>
      </c>
      <c r="AK418" s="1">
        <v>1.9592000000000001</v>
      </c>
      <c r="AL418" s="1">
        <v>1.9592000000000001</v>
      </c>
      <c r="AM418" s="1">
        <v>1.9592000000000001</v>
      </c>
    </row>
    <row r="419" spans="1:39" x14ac:dyDescent="0.3">
      <c r="A419" s="21" t="str">
        <f t="shared" si="6"/>
        <v>HFA808LCLK2026-02-14</v>
      </c>
      <c r="B419" t="str">
        <f>VLOOKUP(A419,Sheet1!A419:B1761,1,FALSE)</f>
        <v>HFA808LCLK2026-02-14</v>
      </c>
      <c r="C419" s="3">
        <v>46067</v>
      </c>
      <c r="D419" s="1" t="s">
        <v>119</v>
      </c>
      <c r="E419" s="1" t="s">
        <v>38</v>
      </c>
      <c r="F419" s="1"/>
      <c r="G419" s="1" t="s">
        <v>39</v>
      </c>
      <c r="H419" s="1" t="s">
        <v>134</v>
      </c>
      <c r="I419" s="1" t="s">
        <v>67</v>
      </c>
      <c r="J419" s="1" t="s">
        <v>86</v>
      </c>
      <c r="K419" s="1" t="s">
        <v>87</v>
      </c>
      <c r="L419" s="1" t="s">
        <v>88</v>
      </c>
      <c r="M419" s="1" t="s">
        <v>50</v>
      </c>
      <c r="N419" s="1" t="s">
        <v>41</v>
      </c>
      <c r="O419" s="1" t="s">
        <v>42</v>
      </c>
      <c r="P419" s="1" t="s">
        <v>43</v>
      </c>
      <c r="Q419" s="1" t="s">
        <v>44</v>
      </c>
      <c r="R419" s="1" t="s">
        <v>45</v>
      </c>
      <c r="S419" s="1">
        <v>264</v>
      </c>
      <c r="T419" s="1">
        <v>0</v>
      </c>
      <c r="U419" s="4">
        <v>3.8194444444444448E-2</v>
      </c>
      <c r="V419" s="1">
        <v>810</v>
      </c>
      <c r="W419" s="1">
        <v>1190</v>
      </c>
      <c r="X419" s="1">
        <v>2000</v>
      </c>
      <c r="Y419" s="1" t="s">
        <v>51</v>
      </c>
      <c r="Z419" s="1">
        <v>1470</v>
      </c>
      <c r="AA419" s="1">
        <v>530</v>
      </c>
      <c r="AB419" s="1">
        <v>0</v>
      </c>
      <c r="AC419" s="1">
        <v>0</v>
      </c>
      <c r="AD419" s="1">
        <v>0</v>
      </c>
      <c r="AE419" s="1">
        <v>0</v>
      </c>
      <c r="AF419" s="1"/>
      <c r="AG419" s="1">
        <v>0</v>
      </c>
      <c r="AH419" s="1">
        <v>0</v>
      </c>
      <c r="AI419" s="1">
        <v>0</v>
      </c>
      <c r="AJ419" s="1">
        <v>0</v>
      </c>
      <c r="AK419" s="1">
        <v>1.6748000000000001</v>
      </c>
      <c r="AL419" s="1">
        <v>1.6748000000000001</v>
      </c>
      <c r="AM419" s="1">
        <v>1.6748000000000001</v>
      </c>
    </row>
    <row r="420" spans="1:39" x14ac:dyDescent="0.3">
      <c r="A420" s="21" t="str">
        <f t="shared" si="6"/>
        <v>HFA803LLHA2026-02-15</v>
      </c>
      <c r="B420" t="str">
        <f>VLOOKUP(A420,Sheet1!A420:B1762,1,FALSE)</f>
        <v>HFA803LLHA2026-02-15</v>
      </c>
      <c r="C420" s="3">
        <v>46068</v>
      </c>
      <c r="D420" s="1" t="s">
        <v>116</v>
      </c>
      <c r="E420" s="1" t="s">
        <v>38</v>
      </c>
      <c r="F420" s="1"/>
      <c r="G420" s="1" t="s">
        <v>39</v>
      </c>
      <c r="H420" s="1" t="s">
        <v>134</v>
      </c>
      <c r="I420" s="1" t="s">
        <v>41</v>
      </c>
      <c r="J420" s="1" t="s">
        <v>42</v>
      </c>
      <c r="K420" s="1" t="s">
        <v>43</v>
      </c>
      <c r="L420" s="1" t="s">
        <v>44</v>
      </c>
      <c r="M420" s="1" t="s">
        <v>45</v>
      </c>
      <c r="N420" s="1" t="s">
        <v>67</v>
      </c>
      <c r="O420" s="1" t="s">
        <v>86</v>
      </c>
      <c r="P420" s="1" t="s">
        <v>87</v>
      </c>
      <c r="Q420" s="1" t="s">
        <v>88</v>
      </c>
      <c r="R420" s="1" t="s">
        <v>50</v>
      </c>
      <c r="S420" s="1">
        <v>264</v>
      </c>
      <c r="T420" s="1">
        <v>0</v>
      </c>
      <c r="U420" s="4">
        <v>3.888888888888889E-2</v>
      </c>
      <c r="V420" s="1">
        <v>1470</v>
      </c>
      <c r="W420" s="1">
        <v>-30</v>
      </c>
      <c r="X420" s="1">
        <v>1440</v>
      </c>
      <c r="Y420" s="1" t="s">
        <v>51</v>
      </c>
      <c r="Z420" s="1">
        <v>890</v>
      </c>
      <c r="AA420" s="1">
        <v>550</v>
      </c>
      <c r="AB420" s="1">
        <v>0</v>
      </c>
      <c r="AC420" s="1">
        <v>0</v>
      </c>
      <c r="AD420" s="1">
        <v>0</v>
      </c>
      <c r="AE420" s="1">
        <v>0</v>
      </c>
      <c r="AF420" s="1"/>
      <c r="AG420" s="1">
        <v>0</v>
      </c>
      <c r="AH420" s="1">
        <v>0</v>
      </c>
      <c r="AI420" s="1">
        <v>0</v>
      </c>
      <c r="AJ420" s="1">
        <v>0</v>
      </c>
      <c r="AK420" s="1">
        <v>1.738</v>
      </c>
      <c r="AL420" s="1">
        <v>1.738</v>
      </c>
      <c r="AM420" s="1">
        <v>1.738</v>
      </c>
    </row>
    <row r="421" spans="1:39" x14ac:dyDescent="0.3">
      <c r="A421" s="21" t="str">
        <f t="shared" si="6"/>
        <v>HFA804LCLK2026-02-15</v>
      </c>
      <c r="B421" t="str">
        <f>VLOOKUP(A421,Sheet1!A421:B1763,1,FALSE)</f>
        <v>HFA804LCLK2026-02-15</v>
      </c>
      <c r="C421" s="3">
        <v>46068</v>
      </c>
      <c r="D421" s="1" t="s">
        <v>117</v>
      </c>
      <c r="E421" s="1" t="s">
        <v>38</v>
      </c>
      <c r="F421" s="1"/>
      <c r="G421" s="1" t="s">
        <v>39</v>
      </c>
      <c r="H421" s="1" t="s">
        <v>134</v>
      </c>
      <c r="I421" s="1" t="s">
        <v>67</v>
      </c>
      <c r="J421" s="1" t="s">
        <v>86</v>
      </c>
      <c r="K421" s="1" t="s">
        <v>87</v>
      </c>
      <c r="L421" s="1" t="s">
        <v>88</v>
      </c>
      <c r="M421" s="1" t="s">
        <v>50</v>
      </c>
      <c r="N421" s="1" t="s">
        <v>41</v>
      </c>
      <c r="O421" s="1" t="s">
        <v>42</v>
      </c>
      <c r="P421" s="1" t="s">
        <v>43</v>
      </c>
      <c r="Q421" s="1" t="s">
        <v>44</v>
      </c>
      <c r="R421" s="1" t="s">
        <v>45</v>
      </c>
      <c r="S421" s="1">
        <v>264</v>
      </c>
      <c r="T421" s="1">
        <v>0</v>
      </c>
      <c r="U421" s="4">
        <v>4.2361111111111106E-2</v>
      </c>
      <c r="V421" s="1">
        <v>890</v>
      </c>
      <c r="W421" s="1">
        <v>1510</v>
      </c>
      <c r="X421" s="1">
        <v>2400</v>
      </c>
      <c r="Y421" s="1" t="s">
        <v>51</v>
      </c>
      <c r="Z421" s="1">
        <v>1800</v>
      </c>
      <c r="AA421" s="1">
        <v>600</v>
      </c>
      <c r="AB421" s="1">
        <v>0</v>
      </c>
      <c r="AC421" s="1">
        <v>0</v>
      </c>
      <c r="AD421" s="1">
        <v>0</v>
      </c>
      <c r="AE421" s="1">
        <v>0</v>
      </c>
      <c r="AF421" s="1"/>
      <c r="AG421" s="1">
        <v>0</v>
      </c>
      <c r="AH421" s="1">
        <v>0</v>
      </c>
      <c r="AI421" s="1">
        <v>0</v>
      </c>
      <c r="AJ421" s="1">
        <v>0</v>
      </c>
      <c r="AK421" s="1">
        <v>1.8959999999999999</v>
      </c>
      <c r="AL421" s="1">
        <v>1.8959999999999999</v>
      </c>
      <c r="AM421" s="1">
        <v>1.8959999999999999</v>
      </c>
    </row>
    <row r="422" spans="1:39" x14ac:dyDescent="0.3">
      <c r="A422" s="21" t="str">
        <f t="shared" si="6"/>
        <v>HFA605LLHA2026-02-15</v>
      </c>
      <c r="B422" t="e">
        <f>VLOOKUP(A422,Sheet1!A422:B1764,1,FALSE)</f>
        <v>#N/A</v>
      </c>
      <c r="C422" s="3">
        <v>46068</v>
      </c>
      <c r="D422" s="1" t="s">
        <v>62</v>
      </c>
      <c r="E422" s="1" t="s">
        <v>38</v>
      </c>
      <c r="F422" s="1" t="s">
        <v>54</v>
      </c>
      <c r="G422" s="1" t="s">
        <v>39</v>
      </c>
      <c r="H422" s="1" t="s">
        <v>134</v>
      </c>
      <c r="I422" s="1" t="s">
        <v>41</v>
      </c>
      <c r="J422" s="1" t="s">
        <v>42</v>
      </c>
      <c r="K422" s="1" t="s">
        <v>43</v>
      </c>
      <c r="L422" s="1" t="s">
        <v>44</v>
      </c>
      <c r="M422" s="1" t="s">
        <v>45</v>
      </c>
      <c r="N422" s="1" t="s">
        <v>41</v>
      </c>
      <c r="O422" s="1" t="s">
        <v>58</v>
      </c>
      <c r="P422" s="1" t="s">
        <v>59</v>
      </c>
      <c r="Q422" s="1" t="s">
        <v>60</v>
      </c>
      <c r="R422" s="1" t="s">
        <v>45</v>
      </c>
      <c r="S422" s="1">
        <v>342</v>
      </c>
      <c r="T422" s="1">
        <v>0</v>
      </c>
      <c r="U422" s="4">
        <v>4.5138888888888888E-2</v>
      </c>
      <c r="V422" s="1">
        <v>1800</v>
      </c>
      <c r="W422" s="1">
        <v>0</v>
      </c>
      <c r="X422" s="1">
        <v>1800</v>
      </c>
      <c r="Y422" s="1" t="s">
        <v>51</v>
      </c>
      <c r="Z422" s="1">
        <v>1040</v>
      </c>
      <c r="AA422" s="1">
        <v>760</v>
      </c>
      <c r="AB422" s="1">
        <v>0</v>
      </c>
      <c r="AC422" s="1">
        <v>0</v>
      </c>
      <c r="AD422" s="1">
        <v>0</v>
      </c>
      <c r="AE422" s="1">
        <v>0</v>
      </c>
      <c r="AF422" s="1"/>
      <c r="AG422" s="1">
        <v>0</v>
      </c>
      <c r="AH422" s="1">
        <v>0</v>
      </c>
      <c r="AI422" s="1">
        <v>0</v>
      </c>
      <c r="AJ422" s="1">
        <v>0</v>
      </c>
      <c r="AK422" s="1">
        <v>2.4016000000000002</v>
      </c>
      <c r="AL422" s="1">
        <v>2.4016000000000002</v>
      </c>
      <c r="AM422" s="1">
        <v>2.4016000000000002</v>
      </c>
    </row>
    <row r="423" spans="1:39" x14ac:dyDescent="0.3">
      <c r="A423" s="21" t="str">
        <f t="shared" si="6"/>
        <v>HFA606LLER2026-02-15</v>
      </c>
      <c r="B423" t="e">
        <f>VLOOKUP(A423,Sheet1!A423:B1765,1,FALSE)</f>
        <v>#N/A</v>
      </c>
      <c r="C423" s="3">
        <v>46068</v>
      </c>
      <c r="D423" s="1" t="s">
        <v>63</v>
      </c>
      <c r="E423" s="1" t="s">
        <v>38</v>
      </c>
      <c r="F423" s="1" t="s">
        <v>54</v>
      </c>
      <c r="G423" s="1" t="s">
        <v>39</v>
      </c>
      <c r="H423" s="1" t="s">
        <v>134</v>
      </c>
      <c r="I423" s="1" t="s">
        <v>41</v>
      </c>
      <c r="J423" s="1" t="s">
        <v>58</v>
      </c>
      <c r="K423" s="1" t="s">
        <v>59</v>
      </c>
      <c r="L423" s="1" t="s">
        <v>60</v>
      </c>
      <c r="M423" s="1" t="s">
        <v>45</v>
      </c>
      <c r="N423" s="1" t="s">
        <v>41</v>
      </c>
      <c r="O423" s="1" t="s">
        <v>42</v>
      </c>
      <c r="P423" s="1" t="s">
        <v>43</v>
      </c>
      <c r="Q423" s="1" t="s">
        <v>44</v>
      </c>
      <c r="R423" s="1" t="s">
        <v>45</v>
      </c>
      <c r="S423" s="1">
        <v>342</v>
      </c>
      <c r="T423" s="1">
        <v>0</v>
      </c>
      <c r="U423" s="4">
        <v>4.1666666666666664E-2</v>
      </c>
      <c r="V423" s="1">
        <v>1040</v>
      </c>
      <c r="W423" s="1">
        <v>1160</v>
      </c>
      <c r="X423" s="1">
        <v>2200</v>
      </c>
      <c r="Y423" s="1" t="s">
        <v>51</v>
      </c>
      <c r="Z423" s="1">
        <v>1520</v>
      </c>
      <c r="AA423" s="1">
        <v>680</v>
      </c>
      <c r="AB423" s="1">
        <v>0</v>
      </c>
      <c r="AC423" s="1">
        <v>0</v>
      </c>
      <c r="AD423" s="1">
        <v>0</v>
      </c>
      <c r="AE423" s="1">
        <v>0</v>
      </c>
      <c r="AF423" s="1"/>
      <c r="AG423" s="1">
        <v>0</v>
      </c>
      <c r="AH423" s="1">
        <v>0</v>
      </c>
      <c r="AI423" s="1">
        <v>0</v>
      </c>
      <c r="AJ423" s="1">
        <v>0</v>
      </c>
      <c r="AK423" s="1">
        <v>2.1488</v>
      </c>
      <c r="AL423" s="1">
        <v>2.1488</v>
      </c>
      <c r="AM423" s="1">
        <v>2.1488</v>
      </c>
    </row>
    <row r="424" spans="1:39" x14ac:dyDescent="0.3">
      <c r="A424" s="21" t="str">
        <f t="shared" si="6"/>
        <v>HFA601LLHA2026-02-16</v>
      </c>
      <c r="B424" t="e">
        <f>VLOOKUP(A424,Sheet1!A424:B1766,1,FALSE)</f>
        <v>#N/A</v>
      </c>
      <c r="C424" s="3">
        <v>46069</v>
      </c>
      <c r="D424" s="1" t="s">
        <v>57</v>
      </c>
      <c r="E424" s="1" t="s">
        <v>38</v>
      </c>
      <c r="F424" s="1" t="s">
        <v>54</v>
      </c>
      <c r="G424" s="1" t="s">
        <v>39</v>
      </c>
      <c r="H424" s="1" t="s">
        <v>134</v>
      </c>
      <c r="I424" s="1" t="s">
        <v>41</v>
      </c>
      <c r="J424" s="1" t="s">
        <v>42</v>
      </c>
      <c r="K424" s="1" t="s">
        <v>43</v>
      </c>
      <c r="L424" s="1" t="s">
        <v>44</v>
      </c>
      <c r="M424" s="1" t="s">
        <v>45</v>
      </c>
      <c r="N424" s="1" t="s">
        <v>41</v>
      </c>
      <c r="O424" s="1" t="s">
        <v>58</v>
      </c>
      <c r="P424" s="1" t="s">
        <v>59</v>
      </c>
      <c r="Q424" s="1" t="s">
        <v>60</v>
      </c>
      <c r="R424" s="1" t="s">
        <v>45</v>
      </c>
      <c r="S424" s="1">
        <v>342</v>
      </c>
      <c r="T424" s="1">
        <v>0</v>
      </c>
      <c r="U424" s="4">
        <v>4.9999999999999996E-2</v>
      </c>
      <c r="V424" s="1">
        <v>1520</v>
      </c>
      <c r="W424" s="1">
        <v>280</v>
      </c>
      <c r="X424" s="1">
        <v>1800</v>
      </c>
      <c r="Y424" s="1" t="s">
        <v>51</v>
      </c>
      <c r="Z424" s="1">
        <v>1000</v>
      </c>
      <c r="AA424" s="1">
        <v>800</v>
      </c>
      <c r="AB424" s="1">
        <v>0</v>
      </c>
      <c r="AC424" s="1">
        <v>0</v>
      </c>
      <c r="AD424" s="1">
        <v>0</v>
      </c>
      <c r="AE424" s="1">
        <v>0</v>
      </c>
      <c r="AF424" s="1"/>
      <c r="AG424" s="1">
        <v>0</v>
      </c>
      <c r="AH424" s="1">
        <v>0</v>
      </c>
      <c r="AI424" s="1">
        <v>0</v>
      </c>
      <c r="AJ424" s="1">
        <v>0</v>
      </c>
      <c r="AK424" s="1">
        <v>2.528</v>
      </c>
      <c r="AL424" s="1">
        <v>2.528</v>
      </c>
      <c r="AM424" s="1">
        <v>2.528</v>
      </c>
    </row>
    <row r="425" spans="1:39" x14ac:dyDescent="0.3">
      <c r="A425" s="21" t="str">
        <f t="shared" si="6"/>
        <v>HFA602LLER2026-02-16</v>
      </c>
      <c r="B425" t="e">
        <f>VLOOKUP(A425,Sheet1!A425:B1767,1,FALSE)</f>
        <v>#N/A</v>
      </c>
      <c r="C425" s="3">
        <v>46069</v>
      </c>
      <c r="D425" s="1" t="s">
        <v>61</v>
      </c>
      <c r="E425" s="1" t="s">
        <v>38</v>
      </c>
      <c r="F425" s="1" t="s">
        <v>54</v>
      </c>
      <c r="G425" s="1" t="s">
        <v>39</v>
      </c>
      <c r="H425" s="1" t="s">
        <v>134</v>
      </c>
      <c r="I425" s="1" t="s">
        <v>41</v>
      </c>
      <c r="J425" s="1" t="s">
        <v>58</v>
      </c>
      <c r="K425" s="1" t="s">
        <v>59</v>
      </c>
      <c r="L425" s="1" t="s">
        <v>60</v>
      </c>
      <c r="M425" s="1" t="s">
        <v>45</v>
      </c>
      <c r="N425" s="1" t="s">
        <v>41</v>
      </c>
      <c r="O425" s="1" t="s">
        <v>42</v>
      </c>
      <c r="P425" s="1" t="s">
        <v>43</v>
      </c>
      <c r="Q425" s="1" t="s">
        <v>44</v>
      </c>
      <c r="R425" s="1" t="s">
        <v>45</v>
      </c>
      <c r="S425" s="1">
        <v>342</v>
      </c>
      <c r="T425" s="1">
        <v>0</v>
      </c>
      <c r="U425" s="4">
        <v>3.9583333333333331E-2</v>
      </c>
      <c r="V425" s="1">
        <v>1000</v>
      </c>
      <c r="W425" s="1">
        <v>1500</v>
      </c>
      <c r="X425" s="1">
        <v>2500</v>
      </c>
      <c r="Y425" s="1" t="s">
        <v>51</v>
      </c>
      <c r="Z425" s="1">
        <v>1930</v>
      </c>
      <c r="AA425" s="1">
        <v>570</v>
      </c>
      <c r="AB425" s="1">
        <v>0</v>
      </c>
      <c r="AC425" s="1">
        <v>0</v>
      </c>
      <c r="AD425" s="1">
        <v>0</v>
      </c>
      <c r="AE425" s="1">
        <v>0</v>
      </c>
      <c r="AF425" s="1"/>
      <c r="AG425" s="1">
        <v>0</v>
      </c>
      <c r="AH425" s="1">
        <v>0</v>
      </c>
      <c r="AI425" s="1">
        <v>0</v>
      </c>
      <c r="AJ425" s="1">
        <v>0</v>
      </c>
      <c r="AK425" s="1">
        <v>1.8011999999999999</v>
      </c>
      <c r="AL425" s="1">
        <v>1.8011999999999999</v>
      </c>
      <c r="AM425" s="1">
        <v>1.8011999999999999</v>
      </c>
    </row>
    <row r="426" spans="1:39" x14ac:dyDescent="0.3">
      <c r="A426" s="21" t="str">
        <f t="shared" si="6"/>
        <v>HFA605LLHA2026-02-16</v>
      </c>
      <c r="B426" t="e">
        <f>VLOOKUP(A426,Sheet1!A426:B1768,1,FALSE)</f>
        <v>#N/A</v>
      </c>
      <c r="C426" s="3">
        <v>46069</v>
      </c>
      <c r="D426" s="1" t="s">
        <v>62</v>
      </c>
      <c r="E426" s="1" t="s">
        <v>38</v>
      </c>
      <c r="F426" s="1" t="s">
        <v>54</v>
      </c>
      <c r="G426" s="1" t="s">
        <v>39</v>
      </c>
      <c r="H426" s="1" t="s">
        <v>134</v>
      </c>
      <c r="I426" s="1" t="s">
        <v>41</v>
      </c>
      <c r="J426" s="1" t="s">
        <v>42</v>
      </c>
      <c r="K426" s="1" t="s">
        <v>43</v>
      </c>
      <c r="L426" s="1" t="s">
        <v>44</v>
      </c>
      <c r="M426" s="1" t="s">
        <v>45</v>
      </c>
      <c r="N426" s="1" t="s">
        <v>41</v>
      </c>
      <c r="O426" s="1" t="s">
        <v>58</v>
      </c>
      <c r="P426" s="1" t="s">
        <v>59</v>
      </c>
      <c r="Q426" s="1" t="s">
        <v>60</v>
      </c>
      <c r="R426" s="1" t="s">
        <v>45</v>
      </c>
      <c r="S426" s="1">
        <v>342</v>
      </c>
      <c r="T426" s="1">
        <v>0</v>
      </c>
      <c r="U426" s="4">
        <v>4.8611111111111105E-2</v>
      </c>
      <c r="V426" s="1">
        <v>1930</v>
      </c>
      <c r="W426" s="1">
        <v>-20</v>
      </c>
      <c r="X426" s="1">
        <v>1910</v>
      </c>
      <c r="Y426" s="1" t="s">
        <v>51</v>
      </c>
      <c r="Z426" s="1">
        <v>1130</v>
      </c>
      <c r="AA426" s="1">
        <v>780</v>
      </c>
      <c r="AB426" s="1">
        <v>0</v>
      </c>
      <c r="AC426" s="1">
        <v>0</v>
      </c>
      <c r="AD426" s="1">
        <v>0</v>
      </c>
      <c r="AE426" s="1">
        <v>0</v>
      </c>
      <c r="AF426" s="1"/>
      <c r="AG426" s="1">
        <v>0</v>
      </c>
      <c r="AH426" s="1">
        <v>0</v>
      </c>
      <c r="AI426" s="1">
        <v>0</v>
      </c>
      <c r="AJ426" s="1">
        <v>0</v>
      </c>
      <c r="AK426" s="1">
        <v>2.4647999999999999</v>
      </c>
      <c r="AL426" s="1">
        <v>2.4647999999999999</v>
      </c>
      <c r="AM426" s="1">
        <v>2.4647999999999999</v>
      </c>
    </row>
    <row r="427" spans="1:39" x14ac:dyDescent="0.3">
      <c r="A427" s="21" t="str">
        <f t="shared" si="6"/>
        <v>HFA606LLER2026-02-16</v>
      </c>
      <c r="B427" t="e">
        <f>VLOOKUP(A427,Sheet1!A427:B1769,1,FALSE)</f>
        <v>#N/A</v>
      </c>
      <c r="C427" s="3">
        <v>46069</v>
      </c>
      <c r="D427" s="1" t="s">
        <v>63</v>
      </c>
      <c r="E427" s="1" t="s">
        <v>38</v>
      </c>
      <c r="F427" s="1" t="s">
        <v>54</v>
      </c>
      <c r="G427" s="1" t="s">
        <v>39</v>
      </c>
      <c r="H427" s="1" t="s">
        <v>134</v>
      </c>
      <c r="I427" s="1" t="s">
        <v>41</v>
      </c>
      <c r="J427" s="1" t="s">
        <v>58</v>
      </c>
      <c r="K427" s="1" t="s">
        <v>59</v>
      </c>
      <c r="L427" s="1" t="s">
        <v>60</v>
      </c>
      <c r="M427" s="1" t="s">
        <v>45</v>
      </c>
      <c r="N427" s="1" t="s">
        <v>41</v>
      </c>
      <c r="O427" s="1" t="s">
        <v>42</v>
      </c>
      <c r="P427" s="1" t="s">
        <v>43</v>
      </c>
      <c r="Q427" s="1" t="s">
        <v>44</v>
      </c>
      <c r="R427" s="1" t="s">
        <v>45</v>
      </c>
      <c r="S427" s="1">
        <v>342</v>
      </c>
      <c r="T427" s="1">
        <v>0</v>
      </c>
      <c r="U427" s="4">
        <v>4.1666666666666664E-2</v>
      </c>
      <c r="V427" s="1">
        <v>1130</v>
      </c>
      <c r="W427" s="1">
        <v>970</v>
      </c>
      <c r="X427" s="1">
        <v>2100</v>
      </c>
      <c r="Y427" s="1" t="s">
        <v>51</v>
      </c>
      <c r="Z427" s="1">
        <v>1420</v>
      </c>
      <c r="AA427" s="1">
        <v>680</v>
      </c>
      <c r="AB427" s="1">
        <v>0</v>
      </c>
      <c r="AC427" s="1">
        <v>0</v>
      </c>
      <c r="AD427" s="1">
        <v>0</v>
      </c>
      <c r="AE427" s="1">
        <v>0</v>
      </c>
      <c r="AF427" s="1"/>
      <c r="AG427" s="1">
        <v>0</v>
      </c>
      <c r="AH427" s="1">
        <v>0</v>
      </c>
      <c r="AI427" s="1">
        <v>0</v>
      </c>
      <c r="AJ427" s="1">
        <v>0</v>
      </c>
      <c r="AK427" s="1">
        <v>2.1488</v>
      </c>
      <c r="AL427" s="1">
        <v>2.1488</v>
      </c>
      <c r="AM427" s="1">
        <v>2.1488</v>
      </c>
    </row>
    <row r="428" spans="1:39" x14ac:dyDescent="0.3">
      <c r="A428" s="21" t="str">
        <f t="shared" si="6"/>
        <v>HFA807LLHA2026-02-16</v>
      </c>
      <c r="B428" t="str">
        <f>VLOOKUP(A428,Sheet1!A428:B1770,1,FALSE)</f>
        <v>HFA807LLHA2026-02-16</v>
      </c>
      <c r="C428" s="3">
        <v>46069</v>
      </c>
      <c r="D428" s="1" t="s">
        <v>118</v>
      </c>
      <c r="E428" s="1" t="s">
        <v>38</v>
      </c>
      <c r="F428" s="1"/>
      <c r="G428" s="1" t="s">
        <v>39</v>
      </c>
      <c r="H428" s="1" t="s">
        <v>134</v>
      </c>
      <c r="I428" s="1" t="s">
        <v>41</v>
      </c>
      <c r="J428" s="1" t="s">
        <v>42</v>
      </c>
      <c r="K428" s="1" t="s">
        <v>43</v>
      </c>
      <c r="L428" s="1" t="s">
        <v>44</v>
      </c>
      <c r="M428" s="1" t="s">
        <v>45</v>
      </c>
      <c r="N428" s="1" t="s">
        <v>67</v>
      </c>
      <c r="O428" s="1" t="s">
        <v>86</v>
      </c>
      <c r="P428" s="1" t="s">
        <v>87</v>
      </c>
      <c r="Q428" s="1" t="s">
        <v>88</v>
      </c>
      <c r="R428" s="1" t="s">
        <v>50</v>
      </c>
      <c r="S428" s="1">
        <v>264</v>
      </c>
      <c r="T428" s="1">
        <v>0</v>
      </c>
      <c r="U428" s="4">
        <v>3.4722222222222224E-2</v>
      </c>
      <c r="V428" s="1">
        <v>1420</v>
      </c>
      <c r="W428" s="1">
        <v>0</v>
      </c>
      <c r="X428" s="1">
        <v>1420</v>
      </c>
      <c r="Y428" s="1" t="s">
        <v>51</v>
      </c>
      <c r="Z428" s="1">
        <v>880</v>
      </c>
      <c r="AA428" s="1">
        <v>540</v>
      </c>
      <c r="AB428" s="1">
        <v>0</v>
      </c>
      <c r="AC428" s="1">
        <v>0</v>
      </c>
      <c r="AD428" s="1">
        <v>0</v>
      </c>
      <c r="AE428" s="1">
        <v>0</v>
      </c>
      <c r="AF428" s="1"/>
      <c r="AG428" s="1">
        <v>0</v>
      </c>
      <c r="AH428" s="1">
        <v>0</v>
      </c>
      <c r="AI428" s="1">
        <v>0</v>
      </c>
      <c r="AJ428" s="1">
        <v>0</v>
      </c>
      <c r="AK428" s="1">
        <v>1.7063999999999999</v>
      </c>
      <c r="AL428" s="1">
        <v>1.7063999999999999</v>
      </c>
      <c r="AM428" s="1">
        <v>1.7063999999999999</v>
      </c>
    </row>
    <row r="429" spans="1:39" x14ac:dyDescent="0.3">
      <c r="A429" s="21" t="str">
        <f t="shared" si="6"/>
        <v>HFA808LCLK2026-02-16</v>
      </c>
      <c r="B429" t="str">
        <f>VLOOKUP(A429,Sheet1!A429:B1771,1,FALSE)</f>
        <v>HFA808LCLK2026-02-16</v>
      </c>
      <c r="C429" s="3">
        <v>46069</v>
      </c>
      <c r="D429" s="1" t="s">
        <v>119</v>
      </c>
      <c r="E429" s="1" t="s">
        <v>38</v>
      </c>
      <c r="F429" s="1"/>
      <c r="G429" s="1" t="s">
        <v>39</v>
      </c>
      <c r="H429" s="1" t="s">
        <v>134</v>
      </c>
      <c r="I429" s="1" t="s">
        <v>67</v>
      </c>
      <c r="J429" s="1" t="s">
        <v>86</v>
      </c>
      <c r="K429" s="1" t="s">
        <v>87</v>
      </c>
      <c r="L429" s="1" t="s">
        <v>88</v>
      </c>
      <c r="M429" s="1" t="s">
        <v>50</v>
      </c>
      <c r="N429" s="1" t="s">
        <v>41</v>
      </c>
      <c r="O429" s="1" t="s">
        <v>42</v>
      </c>
      <c r="P429" s="1" t="s">
        <v>43</v>
      </c>
      <c r="Q429" s="1" t="s">
        <v>44</v>
      </c>
      <c r="R429" s="1" t="s">
        <v>45</v>
      </c>
      <c r="S429" s="1">
        <v>264</v>
      </c>
      <c r="T429" s="1">
        <v>0</v>
      </c>
      <c r="U429" s="4">
        <v>4.0972222222222222E-2</v>
      </c>
      <c r="V429" s="1">
        <v>880</v>
      </c>
      <c r="W429" s="1">
        <v>1120</v>
      </c>
      <c r="X429" s="1">
        <v>2000</v>
      </c>
      <c r="Y429" s="1" t="s">
        <v>51</v>
      </c>
      <c r="Z429" s="1">
        <v>1380</v>
      </c>
      <c r="AA429" s="1">
        <v>620</v>
      </c>
      <c r="AB429" s="1">
        <v>0</v>
      </c>
      <c r="AC429" s="1">
        <v>0</v>
      </c>
      <c r="AD429" s="1">
        <v>0</v>
      </c>
      <c r="AE429" s="1">
        <v>0</v>
      </c>
      <c r="AF429" s="1"/>
      <c r="AG429" s="1">
        <v>0</v>
      </c>
      <c r="AH429" s="1">
        <v>0</v>
      </c>
      <c r="AI429" s="1">
        <v>0</v>
      </c>
      <c r="AJ429" s="1">
        <v>0</v>
      </c>
      <c r="AK429" s="1">
        <v>1.9592000000000001</v>
      </c>
      <c r="AL429" s="1">
        <v>1.9592000000000001</v>
      </c>
      <c r="AM429" s="1">
        <v>1.9592000000000001</v>
      </c>
    </row>
    <row r="430" spans="1:39" x14ac:dyDescent="0.3">
      <c r="A430" s="21" t="str">
        <f t="shared" si="6"/>
        <v>HFA605LLHA2026-02-17</v>
      </c>
      <c r="B430" t="e">
        <f>VLOOKUP(A430,Sheet1!A430:B1772,1,FALSE)</f>
        <v>#N/A</v>
      </c>
      <c r="C430" s="3">
        <v>46070</v>
      </c>
      <c r="D430" s="1" t="s">
        <v>62</v>
      </c>
      <c r="E430" s="1" t="s">
        <v>38</v>
      </c>
      <c r="F430" s="1" t="s">
        <v>54</v>
      </c>
      <c r="G430" s="1" t="s">
        <v>39</v>
      </c>
      <c r="H430" s="1" t="s">
        <v>134</v>
      </c>
      <c r="I430" s="1" t="s">
        <v>41</v>
      </c>
      <c r="J430" s="1" t="s">
        <v>42</v>
      </c>
      <c r="K430" s="1" t="s">
        <v>43</v>
      </c>
      <c r="L430" s="1" t="s">
        <v>44</v>
      </c>
      <c r="M430" s="1" t="s">
        <v>45</v>
      </c>
      <c r="N430" s="1" t="s">
        <v>41</v>
      </c>
      <c r="O430" s="1" t="s">
        <v>58</v>
      </c>
      <c r="P430" s="1" t="s">
        <v>59</v>
      </c>
      <c r="Q430" s="1" t="s">
        <v>60</v>
      </c>
      <c r="R430" s="1" t="s">
        <v>45</v>
      </c>
      <c r="S430" s="1">
        <v>342</v>
      </c>
      <c r="T430" s="1">
        <v>0</v>
      </c>
      <c r="U430" s="4">
        <v>5.347222222222222E-2</v>
      </c>
      <c r="V430" s="1">
        <v>1380</v>
      </c>
      <c r="W430" s="1">
        <v>420</v>
      </c>
      <c r="X430" s="1">
        <v>1800</v>
      </c>
      <c r="Y430" s="1" t="s">
        <v>51</v>
      </c>
      <c r="Z430" s="1">
        <v>920</v>
      </c>
      <c r="AA430" s="1">
        <v>880</v>
      </c>
      <c r="AB430" s="1">
        <v>0</v>
      </c>
      <c r="AC430" s="1">
        <v>0</v>
      </c>
      <c r="AD430" s="1">
        <v>0</v>
      </c>
      <c r="AE430" s="1">
        <v>0</v>
      </c>
      <c r="AF430" s="1"/>
      <c r="AG430" s="1">
        <v>0</v>
      </c>
      <c r="AH430" s="1">
        <v>0</v>
      </c>
      <c r="AI430" s="1">
        <v>0</v>
      </c>
      <c r="AJ430" s="1">
        <v>0</v>
      </c>
      <c r="AK430" s="1">
        <v>2.7808000000000002</v>
      </c>
      <c r="AL430" s="1">
        <v>2.7808000000000002</v>
      </c>
      <c r="AM430" s="1">
        <v>2.7808000000000002</v>
      </c>
    </row>
    <row r="431" spans="1:39" x14ac:dyDescent="0.3">
      <c r="A431" s="21" t="str">
        <f t="shared" si="6"/>
        <v>HFA606LLER2026-02-17</v>
      </c>
      <c r="B431" t="e">
        <f>VLOOKUP(A431,Sheet1!A431:B1773,1,FALSE)</f>
        <v>#N/A</v>
      </c>
      <c r="C431" s="3">
        <v>46070</v>
      </c>
      <c r="D431" s="1" t="s">
        <v>63</v>
      </c>
      <c r="E431" s="1" t="s">
        <v>38</v>
      </c>
      <c r="F431" s="1" t="s">
        <v>54</v>
      </c>
      <c r="G431" s="1" t="s">
        <v>39</v>
      </c>
      <c r="H431" s="1" t="s">
        <v>134</v>
      </c>
      <c r="I431" s="1" t="s">
        <v>41</v>
      </c>
      <c r="J431" s="1" t="s">
        <v>58</v>
      </c>
      <c r="K431" s="1" t="s">
        <v>59</v>
      </c>
      <c r="L431" s="1" t="s">
        <v>60</v>
      </c>
      <c r="M431" s="1" t="s">
        <v>45</v>
      </c>
      <c r="N431" s="1" t="s">
        <v>41</v>
      </c>
      <c r="O431" s="1" t="s">
        <v>42</v>
      </c>
      <c r="P431" s="1" t="s">
        <v>43</v>
      </c>
      <c r="Q431" s="1" t="s">
        <v>44</v>
      </c>
      <c r="R431" s="1" t="s">
        <v>45</v>
      </c>
      <c r="S431" s="1">
        <v>342</v>
      </c>
      <c r="T431" s="1">
        <v>0</v>
      </c>
      <c r="U431" s="4">
        <v>3.7499999999999999E-2</v>
      </c>
      <c r="V431" s="1">
        <v>920</v>
      </c>
      <c r="W431" s="1">
        <v>1180</v>
      </c>
      <c r="X431" s="1">
        <v>2100</v>
      </c>
      <c r="Y431" s="1" t="s">
        <v>51</v>
      </c>
      <c r="Z431" s="1">
        <v>1460</v>
      </c>
      <c r="AA431" s="1">
        <v>640</v>
      </c>
      <c r="AB431" s="1">
        <v>0</v>
      </c>
      <c r="AC431" s="1">
        <v>0</v>
      </c>
      <c r="AD431" s="1">
        <v>0</v>
      </c>
      <c r="AE431" s="1">
        <v>0</v>
      </c>
      <c r="AF431" s="1"/>
      <c r="AG431" s="1">
        <v>0</v>
      </c>
      <c r="AH431" s="1">
        <v>0</v>
      </c>
      <c r="AI431" s="1">
        <v>0</v>
      </c>
      <c r="AJ431" s="1">
        <v>0</v>
      </c>
      <c r="AK431" s="1">
        <v>2.0224000000000002</v>
      </c>
      <c r="AL431" s="1">
        <v>2.0224000000000002</v>
      </c>
      <c r="AM431" s="1">
        <v>2.0224000000000002</v>
      </c>
    </row>
    <row r="432" spans="1:39" x14ac:dyDescent="0.3">
      <c r="A432" s="21" t="str">
        <f t="shared" si="6"/>
        <v>HFA807LLHA2026-02-17</v>
      </c>
      <c r="B432" t="str">
        <f>VLOOKUP(A432,Sheet1!A432:B1774,1,FALSE)</f>
        <v>HFA807LLHA2026-02-17</v>
      </c>
      <c r="C432" s="3">
        <v>46070</v>
      </c>
      <c r="D432" s="1" t="s">
        <v>118</v>
      </c>
      <c r="E432" s="1" t="s">
        <v>38</v>
      </c>
      <c r="F432" s="1"/>
      <c r="G432" s="1" t="s">
        <v>39</v>
      </c>
      <c r="H432" s="1" t="s">
        <v>134</v>
      </c>
      <c r="I432" s="1" t="s">
        <v>41</v>
      </c>
      <c r="J432" s="1" t="s">
        <v>42</v>
      </c>
      <c r="K432" s="1" t="s">
        <v>43</v>
      </c>
      <c r="L432" s="1" t="s">
        <v>44</v>
      </c>
      <c r="M432" s="1" t="s">
        <v>45</v>
      </c>
      <c r="N432" s="1" t="s">
        <v>67</v>
      </c>
      <c r="O432" s="1" t="s">
        <v>86</v>
      </c>
      <c r="P432" s="1" t="s">
        <v>87</v>
      </c>
      <c r="Q432" s="1" t="s">
        <v>88</v>
      </c>
      <c r="R432" s="1" t="s">
        <v>50</v>
      </c>
      <c r="S432" s="1">
        <v>264</v>
      </c>
      <c r="T432" s="1">
        <v>0</v>
      </c>
      <c r="U432" s="4">
        <v>3.6805555555555557E-2</v>
      </c>
      <c r="V432" s="1">
        <v>1460</v>
      </c>
      <c r="W432" s="1">
        <v>0</v>
      </c>
      <c r="X432" s="1">
        <v>1460</v>
      </c>
      <c r="Y432" s="1" t="s">
        <v>51</v>
      </c>
      <c r="Z432" s="1">
        <v>890</v>
      </c>
      <c r="AA432" s="1">
        <v>570</v>
      </c>
      <c r="AB432" s="1">
        <v>0</v>
      </c>
      <c r="AC432" s="1">
        <v>0</v>
      </c>
      <c r="AD432" s="1">
        <v>0</v>
      </c>
      <c r="AE432" s="1">
        <v>0</v>
      </c>
      <c r="AF432" s="1"/>
      <c r="AG432" s="1">
        <v>0</v>
      </c>
      <c r="AH432" s="1">
        <v>0</v>
      </c>
      <c r="AI432" s="1">
        <v>0</v>
      </c>
      <c r="AJ432" s="1">
        <v>0</v>
      </c>
      <c r="AK432" s="1">
        <v>1.8011999999999999</v>
      </c>
      <c r="AL432" s="1">
        <v>1.8011999999999999</v>
      </c>
      <c r="AM432" s="1">
        <v>1.8011999999999999</v>
      </c>
    </row>
    <row r="433" spans="1:39" x14ac:dyDescent="0.3">
      <c r="A433" s="21" t="str">
        <f t="shared" si="6"/>
        <v>HFA808LCLK2026-02-17</v>
      </c>
      <c r="B433" t="str">
        <f>VLOOKUP(A433,Sheet1!A433:B1775,1,FALSE)</f>
        <v>HFA808LCLK2026-02-17</v>
      </c>
      <c r="C433" s="3">
        <v>46070</v>
      </c>
      <c r="D433" s="1" t="s">
        <v>119</v>
      </c>
      <c r="E433" s="1" t="s">
        <v>38</v>
      </c>
      <c r="F433" s="1"/>
      <c r="G433" s="1" t="s">
        <v>39</v>
      </c>
      <c r="H433" s="1" t="s">
        <v>134</v>
      </c>
      <c r="I433" s="1" t="s">
        <v>67</v>
      </c>
      <c r="J433" s="1" t="s">
        <v>86</v>
      </c>
      <c r="K433" s="1" t="s">
        <v>87</v>
      </c>
      <c r="L433" s="1" t="s">
        <v>88</v>
      </c>
      <c r="M433" s="1" t="s">
        <v>50</v>
      </c>
      <c r="N433" s="1" t="s">
        <v>41</v>
      </c>
      <c r="O433" s="1" t="s">
        <v>42</v>
      </c>
      <c r="P433" s="1" t="s">
        <v>43</v>
      </c>
      <c r="Q433" s="1" t="s">
        <v>44</v>
      </c>
      <c r="R433" s="1" t="s">
        <v>45</v>
      </c>
      <c r="S433" s="1">
        <v>264</v>
      </c>
      <c r="T433" s="1">
        <v>0</v>
      </c>
      <c r="U433" s="4">
        <v>3.7499999999999999E-2</v>
      </c>
      <c r="V433" s="1">
        <v>890</v>
      </c>
      <c r="W433" s="1">
        <v>1110</v>
      </c>
      <c r="X433" s="1">
        <v>2000</v>
      </c>
      <c r="Y433" s="1" t="s">
        <v>51</v>
      </c>
      <c r="Z433" s="1">
        <v>1440</v>
      </c>
      <c r="AA433" s="1">
        <v>560</v>
      </c>
      <c r="AB433" s="1">
        <v>0</v>
      </c>
      <c r="AC433" s="1">
        <v>0</v>
      </c>
      <c r="AD433" s="1">
        <v>0</v>
      </c>
      <c r="AE433" s="1">
        <v>0</v>
      </c>
      <c r="AF433" s="1"/>
      <c r="AG433" s="1">
        <v>0</v>
      </c>
      <c r="AH433" s="1">
        <v>0</v>
      </c>
      <c r="AI433" s="1">
        <v>0</v>
      </c>
      <c r="AJ433" s="1">
        <v>0</v>
      </c>
      <c r="AK433" s="1">
        <v>1.7696000000000001</v>
      </c>
      <c r="AL433" s="1">
        <v>1.7696000000000001</v>
      </c>
      <c r="AM433" s="1">
        <v>1.7696000000000001</v>
      </c>
    </row>
    <row r="434" spans="1:39" x14ac:dyDescent="0.3">
      <c r="A434" s="21" t="str">
        <f t="shared" si="6"/>
        <v>HFA803LLHA2026-02-18</v>
      </c>
      <c r="B434" t="str">
        <f>VLOOKUP(A434,Sheet1!A434:B1776,1,FALSE)</f>
        <v>HFA803LLHA2026-02-18</v>
      </c>
      <c r="C434" s="3">
        <v>46071</v>
      </c>
      <c r="D434" s="1" t="s">
        <v>116</v>
      </c>
      <c r="E434" s="1" t="s">
        <v>38</v>
      </c>
      <c r="F434" s="1"/>
      <c r="G434" s="1" t="s">
        <v>39</v>
      </c>
      <c r="H434" s="1" t="s">
        <v>134</v>
      </c>
      <c r="I434" s="1" t="s">
        <v>41</v>
      </c>
      <c r="J434" s="1" t="s">
        <v>42</v>
      </c>
      <c r="K434" s="1" t="s">
        <v>43</v>
      </c>
      <c r="L434" s="1" t="s">
        <v>44</v>
      </c>
      <c r="M434" s="1" t="s">
        <v>45</v>
      </c>
      <c r="N434" s="1" t="s">
        <v>67</v>
      </c>
      <c r="O434" s="1" t="s">
        <v>86</v>
      </c>
      <c r="P434" s="1" t="s">
        <v>87</v>
      </c>
      <c r="Q434" s="1" t="s">
        <v>88</v>
      </c>
      <c r="R434" s="1" t="s">
        <v>50</v>
      </c>
      <c r="S434" s="1">
        <v>264</v>
      </c>
      <c r="T434" s="1">
        <v>0</v>
      </c>
      <c r="U434" s="4">
        <v>3.888888888888889E-2</v>
      </c>
      <c r="V434" s="1">
        <v>1440</v>
      </c>
      <c r="W434" s="1">
        <v>-40</v>
      </c>
      <c r="X434" s="1">
        <v>1400</v>
      </c>
      <c r="Y434" s="1" t="s">
        <v>51</v>
      </c>
      <c r="Z434" s="1">
        <v>820</v>
      </c>
      <c r="AA434" s="1">
        <v>580</v>
      </c>
      <c r="AB434" s="1">
        <v>0</v>
      </c>
      <c r="AC434" s="1">
        <v>0</v>
      </c>
      <c r="AD434" s="1">
        <v>0</v>
      </c>
      <c r="AE434" s="1">
        <v>0</v>
      </c>
      <c r="AF434" s="1"/>
      <c r="AG434" s="1">
        <v>0</v>
      </c>
      <c r="AH434" s="1">
        <v>0</v>
      </c>
      <c r="AI434" s="1">
        <v>0</v>
      </c>
      <c r="AJ434" s="1">
        <v>0</v>
      </c>
      <c r="AK434" s="1">
        <v>1.8328</v>
      </c>
      <c r="AL434" s="1">
        <v>1.8328</v>
      </c>
      <c r="AM434" s="1">
        <v>1.8328</v>
      </c>
    </row>
    <row r="435" spans="1:39" x14ac:dyDescent="0.3">
      <c r="A435" s="21" t="str">
        <f t="shared" si="6"/>
        <v>HFA804LCLK2026-02-18</v>
      </c>
      <c r="B435" t="str">
        <f>VLOOKUP(A435,Sheet1!A435:B1777,1,FALSE)</f>
        <v>HFA804LCLK2026-02-18</v>
      </c>
      <c r="C435" s="3">
        <v>46071</v>
      </c>
      <c r="D435" s="1" t="s">
        <v>117</v>
      </c>
      <c r="E435" s="1" t="s">
        <v>38</v>
      </c>
      <c r="F435" s="1"/>
      <c r="G435" s="1" t="s">
        <v>39</v>
      </c>
      <c r="H435" s="1" t="s">
        <v>134</v>
      </c>
      <c r="I435" s="1" t="s">
        <v>67</v>
      </c>
      <c r="J435" s="1" t="s">
        <v>86</v>
      </c>
      <c r="K435" s="1" t="s">
        <v>87</v>
      </c>
      <c r="L435" s="1" t="s">
        <v>88</v>
      </c>
      <c r="M435" s="1" t="s">
        <v>50</v>
      </c>
      <c r="N435" s="1" t="s">
        <v>41</v>
      </c>
      <c r="O435" s="1" t="s">
        <v>42</v>
      </c>
      <c r="P435" s="1" t="s">
        <v>43</v>
      </c>
      <c r="Q435" s="1" t="s">
        <v>44</v>
      </c>
      <c r="R435" s="1" t="s">
        <v>45</v>
      </c>
      <c r="S435" s="1">
        <v>264</v>
      </c>
      <c r="T435" s="1">
        <v>0</v>
      </c>
      <c r="U435" s="4">
        <v>4.2361111111111106E-2</v>
      </c>
      <c r="V435" s="1">
        <v>820</v>
      </c>
      <c r="W435" s="1">
        <v>1680</v>
      </c>
      <c r="X435" s="1">
        <v>2500</v>
      </c>
      <c r="Y435" s="1" t="s">
        <v>51</v>
      </c>
      <c r="Z435" s="1">
        <v>1940</v>
      </c>
      <c r="AA435" s="1">
        <v>560</v>
      </c>
      <c r="AB435" s="1">
        <v>0</v>
      </c>
      <c r="AC435" s="1">
        <v>0</v>
      </c>
      <c r="AD435" s="1">
        <v>0</v>
      </c>
      <c r="AE435" s="1">
        <v>0</v>
      </c>
      <c r="AF435" s="1"/>
      <c r="AG435" s="1">
        <v>0</v>
      </c>
      <c r="AH435" s="1">
        <v>0</v>
      </c>
      <c r="AI435" s="1">
        <v>0</v>
      </c>
      <c r="AJ435" s="1">
        <v>0</v>
      </c>
      <c r="AK435" s="1">
        <v>1.7696000000000001</v>
      </c>
      <c r="AL435" s="1">
        <v>1.7696000000000001</v>
      </c>
      <c r="AM435" s="1">
        <v>1.7696000000000001</v>
      </c>
    </row>
    <row r="436" spans="1:39" x14ac:dyDescent="0.3">
      <c r="A436" s="21" t="str">
        <f t="shared" si="6"/>
        <v>HFA703LLHA2026-02-18</v>
      </c>
      <c r="B436" t="str">
        <f>VLOOKUP(A436,Sheet1!A436:B1778,1,FALSE)</f>
        <v>HFA703LLHA2026-02-18</v>
      </c>
      <c r="C436" s="3">
        <v>46071</v>
      </c>
      <c r="D436" s="1" t="s">
        <v>37</v>
      </c>
      <c r="E436" s="1" t="s">
        <v>38</v>
      </c>
      <c r="F436" s="1"/>
      <c r="G436" s="1" t="s">
        <v>39</v>
      </c>
      <c r="H436" s="1" t="s">
        <v>134</v>
      </c>
      <c r="I436" s="1" t="s">
        <v>41</v>
      </c>
      <c r="J436" s="1" t="s">
        <v>42</v>
      </c>
      <c r="K436" s="1" t="s">
        <v>43</v>
      </c>
      <c r="L436" s="1" t="s">
        <v>44</v>
      </c>
      <c r="M436" s="1" t="s">
        <v>45</v>
      </c>
      <c r="N436" s="1" t="s">
        <v>46</v>
      </c>
      <c r="O436" s="1" t="s">
        <v>47</v>
      </c>
      <c r="P436" s="1" t="s">
        <v>48</v>
      </c>
      <c r="Q436" s="1" t="s">
        <v>49</v>
      </c>
      <c r="R436" s="1" t="s">
        <v>50</v>
      </c>
      <c r="S436" s="1">
        <v>1157</v>
      </c>
      <c r="T436" s="1">
        <v>0</v>
      </c>
      <c r="U436" s="4">
        <v>0.14027777777777778</v>
      </c>
      <c r="V436" s="1">
        <v>1940</v>
      </c>
      <c r="W436" s="1">
        <v>1460</v>
      </c>
      <c r="X436" s="1">
        <v>3400</v>
      </c>
      <c r="Y436" s="1" t="s">
        <v>51</v>
      </c>
      <c r="Z436" s="1">
        <v>1080</v>
      </c>
      <c r="AA436" s="1">
        <v>2320</v>
      </c>
      <c r="AB436" s="1">
        <v>0</v>
      </c>
      <c r="AC436" s="1">
        <v>0</v>
      </c>
      <c r="AD436" s="1">
        <v>0</v>
      </c>
      <c r="AE436" s="1">
        <v>0</v>
      </c>
      <c r="AF436" s="1"/>
      <c r="AG436" s="1">
        <v>0</v>
      </c>
      <c r="AH436" s="1">
        <v>0</v>
      </c>
      <c r="AI436" s="1">
        <v>0</v>
      </c>
      <c r="AJ436" s="1">
        <v>0</v>
      </c>
      <c r="AK436" s="1">
        <v>7.3311999999999999</v>
      </c>
      <c r="AL436" s="1">
        <v>7.3311999999999999</v>
      </c>
      <c r="AM436" s="1">
        <v>7.3311999999999999</v>
      </c>
    </row>
    <row r="437" spans="1:39" x14ac:dyDescent="0.3">
      <c r="A437" s="21" t="str">
        <f t="shared" si="6"/>
        <v>HFA704LGAV2026-02-18</v>
      </c>
      <c r="B437" t="str">
        <f>VLOOKUP(A437,Sheet1!A437:B1779,1,FALSE)</f>
        <v>HFA704LGAV2026-02-18</v>
      </c>
      <c r="C437" s="3">
        <v>46071</v>
      </c>
      <c r="D437" s="1" t="s">
        <v>52</v>
      </c>
      <c r="E437" s="1" t="s">
        <v>38</v>
      </c>
      <c r="F437" s="1"/>
      <c r="G437" s="1" t="s">
        <v>39</v>
      </c>
      <c r="H437" s="1" t="s">
        <v>134</v>
      </c>
      <c r="I437" s="1" t="s">
        <v>46</v>
      </c>
      <c r="J437" s="1" t="s">
        <v>47</v>
      </c>
      <c r="K437" s="1" t="s">
        <v>48</v>
      </c>
      <c r="L437" s="1" t="s">
        <v>49</v>
      </c>
      <c r="M437" s="1" t="s">
        <v>50</v>
      </c>
      <c r="N437" s="1" t="s">
        <v>41</v>
      </c>
      <c r="O437" s="1" t="s">
        <v>42</v>
      </c>
      <c r="P437" s="1" t="s">
        <v>43</v>
      </c>
      <c r="Q437" s="1" t="s">
        <v>44</v>
      </c>
      <c r="R437" s="1" t="s">
        <v>45</v>
      </c>
      <c r="S437" s="1">
        <v>1157</v>
      </c>
      <c r="T437" s="1">
        <v>0</v>
      </c>
      <c r="U437" s="4">
        <v>9.5138888888888884E-2</v>
      </c>
      <c r="V437" s="1">
        <v>1080</v>
      </c>
      <c r="W437" s="1">
        <v>1820</v>
      </c>
      <c r="X437" s="1">
        <v>2900</v>
      </c>
      <c r="Y437" s="1" t="s">
        <v>51</v>
      </c>
      <c r="Z437" s="1">
        <v>1660</v>
      </c>
      <c r="AA437" s="1">
        <v>1240</v>
      </c>
      <c r="AB437" s="1">
        <v>0</v>
      </c>
      <c r="AC437" s="1">
        <v>0</v>
      </c>
      <c r="AD437" s="1">
        <v>0</v>
      </c>
      <c r="AE437" s="1">
        <v>0</v>
      </c>
      <c r="AF437" s="1"/>
      <c r="AG437" s="1">
        <v>0</v>
      </c>
      <c r="AH437" s="1">
        <v>0</v>
      </c>
      <c r="AI437" s="1">
        <v>0</v>
      </c>
      <c r="AJ437" s="1">
        <v>0</v>
      </c>
      <c r="AK437" s="1">
        <v>3.9184000000000001</v>
      </c>
      <c r="AL437" s="1">
        <v>3.9184000000000001</v>
      </c>
      <c r="AM437" s="1">
        <v>3.9184000000000001</v>
      </c>
    </row>
    <row r="438" spans="1:39" x14ac:dyDescent="0.3">
      <c r="A438" s="21" t="str">
        <f t="shared" si="6"/>
        <v>HFA801LLHA2026-02-19</v>
      </c>
      <c r="B438" t="str">
        <f>VLOOKUP(A438,Sheet1!A438:B1780,1,FALSE)</f>
        <v>HFA801LLHA2026-02-19</v>
      </c>
      <c r="C438" s="3">
        <v>46072</v>
      </c>
      <c r="D438" s="1" t="s">
        <v>133</v>
      </c>
      <c r="E438" s="1" t="s">
        <v>38</v>
      </c>
      <c r="F438" s="1"/>
      <c r="G438" s="1" t="s">
        <v>39</v>
      </c>
      <c r="H438" s="1" t="s">
        <v>134</v>
      </c>
      <c r="I438" s="1" t="s">
        <v>41</v>
      </c>
      <c r="J438" s="1" t="s">
        <v>42</v>
      </c>
      <c r="K438" s="1" t="s">
        <v>43</v>
      </c>
      <c r="L438" s="1" t="s">
        <v>44</v>
      </c>
      <c r="M438" s="1" t="s">
        <v>45</v>
      </c>
      <c r="N438" s="1" t="s">
        <v>67</v>
      </c>
      <c r="O438" s="1" t="s">
        <v>86</v>
      </c>
      <c r="P438" s="1" t="s">
        <v>87</v>
      </c>
      <c r="Q438" s="1" t="s">
        <v>88</v>
      </c>
      <c r="R438" s="1" t="s">
        <v>50</v>
      </c>
      <c r="S438" s="1">
        <v>264</v>
      </c>
      <c r="T438" s="1">
        <v>0</v>
      </c>
      <c r="U438" s="4">
        <v>3.8194444444444448E-2</v>
      </c>
      <c r="V438" s="1">
        <v>1660</v>
      </c>
      <c r="W438" s="1">
        <v>-10</v>
      </c>
      <c r="X438" s="1">
        <v>1650</v>
      </c>
      <c r="Y438" s="1" t="s">
        <v>51</v>
      </c>
      <c r="Z438" s="1">
        <v>1100</v>
      </c>
      <c r="AA438" s="1">
        <v>550</v>
      </c>
      <c r="AB438" s="1">
        <v>0</v>
      </c>
      <c r="AC438" s="1">
        <v>0</v>
      </c>
      <c r="AD438" s="1">
        <v>0</v>
      </c>
      <c r="AE438" s="1">
        <v>0</v>
      </c>
      <c r="AF438" s="1"/>
      <c r="AG438" s="1">
        <v>0</v>
      </c>
      <c r="AH438" s="1">
        <v>0</v>
      </c>
      <c r="AI438" s="1">
        <v>0</v>
      </c>
      <c r="AJ438" s="1">
        <v>0</v>
      </c>
      <c r="AK438" s="1">
        <v>1.738</v>
      </c>
      <c r="AL438" s="1">
        <v>1.738</v>
      </c>
      <c r="AM438" s="1">
        <v>1.738</v>
      </c>
    </row>
    <row r="439" spans="1:39" x14ac:dyDescent="0.3">
      <c r="A439" s="21" t="str">
        <f t="shared" si="6"/>
        <v>HFA802LCLK2026-02-19</v>
      </c>
      <c r="B439" t="str">
        <f>VLOOKUP(A439,Sheet1!A439:B1781,1,FALSE)</f>
        <v>HFA802LCLK2026-02-19</v>
      </c>
      <c r="C439" s="3">
        <v>46072</v>
      </c>
      <c r="D439" s="1" t="s">
        <v>135</v>
      </c>
      <c r="E439" s="1" t="s">
        <v>38</v>
      </c>
      <c r="F439" s="1"/>
      <c r="G439" s="1" t="s">
        <v>39</v>
      </c>
      <c r="H439" s="1" t="s">
        <v>134</v>
      </c>
      <c r="I439" s="1" t="s">
        <v>67</v>
      </c>
      <c r="J439" s="1" t="s">
        <v>86</v>
      </c>
      <c r="K439" s="1" t="s">
        <v>87</v>
      </c>
      <c r="L439" s="1" t="s">
        <v>88</v>
      </c>
      <c r="M439" s="1" t="s">
        <v>50</v>
      </c>
      <c r="N439" s="1" t="s">
        <v>41</v>
      </c>
      <c r="O439" s="1" t="s">
        <v>42</v>
      </c>
      <c r="P439" s="1" t="s">
        <v>43</v>
      </c>
      <c r="Q439" s="1" t="s">
        <v>44</v>
      </c>
      <c r="R439" s="1" t="s">
        <v>45</v>
      </c>
      <c r="S439" s="1">
        <v>264</v>
      </c>
      <c r="T439" s="1">
        <v>0</v>
      </c>
      <c r="U439" s="4">
        <v>4.0972222222222222E-2</v>
      </c>
      <c r="V439" s="1">
        <v>1100</v>
      </c>
      <c r="W439" s="1">
        <v>900</v>
      </c>
      <c r="X439" s="1">
        <v>2000</v>
      </c>
      <c r="Y439" s="1" t="s">
        <v>51</v>
      </c>
      <c r="Z439" s="1">
        <v>1430</v>
      </c>
      <c r="AA439" s="1">
        <v>570</v>
      </c>
      <c r="AB439" s="1">
        <v>0</v>
      </c>
      <c r="AC439" s="1">
        <v>0</v>
      </c>
      <c r="AD439" s="1">
        <v>0</v>
      </c>
      <c r="AE439" s="1">
        <v>0</v>
      </c>
      <c r="AF439" s="1"/>
      <c r="AG439" s="1">
        <v>0</v>
      </c>
      <c r="AH439" s="1">
        <v>0</v>
      </c>
      <c r="AI439" s="1">
        <v>0</v>
      </c>
      <c r="AJ439" s="1">
        <v>0</v>
      </c>
      <c r="AK439" s="1">
        <v>1.8011999999999999</v>
      </c>
      <c r="AL439" s="1">
        <v>1.8011999999999999</v>
      </c>
      <c r="AM439" s="1">
        <v>1.8011999999999999</v>
      </c>
    </row>
    <row r="440" spans="1:39" x14ac:dyDescent="0.3">
      <c r="A440" s="21" t="str">
        <f t="shared" si="6"/>
        <v>HFA803LLHA2026-02-19</v>
      </c>
      <c r="B440" t="str">
        <f>VLOOKUP(A440,Sheet1!A440:B1782,1,FALSE)</f>
        <v>HFA803LLHA2026-02-19</v>
      </c>
      <c r="C440" s="3">
        <v>46072</v>
      </c>
      <c r="D440" s="1" t="s">
        <v>116</v>
      </c>
      <c r="E440" s="1" t="s">
        <v>38</v>
      </c>
      <c r="F440" s="1"/>
      <c r="G440" s="1" t="s">
        <v>39</v>
      </c>
      <c r="H440" s="1" t="s">
        <v>134</v>
      </c>
      <c r="I440" s="1" t="s">
        <v>41</v>
      </c>
      <c r="J440" s="1" t="s">
        <v>42</v>
      </c>
      <c r="K440" s="1" t="s">
        <v>43</v>
      </c>
      <c r="L440" s="1" t="s">
        <v>44</v>
      </c>
      <c r="M440" s="1" t="s">
        <v>45</v>
      </c>
      <c r="N440" s="1" t="s">
        <v>67</v>
      </c>
      <c r="O440" s="1" t="s">
        <v>86</v>
      </c>
      <c r="P440" s="1" t="s">
        <v>87</v>
      </c>
      <c r="Q440" s="1" t="s">
        <v>88</v>
      </c>
      <c r="R440" s="1" t="s">
        <v>50</v>
      </c>
      <c r="S440" s="1">
        <v>264</v>
      </c>
      <c r="T440" s="1">
        <v>0</v>
      </c>
      <c r="U440" s="4">
        <v>3.8194444444444448E-2</v>
      </c>
      <c r="V440" s="1">
        <v>1430</v>
      </c>
      <c r="W440" s="1">
        <v>0</v>
      </c>
      <c r="X440" s="1">
        <v>1430</v>
      </c>
      <c r="Y440" s="1" t="s">
        <v>51</v>
      </c>
      <c r="Z440" s="1">
        <v>830</v>
      </c>
      <c r="AA440" s="1">
        <v>600</v>
      </c>
      <c r="AB440" s="1">
        <v>0</v>
      </c>
      <c r="AC440" s="1">
        <v>0</v>
      </c>
      <c r="AD440" s="1">
        <v>0</v>
      </c>
      <c r="AE440" s="1">
        <v>0</v>
      </c>
      <c r="AF440" s="1"/>
      <c r="AG440" s="1">
        <v>0</v>
      </c>
      <c r="AH440" s="1">
        <v>0</v>
      </c>
      <c r="AI440" s="1">
        <v>0</v>
      </c>
      <c r="AJ440" s="1">
        <v>0</v>
      </c>
      <c r="AK440" s="1">
        <v>1.8959999999999999</v>
      </c>
      <c r="AL440" s="1">
        <v>1.8959999999999999</v>
      </c>
      <c r="AM440" s="1">
        <v>1.8959999999999999</v>
      </c>
    </row>
    <row r="441" spans="1:39" x14ac:dyDescent="0.3">
      <c r="A441" s="21" t="str">
        <f t="shared" si="6"/>
        <v>HFA804LCLK2026-02-19</v>
      </c>
      <c r="B441" t="str">
        <f>VLOOKUP(A441,Sheet1!A441:B1783,1,FALSE)</f>
        <v>HFA804LCLK2026-02-19</v>
      </c>
      <c r="C441" s="3">
        <v>46072</v>
      </c>
      <c r="D441" s="1" t="s">
        <v>117</v>
      </c>
      <c r="E441" s="1" t="s">
        <v>38</v>
      </c>
      <c r="F441" s="1"/>
      <c r="G441" s="1" t="s">
        <v>39</v>
      </c>
      <c r="H441" s="1" t="s">
        <v>134</v>
      </c>
      <c r="I441" s="1" t="s">
        <v>67</v>
      </c>
      <c r="J441" s="1" t="s">
        <v>86</v>
      </c>
      <c r="K441" s="1" t="s">
        <v>87</v>
      </c>
      <c r="L441" s="1" t="s">
        <v>88</v>
      </c>
      <c r="M441" s="1" t="s">
        <v>50</v>
      </c>
      <c r="N441" s="1" t="s">
        <v>41</v>
      </c>
      <c r="O441" s="1" t="s">
        <v>42</v>
      </c>
      <c r="P441" s="1" t="s">
        <v>43</v>
      </c>
      <c r="Q441" s="1" t="s">
        <v>44</v>
      </c>
      <c r="R441" s="1" t="s">
        <v>45</v>
      </c>
      <c r="S441" s="1">
        <v>264</v>
      </c>
      <c r="T441" s="1">
        <v>0</v>
      </c>
      <c r="U441" s="4">
        <v>3.9583333333333331E-2</v>
      </c>
      <c r="V441" s="1">
        <v>830</v>
      </c>
      <c r="W441" s="1">
        <v>1470</v>
      </c>
      <c r="X441" s="1">
        <v>2300</v>
      </c>
      <c r="Y441" s="1" t="s">
        <v>51</v>
      </c>
      <c r="Z441" s="1">
        <v>1810</v>
      </c>
      <c r="AA441" s="1">
        <v>490</v>
      </c>
      <c r="AB441" s="1">
        <v>0</v>
      </c>
      <c r="AC441" s="1">
        <v>0</v>
      </c>
      <c r="AD441" s="1">
        <v>0</v>
      </c>
      <c r="AE441" s="1">
        <v>0</v>
      </c>
      <c r="AF441" s="1"/>
      <c r="AG441" s="1">
        <v>0</v>
      </c>
      <c r="AH441" s="1">
        <v>0</v>
      </c>
      <c r="AI441" s="1">
        <v>0</v>
      </c>
      <c r="AJ441" s="1">
        <v>0</v>
      </c>
      <c r="AK441" s="1">
        <v>1.5484</v>
      </c>
      <c r="AL441" s="1">
        <v>1.5484</v>
      </c>
      <c r="AM441" s="1">
        <v>1.5484</v>
      </c>
    </row>
    <row r="442" spans="1:39" x14ac:dyDescent="0.3">
      <c r="A442" s="21" t="str">
        <f t="shared" si="6"/>
        <v>HFA605LLHA2026-02-19</v>
      </c>
      <c r="B442" t="e">
        <f>VLOOKUP(A442,Sheet1!A442:B1784,1,FALSE)</f>
        <v>#N/A</v>
      </c>
      <c r="C442" s="3">
        <v>46072</v>
      </c>
      <c r="D442" s="1" t="s">
        <v>62</v>
      </c>
      <c r="E442" s="1" t="s">
        <v>38</v>
      </c>
      <c r="F442" s="1" t="s">
        <v>54</v>
      </c>
      <c r="G442" s="1" t="s">
        <v>39</v>
      </c>
      <c r="H442" s="1" t="s">
        <v>134</v>
      </c>
      <c r="I442" s="1" t="s">
        <v>41</v>
      </c>
      <c r="J442" s="1" t="s">
        <v>42</v>
      </c>
      <c r="K442" s="1" t="s">
        <v>43</v>
      </c>
      <c r="L442" s="1" t="s">
        <v>44</v>
      </c>
      <c r="M442" s="1" t="s">
        <v>45</v>
      </c>
      <c r="N442" s="1" t="s">
        <v>41</v>
      </c>
      <c r="O442" s="1" t="s">
        <v>58</v>
      </c>
      <c r="P442" s="1" t="s">
        <v>59</v>
      </c>
      <c r="Q442" s="1" t="s">
        <v>60</v>
      </c>
      <c r="R442" s="1" t="s">
        <v>45</v>
      </c>
      <c r="S442" s="1">
        <v>342</v>
      </c>
      <c r="T442" s="1">
        <v>0</v>
      </c>
      <c r="U442" s="4">
        <v>4.7916666666666663E-2</v>
      </c>
      <c r="V442" s="1">
        <v>1810</v>
      </c>
      <c r="W442" s="1">
        <v>0</v>
      </c>
      <c r="X442" s="1">
        <v>1810</v>
      </c>
      <c r="Y442" s="1" t="s">
        <v>51</v>
      </c>
      <c r="Z442" s="1">
        <v>1040</v>
      </c>
      <c r="AA442" s="1">
        <v>770</v>
      </c>
      <c r="AB442" s="1">
        <v>0</v>
      </c>
      <c r="AC442" s="1">
        <v>0</v>
      </c>
      <c r="AD442" s="1">
        <v>0</v>
      </c>
      <c r="AE442" s="1">
        <v>0</v>
      </c>
      <c r="AF442" s="1"/>
      <c r="AG442" s="1">
        <v>0</v>
      </c>
      <c r="AH442" s="1">
        <v>0</v>
      </c>
      <c r="AI442" s="1">
        <v>0</v>
      </c>
      <c r="AJ442" s="1">
        <v>0</v>
      </c>
      <c r="AK442" s="1">
        <v>2.4331999999999998</v>
      </c>
      <c r="AL442" s="1">
        <v>2.4331999999999998</v>
      </c>
      <c r="AM442" s="1">
        <v>2.4331999999999998</v>
      </c>
    </row>
    <row r="443" spans="1:39" x14ac:dyDescent="0.3">
      <c r="A443" s="21" t="str">
        <f t="shared" si="6"/>
        <v>HFA606LLER2026-02-19</v>
      </c>
      <c r="B443" t="e">
        <f>VLOOKUP(A443,Sheet1!A443:B1785,1,FALSE)</f>
        <v>#N/A</v>
      </c>
      <c r="C443" s="3">
        <v>46072</v>
      </c>
      <c r="D443" s="1" t="s">
        <v>63</v>
      </c>
      <c r="E443" s="1" t="s">
        <v>38</v>
      </c>
      <c r="F443" s="1" t="s">
        <v>54</v>
      </c>
      <c r="G443" s="1" t="s">
        <v>39</v>
      </c>
      <c r="H443" s="1" t="s">
        <v>134</v>
      </c>
      <c r="I443" s="1" t="s">
        <v>41</v>
      </c>
      <c r="J443" s="1" t="s">
        <v>58</v>
      </c>
      <c r="K443" s="1" t="s">
        <v>59</v>
      </c>
      <c r="L443" s="1" t="s">
        <v>60</v>
      </c>
      <c r="M443" s="1" t="s">
        <v>45</v>
      </c>
      <c r="N443" s="1" t="s">
        <v>41</v>
      </c>
      <c r="O443" s="1" t="s">
        <v>42</v>
      </c>
      <c r="P443" s="1" t="s">
        <v>43</v>
      </c>
      <c r="Q443" s="1" t="s">
        <v>44</v>
      </c>
      <c r="R443" s="1" t="s">
        <v>45</v>
      </c>
      <c r="S443" s="1">
        <v>342</v>
      </c>
      <c r="T443" s="1">
        <v>0</v>
      </c>
      <c r="U443" s="4">
        <v>4.5138888888888888E-2</v>
      </c>
      <c r="V443" s="1">
        <v>1040</v>
      </c>
      <c r="W443" s="1">
        <v>1160</v>
      </c>
      <c r="X443" s="1">
        <v>2200</v>
      </c>
      <c r="Y443" s="1" t="s">
        <v>51</v>
      </c>
      <c r="Z443" s="1">
        <v>1490</v>
      </c>
      <c r="AA443" s="1">
        <v>710</v>
      </c>
      <c r="AB443" s="1">
        <v>0</v>
      </c>
      <c r="AC443" s="1">
        <v>0</v>
      </c>
      <c r="AD443" s="1">
        <v>0</v>
      </c>
      <c r="AE443" s="1">
        <v>0</v>
      </c>
      <c r="AF443" s="1"/>
      <c r="AG443" s="1">
        <v>0</v>
      </c>
      <c r="AH443" s="1">
        <v>0</v>
      </c>
      <c r="AI443" s="1">
        <v>0</v>
      </c>
      <c r="AJ443" s="1">
        <v>0</v>
      </c>
      <c r="AK443" s="1">
        <v>2.2435999999999998</v>
      </c>
      <c r="AL443" s="1">
        <v>2.2435999999999998</v>
      </c>
      <c r="AM443" s="1">
        <v>2.2435999999999998</v>
      </c>
    </row>
    <row r="444" spans="1:39" x14ac:dyDescent="0.3">
      <c r="A444" s="21" t="str">
        <f t="shared" si="6"/>
        <v>HFA801LLHA2026-02-20</v>
      </c>
      <c r="B444" t="str">
        <f>VLOOKUP(A444,Sheet1!A444:B1786,1,FALSE)</f>
        <v>HFA801LLHA2026-02-20</v>
      </c>
      <c r="C444" s="3">
        <v>46073</v>
      </c>
      <c r="D444" s="1" t="s">
        <v>133</v>
      </c>
      <c r="E444" s="1" t="s">
        <v>38</v>
      </c>
      <c r="F444" s="1"/>
      <c r="G444" s="1" t="s">
        <v>39</v>
      </c>
      <c r="H444" s="1" t="s">
        <v>134</v>
      </c>
      <c r="I444" s="1" t="s">
        <v>41</v>
      </c>
      <c r="J444" s="1" t="s">
        <v>42</v>
      </c>
      <c r="K444" s="1" t="s">
        <v>43</v>
      </c>
      <c r="L444" s="1" t="s">
        <v>44</v>
      </c>
      <c r="M444" s="1" t="s">
        <v>45</v>
      </c>
      <c r="N444" s="1" t="s">
        <v>67</v>
      </c>
      <c r="O444" s="1" t="s">
        <v>86</v>
      </c>
      <c r="P444" s="1" t="s">
        <v>87</v>
      </c>
      <c r="Q444" s="1" t="s">
        <v>88</v>
      </c>
      <c r="R444" s="1" t="s">
        <v>50</v>
      </c>
      <c r="S444" s="1">
        <v>264</v>
      </c>
      <c r="T444" s="1">
        <v>0</v>
      </c>
      <c r="U444" s="4">
        <v>3.8194444444444448E-2</v>
      </c>
      <c r="V444" s="1">
        <v>1490</v>
      </c>
      <c r="W444" s="1">
        <v>-80</v>
      </c>
      <c r="X444" s="1">
        <v>1410</v>
      </c>
      <c r="Y444" s="1" t="s">
        <v>51</v>
      </c>
      <c r="Z444" s="1">
        <v>920</v>
      </c>
      <c r="AA444" s="1">
        <v>490</v>
      </c>
      <c r="AB444" s="1">
        <v>0</v>
      </c>
      <c r="AC444" s="1">
        <v>0</v>
      </c>
      <c r="AD444" s="1">
        <v>0</v>
      </c>
      <c r="AE444" s="1">
        <v>0</v>
      </c>
      <c r="AF444" s="1"/>
      <c r="AG444" s="1">
        <v>0</v>
      </c>
      <c r="AH444" s="1">
        <v>0</v>
      </c>
      <c r="AI444" s="1">
        <v>0</v>
      </c>
      <c r="AJ444" s="1">
        <v>0</v>
      </c>
      <c r="AK444" s="1">
        <v>1.5484</v>
      </c>
      <c r="AL444" s="1">
        <v>1.5484</v>
      </c>
      <c r="AM444" s="1">
        <v>1.5484</v>
      </c>
    </row>
    <row r="445" spans="1:39" x14ac:dyDescent="0.3">
      <c r="A445" s="21" t="str">
        <f t="shared" si="6"/>
        <v>HFA802LCLK2026-02-20</v>
      </c>
      <c r="B445" t="str">
        <f>VLOOKUP(A445,Sheet1!A445:B1787,1,FALSE)</f>
        <v>HFA802LCLK2026-02-20</v>
      </c>
      <c r="C445" s="3">
        <v>46073</v>
      </c>
      <c r="D445" s="1" t="s">
        <v>135</v>
      </c>
      <c r="E445" s="1" t="s">
        <v>38</v>
      </c>
      <c r="F445" s="1"/>
      <c r="G445" s="1" t="s">
        <v>39</v>
      </c>
      <c r="H445" s="1" t="s">
        <v>134</v>
      </c>
      <c r="I445" s="1" t="s">
        <v>67</v>
      </c>
      <c r="J445" s="1" t="s">
        <v>86</v>
      </c>
      <c r="K445" s="1" t="s">
        <v>87</v>
      </c>
      <c r="L445" s="1" t="s">
        <v>88</v>
      </c>
      <c r="M445" s="1" t="s">
        <v>50</v>
      </c>
      <c r="N445" s="1" t="s">
        <v>41</v>
      </c>
      <c r="O445" s="1" t="s">
        <v>42</v>
      </c>
      <c r="P445" s="1" t="s">
        <v>43</v>
      </c>
      <c r="Q445" s="1" t="s">
        <v>44</v>
      </c>
      <c r="R445" s="1" t="s">
        <v>45</v>
      </c>
      <c r="S445" s="1">
        <v>264</v>
      </c>
      <c r="T445" s="1">
        <v>0</v>
      </c>
      <c r="U445" s="4">
        <v>3.888888888888889E-2</v>
      </c>
      <c r="V445" s="1">
        <v>920</v>
      </c>
      <c r="W445" s="1">
        <v>1080</v>
      </c>
      <c r="X445" s="1">
        <v>2000</v>
      </c>
      <c r="Y445" s="1" t="s">
        <v>51</v>
      </c>
      <c r="Z445" s="1">
        <v>1450</v>
      </c>
      <c r="AA445" s="1">
        <v>550</v>
      </c>
      <c r="AB445" s="1">
        <v>0</v>
      </c>
      <c r="AC445" s="1">
        <v>0</v>
      </c>
      <c r="AD445" s="1">
        <v>0</v>
      </c>
      <c r="AE445" s="1">
        <v>0</v>
      </c>
      <c r="AF445" s="1"/>
      <c r="AG445" s="1">
        <v>0</v>
      </c>
      <c r="AH445" s="1">
        <v>0</v>
      </c>
      <c r="AI445" s="1">
        <v>0</v>
      </c>
      <c r="AJ445" s="1">
        <v>0</v>
      </c>
      <c r="AK445" s="1">
        <v>1.738</v>
      </c>
      <c r="AL445" s="1">
        <v>1.738</v>
      </c>
      <c r="AM445" s="1">
        <v>1.738</v>
      </c>
    </row>
    <row r="446" spans="1:39" x14ac:dyDescent="0.3">
      <c r="A446" s="21" t="str">
        <f t="shared" si="6"/>
        <v>HFA803LLHA2026-02-20</v>
      </c>
      <c r="B446" t="str">
        <f>VLOOKUP(A446,Sheet1!A446:B1788,1,FALSE)</f>
        <v>HFA803LLHA2026-02-20</v>
      </c>
      <c r="C446" s="3">
        <v>46073</v>
      </c>
      <c r="D446" s="1" t="s">
        <v>116</v>
      </c>
      <c r="E446" s="1" t="s">
        <v>38</v>
      </c>
      <c r="F446" s="1"/>
      <c r="G446" s="1" t="s">
        <v>39</v>
      </c>
      <c r="H446" s="1" t="s">
        <v>134</v>
      </c>
      <c r="I446" s="1" t="s">
        <v>41</v>
      </c>
      <c r="J446" s="1" t="s">
        <v>42</v>
      </c>
      <c r="K446" s="1" t="s">
        <v>43</v>
      </c>
      <c r="L446" s="1" t="s">
        <v>44</v>
      </c>
      <c r="M446" s="1" t="s">
        <v>45</v>
      </c>
      <c r="N446" s="1" t="s">
        <v>67</v>
      </c>
      <c r="O446" s="1" t="s">
        <v>86</v>
      </c>
      <c r="P446" s="1" t="s">
        <v>87</v>
      </c>
      <c r="Q446" s="1" t="s">
        <v>88</v>
      </c>
      <c r="R446" s="1" t="s">
        <v>50</v>
      </c>
      <c r="S446" s="1">
        <v>264</v>
      </c>
      <c r="T446" s="1">
        <v>0</v>
      </c>
      <c r="U446" s="4">
        <v>3.888888888888889E-2</v>
      </c>
      <c r="V446" s="1">
        <v>1450</v>
      </c>
      <c r="W446" s="1">
        <v>0</v>
      </c>
      <c r="X446" s="1">
        <v>1450</v>
      </c>
      <c r="Y446" s="1" t="s">
        <v>51</v>
      </c>
      <c r="Z446" s="1">
        <v>900</v>
      </c>
      <c r="AA446" s="1">
        <v>550</v>
      </c>
      <c r="AB446" s="1">
        <v>0</v>
      </c>
      <c r="AC446" s="1">
        <v>0</v>
      </c>
      <c r="AD446" s="1">
        <v>0</v>
      </c>
      <c r="AE446" s="1">
        <v>0</v>
      </c>
      <c r="AF446" s="1"/>
      <c r="AG446" s="1">
        <v>0</v>
      </c>
      <c r="AH446" s="1">
        <v>0</v>
      </c>
      <c r="AI446" s="1">
        <v>0</v>
      </c>
      <c r="AJ446" s="1">
        <v>0</v>
      </c>
      <c r="AK446" s="1">
        <v>1.738</v>
      </c>
      <c r="AL446" s="1">
        <v>1.738</v>
      </c>
      <c r="AM446" s="1">
        <v>1.738</v>
      </c>
    </row>
    <row r="447" spans="1:39" x14ac:dyDescent="0.3">
      <c r="A447" s="21" t="str">
        <f t="shared" si="6"/>
        <v>HFA804LCLK2026-02-20</v>
      </c>
      <c r="B447" t="str">
        <f>VLOOKUP(A447,Sheet1!A447:B1789,1,FALSE)</f>
        <v>HFA804LCLK2026-02-20</v>
      </c>
      <c r="C447" s="3">
        <v>46073</v>
      </c>
      <c r="D447" s="1" t="s">
        <v>117</v>
      </c>
      <c r="E447" s="1" t="s">
        <v>38</v>
      </c>
      <c r="F447" s="1"/>
      <c r="G447" s="1" t="s">
        <v>39</v>
      </c>
      <c r="H447" s="1" t="s">
        <v>134</v>
      </c>
      <c r="I447" s="1" t="s">
        <v>67</v>
      </c>
      <c r="J447" s="1" t="s">
        <v>86</v>
      </c>
      <c r="K447" s="1" t="s">
        <v>87</v>
      </c>
      <c r="L447" s="1" t="s">
        <v>88</v>
      </c>
      <c r="M447" s="1" t="s">
        <v>50</v>
      </c>
      <c r="N447" s="1" t="s">
        <v>41</v>
      </c>
      <c r="O447" s="1" t="s">
        <v>42</v>
      </c>
      <c r="P447" s="1" t="s">
        <v>43</v>
      </c>
      <c r="Q447" s="1" t="s">
        <v>44</v>
      </c>
      <c r="R447" s="1" t="s">
        <v>45</v>
      </c>
      <c r="S447" s="1">
        <v>264</v>
      </c>
      <c r="T447" s="1">
        <v>0</v>
      </c>
      <c r="U447" s="4">
        <v>3.888888888888889E-2</v>
      </c>
      <c r="V447" s="1">
        <v>900</v>
      </c>
      <c r="W447" s="1">
        <v>1200</v>
      </c>
      <c r="X447" s="1">
        <v>2100</v>
      </c>
      <c r="Y447" s="1" t="s">
        <v>51</v>
      </c>
      <c r="Z447" s="1">
        <v>1560</v>
      </c>
      <c r="AA447" s="1">
        <v>540</v>
      </c>
      <c r="AB447" s="1">
        <v>0</v>
      </c>
      <c r="AC447" s="1">
        <v>0</v>
      </c>
      <c r="AD447" s="1">
        <v>0</v>
      </c>
      <c r="AE447" s="1">
        <v>0</v>
      </c>
      <c r="AF447" s="1"/>
      <c r="AG447" s="1">
        <v>0</v>
      </c>
      <c r="AH447" s="1">
        <v>0</v>
      </c>
      <c r="AI447" s="1">
        <v>0</v>
      </c>
      <c r="AJ447" s="1">
        <v>0</v>
      </c>
      <c r="AK447" s="1">
        <v>1.7063999999999999</v>
      </c>
      <c r="AL447" s="1">
        <v>1.7063999999999999</v>
      </c>
      <c r="AM447" s="1">
        <v>1.7063999999999999</v>
      </c>
    </row>
    <row r="448" spans="1:39" x14ac:dyDescent="0.3">
      <c r="A448" s="21" t="str">
        <f t="shared" si="6"/>
        <v>HFA805LLHA2026-02-21</v>
      </c>
      <c r="B448" t="str">
        <f>VLOOKUP(A448,Sheet1!A448:B1790,1,FALSE)</f>
        <v>HFA805LLHA2026-02-21</v>
      </c>
      <c r="C448" s="3">
        <v>46074</v>
      </c>
      <c r="D448" s="1" t="s">
        <v>114</v>
      </c>
      <c r="E448" s="1" t="s">
        <v>38</v>
      </c>
      <c r="F448" s="1"/>
      <c r="G448" s="1" t="s">
        <v>39</v>
      </c>
      <c r="H448" s="1" t="s">
        <v>134</v>
      </c>
      <c r="I448" s="1" t="s">
        <v>41</v>
      </c>
      <c r="J448" s="1" t="s">
        <v>42</v>
      </c>
      <c r="K448" s="1" t="s">
        <v>43</v>
      </c>
      <c r="L448" s="1" t="s">
        <v>44</v>
      </c>
      <c r="M448" s="1" t="s">
        <v>45</v>
      </c>
      <c r="N448" s="1" t="s">
        <v>67</v>
      </c>
      <c r="O448" s="1" t="s">
        <v>86</v>
      </c>
      <c r="P448" s="1" t="s">
        <v>87</v>
      </c>
      <c r="Q448" s="1" t="s">
        <v>88</v>
      </c>
      <c r="R448" s="1" t="s">
        <v>50</v>
      </c>
      <c r="S448" s="1">
        <v>264</v>
      </c>
      <c r="T448" s="1">
        <v>0</v>
      </c>
      <c r="U448" s="4">
        <v>3.8194444444444448E-2</v>
      </c>
      <c r="V448" s="1">
        <v>1560</v>
      </c>
      <c r="W448" s="1">
        <v>0</v>
      </c>
      <c r="X448" s="1">
        <v>1560</v>
      </c>
      <c r="Y448" s="1" t="s">
        <v>51</v>
      </c>
      <c r="Z448" s="1">
        <v>1030</v>
      </c>
      <c r="AA448" s="1">
        <v>530</v>
      </c>
      <c r="AB448" s="1">
        <v>0</v>
      </c>
      <c r="AC448" s="1">
        <v>0</v>
      </c>
      <c r="AD448" s="1">
        <v>0</v>
      </c>
      <c r="AE448" s="1">
        <v>0</v>
      </c>
      <c r="AF448" s="1"/>
      <c r="AG448" s="1">
        <v>0</v>
      </c>
      <c r="AH448" s="1">
        <v>0</v>
      </c>
      <c r="AI448" s="1">
        <v>0</v>
      </c>
      <c r="AJ448" s="1">
        <v>0</v>
      </c>
      <c r="AK448" s="1">
        <v>1.6748000000000001</v>
      </c>
      <c r="AL448" s="1">
        <v>1.6748000000000001</v>
      </c>
      <c r="AM448" s="1">
        <v>1.6748000000000001</v>
      </c>
    </row>
    <row r="449" spans="1:39" x14ac:dyDescent="0.3">
      <c r="A449" s="21" t="str">
        <f t="shared" si="6"/>
        <v>HFA806LCLK2026-02-21</v>
      </c>
      <c r="B449" t="str">
        <f>VLOOKUP(A449,Sheet1!A449:B1791,1,FALSE)</f>
        <v>HFA806LCLK2026-02-21</v>
      </c>
      <c r="C449" s="3">
        <v>46074</v>
      </c>
      <c r="D449" s="1" t="s">
        <v>115</v>
      </c>
      <c r="E449" s="1" t="s">
        <v>38</v>
      </c>
      <c r="F449" s="1"/>
      <c r="G449" s="1" t="s">
        <v>39</v>
      </c>
      <c r="H449" s="1" t="s">
        <v>134</v>
      </c>
      <c r="I449" s="1" t="s">
        <v>67</v>
      </c>
      <c r="J449" s="1" t="s">
        <v>86</v>
      </c>
      <c r="K449" s="1" t="s">
        <v>87</v>
      </c>
      <c r="L449" s="1" t="s">
        <v>88</v>
      </c>
      <c r="M449" s="1" t="s">
        <v>50</v>
      </c>
      <c r="N449" s="1" t="s">
        <v>41</v>
      </c>
      <c r="O449" s="1" t="s">
        <v>42</v>
      </c>
      <c r="P449" s="1" t="s">
        <v>43</v>
      </c>
      <c r="Q449" s="1" t="s">
        <v>44</v>
      </c>
      <c r="R449" s="1" t="s">
        <v>45</v>
      </c>
      <c r="S449" s="1">
        <v>264</v>
      </c>
      <c r="T449" s="1">
        <v>0</v>
      </c>
      <c r="U449" s="4">
        <v>4.0972222222222222E-2</v>
      </c>
      <c r="V449" s="1">
        <v>1030</v>
      </c>
      <c r="W449" s="1">
        <v>1070</v>
      </c>
      <c r="X449" s="1">
        <v>2100</v>
      </c>
      <c r="Y449" s="1" t="s">
        <v>51</v>
      </c>
      <c r="Z449" s="1">
        <v>1480</v>
      </c>
      <c r="AA449" s="1">
        <v>620</v>
      </c>
      <c r="AB449" s="1">
        <v>0</v>
      </c>
      <c r="AC449" s="1">
        <v>0</v>
      </c>
      <c r="AD449" s="1">
        <v>0</v>
      </c>
      <c r="AE449" s="1">
        <v>0</v>
      </c>
      <c r="AF449" s="1"/>
      <c r="AG449" s="1">
        <v>0</v>
      </c>
      <c r="AH449" s="1">
        <v>0</v>
      </c>
      <c r="AI449" s="1">
        <v>0</v>
      </c>
      <c r="AJ449" s="1">
        <v>0</v>
      </c>
      <c r="AK449" s="1">
        <v>1.9592000000000001</v>
      </c>
      <c r="AL449" s="1">
        <v>1.9592000000000001</v>
      </c>
      <c r="AM449" s="1">
        <v>1.9592000000000001</v>
      </c>
    </row>
    <row r="450" spans="1:39" x14ac:dyDescent="0.3">
      <c r="A450" s="21" t="str">
        <f t="shared" si="6"/>
        <v>HFA807LLHA2026-02-21</v>
      </c>
      <c r="B450" t="str">
        <f>VLOOKUP(A450,Sheet1!A450:B1792,1,FALSE)</f>
        <v>HFA807LLHA2026-02-21</v>
      </c>
      <c r="C450" s="3">
        <v>46074</v>
      </c>
      <c r="D450" s="1" t="s">
        <v>118</v>
      </c>
      <c r="E450" s="1" t="s">
        <v>38</v>
      </c>
      <c r="F450" s="1"/>
      <c r="G450" s="1" t="s">
        <v>39</v>
      </c>
      <c r="H450" s="1" t="s">
        <v>134</v>
      </c>
      <c r="I450" s="1" t="s">
        <v>41</v>
      </c>
      <c r="J450" s="1" t="s">
        <v>42</v>
      </c>
      <c r="K450" s="1" t="s">
        <v>43</v>
      </c>
      <c r="L450" s="1" t="s">
        <v>44</v>
      </c>
      <c r="M450" s="1" t="s">
        <v>45</v>
      </c>
      <c r="N450" s="1" t="s">
        <v>67</v>
      </c>
      <c r="O450" s="1" t="s">
        <v>86</v>
      </c>
      <c r="P450" s="1" t="s">
        <v>87</v>
      </c>
      <c r="Q450" s="1" t="s">
        <v>88</v>
      </c>
      <c r="R450" s="1" t="s">
        <v>50</v>
      </c>
      <c r="S450" s="1">
        <v>264</v>
      </c>
      <c r="T450" s="1">
        <v>0</v>
      </c>
      <c r="U450" s="4">
        <v>3.6111111111111108E-2</v>
      </c>
      <c r="V450" s="1">
        <v>1480</v>
      </c>
      <c r="W450" s="1">
        <v>-10</v>
      </c>
      <c r="X450" s="1">
        <v>1470</v>
      </c>
      <c r="Y450" s="1" t="s">
        <v>51</v>
      </c>
      <c r="Z450" s="1">
        <v>950</v>
      </c>
      <c r="AA450" s="1">
        <v>520</v>
      </c>
      <c r="AB450" s="1">
        <v>0</v>
      </c>
      <c r="AC450" s="1">
        <v>0</v>
      </c>
      <c r="AD450" s="1">
        <v>0</v>
      </c>
      <c r="AE450" s="1">
        <v>0</v>
      </c>
      <c r="AF450" s="1"/>
      <c r="AG450" s="1">
        <v>0</v>
      </c>
      <c r="AH450" s="1">
        <v>0</v>
      </c>
      <c r="AI450" s="1">
        <v>0</v>
      </c>
      <c r="AJ450" s="1">
        <v>0</v>
      </c>
      <c r="AK450" s="1">
        <v>1.6432</v>
      </c>
      <c r="AL450" s="1">
        <v>1.6432</v>
      </c>
      <c r="AM450" s="1">
        <v>1.6432</v>
      </c>
    </row>
    <row r="451" spans="1:39" x14ac:dyDescent="0.3">
      <c r="A451" s="21" t="str">
        <f t="shared" ref="A451:A514" si="7">CONCATENATE(D451,K451,TEXT(C451,"YYYY-MM-DD"))</f>
        <v>HFA808LCLK2026-02-21</v>
      </c>
      <c r="B451" t="str">
        <f>VLOOKUP(A451,Sheet1!A451:B1793,1,FALSE)</f>
        <v>HFA808LCLK2026-02-21</v>
      </c>
      <c r="C451" s="3">
        <v>46074</v>
      </c>
      <c r="D451" s="1" t="s">
        <v>119</v>
      </c>
      <c r="E451" s="1" t="s">
        <v>38</v>
      </c>
      <c r="F451" s="1"/>
      <c r="G451" s="1" t="s">
        <v>39</v>
      </c>
      <c r="H451" s="1" t="s">
        <v>134</v>
      </c>
      <c r="I451" s="1" t="s">
        <v>67</v>
      </c>
      <c r="J451" s="1" t="s">
        <v>86</v>
      </c>
      <c r="K451" s="1" t="s">
        <v>87</v>
      </c>
      <c r="L451" s="1" t="s">
        <v>88</v>
      </c>
      <c r="M451" s="1" t="s">
        <v>50</v>
      </c>
      <c r="N451" s="1" t="s">
        <v>41</v>
      </c>
      <c r="O451" s="1" t="s">
        <v>42</v>
      </c>
      <c r="P451" s="1" t="s">
        <v>43</v>
      </c>
      <c r="Q451" s="1" t="s">
        <v>44</v>
      </c>
      <c r="R451" s="1" t="s">
        <v>45</v>
      </c>
      <c r="S451" s="1">
        <v>264</v>
      </c>
      <c r="T451" s="1">
        <v>0</v>
      </c>
      <c r="U451" s="4">
        <v>4.7222222222222221E-2</v>
      </c>
      <c r="V451" s="1">
        <v>950</v>
      </c>
      <c r="W451" s="1">
        <v>1150</v>
      </c>
      <c r="X451" s="1">
        <v>2100</v>
      </c>
      <c r="Y451" s="1" t="s">
        <v>51</v>
      </c>
      <c r="Z451" s="1">
        <v>1450</v>
      </c>
      <c r="AA451" s="1">
        <v>650</v>
      </c>
      <c r="AB451" s="1">
        <v>0</v>
      </c>
      <c r="AC451" s="1">
        <v>0</v>
      </c>
      <c r="AD451" s="1">
        <v>0</v>
      </c>
      <c r="AE451" s="1">
        <v>0</v>
      </c>
      <c r="AF451" s="1"/>
      <c r="AG451" s="1">
        <v>0</v>
      </c>
      <c r="AH451" s="1">
        <v>0</v>
      </c>
      <c r="AI451" s="1">
        <v>0</v>
      </c>
      <c r="AJ451" s="1">
        <v>0</v>
      </c>
      <c r="AK451" s="1">
        <v>2.0539999999999998</v>
      </c>
      <c r="AL451" s="1">
        <v>2.0539999999999998</v>
      </c>
      <c r="AM451" s="1">
        <v>2.0539999999999998</v>
      </c>
    </row>
    <row r="452" spans="1:39" x14ac:dyDescent="0.3">
      <c r="A452" s="21" t="str">
        <f t="shared" si="7"/>
        <v>HFA803LLHA2026-02-22</v>
      </c>
      <c r="B452" t="str">
        <f>VLOOKUP(A452,Sheet1!A452:B1794,1,FALSE)</f>
        <v>HFA803LLHA2026-02-22</v>
      </c>
      <c r="C452" s="3">
        <v>46075</v>
      </c>
      <c r="D452" s="1" t="s">
        <v>116</v>
      </c>
      <c r="E452" s="1" t="s">
        <v>38</v>
      </c>
      <c r="F452" s="1"/>
      <c r="G452" s="1" t="s">
        <v>39</v>
      </c>
      <c r="H452" s="1" t="s">
        <v>134</v>
      </c>
      <c r="I452" s="1" t="s">
        <v>41</v>
      </c>
      <c r="J452" s="1" t="s">
        <v>42</v>
      </c>
      <c r="K452" s="1" t="s">
        <v>43</v>
      </c>
      <c r="L452" s="1" t="s">
        <v>44</v>
      </c>
      <c r="M452" s="1" t="s">
        <v>45</v>
      </c>
      <c r="N452" s="1" t="s">
        <v>67</v>
      </c>
      <c r="O452" s="1" t="s">
        <v>86</v>
      </c>
      <c r="P452" s="1" t="s">
        <v>87</v>
      </c>
      <c r="Q452" s="1" t="s">
        <v>88</v>
      </c>
      <c r="R452" s="1" t="s">
        <v>50</v>
      </c>
      <c r="S452" s="1">
        <v>264</v>
      </c>
      <c r="T452" s="1">
        <v>0</v>
      </c>
      <c r="U452" s="4">
        <v>3.6805555555555557E-2</v>
      </c>
      <c r="V452" s="1">
        <v>1450</v>
      </c>
      <c r="W452" s="1">
        <v>60</v>
      </c>
      <c r="X452" s="1">
        <v>1510</v>
      </c>
      <c r="Y452" s="1" t="s">
        <v>51</v>
      </c>
      <c r="Z452" s="1">
        <v>930</v>
      </c>
      <c r="AA452" s="1">
        <v>580</v>
      </c>
      <c r="AB452" s="1">
        <v>0</v>
      </c>
      <c r="AC452" s="1">
        <v>0</v>
      </c>
      <c r="AD452" s="1">
        <v>0</v>
      </c>
      <c r="AE452" s="1">
        <v>0</v>
      </c>
      <c r="AF452" s="1"/>
      <c r="AG452" s="1">
        <v>0</v>
      </c>
      <c r="AH452" s="1">
        <v>0</v>
      </c>
      <c r="AI452" s="1">
        <v>0</v>
      </c>
      <c r="AJ452" s="1">
        <v>0</v>
      </c>
      <c r="AK452" s="1">
        <v>1.8328</v>
      </c>
      <c r="AL452" s="1">
        <v>1.8328</v>
      </c>
      <c r="AM452" s="1">
        <v>1.8328</v>
      </c>
    </row>
    <row r="453" spans="1:39" x14ac:dyDescent="0.3">
      <c r="A453" s="21" t="str">
        <f t="shared" si="7"/>
        <v>HFA804LCLK2026-02-22</v>
      </c>
      <c r="B453" t="str">
        <f>VLOOKUP(A453,Sheet1!A453:B1795,1,FALSE)</f>
        <v>HFA804LCLK2026-02-22</v>
      </c>
      <c r="C453" s="3">
        <v>46075</v>
      </c>
      <c r="D453" s="1" t="s">
        <v>117</v>
      </c>
      <c r="E453" s="1" t="s">
        <v>38</v>
      </c>
      <c r="F453" s="1"/>
      <c r="G453" s="1" t="s">
        <v>39</v>
      </c>
      <c r="H453" s="1" t="s">
        <v>134</v>
      </c>
      <c r="I453" s="1" t="s">
        <v>67</v>
      </c>
      <c r="J453" s="1" t="s">
        <v>86</v>
      </c>
      <c r="K453" s="1" t="s">
        <v>87</v>
      </c>
      <c r="L453" s="1" t="s">
        <v>88</v>
      </c>
      <c r="M453" s="1" t="s">
        <v>50</v>
      </c>
      <c r="N453" s="1" t="s">
        <v>41</v>
      </c>
      <c r="O453" s="1" t="s">
        <v>42</v>
      </c>
      <c r="P453" s="1" t="s">
        <v>43</v>
      </c>
      <c r="Q453" s="1" t="s">
        <v>44</v>
      </c>
      <c r="R453" s="1" t="s">
        <v>45</v>
      </c>
      <c r="S453" s="1">
        <v>264</v>
      </c>
      <c r="T453" s="1">
        <v>0</v>
      </c>
      <c r="U453" s="4">
        <v>3.9583333333333331E-2</v>
      </c>
      <c r="V453" s="1">
        <v>930</v>
      </c>
      <c r="W453" s="1">
        <v>1470</v>
      </c>
      <c r="X453" s="1">
        <v>2400</v>
      </c>
      <c r="Y453" s="1" t="s">
        <v>51</v>
      </c>
      <c r="Z453" s="1">
        <v>1830</v>
      </c>
      <c r="AA453" s="1">
        <v>570</v>
      </c>
      <c r="AB453" s="1">
        <v>0</v>
      </c>
      <c r="AC453" s="1">
        <v>0</v>
      </c>
      <c r="AD453" s="1">
        <v>0</v>
      </c>
      <c r="AE453" s="1">
        <v>0</v>
      </c>
      <c r="AF453" s="1"/>
      <c r="AG453" s="1">
        <v>0</v>
      </c>
      <c r="AH453" s="1">
        <v>0</v>
      </c>
      <c r="AI453" s="1">
        <v>0</v>
      </c>
      <c r="AJ453" s="1">
        <v>0</v>
      </c>
      <c r="AK453" s="1">
        <v>1.8011999999999999</v>
      </c>
      <c r="AL453" s="1">
        <v>1.8011999999999999</v>
      </c>
      <c r="AM453" s="1">
        <v>1.8011999999999999</v>
      </c>
    </row>
    <row r="454" spans="1:39" x14ac:dyDescent="0.3">
      <c r="A454" s="21" t="str">
        <f t="shared" si="7"/>
        <v>HFA605LLHA2026-02-22</v>
      </c>
      <c r="B454" t="e">
        <f>VLOOKUP(A454,Sheet1!A454:B1796,1,FALSE)</f>
        <v>#N/A</v>
      </c>
      <c r="C454" s="3">
        <v>46075</v>
      </c>
      <c r="D454" s="1" t="s">
        <v>62</v>
      </c>
      <c r="E454" s="1" t="s">
        <v>38</v>
      </c>
      <c r="F454" s="1" t="s">
        <v>54</v>
      </c>
      <c r="G454" s="1" t="s">
        <v>39</v>
      </c>
      <c r="H454" s="1" t="s">
        <v>134</v>
      </c>
      <c r="I454" s="1" t="s">
        <v>41</v>
      </c>
      <c r="J454" s="1" t="s">
        <v>42</v>
      </c>
      <c r="K454" s="1" t="s">
        <v>43</v>
      </c>
      <c r="L454" s="1" t="s">
        <v>44</v>
      </c>
      <c r="M454" s="1" t="s">
        <v>45</v>
      </c>
      <c r="N454" s="1" t="s">
        <v>41</v>
      </c>
      <c r="O454" s="1" t="s">
        <v>58</v>
      </c>
      <c r="P454" s="1" t="s">
        <v>59</v>
      </c>
      <c r="Q454" s="1" t="s">
        <v>60</v>
      </c>
      <c r="R454" s="1" t="s">
        <v>45</v>
      </c>
      <c r="S454" s="1">
        <v>342</v>
      </c>
      <c r="T454" s="1">
        <v>0</v>
      </c>
      <c r="U454" s="4">
        <v>4.4444444444444439E-2</v>
      </c>
      <c r="V454" s="1">
        <v>1830</v>
      </c>
      <c r="W454" s="1">
        <v>0</v>
      </c>
      <c r="X454" s="1">
        <v>1830</v>
      </c>
      <c r="Y454" s="1" t="s">
        <v>51</v>
      </c>
      <c r="Z454" s="1">
        <v>1060</v>
      </c>
      <c r="AA454" s="1">
        <v>770</v>
      </c>
      <c r="AB454" s="1">
        <v>0</v>
      </c>
      <c r="AC454" s="1">
        <v>0</v>
      </c>
      <c r="AD454" s="1">
        <v>0</v>
      </c>
      <c r="AE454" s="1">
        <v>0</v>
      </c>
      <c r="AF454" s="1"/>
      <c r="AG454" s="1">
        <v>0</v>
      </c>
      <c r="AH454" s="1">
        <v>0</v>
      </c>
      <c r="AI454" s="1">
        <v>0</v>
      </c>
      <c r="AJ454" s="1">
        <v>0</v>
      </c>
      <c r="AK454" s="1">
        <v>2.4331999999999998</v>
      </c>
      <c r="AL454" s="1">
        <v>2.4331999999999998</v>
      </c>
      <c r="AM454" s="1">
        <v>2.4331999999999998</v>
      </c>
    </row>
    <row r="455" spans="1:39" x14ac:dyDescent="0.3">
      <c r="A455" s="21" t="str">
        <f t="shared" si="7"/>
        <v>HFA606LLER2026-02-22</v>
      </c>
      <c r="B455" t="e">
        <f>VLOOKUP(A455,Sheet1!A455:B1797,1,FALSE)</f>
        <v>#N/A</v>
      </c>
      <c r="C455" s="3">
        <v>46075</v>
      </c>
      <c r="D455" s="1" t="s">
        <v>63</v>
      </c>
      <c r="E455" s="1" t="s">
        <v>38</v>
      </c>
      <c r="F455" s="1" t="s">
        <v>54</v>
      </c>
      <c r="G455" s="1" t="s">
        <v>39</v>
      </c>
      <c r="H455" s="1" t="s">
        <v>134</v>
      </c>
      <c r="I455" s="1" t="s">
        <v>41</v>
      </c>
      <c r="J455" s="1" t="s">
        <v>58</v>
      </c>
      <c r="K455" s="1" t="s">
        <v>59</v>
      </c>
      <c r="L455" s="1" t="s">
        <v>60</v>
      </c>
      <c r="M455" s="1" t="s">
        <v>45</v>
      </c>
      <c r="N455" s="1" t="s">
        <v>41</v>
      </c>
      <c r="O455" s="1" t="s">
        <v>42</v>
      </c>
      <c r="P455" s="1" t="s">
        <v>43</v>
      </c>
      <c r="Q455" s="1" t="s">
        <v>44</v>
      </c>
      <c r="R455" s="1" t="s">
        <v>45</v>
      </c>
      <c r="S455" s="1">
        <v>342</v>
      </c>
      <c r="T455" s="1">
        <v>0</v>
      </c>
      <c r="U455" s="4">
        <v>4.0972222222222222E-2</v>
      </c>
      <c r="V455" s="1">
        <v>1060</v>
      </c>
      <c r="W455" s="1">
        <v>1140</v>
      </c>
      <c r="X455" s="1">
        <v>2200</v>
      </c>
      <c r="Y455" s="1" t="s">
        <v>51</v>
      </c>
      <c r="Z455" s="1">
        <v>1520</v>
      </c>
      <c r="AA455" s="1">
        <v>680</v>
      </c>
      <c r="AB455" s="1">
        <v>0</v>
      </c>
      <c r="AC455" s="1">
        <v>0</v>
      </c>
      <c r="AD455" s="1">
        <v>0</v>
      </c>
      <c r="AE455" s="1">
        <v>0</v>
      </c>
      <c r="AF455" s="1"/>
      <c r="AG455" s="1">
        <v>0</v>
      </c>
      <c r="AH455" s="1">
        <v>0</v>
      </c>
      <c r="AI455" s="1">
        <v>0</v>
      </c>
      <c r="AJ455" s="1">
        <v>0</v>
      </c>
      <c r="AK455" s="1">
        <v>2.1488</v>
      </c>
      <c r="AL455" s="1">
        <v>2.1488</v>
      </c>
      <c r="AM455" s="1">
        <v>2.1488</v>
      </c>
    </row>
    <row r="456" spans="1:39" x14ac:dyDescent="0.3">
      <c r="A456" s="21" t="str">
        <f t="shared" si="7"/>
        <v>HFA801LLHA2026-02-23</v>
      </c>
      <c r="B456" t="str">
        <f>VLOOKUP(A456,Sheet1!A456:B1798,1,FALSE)</f>
        <v>HFA801LLHA2026-02-23</v>
      </c>
      <c r="C456" s="3">
        <v>46076</v>
      </c>
      <c r="D456" s="1" t="s">
        <v>133</v>
      </c>
      <c r="E456" s="1" t="s">
        <v>38</v>
      </c>
      <c r="F456" s="1"/>
      <c r="G456" s="1" t="s">
        <v>39</v>
      </c>
      <c r="H456" s="1" t="s">
        <v>134</v>
      </c>
      <c r="I456" s="1" t="s">
        <v>41</v>
      </c>
      <c r="J456" s="1" t="s">
        <v>42</v>
      </c>
      <c r="K456" s="1" t="s">
        <v>43</v>
      </c>
      <c r="L456" s="1" t="s">
        <v>44</v>
      </c>
      <c r="M456" s="1" t="s">
        <v>45</v>
      </c>
      <c r="N456" s="1" t="s">
        <v>67</v>
      </c>
      <c r="O456" s="1" t="s">
        <v>86</v>
      </c>
      <c r="P456" s="1" t="s">
        <v>87</v>
      </c>
      <c r="Q456" s="1" t="s">
        <v>88</v>
      </c>
      <c r="R456" s="1" t="s">
        <v>50</v>
      </c>
      <c r="S456" s="1">
        <v>264</v>
      </c>
      <c r="T456" s="1">
        <v>0</v>
      </c>
      <c r="U456" s="4">
        <v>3.3333333333333333E-2</v>
      </c>
      <c r="V456" s="1">
        <v>1520</v>
      </c>
      <c r="W456" s="1">
        <v>-50</v>
      </c>
      <c r="X456" s="1">
        <v>1470</v>
      </c>
      <c r="Y456" s="1" t="s">
        <v>51</v>
      </c>
      <c r="Z456" s="1">
        <v>970</v>
      </c>
      <c r="AA456" s="1">
        <v>500</v>
      </c>
      <c r="AB456" s="1">
        <v>0</v>
      </c>
      <c r="AC456" s="1">
        <v>0</v>
      </c>
      <c r="AD456" s="1">
        <v>0</v>
      </c>
      <c r="AE456" s="1">
        <v>0</v>
      </c>
      <c r="AF456" s="1"/>
      <c r="AG456" s="1">
        <v>0</v>
      </c>
      <c r="AH456" s="1">
        <v>0</v>
      </c>
      <c r="AI456" s="1">
        <v>0</v>
      </c>
      <c r="AJ456" s="1">
        <v>0</v>
      </c>
      <c r="AK456" s="1">
        <v>1.58</v>
      </c>
      <c r="AL456" s="1">
        <v>1.58</v>
      </c>
      <c r="AM456" s="1">
        <v>1.58</v>
      </c>
    </row>
    <row r="457" spans="1:39" x14ac:dyDescent="0.3">
      <c r="A457" s="21" t="str">
        <f t="shared" si="7"/>
        <v>HFA802LCLK2026-02-23</v>
      </c>
      <c r="B457" t="str">
        <f>VLOOKUP(A457,Sheet1!A457:B1799,1,FALSE)</f>
        <v>HFA802LCLK2026-02-23</v>
      </c>
      <c r="C457" s="3">
        <v>46076</v>
      </c>
      <c r="D457" s="1" t="s">
        <v>135</v>
      </c>
      <c r="E457" s="1" t="s">
        <v>38</v>
      </c>
      <c r="F457" s="1"/>
      <c r="G457" s="1" t="s">
        <v>39</v>
      </c>
      <c r="H457" s="1" t="s">
        <v>134</v>
      </c>
      <c r="I457" s="1" t="s">
        <v>67</v>
      </c>
      <c r="J457" s="1" t="s">
        <v>86</v>
      </c>
      <c r="K457" s="1" t="s">
        <v>87</v>
      </c>
      <c r="L457" s="1" t="s">
        <v>88</v>
      </c>
      <c r="M457" s="1" t="s">
        <v>50</v>
      </c>
      <c r="N457" s="1" t="s">
        <v>41</v>
      </c>
      <c r="O457" s="1" t="s">
        <v>42</v>
      </c>
      <c r="P457" s="1" t="s">
        <v>43</v>
      </c>
      <c r="Q457" s="1" t="s">
        <v>44</v>
      </c>
      <c r="R457" s="1" t="s">
        <v>45</v>
      </c>
      <c r="S457" s="1">
        <v>264</v>
      </c>
      <c r="T457" s="1">
        <v>0</v>
      </c>
      <c r="U457" s="4">
        <v>4.027777777777778E-2</v>
      </c>
      <c r="V457" s="1">
        <v>970</v>
      </c>
      <c r="W457" s="1">
        <v>1130</v>
      </c>
      <c r="X457" s="1">
        <v>2100</v>
      </c>
      <c r="Y457" s="1" t="s">
        <v>51</v>
      </c>
      <c r="Z457" s="1">
        <v>1540</v>
      </c>
      <c r="AA457" s="1">
        <v>560</v>
      </c>
      <c r="AB457" s="1">
        <v>0</v>
      </c>
      <c r="AC457" s="1">
        <v>0</v>
      </c>
      <c r="AD457" s="1">
        <v>0</v>
      </c>
      <c r="AE457" s="1">
        <v>0</v>
      </c>
      <c r="AF457" s="1"/>
      <c r="AG457" s="1">
        <v>0</v>
      </c>
      <c r="AH457" s="1">
        <v>0</v>
      </c>
      <c r="AI457" s="1">
        <v>0</v>
      </c>
      <c r="AJ457" s="1">
        <v>0</v>
      </c>
      <c r="AK457" s="1">
        <v>1.7696000000000001</v>
      </c>
      <c r="AL457" s="1">
        <v>1.7696000000000001</v>
      </c>
      <c r="AM457" s="1">
        <v>1.7696000000000001</v>
      </c>
    </row>
    <row r="458" spans="1:39" x14ac:dyDescent="0.3">
      <c r="A458" s="21" t="str">
        <f t="shared" si="7"/>
        <v>HFA803LLHA2026-02-23</v>
      </c>
      <c r="B458" t="str">
        <f>VLOOKUP(A458,Sheet1!A458:B1800,1,FALSE)</f>
        <v>HFA803LLHA2026-02-23</v>
      </c>
      <c r="C458" s="3">
        <v>46076</v>
      </c>
      <c r="D458" s="1" t="s">
        <v>116</v>
      </c>
      <c r="E458" s="1" t="s">
        <v>38</v>
      </c>
      <c r="F458" s="1"/>
      <c r="G458" s="1" t="s">
        <v>39</v>
      </c>
      <c r="H458" s="1" t="s">
        <v>134</v>
      </c>
      <c r="I458" s="1" t="s">
        <v>41</v>
      </c>
      <c r="J458" s="1" t="s">
        <v>42</v>
      </c>
      <c r="K458" s="1" t="s">
        <v>43</v>
      </c>
      <c r="L458" s="1" t="s">
        <v>44</v>
      </c>
      <c r="M458" s="1" t="s">
        <v>45</v>
      </c>
      <c r="N458" s="1" t="s">
        <v>67</v>
      </c>
      <c r="O458" s="1" t="s">
        <v>86</v>
      </c>
      <c r="P458" s="1" t="s">
        <v>87</v>
      </c>
      <c r="Q458" s="1" t="s">
        <v>88</v>
      </c>
      <c r="R458" s="1" t="s">
        <v>50</v>
      </c>
      <c r="S458" s="1">
        <v>264</v>
      </c>
      <c r="T458" s="1">
        <v>0</v>
      </c>
      <c r="U458" s="4">
        <v>3.4722222222222224E-2</v>
      </c>
      <c r="V458" s="1">
        <v>1540</v>
      </c>
      <c r="W458" s="1">
        <v>-10</v>
      </c>
      <c r="X458" s="1">
        <v>1530</v>
      </c>
      <c r="Y458" s="1" t="s">
        <v>51</v>
      </c>
      <c r="Z458" s="1">
        <v>1030</v>
      </c>
      <c r="AA458" s="1">
        <v>500</v>
      </c>
      <c r="AB458" s="1">
        <v>0</v>
      </c>
      <c r="AC458" s="1">
        <v>0</v>
      </c>
      <c r="AD458" s="1">
        <v>0</v>
      </c>
      <c r="AE458" s="1">
        <v>0</v>
      </c>
      <c r="AF458" s="1"/>
      <c r="AG458" s="1">
        <v>0</v>
      </c>
      <c r="AH458" s="1">
        <v>0</v>
      </c>
      <c r="AI458" s="1">
        <v>0</v>
      </c>
      <c r="AJ458" s="1">
        <v>0</v>
      </c>
      <c r="AK458" s="1">
        <v>1.58</v>
      </c>
      <c r="AL458" s="1">
        <v>1.58</v>
      </c>
      <c r="AM458" s="1">
        <v>1.58</v>
      </c>
    </row>
    <row r="459" spans="1:39" x14ac:dyDescent="0.3">
      <c r="A459" s="21" t="str">
        <f t="shared" si="7"/>
        <v>HFA804LCLK2026-02-23</v>
      </c>
      <c r="B459" t="str">
        <f>VLOOKUP(A459,Sheet1!A459:B1801,1,FALSE)</f>
        <v>HFA804LCLK2026-02-23</v>
      </c>
      <c r="C459" s="3">
        <v>46076</v>
      </c>
      <c r="D459" s="1" t="s">
        <v>117</v>
      </c>
      <c r="E459" s="1" t="s">
        <v>38</v>
      </c>
      <c r="F459" s="1"/>
      <c r="G459" s="1" t="s">
        <v>39</v>
      </c>
      <c r="H459" s="1" t="s">
        <v>134</v>
      </c>
      <c r="I459" s="1" t="s">
        <v>67</v>
      </c>
      <c r="J459" s="1" t="s">
        <v>86</v>
      </c>
      <c r="K459" s="1" t="s">
        <v>87</v>
      </c>
      <c r="L459" s="1" t="s">
        <v>88</v>
      </c>
      <c r="M459" s="1" t="s">
        <v>50</v>
      </c>
      <c r="N459" s="1" t="s">
        <v>41</v>
      </c>
      <c r="O459" s="1" t="s">
        <v>42</v>
      </c>
      <c r="P459" s="1" t="s">
        <v>43</v>
      </c>
      <c r="Q459" s="1" t="s">
        <v>44</v>
      </c>
      <c r="R459" s="1" t="s">
        <v>45</v>
      </c>
      <c r="S459" s="1">
        <v>264</v>
      </c>
      <c r="T459" s="1">
        <v>0</v>
      </c>
      <c r="U459" s="4">
        <v>3.888888888888889E-2</v>
      </c>
      <c r="V459" s="1">
        <v>1030</v>
      </c>
      <c r="W459" s="1">
        <v>1470</v>
      </c>
      <c r="X459" s="1">
        <v>2500</v>
      </c>
      <c r="Y459" s="1" t="s">
        <v>51</v>
      </c>
      <c r="Z459" s="1">
        <v>2000</v>
      </c>
      <c r="AA459" s="1">
        <v>500</v>
      </c>
      <c r="AB459" s="1">
        <v>0</v>
      </c>
      <c r="AC459" s="1">
        <v>0</v>
      </c>
      <c r="AD459" s="1">
        <v>0</v>
      </c>
      <c r="AE459" s="1">
        <v>0</v>
      </c>
      <c r="AF459" s="1"/>
      <c r="AG459" s="1">
        <v>0</v>
      </c>
      <c r="AH459" s="1">
        <v>0</v>
      </c>
      <c r="AI459" s="1">
        <v>0</v>
      </c>
      <c r="AJ459" s="1">
        <v>0</v>
      </c>
      <c r="AK459" s="1">
        <v>1.58</v>
      </c>
      <c r="AL459" s="1">
        <v>1.58</v>
      </c>
      <c r="AM459" s="1">
        <v>1.58</v>
      </c>
    </row>
    <row r="460" spans="1:39" x14ac:dyDescent="0.3">
      <c r="A460" s="21" t="str">
        <f t="shared" si="7"/>
        <v>HFA605LLHA2026-02-23</v>
      </c>
      <c r="B460" t="e">
        <f>VLOOKUP(A460,Sheet1!A460:B1802,1,FALSE)</f>
        <v>#N/A</v>
      </c>
      <c r="C460" s="3">
        <v>46076</v>
      </c>
      <c r="D460" s="1" t="s">
        <v>62</v>
      </c>
      <c r="E460" s="1" t="s">
        <v>38</v>
      </c>
      <c r="F460" s="1" t="s">
        <v>54</v>
      </c>
      <c r="G460" s="1" t="s">
        <v>39</v>
      </c>
      <c r="H460" s="1" t="s">
        <v>134</v>
      </c>
      <c r="I460" s="1" t="s">
        <v>41</v>
      </c>
      <c r="J460" s="1" t="s">
        <v>42</v>
      </c>
      <c r="K460" s="1" t="s">
        <v>43</v>
      </c>
      <c r="L460" s="1" t="s">
        <v>44</v>
      </c>
      <c r="M460" s="1" t="s">
        <v>45</v>
      </c>
      <c r="N460" s="1" t="s">
        <v>41</v>
      </c>
      <c r="O460" s="1" t="s">
        <v>58</v>
      </c>
      <c r="P460" s="1" t="s">
        <v>59</v>
      </c>
      <c r="Q460" s="1" t="s">
        <v>60</v>
      </c>
      <c r="R460" s="1" t="s">
        <v>45</v>
      </c>
      <c r="S460" s="1">
        <v>342</v>
      </c>
      <c r="T460" s="1">
        <v>0</v>
      </c>
      <c r="U460" s="4">
        <v>4.6527777777777779E-2</v>
      </c>
      <c r="V460" s="1">
        <v>2000</v>
      </c>
      <c r="W460" s="1">
        <v>-20</v>
      </c>
      <c r="X460" s="1">
        <v>1980</v>
      </c>
      <c r="Y460" s="1" t="s">
        <v>51</v>
      </c>
      <c r="Z460" s="1">
        <v>1190</v>
      </c>
      <c r="AA460" s="1">
        <v>790</v>
      </c>
      <c r="AB460" s="1">
        <v>0</v>
      </c>
      <c r="AC460" s="1">
        <v>0</v>
      </c>
      <c r="AD460" s="1">
        <v>0</v>
      </c>
      <c r="AE460" s="1">
        <v>0</v>
      </c>
      <c r="AF460" s="1"/>
      <c r="AG460" s="1">
        <v>0</v>
      </c>
      <c r="AH460" s="1">
        <v>0</v>
      </c>
      <c r="AI460" s="1">
        <v>0</v>
      </c>
      <c r="AJ460" s="1">
        <v>0</v>
      </c>
      <c r="AK460" s="1">
        <v>2.4964</v>
      </c>
      <c r="AL460" s="1">
        <v>2.4964</v>
      </c>
      <c r="AM460" s="1">
        <v>2.4964</v>
      </c>
    </row>
    <row r="461" spans="1:39" x14ac:dyDescent="0.3">
      <c r="A461" s="21" t="str">
        <f t="shared" si="7"/>
        <v>HFA606LLER2026-02-23</v>
      </c>
      <c r="B461" t="e">
        <f>VLOOKUP(A461,Sheet1!A461:B1803,1,FALSE)</f>
        <v>#N/A</v>
      </c>
      <c r="C461" s="3">
        <v>46076</v>
      </c>
      <c r="D461" s="1" t="s">
        <v>63</v>
      </c>
      <c r="E461" s="1" t="s">
        <v>38</v>
      </c>
      <c r="F461" s="1" t="s">
        <v>54</v>
      </c>
      <c r="G461" s="1" t="s">
        <v>39</v>
      </c>
      <c r="H461" s="1" t="s">
        <v>134</v>
      </c>
      <c r="I461" s="1" t="s">
        <v>41</v>
      </c>
      <c r="J461" s="1" t="s">
        <v>58</v>
      </c>
      <c r="K461" s="1" t="s">
        <v>59</v>
      </c>
      <c r="L461" s="1" t="s">
        <v>60</v>
      </c>
      <c r="M461" s="1" t="s">
        <v>45</v>
      </c>
      <c r="N461" s="1" t="s">
        <v>41</v>
      </c>
      <c r="O461" s="1" t="s">
        <v>42</v>
      </c>
      <c r="P461" s="1" t="s">
        <v>43</v>
      </c>
      <c r="Q461" s="1" t="s">
        <v>44</v>
      </c>
      <c r="R461" s="1" t="s">
        <v>45</v>
      </c>
      <c r="S461" s="1">
        <v>342</v>
      </c>
      <c r="T461" s="1">
        <v>0</v>
      </c>
      <c r="U461" s="4">
        <v>4.3055555555555555E-2</v>
      </c>
      <c r="V461" s="1">
        <v>1190</v>
      </c>
      <c r="W461" s="1">
        <v>1010</v>
      </c>
      <c r="X461" s="1">
        <v>2200</v>
      </c>
      <c r="Y461" s="1" t="s">
        <v>51</v>
      </c>
      <c r="Z461" s="1">
        <v>1470</v>
      </c>
      <c r="AA461" s="1">
        <v>730</v>
      </c>
      <c r="AB461" s="1">
        <v>0</v>
      </c>
      <c r="AC461" s="1">
        <v>0</v>
      </c>
      <c r="AD461" s="1">
        <v>0</v>
      </c>
      <c r="AE461" s="1">
        <v>0</v>
      </c>
      <c r="AF461" s="1"/>
      <c r="AG461" s="1">
        <v>0</v>
      </c>
      <c r="AH461" s="1">
        <v>0</v>
      </c>
      <c r="AI461" s="1">
        <v>0</v>
      </c>
      <c r="AJ461" s="1">
        <v>0</v>
      </c>
      <c r="AK461" s="1">
        <v>2.3068</v>
      </c>
      <c r="AL461" s="1">
        <v>2.3068</v>
      </c>
      <c r="AM461" s="1">
        <v>2.3068</v>
      </c>
    </row>
    <row r="462" spans="1:39" x14ac:dyDescent="0.3">
      <c r="A462" s="21" t="str">
        <f t="shared" si="7"/>
        <v>HFA807LLHA2026-02-23</v>
      </c>
      <c r="B462" t="str">
        <f>VLOOKUP(A462,Sheet1!A462:B1804,1,FALSE)</f>
        <v>HFA807LLHA2026-02-23</v>
      </c>
      <c r="C462" s="3">
        <v>46076</v>
      </c>
      <c r="D462" s="1" t="s">
        <v>118</v>
      </c>
      <c r="E462" s="1" t="s">
        <v>38</v>
      </c>
      <c r="F462" s="1"/>
      <c r="G462" s="1" t="s">
        <v>39</v>
      </c>
      <c r="H462" s="1" t="s">
        <v>134</v>
      </c>
      <c r="I462" s="1" t="s">
        <v>41</v>
      </c>
      <c r="J462" s="1" t="s">
        <v>42</v>
      </c>
      <c r="K462" s="1" t="s">
        <v>43</v>
      </c>
      <c r="L462" s="1" t="s">
        <v>44</v>
      </c>
      <c r="M462" s="1" t="s">
        <v>45</v>
      </c>
      <c r="N462" s="1" t="s">
        <v>67</v>
      </c>
      <c r="O462" s="1" t="s">
        <v>86</v>
      </c>
      <c r="P462" s="1" t="s">
        <v>87</v>
      </c>
      <c r="Q462" s="1" t="s">
        <v>88</v>
      </c>
      <c r="R462" s="1" t="s">
        <v>50</v>
      </c>
      <c r="S462" s="1">
        <v>264</v>
      </c>
      <c r="T462" s="1">
        <v>0</v>
      </c>
      <c r="U462" s="4">
        <v>3.8194444444444448E-2</v>
      </c>
      <c r="V462" s="1">
        <v>1470</v>
      </c>
      <c r="W462" s="1">
        <v>0</v>
      </c>
      <c r="X462" s="1">
        <v>1470</v>
      </c>
      <c r="Y462" s="1" t="s">
        <v>51</v>
      </c>
      <c r="Z462" s="1">
        <v>870</v>
      </c>
      <c r="AA462" s="1">
        <v>600</v>
      </c>
      <c r="AB462" s="1">
        <v>0</v>
      </c>
      <c r="AC462" s="1">
        <v>0</v>
      </c>
      <c r="AD462" s="1">
        <v>0</v>
      </c>
      <c r="AE462" s="1">
        <v>0</v>
      </c>
      <c r="AF462" s="1"/>
      <c r="AG462" s="1">
        <v>0</v>
      </c>
      <c r="AH462" s="1">
        <v>0</v>
      </c>
      <c r="AI462" s="1">
        <v>0</v>
      </c>
      <c r="AJ462" s="1">
        <v>0</v>
      </c>
      <c r="AK462" s="1">
        <v>1.8959999999999999</v>
      </c>
      <c r="AL462" s="1">
        <v>1.8959999999999999</v>
      </c>
      <c r="AM462" s="1">
        <v>1.8959999999999999</v>
      </c>
    </row>
    <row r="463" spans="1:39" x14ac:dyDescent="0.3">
      <c r="A463" s="21" t="str">
        <f t="shared" si="7"/>
        <v>HFA808LCLK2026-02-23</v>
      </c>
      <c r="B463" t="str">
        <f>VLOOKUP(A463,Sheet1!A463:B1805,1,FALSE)</f>
        <v>HFA808LCLK2026-02-23</v>
      </c>
      <c r="C463" s="3">
        <v>46076</v>
      </c>
      <c r="D463" s="1" t="s">
        <v>119</v>
      </c>
      <c r="E463" s="1" t="s">
        <v>38</v>
      </c>
      <c r="F463" s="1"/>
      <c r="G463" s="1" t="s">
        <v>39</v>
      </c>
      <c r="H463" s="1" t="s">
        <v>134</v>
      </c>
      <c r="I463" s="1" t="s">
        <v>67</v>
      </c>
      <c r="J463" s="1" t="s">
        <v>86</v>
      </c>
      <c r="K463" s="1" t="s">
        <v>87</v>
      </c>
      <c r="L463" s="1" t="s">
        <v>88</v>
      </c>
      <c r="M463" s="1" t="s">
        <v>50</v>
      </c>
      <c r="N463" s="1" t="s">
        <v>41</v>
      </c>
      <c r="O463" s="1" t="s">
        <v>42</v>
      </c>
      <c r="P463" s="1" t="s">
        <v>43</v>
      </c>
      <c r="Q463" s="1" t="s">
        <v>44</v>
      </c>
      <c r="R463" s="1" t="s">
        <v>45</v>
      </c>
      <c r="S463" s="1">
        <v>264</v>
      </c>
      <c r="T463" s="1">
        <v>0</v>
      </c>
      <c r="U463" s="4">
        <v>4.027777777777778E-2</v>
      </c>
      <c r="V463" s="1">
        <v>870</v>
      </c>
      <c r="W463" s="1">
        <v>1230</v>
      </c>
      <c r="X463" s="1">
        <v>2100</v>
      </c>
      <c r="Y463" s="1" t="s">
        <v>51</v>
      </c>
      <c r="Z463" s="1">
        <v>1500</v>
      </c>
      <c r="AA463" s="1">
        <v>600</v>
      </c>
      <c r="AB463" s="1">
        <v>0</v>
      </c>
      <c r="AC463" s="1">
        <v>0</v>
      </c>
      <c r="AD463" s="1">
        <v>0</v>
      </c>
      <c r="AE463" s="1">
        <v>0</v>
      </c>
      <c r="AF463" s="1"/>
      <c r="AG463" s="1">
        <v>0</v>
      </c>
      <c r="AH463" s="1">
        <v>0</v>
      </c>
      <c r="AI463" s="1">
        <v>0</v>
      </c>
      <c r="AJ463" s="1">
        <v>0</v>
      </c>
      <c r="AK463" s="1">
        <v>1.8959999999999999</v>
      </c>
      <c r="AL463" s="1">
        <v>1.8959999999999999</v>
      </c>
      <c r="AM463" s="1">
        <v>1.8959999999999999</v>
      </c>
    </row>
    <row r="464" spans="1:39" x14ac:dyDescent="0.3">
      <c r="A464" s="21" t="str">
        <f t="shared" si="7"/>
        <v>HFA605LLHA2026-02-24</v>
      </c>
      <c r="B464" t="e">
        <f>VLOOKUP(A464,Sheet1!A464:B1806,1,FALSE)</f>
        <v>#N/A</v>
      </c>
      <c r="C464" s="3">
        <v>46077</v>
      </c>
      <c r="D464" s="1" t="s">
        <v>62</v>
      </c>
      <c r="E464" s="1" t="s">
        <v>38</v>
      </c>
      <c r="F464" s="1" t="s">
        <v>54</v>
      </c>
      <c r="G464" s="1" t="s">
        <v>39</v>
      </c>
      <c r="H464" s="1" t="s">
        <v>134</v>
      </c>
      <c r="I464" s="1" t="s">
        <v>41</v>
      </c>
      <c r="J464" s="1" t="s">
        <v>42</v>
      </c>
      <c r="K464" s="1" t="s">
        <v>43</v>
      </c>
      <c r="L464" s="1" t="s">
        <v>44</v>
      </c>
      <c r="M464" s="1" t="s">
        <v>45</v>
      </c>
      <c r="N464" s="1" t="s">
        <v>41</v>
      </c>
      <c r="O464" s="1" t="s">
        <v>58</v>
      </c>
      <c r="P464" s="1" t="s">
        <v>59</v>
      </c>
      <c r="Q464" s="1" t="s">
        <v>60</v>
      </c>
      <c r="R464" s="1" t="s">
        <v>45</v>
      </c>
      <c r="S464" s="1">
        <v>342</v>
      </c>
      <c r="T464" s="1">
        <v>0</v>
      </c>
      <c r="U464" s="4">
        <v>3.8194444444444448E-2</v>
      </c>
      <c r="V464" s="1">
        <v>1500</v>
      </c>
      <c r="W464" s="1">
        <v>300</v>
      </c>
      <c r="X464" s="1">
        <v>1800</v>
      </c>
      <c r="Y464" s="1" t="s">
        <v>51</v>
      </c>
      <c r="Z464" s="1">
        <v>1150</v>
      </c>
      <c r="AA464" s="1">
        <v>650</v>
      </c>
      <c r="AB464" s="1">
        <v>0</v>
      </c>
      <c r="AC464" s="1">
        <v>0</v>
      </c>
      <c r="AD464" s="1">
        <v>0</v>
      </c>
      <c r="AE464" s="1">
        <v>0</v>
      </c>
      <c r="AF464" s="1"/>
      <c r="AG464" s="1">
        <v>0</v>
      </c>
      <c r="AH464" s="1">
        <v>0</v>
      </c>
      <c r="AI464" s="1">
        <v>0</v>
      </c>
      <c r="AJ464" s="1">
        <v>0</v>
      </c>
      <c r="AK464" s="1">
        <v>2.0539999999999998</v>
      </c>
      <c r="AL464" s="1">
        <v>2.0539999999999998</v>
      </c>
      <c r="AM464" s="1">
        <v>2.0539999999999998</v>
      </c>
    </row>
    <row r="465" spans="1:39" x14ac:dyDescent="0.3">
      <c r="A465" s="21" t="str">
        <f t="shared" si="7"/>
        <v>HFA606LLER2026-02-24</v>
      </c>
      <c r="B465" t="e">
        <f>VLOOKUP(A465,Sheet1!A465:B1807,1,FALSE)</f>
        <v>#N/A</v>
      </c>
      <c r="C465" s="3">
        <v>46077</v>
      </c>
      <c r="D465" s="1" t="s">
        <v>63</v>
      </c>
      <c r="E465" s="1" t="s">
        <v>38</v>
      </c>
      <c r="F465" s="1" t="s">
        <v>54</v>
      </c>
      <c r="G465" s="1" t="s">
        <v>39</v>
      </c>
      <c r="H465" s="1" t="s">
        <v>134</v>
      </c>
      <c r="I465" s="1" t="s">
        <v>41</v>
      </c>
      <c r="J465" s="1" t="s">
        <v>58</v>
      </c>
      <c r="K465" s="1" t="s">
        <v>59</v>
      </c>
      <c r="L465" s="1" t="s">
        <v>60</v>
      </c>
      <c r="M465" s="1" t="s">
        <v>45</v>
      </c>
      <c r="N465" s="1" t="s">
        <v>41</v>
      </c>
      <c r="O465" s="1" t="s">
        <v>42</v>
      </c>
      <c r="P465" s="1" t="s">
        <v>43</v>
      </c>
      <c r="Q465" s="1" t="s">
        <v>44</v>
      </c>
      <c r="R465" s="1" t="s">
        <v>45</v>
      </c>
      <c r="S465" s="1">
        <v>342</v>
      </c>
      <c r="T465" s="1">
        <v>0</v>
      </c>
      <c r="U465" s="4">
        <v>4.3055555555555555E-2</v>
      </c>
      <c r="V465" s="1">
        <v>1150</v>
      </c>
      <c r="W465" s="1">
        <v>1050</v>
      </c>
      <c r="X465" s="1">
        <v>2200</v>
      </c>
      <c r="Y465" s="1" t="s">
        <v>51</v>
      </c>
      <c r="Z465" s="1">
        <v>1450</v>
      </c>
      <c r="AA465" s="1">
        <v>750</v>
      </c>
      <c r="AB465" s="1">
        <v>0</v>
      </c>
      <c r="AC465" s="1">
        <v>0</v>
      </c>
      <c r="AD465" s="1">
        <v>0</v>
      </c>
      <c r="AE465" s="1">
        <v>0</v>
      </c>
      <c r="AF465" s="1"/>
      <c r="AG465" s="1">
        <v>0</v>
      </c>
      <c r="AH465" s="1">
        <v>0</v>
      </c>
      <c r="AI465" s="1">
        <v>0</v>
      </c>
      <c r="AJ465" s="1">
        <v>0</v>
      </c>
      <c r="AK465" s="1">
        <v>2.37</v>
      </c>
      <c r="AL465" s="1">
        <v>2.37</v>
      </c>
      <c r="AM465" s="1">
        <v>2.37</v>
      </c>
    </row>
    <row r="466" spans="1:39" x14ac:dyDescent="0.3">
      <c r="A466" s="21" t="str">
        <f t="shared" si="7"/>
        <v>HFA807LLHA2026-02-24</v>
      </c>
      <c r="B466" t="str">
        <f>VLOOKUP(A466,Sheet1!A466:B1808,1,FALSE)</f>
        <v>HFA807LLHA2026-02-24</v>
      </c>
      <c r="C466" s="3">
        <v>46077</v>
      </c>
      <c r="D466" s="1" t="s">
        <v>118</v>
      </c>
      <c r="E466" s="1" t="s">
        <v>38</v>
      </c>
      <c r="F466" s="1"/>
      <c r="G466" s="1" t="s">
        <v>39</v>
      </c>
      <c r="H466" s="1" t="s">
        <v>134</v>
      </c>
      <c r="I466" s="1" t="s">
        <v>41</v>
      </c>
      <c r="J466" s="1" t="s">
        <v>42</v>
      </c>
      <c r="K466" s="1" t="s">
        <v>43</v>
      </c>
      <c r="L466" s="1" t="s">
        <v>44</v>
      </c>
      <c r="M466" s="1" t="s">
        <v>45</v>
      </c>
      <c r="N466" s="1" t="s">
        <v>67</v>
      </c>
      <c r="O466" s="1" t="s">
        <v>86</v>
      </c>
      <c r="P466" s="1" t="s">
        <v>87</v>
      </c>
      <c r="Q466" s="1" t="s">
        <v>88</v>
      </c>
      <c r="R466" s="1" t="s">
        <v>50</v>
      </c>
      <c r="S466" s="1">
        <v>264</v>
      </c>
      <c r="T466" s="1">
        <v>0</v>
      </c>
      <c r="U466" s="4">
        <v>3.888888888888889E-2</v>
      </c>
      <c r="V466" s="1">
        <v>1450</v>
      </c>
      <c r="W466" s="1">
        <v>0</v>
      </c>
      <c r="X466" s="1">
        <v>1450</v>
      </c>
      <c r="Y466" s="1" t="s">
        <v>51</v>
      </c>
      <c r="Z466" s="1">
        <v>840</v>
      </c>
      <c r="AA466" s="1">
        <v>610</v>
      </c>
      <c r="AB466" s="1">
        <v>0</v>
      </c>
      <c r="AC466" s="1">
        <v>0</v>
      </c>
      <c r="AD466" s="1">
        <v>0</v>
      </c>
      <c r="AE466" s="1">
        <v>0</v>
      </c>
      <c r="AF466" s="1"/>
      <c r="AG466" s="1">
        <v>0</v>
      </c>
      <c r="AH466" s="1">
        <v>0</v>
      </c>
      <c r="AI466" s="1">
        <v>0</v>
      </c>
      <c r="AJ466" s="1">
        <v>0</v>
      </c>
      <c r="AK466" s="1">
        <v>1.9276</v>
      </c>
      <c r="AL466" s="1">
        <v>1.9276</v>
      </c>
      <c r="AM466" s="1">
        <v>1.9276</v>
      </c>
    </row>
    <row r="467" spans="1:39" x14ac:dyDescent="0.3">
      <c r="A467" s="21" t="str">
        <f t="shared" si="7"/>
        <v>HFA808LCLK2026-02-24</v>
      </c>
      <c r="B467" t="str">
        <f>VLOOKUP(A467,Sheet1!A467:B1809,1,FALSE)</f>
        <v>HFA808LCLK2026-02-24</v>
      </c>
      <c r="C467" s="3">
        <v>46077</v>
      </c>
      <c r="D467" s="1" t="s">
        <v>119</v>
      </c>
      <c r="E467" s="1" t="s">
        <v>38</v>
      </c>
      <c r="F467" s="1"/>
      <c r="G467" s="1" t="s">
        <v>39</v>
      </c>
      <c r="H467" s="1" t="s">
        <v>134</v>
      </c>
      <c r="I467" s="1" t="s">
        <v>67</v>
      </c>
      <c r="J467" s="1" t="s">
        <v>86</v>
      </c>
      <c r="K467" s="1" t="s">
        <v>87</v>
      </c>
      <c r="L467" s="1" t="s">
        <v>88</v>
      </c>
      <c r="M467" s="1" t="s">
        <v>50</v>
      </c>
      <c r="N467" s="1" t="s">
        <v>41</v>
      </c>
      <c r="O467" s="1" t="s">
        <v>42</v>
      </c>
      <c r="P467" s="1" t="s">
        <v>43</v>
      </c>
      <c r="Q467" s="1" t="s">
        <v>44</v>
      </c>
      <c r="R467" s="1" t="s">
        <v>45</v>
      </c>
      <c r="S467" s="1">
        <v>264</v>
      </c>
      <c r="T467" s="1">
        <v>0</v>
      </c>
      <c r="U467" s="4">
        <v>3.6805555555555557E-2</v>
      </c>
      <c r="V467" s="1">
        <v>840</v>
      </c>
      <c r="W467" s="1">
        <v>1260</v>
      </c>
      <c r="X467" s="1">
        <v>2100</v>
      </c>
      <c r="Y467" s="1" t="s">
        <v>51</v>
      </c>
      <c r="Z467" s="1">
        <v>1530</v>
      </c>
      <c r="AA467" s="1">
        <v>570</v>
      </c>
      <c r="AB467" s="1">
        <v>0</v>
      </c>
      <c r="AC467" s="1">
        <v>0</v>
      </c>
      <c r="AD467" s="1">
        <v>0</v>
      </c>
      <c r="AE467" s="1">
        <v>0</v>
      </c>
      <c r="AF467" s="1"/>
      <c r="AG467" s="1">
        <v>0</v>
      </c>
      <c r="AH467" s="1">
        <v>0</v>
      </c>
      <c r="AI467" s="1">
        <v>0</v>
      </c>
      <c r="AJ467" s="1">
        <v>0</v>
      </c>
      <c r="AK467" s="1">
        <v>1.8011999999999999</v>
      </c>
      <c r="AL467" s="1">
        <v>1.8011999999999999</v>
      </c>
      <c r="AM467" s="1">
        <v>1.8011999999999999</v>
      </c>
    </row>
    <row r="468" spans="1:39" x14ac:dyDescent="0.3">
      <c r="A468" s="21" t="str">
        <f t="shared" si="7"/>
        <v>HFA801LLHA2026-02-25</v>
      </c>
      <c r="B468" t="str">
        <f>VLOOKUP(A468,Sheet1!A468:B1810,1,FALSE)</f>
        <v>HFA801LLHA2026-02-25</v>
      </c>
      <c r="C468" s="3">
        <v>46078</v>
      </c>
      <c r="D468" s="1" t="s">
        <v>133</v>
      </c>
      <c r="E468" s="1" t="s">
        <v>38</v>
      </c>
      <c r="F468" s="1"/>
      <c r="G468" s="1" t="s">
        <v>39</v>
      </c>
      <c r="H468" s="1" t="s">
        <v>134</v>
      </c>
      <c r="I468" s="1" t="s">
        <v>41</v>
      </c>
      <c r="J468" s="1" t="s">
        <v>42</v>
      </c>
      <c r="K468" s="1" t="s">
        <v>43</v>
      </c>
      <c r="L468" s="1" t="s">
        <v>44</v>
      </c>
      <c r="M468" s="1" t="s">
        <v>45</v>
      </c>
      <c r="N468" s="1" t="s">
        <v>67</v>
      </c>
      <c r="O468" s="1" t="s">
        <v>86</v>
      </c>
      <c r="P468" s="1" t="s">
        <v>87</v>
      </c>
      <c r="Q468" s="1" t="s">
        <v>88</v>
      </c>
      <c r="R468" s="1" t="s">
        <v>50</v>
      </c>
      <c r="S468" s="1">
        <v>264</v>
      </c>
      <c r="T468" s="1">
        <v>0</v>
      </c>
      <c r="U468" s="4">
        <v>3.5416666666666666E-2</v>
      </c>
      <c r="V468" s="1">
        <v>1530</v>
      </c>
      <c r="W468" s="1">
        <v>-30</v>
      </c>
      <c r="X468" s="1">
        <v>1500</v>
      </c>
      <c r="Y468" s="1" t="s">
        <v>51</v>
      </c>
      <c r="Z468" s="1">
        <v>980</v>
      </c>
      <c r="AA468" s="1">
        <v>520</v>
      </c>
      <c r="AB468" s="1">
        <v>0</v>
      </c>
      <c r="AC468" s="1">
        <v>0</v>
      </c>
      <c r="AD468" s="1">
        <v>0</v>
      </c>
      <c r="AE468" s="1">
        <v>0</v>
      </c>
      <c r="AF468" s="1"/>
      <c r="AG468" s="1">
        <v>0</v>
      </c>
      <c r="AH468" s="1">
        <v>0</v>
      </c>
      <c r="AI468" s="1">
        <v>0</v>
      </c>
      <c r="AJ468" s="1">
        <v>0</v>
      </c>
      <c r="AK468" s="1">
        <v>1.6432</v>
      </c>
      <c r="AL468" s="1">
        <v>1.6432</v>
      </c>
      <c r="AM468" s="1">
        <v>1.6432</v>
      </c>
    </row>
    <row r="469" spans="1:39" x14ac:dyDescent="0.3">
      <c r="A469" s="21" t="str">
        <f t="shared" si="7"/>
        <v>HFA802LCLK2026-02-25</v>
      </c>
      <c r="B469" t="str">
        <f>VLOOKUP(A469,Sheet1!A469:B1811,1,FALSE)</f>
        <v>HFA802LCLK2026-02-25</v>
      </c>
      <c r="C469" s="3">
        <v>46078</v>
      </c>
      <c r="D469" s="1" t="s">
        <v>135</v>
      </c>
      <c r="E469" s="1" t="s">
        <v>38</v>
      </c>
      <c r="F469" s="1"/>
      <c r="G469" s="1" t="s">
        <v>39</v>
      </c>
      <c r="H469" s="1" t="s">
        <v>134</v>
      </c>
      <c r="I469" s="1" t="s">
        <v>67</v>
      </c>
      <c r="J469" s="1" t="s">
        <v>86</v>
      </c>
      <c r="K469" s="1" t="s">
        <v>87</v>
      </c>
      <c r="L469" s="1" t="s">
        <v>88</v>
      </c>
      <c r="M469" s="1" t="s">
        <v>50</v>
      </c>
      <c r="N469" s="1" t="s">
        <v>41</v>
      </c>
      <c r="O469" s="1" t="s">
        <v>42</v>
      </c>
      <c r="P469" s="1" t="s">
        <v>43</v>
      </c>
      <c r="Q469" s="1" t="s">
        <v>44</v>
      </c>
      <c r="R469" s="1" t="s">
        <v>45</v>
      </c>
      <c r="S469" s="1">
        <v>264</v>
      </c>
      <c r="T469" s="1">
        <v>0</v>
      </c>
      <c r="U469" s="4">
        <v>4.0972222222222222E-2</v>
      </c>
      <c r="V469" s="1">
        <v>980</v>
      </c>
      <c r="W469" s="1">
        <v>1120</v>
      </c>
      <c r="X469" s="1">
        <v>2100</v>
      </c>
      <c r="Y469" s="1" t="s">
        <v>51</v>
      </c>
      <c r="Z469" s="1">
        <v>1540</v>
      </c>
      <c r="AA469" s="1">
        <v>560</v>
      </c>
      <c r="AB469" s="1">
        <v>0</v>
      </c>
      <c r="AC469" s="1">
        <v>0</v>
      </c>
      <c r="AD469" s="1">
        <v>0</v>
      </c>
      <c r="AE469" s="1">
        <v>0</v>
      </c>
      <c r="AF469" s="1"/>
      <c r="AG469" s="1">
        <v>0</v>
      </c>
      <c r="AH469" s="1">
        <v>0</v>
      </c>
      <c r="AI469" s="1">
        <v>0</v>
      </c>
      <c r="AJ469" s="1">
        <v>0</v>
      </c>
      <c r="AK469" s="1">
        <v>1.7696000000000001</v>
      </c>
      <c r="AL469" s="1">
        <v>1.7696000000000001</v>
      </c>
      <c r="AM469" s="1">
        <v>1.7696000000000001</v>
      </c>
    </row>
    <row r="470" spans="1:39" x14ac:dyDescent="0.3">
      <c r="A470" s="21" t="str">
        <f t="shared" si="7"/>
        <v>HFA803LLHA2026-02-25</v>
      </c>
      <c r="B470" t="str">
        <f>VLOOKUP(A470,Sheet1!A470:B1812,1,FALSE)</f>
        <v>HFA803LLHA2026-02-25</v>
      </c>
      <c r="C470" s="3">
        <v>46078</v>
      </c>
      <c r="D470" s="1" t="s">
        <v>116</v>
      </c>
      <c r="E470" s="1" t="s">
        <v>38</v>
      </c>
      <c r="F470" s="1"/>
      <c r="G470" s="1" t="s">
        <v>39</v>
      </c>
      <c r="H470" s="1" t="s">
        <v>134</v>
      </c>
      <c r="I470" s="1" t="s">
        <v>41</v>
      </c>
      <c r="J470" s="1" t="s">
        <v>42</v>
      </c>
      <c r="K470" s="1" t="s">
        <v>43</v>
      </c>
      <c r="L470" s="1" t="s">
        <v>44</v>
      </c>
      <c r="M470" s="1" t="s">
        <v>45</v>
      </c>
      <c r="N470" s="1" t="s">
        <v>67</v>
      </c>
      <c r="O470" s="1" t="s">
        <v>86</v>
      </c>
      <c r="P470" s="1" t="s">
        <v>87</v>
      </c>
      <c r="Q470" s="1" t="s">
        <v>88</v>
      </c>
      <c r="R470" s="1" t="s">
        <v>50</v>
      </c>
      <c r="S470" s="1">
        <v>264</v>
      </c>
      <c r="T470" s="1">
        <v>0</v>
      </c>
      <c r="U470" s="4">
        <v>4.1666666666666664E-2</v>
      </c>
      <c r="V470" s="1">
        <v>1540</v>
      </c>
      <c r="W470" s="1">
        <v>-10</v>
      </c>
      <c r="X470" s="1">
        <v>1530</v>
      </c>
      <c r="Y470" s="1" t="s">
        <v>51</v>
      </c>
      <c r="Z470" s="1">
        <v>930</v>
      </c>
      <c r="AA470" s="1">
        <v>600</v>
      </c>
      <c r="AB470" s="1">
        <v>0</v>
      </c>
      <c r="AC470" s="1">
        <v>0</v>
      </c>
      <c r="AD470" s="1">
        <v>0</v>
      </c>
      <c r="AE470" s="1">
        <v>0</v>
      </c>
      <c r="AF470" s="1"/>
      <c r="AG470" s="1">
        <v>0</v>
      </c>
      <c r="AH470" s="1">
        <v>0</v>
      </c>
      <c r="AI470" s="1">
        <v>0</v>
      </c>
      <c r="AJ470" s="1">
        <v>0</v>
      </c>
      <c r="AK470" s="1">
        <v>1.8959999999999999</v>
      </c>
      <c r="AL470" s="1">
        <v>1.8959999999999999</v>
      </c>
      <c r="AM470" s="1">
        <v>1.8959999999999999</v>
      </c>
    </row>
    <row r="471" spans="1:39" x14ac:dyDescent="0.3">
      <c r="A471" s="21" t="str">
        <f t="shared" si="7"/>
        <v>HFA804LCLK2026-02-25</v>
      </c>
      <c r="B471" t="str">
        <f>VLOOKUP(A471,Sheet1!A471:B1813,1,FALSE)</f>
        <v>HFA804LCLK2026-02-25</v>
      </c>
      <c r="C471" s="3">
        <v>46078</v>
      </c>
      <c r="D471" s="1" t="s">
        <v>117</v>
      </c>
      <c r="E471" s="1" t="s">
        <v>38</v>
      </c>
      <c r="F471" s="1"/>
      <c r="G471" s="1" t="s">
        <v>39</v>
      </c>
      <c r="H471" s="1" t="s">
        <v>134</v>
      </c>
      <c r="I471" s="1" t="s">
        <v>67</v>
      </c>
      <c r="J471" s="1" t="s">
        <v>86</v>
      </c>
      <c r="K471" s="1" t="s">
        <v>87</v>
      </c>
      <c r="L471" s="1" t="s">
        <v>88</v>
      </c>
      <c r="M471" s="1" t="s">
        <v>50</v>
      </c>
      <c r="N471" s="1" t="s">
        <v>41</v>
      </c>
      <c r="O471" s="1" t="s">
        <v>42</v>
      </c>
      <c r="P471" s="1" t="s">
        <v>43</v>
      </c>
      <c r="Q471" s="1" t="s">
        <v>44</v>
      </c>
      <c r="R471" s="1" t="s">
        <v>45</v>
      </c>
      <c r="S471" s="1">
        <v>264</v>
      </c>
      <c r="T471" s="1">
        <v>0</v>
      </c>
      <c r="U471" s="4">
        <v>3.888888888888889E-2</v>
      </c>
      <c r="V471" s="1">
        <v>930</v>
      </c>
      <c r="W471" s="1">
        <v>2170</v>
      </c>
      <c r="X471" s="1">
        <v>3100</v>
      </c>
      <c r="Y471" s="1" t="s">
        <v>51</v>
      </c>
      <c r="Z471" s="1">
        <v>2580</v>
      </c>
      <c r="AA471" s="1">
        <v>520</v>
      </c>
      <c r="AB471" s="1">
        <v>0</v>
      </c>
      <c r="AC471" s="1">
        <v>0</v>
      </c>
      <c r="AD471" s="1">
        <v>0</v>
      </c>
      <c r="AE471" s="1">
        <v>0</v>
      </c>
      <c r="AF471" s="1"/>
      <c r="AG471" s="1">
        <v>0</v>
      </c>
      <c r="AH471" s="1">
        <v>0</v>
      </c>
      <c r="AI471" s="1">
        <v>0</v>
      </c>
      <c r="AJ471" s="1">
        <v>0</v>
      </c>
      <c r="AK471" s="1">
        <v>1.6432</v>
      </c>
      <c r="AL471" s="1">
        <v>1.6432</v>
      </c>
      <c r="AM471" s="1">
        <v>1.6432</v>
      </c>
    </row>
    <row r="472" spans="1:39" x14ac:dyDescent="0.3">
      <c r="A472" s="21" t="str">
        <f t="shared" si="7"/>
        <v>HFA605LLHA2026-02-25</v>
      </c>
      <c r="B472" t="e">
        <f>VLOOKUP(A472,Sheet1!A472:B1814,1,FALSE)</f>
        <v>#N/A</v>
      </c>
      <c r="C472" s="3">
        <v>46078</v>
      </c>
      <c r="D472" s="1" t="s">
        <v>62</v>
      </c>
      <c r="E472" s="1" t="s">
        <v>38</v>
      </c>
      <c r="F472" s="1" t="s">
        <v>54</v>
      </c>
      <c r="G472" s="1" t="s">
        <v>39</v>
      </c>
      <c r="H472" s="1" t="s">
        <v>134</v>
      </c>
      <c r="I472" s="1" t="s">
        <v>41</v>
      </c>
      <c r="J472" s="1" t="s">
        <v>42</v>
      </c>
      <c r="K472" s="1" t="s">
        <v>43</v>
      </c>
      <c r="L472" s="1" t="s">
        <v>44</v>
      </c>
      <c r="M472" s="1" t="s">
        <v>45</v>
      </c>
      <c r="N472" s="1" t="s">
        <v>41</v>
      </c>
      <c r="O472" s="1" t="s">
        <v>58</v>
      </c>
      <c r="P472" s="1" t="s">
        <v>59</v>
      </c>
      <c r="Q472" s="1" t="s">
        <v>60</v>
      </c>
      <c r="R472" s="1" t="s">
        <v>45</v>
      </c>
      <c r="S472" s="1">
        <v>342</v>
      </c>
      <c r="T472" s="1">
        <v>0</v>
      </c>
      <c r="U472" s="4">
        <v>4.2361111111111106E-2</v>
      </c>
      <c r="V472" s="1">
        <v>2580</v>
      </c>
      <c r="W472" s="1">
        <v>-30</v>
      </c>
      <c r="X472" s="1">
        <v>2550</v>
      </c>
      <c r="Y472" s="1" t="s">
        <v>51</v>
      </c>
      <c r="Z472" s="1">
        <v>1880</v>
      </c>
      <c r="AA472" s="1">
        <v>670</v>
      </c>
      <c r="AB472" s="1">
        <v>0</v>
      </c>
      <c r="AC472" s="1">
        <v>0</v>
      </c>
      <c r="AD472" s="1">
        <v>0</v>
      </c>
      <c r="AE472" s="1">
        <v>0</v>
      </c>
      <c r="AF472" s="1"/>
      <c r="AG472" s="1">
        <v>0</v>
      </c>
      <c r="AH472" s="1">
        <v>0</v>
      </c>
      <c r="AI472" s="1">
        <v>0</v>
      </c>
      <c r="AJ472" s="1">
        <v>0</v>
      </c>
      <c r="AK472" s="1">
        <v>2.1172</v>
      </c>
      <c r="AL472" s="1">
        <v>2.1172</v>
      </c>
      <c r="AM472" s="1">
        <v>2.1172</v>
      </c>
    </row>
    <row r="473" spans="1:39" x14ac:dyDescent="0.3">
      <c r="A473" s="21" t="str">
        <f t="shared" si="7"/>
        <v>HFA606LLER2026-02-25</v>
      </c>
      <c r="B473" t="e">
        <f>VLOOKUP(A473,Sheet1!A473:B1815,1,FALSE)</f>
        <v>#N/A</v>
      </c>
      <c r="C473" s="3">
        <v>46078</v>
      </c>
      <c r="D473" s="1" t="s">
        <v>63</v>
      </c>
      <c r="E473" s="1" t="s">
        <v>38</v>
      </c>
      <c r="F473" s="1" t="s">
        <v>54</v>
      </c>
      <c r="G473" s="1" t="s">
        <v>39</v>
      </c>
      <c r="H473" s="1" t="s">
        <v>134</v>
      </c>
      <c r="I473" s="1" t="s">
        <v>41</v>
      </c>
      <c r="J473" s="1" t="s">
        <v>58</v>
      </c>
      <c r="K473" s="1" t="s">
        <v>59</v>
      </c>
      <c r="L473" s="1" t="s">
        <v>60</v>
      </c>
      <c r="M473" s="1" t="s">
        <v>45</v>
      </c>
      <c r="N473" s="1" t="s">
        <v>41</v>
      </c>
      <c r="O473" s="1" t="s">
        <v>42</v>
      </c>
      <c r="P473" s="1" t="s">
        <v>43</v>
      </c>
      <c r="Q473" s="1" t="s">
        <v>44</v>
      </c>
      <c r="R473" s="1" t="s">
        <v>45</v>
      </c>
      <c r="S473" s="1">
        <v>342</v>
      </c>
      <c r="T473" s="1">
        <v>0</v>
      </c>
      <c r="U473" s="4">
        <v>4.0972222222222222E-2</v>
      </c>
      <c r="V473" s="1">
        <v>1880</v>
      </c>
      <c r="W473" s="1">
        <v>320</v>
      </c>
      <c r="X473" s="1">
        <v>2200</v>
      </c>
      <c r="Y473" s="1" t="s">
        <v>51</v>
      </c>
      <c r="Z473" s="1">
        <v>1480</v>
      </c>
      <c r="AA473" s="1">
        <v>720</v>
      </c>
      <c r="AB473" s="1">
        <v>0</v>
      </c>
      <c r="AC473" s="1">
        <v>0</v>
      </c>
      <c r="AD473" s="1">
        <v>0</v>
      </c>
      <c r="AE473" s="1">
        <v>0</v>
      </c>
      <c r="AF473" s="1"/>
      <c r="AG473" s="1">
        <v>0</v>
      </c>
      <c r="AH473" s="1">
        <v>0</v>
      </c>
      <c r="AI473" s="1">
        <v>0</v>
      </c>
      <c r="AJ473" s="1">
        <v>0</v>
      </c>
      <c r="AK473" s="1">
        <v>2.2751999999999999</v>
      </c>
      <c r="AL473" s="1">
        <v>2.2751999999999999</v>
      </c>
      <c r="AM473" s="1">
        <v>2.2751999999999999</v>
      </c>
    </row>
    <row r="474" spans="1:39" x14ac:dyDescent="0.3">
      <c r="A474" s="21" t="str">
        <f t="shared" si="7"/>
        <v>HFA807LLHA2026-02-25</v>
      </c>
      <c r="B474" t="str">
        <f>VLOOKUP(A474,Sheet1!A474:B1816,1,FALSE)</f>
        <v>HFA807LLHA2026-02-25</v>
      </c>
      <c r="C474" s="3">
        <v>46078</v>
      </c>
      <c r="D474" s="1" t="s">
        <v>118</v>
      </c>
      <c r="E474" s="1" t="s">
        <v>38</v>
      </c>
      <c r="F474" s="1"/>
      <c r="G474" s="1" t="s">
        <v>39</v>
      </c>
      <c r="H474" s="1" t="s">
        <v>134</v>
      </c>
      <c r="I474" s="1" t="s">
        <v>41</v>
      </c>
      <c r="J474" s="1" t="s">
        <v>42</v>
      </c>
      <c r="K474" s="1" t="s">
        <v>43</v>
      </c>
      <c r="L474" s="1" t="s">
        <v>44</v>
      </c>
      <c r="M474" s="1" t="s">
        <v>45</v>
      </c>
      <c r="N474" s="1" t="s">
        <v>67</v>
      </c>
      <c r="O474" s="1" t="s">
        <v>86</v>
      </c>
      <c r="P474" s="1" t="s">
        <v>87</v>
      </c>
      <c r="Q474" s="1" t="s">
        <v>88</v>
      </c>
      <c r="R474" s="1" t="s">
        <v>50</v>
      </c>
      <c r="S474" s="1">
        <v>264</v>
      </c>
      <c r="T474" s="1">
        <v>0</v>
      </c>
      <c r="U474" s="4">
        <v>4.0972222222222222E-2</v>
      </c>
      <c r="V474" s="1">
        <v>1480</v>
      </c>
      <c r="W474" s="1">
        <v>-10</v>
      </c>
      <c r="X474" s="1">
        <v>1470</v>
      </c>
      <c r="Y474" s="1" t="s">
        <v>51</v>
      </c>
      <c r="Z474" s="1">
        <v>850</v>
      </c>
      <c r="AA474" s="1">
        <v>620</v>
      </c>
      <c r="AB474" s="1">
        <v>0</v>
      </c>
      <c r="AC474" s="1">
        <v>0</v>
      </c>
      <c r="AD474" s="1">
        <v>0</v>
      </c>
      <c r="AE474" s="1">
        <v>0</v>
      </c>
      <c r="AF474" s="1"/>
      <c r="AG474" s="1">
        <v>0</v>
      </c>
      <c r="AH474" s="1">
        <v>0</v>
      </c>
      <c r="AI474" s="1">
        <v>0</v>
      </c>
      <c r="AJ474" s="1">
        <v>0</v>
      </c>
      <c r="AK474" s="1">
        <v>1.9592000000000001</v>
      </c>
      <c r="AL474" s="1">
        <v>1.9592000000000001</v>
      </c>
      <c r="AM474" s="1">
        <v>1.9592000000000001</v>
      </c>
    </row>
    <row r="475" spans="1:39" x14ac:dyDescent="0.3">
      <c r="A475" s="21" t="str">
        <f t="shared" si="7"/>
        <v>HFA808LCLK2026-02-25</v>
      </c>
      <c r="B475" t="str">
        <f>VLOOKUP(A475,Sheet1!A475:B1817,1,FALSE)</f>
        <v>HFA808LCLK2026-02-25</v>
      </c>
      <c r="C475" s="3">
        <v>46078</v>
      </c>
      <c r="D475" s="1" t="s">
        <v>119</v>
      </c>
      <c r="E475" s="1" t="s">
        <v>38</v>
      </c>
      <c r="F475" s="1"/>
      <c r="G475" s="1" t="s">
        <v>39</v>
      </c>
      <c r="H475" s="1" t="s">
        <v>134</v>
      </c>
      <c r="I475" s="1" t="s">
        <v>67</v>
      </c>
      <c r="J475" s="1" t="s">
        <v>86</v>
      </c>
      <c r="K475" s="1" t="s">
        <v>87</v>
      </c>
      <c r="L475" s="1" t="s">
        <v>88</v>
      </c>
      <c r="M475" s="1" t="s">
        <v>50</v>
      </c>
      <c r="N475" s="1" t="s">
        <v>41</v>
      </c>
      <c r="O475" s="1" t="s">
        <v>42</v>
      </c>
      <c r="P475" s="1" t="s">
        <v>43</v>
      </c>
      <c r="Q475" s="1" t="s">
        <v>44</v>
      </c>
      <c r="R475" s="1" t="s">
        <v>45</v>
      </c>
      <c r="S475" s="1">
        <v>264</v>
      </c>
      <c r="T475" s="1">
        <v>0</v>
      </c>
      <c r="U475" s="4">
        <v>3.6805555555555557E-2</v>
      </c>
      <c r="V475" s="1">
        <v>850</v>
      </c>
      <c r="W475" s="1">
        <v>1550</v>
      </c>
      <c r="X475" s="1">
        <v>2400</v>
      </c>
      <c r="Y475" s="1" t="s">
        <v>51</v>
      </c>
      <c r="Z475" s="1">
        <v>1900</v>
      </c>
      <c r="AA475" s="1">
        <v>500</v>
      </c>
      <c r="AB475" s="1">
        <v>0</v>
      </c>
      <c r="AC475" s="1">
        <v>0</v>
      </c>
      <c r="AD475" s="1">
        <v>0</v>
      </c>
      <c r="AE475" s="1">
        <v>0</v>
      </c>
      <c r="AF475" s="1"/>
      <c r="AG475" s="1">
        <v>0</v>
      </c>
      <c r="AH475" s="1">
        <v>0</v>
      </c>
      <c r="AI475" s="1">
        <v>0</v>
      </c>
      <c r="AJ475" s="1">
        <v>0</v>
      </c>
      <c r="AK475" s="1">
        <v>1.58</v>
      </c>
      <c r="AL475" s="1">
        <v>1.58</v>
      </c>
      <c r="AM475" s="1">
        <v>1.58</v>
      </c>
    </row>
    <row r="476" spans="1:39" x14ac:dyDescent="0.3">
      <c r="A476" s="21" t="str">
        <f t="shared" si="7"/>
        <v>HFA601LLHA2026-02-26</v>
      </c>
      <c r="B476" t="e">
        <f>VLOOKUP(A476,Sheet1!A476:B1818,1,FALSE)</f>
        <v>#N/A</v>
      </c>
      <c r="C476" s="3">
        <v>46079</v>
      </c>
      <c r="D476" s="1" t="s">
        <v>57</v>
      </c>
      <c r="E476" s="1" t="s">
        <v>38</v>
      </c>
      <c r="F476" s="1" t="s">
        <v>54</v>
      </c>
      <c r="G476" s="1" t="s">
        <v>39</v>
      </c>
      <c r="H476" s="1" t="s">
        <v>134</v>
      </c>
      <c r="I476" s="1" t="s">
        <v>41</v>
      </c>
      <c r="J476" s="1" t="s">
        <v>42</v>
      </c>
      <c r="K476" s="1" t="s">
        <v>43</v>
      </c>
      <c r="L476" s="1" t="s">
        <v>44</v>
      </c>
      <c r="M476" s="1" t="s">
        <v>45</v>
      </c>
      <c r="N476" s="1" t="s">
        <v>41</v>
      </c>
      <c r="O476" s="1" t="s">
        <v>58</v>
      </c>
      <c r="P476" s="1" t="s">
        <v>59</v>
      </c>
      <c r="Q476" s="1" t="s">
        <v>60</v>
      </c>
      <c r="R476" s="1" t="s">
        <v>45</v>
      </c>
      <c r="S476" s="1">
        <v>342</v>
      </c>
      <c r="T476" s="1">
        <v>0</v>
      </c>
      <c r="U476" s="4">
        <v>4.1666666666666664E-2</v>
      </c>
      <c r="V476" s="1">
        <v>1900</v>
      </c>
      <c r="W476" s="1">
        <v>-20</v>
      </c>
      <c r="X476" s="1">
        <v>1880</v>
      </c>
      <c r="Y476" s="1" t="s">
        <v>51</v>
      </c>
      <c r="Z476" s="1">
        <v>1200</v>
      </c>
      <c r="AA476" s="1">
        <v>680</v>
      </c>
      <c r="AB476" s="1">
        <v>0</v>
      </c>
      <c r="AC476" s="1">
        <v>0</v>
      </c>
      <c r="AD476" s="1">
        <v>0</v>
      </c>
      <c r="AE476" s="1">
        <v>0</v>
      </c>
      <c r="AF476" s="1"/>
      <c r="AG476" s="1">
        <v>0</v>
      </c>
      <c r="AH476" s="1">
        <v>0</v>
      </c>
      <c r="AI476" s="1">
        <v>0</v>
      </c>
      <c r="AJ476" s="1">
        <v>0</v>
      </c>
      <c r="AK476" s="1">
        <v>2.1488</v>
      </c>
      <c r="AL476" s="1">
        <v>2.1488</v>
      </c>
      <c r="AM476" s="1">
        <v>2.1488</v>
      </c>
    </row>
    <row r="477" spans="1:39" x14ac:dyDescent="0.3">
      <c r="A477" s="21" t="str">
        <f t="shared" si="7"/>
        <v>HFA602LLER2026-02-26</v>
      </c>
      <c r="B477" t="e">
        <f>VLOOKUP(A477,Sheet1!A477:B1819,1,FALSE)</f>
        <v>#N/A</v>
      </c>
      <c r="C477" s="3">
        <v>46079</v>
      </c>
      <c r="D477" s="1" t="s">
        <v>61</v>
      </c>
      <c r="E477" s="1" t="s">
        <v>38</v>
      </c>
      <c r="F477" s="1" t="s">
        <v>54</v>
      </c>
      <c r="G477" s="1" t="s">
        <v>39</v>
      </c>
      <c r="H477" s="1" t="s">
        <v>134</v>
      </c>
      <c r="I477" s="1" t="s">
        <v>41</v>
      </c>
      <c r="J477" s="1" t="s">
        <v>58</v>
      </c>
      <c r="K477" s="1" t="s">
        <v>59</v>
      </c>
      <c r="L477" s="1" t="s">
        <v>60</v>
      </c>
      <c r="M477" s="1" t="s">
        <v>45</v>
      </c>
      <c r="N477" s="1" t="s">
        <v>41</v>
      </c>
      <c r="O477" s="1" t="s">
        <v>42</v>
      </c>
      <c r="P477" s="1" t="s">
        <v>43</v>
      </c>
      <c r="Q477" s="1" t="s">
        <v>44</v>
      </c>
      <c r="R477" s="1" t="s">
        <v>45</v>
      </c>
      <c r="S477" s="1">
        <v>342</v>
      </c>
      <c r="T477" s="1">
        <v>0</v>
      </c>
      <c r="U477" s="4">
        <v>4.3749999999999997E-2</v>
      </c>
      <c r="V477" s="1">
        <v>1200</v>
      </c>
      <c r="W477" s="1">
        <v>1300</v>
      </c>
      <c r="X477" s="1">
        <v>2500</v>
      </c>
      <c r="Y477" s="1" t="s">
        <v>51</v>
      </c>
      <c r="Z477" s="1">
        <v>1750</v>
      </c>
      <c r="AA477" s="1">
        <v>750</v>
      </c>
      <c r="AB477" s="1">
        <v>0</v>
      </c>
      <c r="AC477" s="1">
        <v>0</v>
      </c>
      <c r="AD477" s="1">
        <v>0</v>
      </c>
      <c r="AE477" s="1">
        <v>0</v>
      </c>
      <c r="AF477" s="1"/>
      <c r="AG477" s="1">
        <v>0</v>
      </c>
      <c r="AH477" s="1">
        <v>0</v>
      </c>
      <c r="AI477" s="1">
        <v>0</v>
      </c>
      <c r="AJ477" s="1">
        <v>0</v>
      </c>
      <c r="AK477" s="1">
        <v>2.37</v>
      </c>
      <c r="AL477" s="1">
        <v>2.37</v>
      </c>
      <c r="AM477" s="1">
        <v>2.37</v>
      </c>
    </row>
    <row r="478" spans="1:39" x14ac:dyDescent="0.3">
      <c r="A478" s="21" t="str">
        <f t="shared" si="7"/>
        <v>HFA603LLHA2026-02-26</v>
      </c>
      <c r="B478" t="e">
        <f>VLOOKUP(A478,Sheet1!A478:B1820,1,FALSE)</f>
        <v>#N/A</v>
      </c>
      <c r="C478" s="3">
        <v>46079</v>
      </c>
      <c r="D478" s="1" t="s">
        <v>72</v>
      </c>
      <c r="E478" s="1" t="s">
        <v>38</v>
      </c>
      <c r="F478" s="1" t="s">
        <v>54</v>
      </c>
      <c r="G478" s="1" t="s">
        <v>39</v>
      </c>
      <c r="H478" s="1" t="s">
        <v>134</v>
      </c>
      <c r="I478" s="1" t="s">
        <v>41</v>
      </c>
      <c r="J478" s="1" t="s">
        <v>42</v>
      </c>
      <c r="K478" s="1" t="s">
        <v>43</v>
      </c>
      <c r="L478" s="1" t="s">
        <v>44</v>
      </c>
      <c r="M478" s="1" t="s">
        <v>45</v>
      </c>
      <c r="N478" s="1" t="s">
        <v>41</v>
      </c>
      <c r="O478" s="1" t="s">
        <v>58</v>
      </c>
      <c r="P478" s="1" t="s">
        <v>59</v>
      </c>
      <c r="Q478" s="1" t="s">
        <v>60</v>
      </c>
      <c r="R478" s="1" t="s">
        <v>45</v>
      </c>
      <c r="S478" s="1">
        <v>342</v>
      </c>
      <c r="T478" s="1">
        <v>0</v>
      </c>
      <c r="U478" s="4">
        <v>3.9583333333333331E-2</v>
      </c>
      <c r="V478" s="1">
        <v>1750</v>
      </c>
      <c r="W478" s="1">
        <v>0</v>
      </c>
      <c r="X478" s="1">
        <v>1750</v>
      </c>
      <c r="Y478" s="1" t="s">
        <v>51</v>
      </c>
      <c r="Z478" s="1">
        <v>1040</v>
      </c>
      <c r="AA478" s="1">
        <v>710</v>
      </c>
      <c r="AB478" s="1">
        <v>0</v>
      </c>
      <c r="AC478" s="1">
        <v>0</v>
      </c>
      <c r="AD478" s="1">
        <v>0</v>
      </c>
      <c r="AE478" s="1">
        <v>0</v>
      </c>
      <c r="AF478" s="1"/>
      <c r="AG478" s="1">
        <v>0</v>
      </c>
      <c r="AH478" s="1">
        <v>0</v>
      </c>
      <c r="AI478" s="1">
        <v>0</v>
      </c>
      <c r="AJ478" s="1">
        <v>0</v>
      </c>
      <c r="AK478" s="1">
        <v>2.2435999999999998</v>
      </c>
      <c r="AL478" s="1">
        <v>2.2435999999999998</v>
      </c>
      <c r="AM478" s="1">
        <v>2.2435999999999998</v>
      </c>
    </row>
    <row r="479" spans="1:39" x14ac:dyDescent="0.3">
      <c r="A479" s="21" t="str">
        <f t="shared" si="7"/>
        <v>HFA604LLER2026-02-26</v>
      </c>
      <c r="B479" t="e">
        <f>VLOOKUP(A479,Sheet1!A479:B1821,1,FALSE)</f>
        <v>#N/A</v>
      </c>
      <c r="C479" s="3">
        <v>46079</v>
      </c>
      <c r="D479" s="1" t="s">
        <v>73</v>
      </c>
      <c r="E479" s="1" t="s">
        <v>38</v>
      </c>
      <c r="F479" s="1" t="s">
        <v>54</v>
      </c>
      <c r="G479" s="1" t="s">
        <v>39</v>
      </c>
      <c r="H479" s="1" t="s">
        <v>134</v>
      </c>
      <c r="I479" s="1" t="s">
        <v>41</v>
      </c>
      <c r="J479" s="1" t="s">
        <v>58</v>
      </c>
      <c r="K479" s="1" t="s">
        <v>59</v>
      </c>
      <c r="L479" s="1" t="s">
        <v>60</v>
      </c>
      <c r="M479" s="1" t="s">
        <v>45</v>
      </c>
      <c r="N479" s="1" t="s">
        <v>41</v>
      </c>
      <c r="O479" s="1" t="s">
        <v>42</v>
      </c>
      <c r="P479" s="1" t="s">
        <v>43</v>
      </c>
      <c r="Q479" s="1" t="s">
        <v>44</v>
      </c>
      <c r="R479" s="1" t="s">
        <v>45</v>
      </c>
      <c r="S479" s="1">
        <v>342</v>
      </c>
      <c r="T479" s="1">
        <v>0</v>
      </c>
      <c r="U479" s="4">
        <v>4.6527777777777779E-2</v>
      </c>
      <c r="V479" s="1">
        <v>1040</v>
      </c>
      <c r="W479" s="1">
        <v>1160</v>
      </c>
      <c r="X479" s="1">
        <v>2200</v>
      </c>
      <c r="Y479" s="1" t="s">
        <v>51</v>
      </c>
      <c r="Z479" s="1">
        <v>1440</v>
      </c>
      <c r="AA479" s="1">
        <v>760</v>
      </c>
      <c r="AB479" s="1">
        <v>0</v>
      </c>
      <c r="AC479" s="1">
        <v>0</v>
      </c>
      <c r="AD479" s="1">
        <v>0</v>
      </c>
      <c r="AE479" s="1">
        <v>0</v>
      </c>
      <c r="AF479" s="1"/>
      <c r="AG479" s="1">
        <v>0</v>
      </c>
      <c r="AH479" s="1">
        <v>0</v>
      </c>
      <c r="AI479" s="1">
        <v>0</v>
      </c>
      <c r="AJ479" s="1">
        <v>0</v>
      </c>
      <c r="AK479" s="1">
        <v>2.4016000000000002</v>
      </c>
      <c r="AL479" s="1">
        <v>2.4016000000000002</v>
      </c>
      <c r="AM479" s="1">
        <v>2.4016000000000002</v>
      </c>
    </row>
    <row r="480" spans="1:39" x14ac:dyDescent="0.3">
      <c r="A480" s="21" t="str">
        <f t="shared" si="7"/>
        <v>HFA801LLHA2026-02-27</v>
      </c>
      <c r="B480" t="str">
        <f>VLOOKUP(A480,Sheet1!A480:B1822,1,FALSE)</f>
        <v>HFA801LLHA2026-02-27</v>
      </c>
      <c r="C480" s="3">
        <v>46080</v>
      </c>
      <c r="D480" s="1" t="s">
        <v>133</v>
      </c>
      <c r="E480" s="1" t="s">
        <v>38</v>
      </c>
      <c r="F480" s="1"/>
      <c r="G480" s="1" t="s">
        <v>39</v>
      </c>
      <c r="H480" s="1" t="s">
        <v>134</v>
      </c>
      <c r="I480" s="1" t="s">
        <v>41</v>
      </c>
      <c r="J480" s="1" t="s">
        <v>42</v>
      </c>
      <c r="K480" s="1" t="s">
        <v>43</v>
      </c>
      <c r="L480" s="1" t="s">
        <v>44</v>
      </c>
      <c r="M480" s="1" t="s">
        <v>45</v>
      </c>
      <c r="N480" s="1" t="s">
        <v>67</v>
      </c>
      <c r="O480" s="1" t="s">
        <v>86</v>
      </c>
      <c r="P480" s="1" t="s">
        <v>87</v>
      </c>
      <c r="Q480" s="1" t="s">
        <v>88</v>
      </c>
      <c r="R480" s="1" t="s">
        <v>50</v>
      </c>
      <c r="S480" s="1">
        <v>264</v>
      </c>
      <c r="T480" s="1">
        <v>0</v>
      </c>
      <c r="U480" s="4">
        <v>3.888888888888889E-2</v>
      </c>
      <c r="V480" s="1">
        <v>1440</v>
      </c>
      <c r="W480" s="1">
        <v>60</v>
      </c>
      <c r="X480" s="1">
        <v>1500</v>
      </c>
      <c r="Y480" s="1" t="s">
        <v>51</v>
      </c>
      <c r="Z480" s="1">
        <v>890</v>
      </c>
      <c r="AA480" s="1">
        <v>610</v>
      </c>
      <c r="AB480" s="1">
        <v>0</v>
      </c>
      <c r="AC480" s="1">
        <v>0</v>
      </c>
      <c r="AD480" s="1">
        <v>0</v>
      </c>
      <c r="AE480" s="1">
        <v>0</v>
      </c>
      <c r="AF480" s="1"/>
      <c r="AG480" s="1">
        <v>0</v>
      </c>
      <c r="AH480" s="1">
        <v>0</v>
      </c>
      <c r="AI480" s="1">
        <v>0</v>
      </c>
      <c r="AJ480" s="1">
        <v>0</v>
      </c>
      <c r="AK480" s="1">
        <v>1.9276</v>
      </c>
      <c r="AL480" s="1">
        <v>1.9276</v>
      </c>
      <c r="AM480" s="1">
        <v>1.9276</v>
      </c>
    </row>
    <row r="481" spans="1:39" x14ac:dyDescent="0.3">
      <c r="A481" s="21" t="str">
        <f t="shared" si="7"/>
        <v>HFA802LCLK2026-02-27</v>
      </c>
      <c r="B481" t="str">
        <f>VLOOKUP(A481,Sheet1!A481:B1823,1,FALSE)</f>
        <v>HFA802LCLK2026-02-27</v>
      </c>
      <c r="C481" s="3">
        <v>46080</v>
      </c>
      <c r="D481" s="1" t="s">
        <v>135</v>
      </c>
      <c r="E481" s="1" t="s">
        <v>38</v>
      </c>
      <c r="F481" s="1"/>
      <c r="G481" s="1" t="s">
        <v>39</v>
      </c>
      <c r="H481" s="1" t="s">
        <v>134</v>
      </c>
      <c r="I481" s="1" t="s">
        <v>67</v>
      </c>
      <c r="J481" s="1" t="s">
        <v>86</v>
      </c>
      <c r="K481" s="1" t="s">
        <v>87</v>
      </c>
      <c r="L481" s="1" t="s">
        <v>88</v>
      </c>
      <c r="M481" s="1" t="s">
        <v>50</v>
      </c>
      <c r="N481" s="1" t="s">
        <v>41</v>
      </c>
      <c r="O481" s="1" t="s">
        <v>42</v>
      </c>
      <c r="P481" s="1" t="s">
        <v>43</v>
      </c>
      <c r="Q481" s="1" t="s">
        <v>44</v>
      </c>
      <c r="R481" s="1" t="s">
        <v>45</v>
      </c>
      <c r="S481" s="1">
        <v>264</v>
      </c>
      <c r="T481" s="1">
        <v>0</v>
      </c>
      <c r="U481" s="4">
        <v>3.5416666666666666E-2</v>
      </c>
      <c r="V481" s="1">
        <v>890</v>
      </c>
      <c r="W481" s="1">
        <v>1210</v>
      </c>
      <c r="X481" s="1">
        <v>2100</v>
      </c>
      <c r="Y481" s="1" t="s">
        <v>51</v>
      </c>
      <c r="Z481" s="1">
        <v>1580</v>
      </c>
      <c r="AA481" s="1">
        <v>520</v>
      </c>
      <c r="AB481" s="1">
        <v>0</v>
      </c>
      <c r="AC481" s="1">
        <v>0</v>
      </c>
      <c r="AD481" s="1">
        <v>0</v>
      </c>
      <c r="AE481" s="1">
        <v>0</v>
      </c>
      <c r="AF481" s="1"/>
      <c r="AG481" s="1">
        <v>0</v>
      </c>
      <c r="AH481" s="1">
        <v>0</v>
      </c>
      <c r="AI481" s="1">
        <v>0</v>
      </c>
      <c r="AJ481" s="1">
        <v>0</v>
      </c>
      <c r="AK481" s="1">
        <v>1.6432</v>
      </c>
      <c r="AL481" s="1">
        <v>1.6432</v>
      </c>
      <c r="AM481" s="1">
        <v>1.6432</v>
      </c>
    </row>
    <row r="482" spans="1:39" x14ac:dyDescent="0.3">
      <c r="A482" s="21" t="str">
        <f t="shared" si="7"/>
        <v>HFA803LLHA2026-02-27</v>
      </c>
      <c r="B482" t="str">
        <f>VLOOKUP(A482,Sheet1!A482:B1824,1,FALSE)</f>
        <v>HFA803LLHA2026-02-27</v>
      </c>
      <c r="C482" s="3">
        <v>46080</v>
      </c>
      <c r="D482" s="1" t="s">
        <v>116</v>
      </c>
      <c r="E482" s="1" t="s">
        <v>38</v>
      </c>
      <c r="F482" s="1"/>
      <c r="G482" s="1" t="s">
        <v>39</v>
      </c>
      <c r="H482" s="1" t="s">
        <v>134</v>
      </c>
      <c r="I482" s="1" t="s">
        <v>41</v>
      </c>
      <c r="J482" s="1" t="s">
        <v>42</v>
      </c>
      <c r="K482" s="1" t="s">
        <v>43</v>
      </c>
      <c r="L482" s="1" t="s">
        <v>44</v>
      </c>
      <c r="M482" s="1" t="s">
        <v>45</v>
      </c>
      <c r="N482" s="1" t="s">
        <v>67</v>
      </c>
      <c r="O482" s="1" t="s">
        <v>86</v>
      </c>
      <c r="P482" s="1" t="s">
        <v>87</v>
      </c>
      <c r="Q482" s="1" t="s">
        <v>88</v>
      </c>
      <c r="R482" s="1" t="s">
        <v>50</v>
      </c>
      <c r="S482" s="1">
        <v>264</v>
      </c>
      <c r="T482" s="1">
        <v>0</v>
      </c>
      <c r="U482" s="4">
        <v>3.9583333333333331E-2</v>
      </c>
      <c r="V482" s="1">
        <v>1580</v>
      </c>
      <c r="W482" s="1">
        <v>-20</v>
      </c>
      <c r="X482" s="1">
        <v>1560</v>
      </c>
      <c r="Y482" s="1" t="s">
        <v>51</v>
      </c>
      <c r="Z482" s="1">
        <v>940</v>
      </c>
      <c r="AA482" s="1">
        <v>620</v>
      </c>
      <c r="AB482" s="1">
        <v>0</v>
      </c>
      <c r="AC482" s="1">
        <v>0</v>
      </c>
      <c r="AD482" s="1">
        <v>0</v>
      </c>
      <c r="AE482" s="1">
        <v>0</v>
      </c>
      <c r="AF482" s="1"/>
      <c r="AG482" s="1">
        <v>0</v>
      </c>
      <c r="AH482" s="1">
        <v>0</v>
      </c>
      <c r="AI482" s="1">
        <v>0</v>
      </c>
      <c r="AJ482" s="1">
        <v>0</v>
      </c>
      <c r="AK482" s="1">
        <v>1.9592000000000001</v>
      </c>
      <c r="AL482" s="1">
        <v>1.9592000000000001</v>
      </c>
      <c r="AM482" s="1">
        <v>1.9592000000000001</v>
      </c>
    </row>
    <row r="483" spans="1:39" x14ac:dyDescent="0.3">
      <c r="A483" s="21" t="str">
        <f t="shared" si="7"/>
        <v>HFA804LCLK2026-02-27</v>
      </c>
      <c r="B483" t="str">
        <f>VLOOKUP(A483,Sheet1!A483:B1825,1,FALSE)</f>
        <v>HFA804LCLK2026-02-27</v>
      </c>
      <c r="C483" s="3">
        <v>46080</v>
      </c>
      <c r="D483" s="1" t="s">
        <v>117</v>
      </c>
      <c r="E483" s="1" t="s">
        <v>38</v>
      </c>
      <c r="F483" s="1"/>
      <c r="G483" s="1" t="s">
        <v>39</v>
      </c>
      <c r="H483" s="1" t="s">
        <v>134</v>
      </c>
      <c r="I483" s="1" t="s">
        <v>67</v>
      </c>
      <c r="J483" s="1" t="s">
        <v>86</v>
      </c>
      <c r="K483" s="1" t="s">
        <v>87</v>
      </c>
      <c r="L483" s="1" t="s">
        <v>88</v>
      </c>
      <c r="M483" s="1" t="s">
        <v>50</v>
      </c>
      <c r="N483" s="1" t="s">
        <v>41</v>
      </c>
      <c r="O483" s="1" t="s">
        <v>42</v>
      </c>
      <c r="P483" s="1" t="s">
        <v>43</v>
      </c>
      <c r="Q483" s="1" t="s">
        <v>44</v>
      </c>
      <c r="R483" s="1" t="s">
        <v>45</v>
      </c>
      <c r="S483" s="1">
        <v>264</v>
      </c>
      <c r="T483" s="1">
        <v>0</v>
      </c>
      <c r="U483" s="4">
        <v>3.2638888888888891E-2</v>
      </c>
      <c r="V483" s="1">
        <v>940</v>
      </c>
      <c r="W483" s="1">
        <v>1160</v>
      </c>
      <c r="X483" s="1">
        <v>2100</v>
      </c>
      <c r="Y483" s="1" t="s">
        <v>51</v>
      </c>
      <c r="Z483" s="1">
        <v>1590</v>
      </c>
      <c r="AA483" s="1">
        <v>510</v>
      </c>
      <c r="AB483" s="1">
        <v>0</v>
      </c>
      <c r="AC483" s="1">
        <v>0</v>
      </c>
      <c r="AD483" s="1">
        <v>0</v>
      </c>
      <c r="AE483" s="1">
        <v>0</v>
      </c>
      <c r="AF483" s="1"/>
      <c r="AG483" s="1">
        <v>0</v>
      </c>
      <c r="AH483" s="1">
        <v>0</v>
      </c>
      <c r="AI483" s="1">
        <v>0</v>
      </c>
      <c r="AJ483" s="1">
        <v>0</v>
      </c>
      <c r="AK483" s="1">
        <v>1.6115999999999999</v>
      </c>
      <c r="AL483" s="1">
        <v>1.6115999999999999</v>
      </c>
      <c r="AM483" s="1">
        <v>1.6115999999999999</v>
      </c>
    </row>
    <row r="484" spans="1:39" x14ac:dyDescent="0.3">
      <c r="A484" s="21" t="str">
        <f t="shared" si="7"/>
        <v>HFA301LLHA2026-02-28</v>
      </c>
      <c r="B484" t="e">
        <f>VLOOKUP(A484,Sheet1!A484:B1826,1,FALSE)</f>
        <v>#N/A</v>
      </c>
      <c r="C484" s="3">
        <v>46081</v>
      </c>
      <c r="D484" s="1" t="s">
        <v>137</v>
      </c>
      <c r="E484" s="1" t="s">
        <v>38</v>
      </c>
      <c r="F484" s="1"/>
      <c r="G484" s="1" t="s">
        <v>39</v>
      </c>
      <c r="H484" s="1" t="s">
        <v>134</v>
      </c>
      <c r="I484" s="1" t="s">
        <v>41</v>
      </c>
      <c r="J484" s="1" t="s">
        <v>42</v>
      </c>
      <c r="K484" s="1" t="s">
        <v>43</v>
      </c>
      <c r="L484" s="1" t="s">
        <v>44</v>
      </c>
      <c r="M484" s="1" t="s">
        <v>45</v>
      </c>
      <c r="N484" s="1" t="s">
        <v>67</v>
      </c>
      <c r="O484" s="1" t="s">
        <v>86</v>
      </c>
      <c r="P484" s="1" t="s">
        <v>87</v>
      </c>
      <c r="Q484" s="1" t="s">
        <v>88</v>
      </c>
      <c r="R484" s="1" t="s">
        <v>50</v>
      </c>
      <c r="S484" s="1">
        <v>264</v>
      </c>
      <c r="T484" s="1">
        <v>265</v>
      </c>
      <c r="U484" s="4">
        <v>4.027777777777778E-2</v>
      </c>
      <c r="V484" s="1">
        <v>1590</v>
      </c>
      <c r="W484" s="1">
        <v>-30</v>
      </c>
      <c r="X484" s="1">
        <v>1560</v>
      </c>
      <c r="Y484" s="1" t="s">
        <v>51</v>
      </c>
      <c r="Z484" s="1">
        <v>960</v>
      </c>
      <c r="AA484" s="1">
        <v>600</v>
      </c>
      <c r="AB484" s="1">
        <v>0</v>
      </c>
      <c r="AC484" s="1">
        <v>0</v>
      </c>
      <c r="AD484" s="1">
        <v>0</v>
      </c>
      <c r="AE484" s="1">
        <v>0</v>
      </c>
      <c r="AF484" s="1"/>
      <c r="AG484" s="1">
        <v>0</v>
      </c>
      <c r="AH484" s="1">
        <v>0</v>
      </c>
      <c r="AI484" s="1">
        <v>0</v>
      </c>
      <c r="AJ484" s="1">
        <v>0</v>
      </c>
      <c r="AK484" s="1">
        <v>1.8959999999999999</v>
      </c>
      <c r="AL484" s="1">
        <v>1.8959999999999999</v>
      </c>
      <c r="AM484" s="1">
        <v>1.8959999999999999</v>
      </c>
    </row>
    <row r="485" spans="1:39" x14ac:dyDescent="0.3">
      <c r="A485" s="21" t="str">
        <f t="shared" si="7"/>
        <v>HFA102LCLK2026-03-05</v>
      </c>
      <c r="B485" t="e">
        <f>VLOOKUP(A485,Sheet1!A485:B1827,1,FALSE)</f>
        <v>#N/A</v>
      </c>
      <c r="C485" s="3">
        <v>46086</v>
      </c>
      <c r="D485" s="1" t="s">
        <v>138</v>
      </c>
      <c r="E485" s="1" t="s">
        <v>38</v>
      </c>
      <c r="F485" s="1"/>
      <c r="G485" s="1" t="s">
        <v>39</v>
      </c>
      <c r="H485" s="1" t="s">
        <v>134</v>
      </c>
      <c r="I485" s="1" t="s">
        <v>67</v>
      </c>
      <c r="J485" s="1" t="s">
        <v>86</v>
      </c>
      <c r="K485" s="1" t="s">
        <v>87</v>
      </c>
      <c r="L485" s="1" t="s">
        <v>88</v>
      </c>
      <c r="M485" s="1" t="s">
        <v>50</v>
      </c>
      <c r="N485" s="1" t="s">
        <v>41</v>
      </c>
      <c r="O485" s="1" t="s">
        <v>82</v>
      </c>
      <c r="P485" s="1" t="s">
        <v>83</v>
      </c>
      <c r="Q485" s="1" t="s">
        <v>84</v>
      </c>
      <c r="R485" s="1" t="s">
        <v>45</v>
      </c>
      <c r="S485" s="1">
        <v>339</v>
      </c>
      <c r="T485" s="1">
        <v>339</v>
      </c>
      <c r="U485" s="4">
        <v>5.1388888888888887E-2</v>
      </c>
      <c r="V485" s="1">
        <v>960</v>
      </c>
      <c r="W485" s="1">
        <v>1440</v>
      </c>
      <c r="X485" s="1">
        <v>2400</v>
      </c>
      <c r="Y485" s="1" t="s">
        <v>51</v>
      </c>
      <c r="Z485" s="1">
        <v>1660</v>
      </c>
      <c r="AA485" s="1">
        <v>740</v>
      </c>
      <c r="AB485" s="1">
        <v>0</v>
      </c>
      <c r="AC485" s="1">
        <v>0</v>
      </c>
      <c r="AD485" s="1">
        <v>0</v>
      </c>
      <c r="AE485" s="1">
        <v>0</v>
      </c>
      <c r="AF485" s="1"/>
      <c r="AG485" s="1">
        <v>0</v>
      </c>
      <c r="AH485" s="1">
        <v>0</v>
      </c>
      <c r="AI485" s="1">
        <v>0</v>
      </c>
      <c r="AJ485" s="1">
        <v>0</v>
      </c>
      <c r="AK485" s="1">
        <v>2.3384</v>
      </c>
      <c r="AL485" s="1">
        <v>2.3384</v>
      </c>
      <c r="AM485" s="1">
        <v>2.3384</v>
      </c>
    </row>
    <row r="486" spans="1:39" x14ac:dyDescent="0.3">
      <c r="A486" s="21" t="str">
        <f t="shared" si="7"/>
        <v>HFA101LLBG2026-03-05</v>
      </c>
      <c r="B486" t="e">
        <f>VLOOKUP(A486,Sheet1!A486:B1828,1,FALSE)</f>
        <v>#N/A</v>
      </c>
      <c r="C486" s="3">
        <v>46086</v>
      </c>
      <c r="D486" s="1" t="s">
        <v>139</v>
      </c>
      <c r="E486" s="1" t="s">
        <v>38</v>
      </c>
      <c r="F486" s="1"/>
      <c r="G486" s="1" t="s">
        <v>39</v>
      </c>
      <c r="H486" s="1" t="s">
        <v>134</v>
      </c>
      <c r="I486" s="1" t="s">
        <v>41</v>
      </c>
      <c r="J486" s="1" t="s">
        <v>82</v>
      </c>
      <c r="K486" s="1" t="s">
        <v>83</v>
      </c>
      <c r="L486" s="1" t="s">
        <v>84</v>
      </c>
      <c r="M486" s="1" t="s">
        <v>45</v>
      </c>
      <c r="N486" s="1" t="s">
        <v>67</v>
      </c>
      <c r="O486" s="1" t="s">
        <v>86</v>
      </c>
      <c r="P486" s="1" t="s">
        <v>87</v>
      </c>
      <c r="Q486" s="1" t="s">
        <v>88</v>
      </c>
      <c r="R486" s="1" t="s">
        <v>50</v>
      </c>
      <c r="S486" s="1">
        <v>339</v>
      </c>
      <c r="T486" s="1">
        <v>339</v>
      </c>
      <c r="U486" s="4">
        <v>6.3888888888888884E-2</v>
      </c>
      <c r="V486" s="1">
        <v>1660</v>
      </c>
      <c r="W486" s="1">
        <v>0</v>
      </c>
      <c r="X486" s="1">
        <v>1660</v>
      </c>
      <c r="Y486" s="1" t="s">
        <v>51</v>
      </c>
      <c r="Z486" s="1">
        <v>750</v>
      </c>
      <c r="AA486" s="1">
        <v>910</v>
      </c>
      <c r="AB486" s="1">
        <v>0</v>
      </c>
      <c r="AC486" s="1">
        <v>0</v>
      </c>
      <c r="AD486" s="1">
        <v>0</v>
      </c>
      <c r="AE486" s="1">
        <v>0</v>
      </c>
      <c r="AF486" s="1"/>
      <c r="AG486" s="1">
        <v>0</v>
      </c>
      <c r="AH486" s="1">
        <v>0</v>
      </c>
      <c r="AI486" s="1">
        <v>0</v>
      </c>
      <c r="AJ486" s="1">
        <v>0</v>
      </c>
      <c r="AK486" s="1">
        <v>2.8755999999999999</v>
      </c>
      <c r="AL486" s="1">
        <v>2.8755999999999999</v>
      </c>
      <c r="AM486" s="1">
        <v>2.8755999999999999</v>
      </c>
    </row>
    <row r="487" spans="1:39" x14ac:dyDescent="0.3">
      <c r="A487" s="21" t="str">
        <f t="shared" si="7"/>
        <v>HFA106LCLK2026-03-06</v>
      </c>
      <c r="B487" t="e">
        <f>VLOOKUP(A487,Sheet1!A487:B1829,1,FALSE)</f>
        <v>#N/A</v>
      </c>
      <c r="C487" s="3">
        <v>46087</v>
      </c>
      <c r="D487" s="1" t="s">
        <v>140</v>
      </c>
      <c r="E487" s="1" t="s">
        <v>38</v>
      </c>
      <c r="F487" s="1"/>
      <c r="G487" s="1" t="s">
        <v>39</v>
      </c>
      <c r="H487" s="1" t="s">
        <v>134</v>
      </c>
      <c r="I487" s="1" t="s">
        <v>67</v>
      </c>
      <c r="J487" s="1" t="s">
        <v>86</v>
      </c>
      <c r="K487" s="1" t="s">
        <v>87</v>
      </c>
      <c r="L487" s="1" t="s">
        <v>88</v>
      </c>
      <c r="M487" s="1" t="s">
        <v>50</v>
      </c>
      <c r="N487" s="1" t="s">
        <v>41</v>
      </c>
      <c r="O487" s="1" t="s">
        <v>82</v>
      </c>
      <c r="P487" s="1" t="s">
        <v>83</v>
      </c>
      <c r="Q487" s="1" t="s">
        <v>84</v>
      </c>
      <c r="R487" s="1" t="s">
        <v>45</v>
      </c>
      <c r="S487" s="1">
        <v>339</v>
      </c>
      <c r="T487" s="1">
        <v>339</v>
      </c>
      <c r="U487" s="4">
        <v>6.805555555555555E-2</v>
      </c>
      <c r="V487" s="1">
        <v>750</v>
      </c>
      <c r="W487" s="1">
        <v>1750</v>
      </c>
      <c r="X487" s="1">
        <v>2500</v>
      </c>
      <c r="Y487" s="1" t="s">
        <v>51</v>
      </c>
      <c r="Z487" s="1">
        <v>1560</v>
      </c>
      <c r="AA487" s="1">
        <v>940</v>
      </c>
      <c r="AB487" s="1">
        <v>0</v>
      </c>
      <c r="AC487" s="1">
        <v>0</v>
      </c>
      <c r="AD487" s="1">
        <v>0</v>
      </c>
      <c r="AE487" s="1">
        <v>0</v>
      </c>
      <c r="AF487" s="1"/>
      <c r="AG487" s="1">
        <v>0</v>
      </c>
      <c r="AH487" s="1">
        <v>0</v>
      </c>
      <c r="AI487" s="1">
        <v>0</v>
      </c>
      <c r="AJ487" s="1">
        <v>0</v>
      </c>
      <c r="AK487" s="1">
        <v>2.9704000000000002</v>
      </c>
      <c r="AL487" s="1">
        <v>2.9704000000000002</v>
      </c>
      <c r="AM487" s="1">
        <v>2.9704000000000002</v>
      </c>
    </row>
    <row r="488" spans="1:39" x14ac:dyDescent="0.3">
      <c r="A488" s="21" t="str">
        <f t="shared" si="7"/>
        <v>HFA105LLBG2026-03-06</v>
      </c>
      <c r="B488" t="e">
        <f>VLOOKUP(A488,Sheet1!A488:B1830,1,FALSE)</f>
        <v>#N/A</v>
      </c>
      <c r="C488" s="3">
        <v>46087</v>
      </c>
      <c r="D488" s="1" t="s">
        <v>141</v>
      </c>
      <c r="E488" s="1" t="s">
        <v>38</v>
      </c>
      <c r="F488" s="1"/>
      <c r="G488" s="1" t="s">
        <v>39</v>
      </c>
      <c r="H488" s="1" t="s">
        <v>134</v>
      </c>
      <c r="I488" s="1" t="s">
        <v>41</v>
      </c>
      <c r="J488" s="1" t="s">
        <v>82</v>
      </c>
      <c r="K488" s="1" t="s">
        <v>83</v>
      </c>
      <c r="L488" s="1" t="s">
        <v>84</v>
      </c>
      <c r="M488" s="1" t="s">
        <v>45</v>
      </c>
      <c r="N488" s="1" t="s">
        <v>67</v>
      </c>
      <c r="O488" s="1" t="s">
        <v>86</v>
      </c>
      <c r="P488" s="1" t="s">
        <v>87</v>
      </c>
      <c r="Q488" s="1" t="s">
        <v>88</v>
      </c>
      <c r="R488" s="1" t="s">
        <v>50</v>
      </c>
      <c r="S488" s="1">
        <v>339</v>
      </c>
      <c r="T488" s="1">
        <v>339</v>
      </c>
      <c r="U488" s="4">
        <v>7.013888888888889E-2</v>
      </c>
      <c r="V488" s="1">
        <v>1560</v>
      </c>
      <c r="W488" s="1">
        <v>440</v>
      </c>
      <c r="X488" s="1">
        <v>2000</v>
      </c>
      <c r="Y488" s="1" t="s">
        <v>51</v>
      </c>
      <c r="Z488" s="1">
        <v>1110</v>
      </c>
      <c r="AA488" s="1">
        <v>890</v>
      </c>
      <c r="AB488" s="1">
        <v>0</v>
      </c>
      <c r="AC488" s="1">
        <v>0</v>
      </c>
      <c r="AD488" s="1">
        <v>0</v>
      </c>
      <c r="AE488" s="1">
        <v>0</v>
      </c>
      <c r="AF488" s="1"/>
      <c r="AG488" s="1">
        <v>0</v>
      </c>
      <c r="AH488" s="1">
        <v>0</v>
      </c>
      <c r="AI488" s="1">
        <v>0</v>
      </c>
      <c r="AJ488" s="1">
        <v>0</v>
      </c>
      <c r="AK488" s="1">
        <v>2.8123999999999998</v>
      </c>
      <c r="AL488" s="1">
        <v>2.8123999999999998</v>
      </c>
      <c r="AM488" s="1">
        <v>2.8123999999999998</v>
      </c>
    </row>
    <row r="489" spans="1:39" x14ac:dyDescent="0.3">
      <c r="A489" s="21" t="str">
        <f t="shared" si="7"/>
        <v>HFA116LCLK2026-03-07</v>
      </c>
      <c r="B489" t="e">
        <f>VLOOKUP(A489,Sheet1!A489:B1831,1,FALSE)</f>
        <v>#N/A</v>
      </c>
      <c r="C489" s="3">
        <v>46088</v>
      </c>
      <c r="D489" s="1" t="s">
        <v>142</v>
      </c>
      <c r="E489" s="1" t="s">
        <v>38</v>
      </c>
      <c r="F489" s="1"/>
      <c r="G489" s="1" t="s">
        <v>39</v>
      </c>
      <c r="H489" s="1" t="s">
        <v>134</v>
      </c>
      <c r="I489" s="1" t="s">
        <v>67</v>
      </c>
      <c r="J489" s="1" t="s">
        <v>86</v>
      </c>
      <c r="K489" s="1" t="s">
        <v>87</v>
      </c>
      <c r="L489" s="1" t="s">
        <v>88</v>
      </c>
      <c r="M489" s="1" t="s">
        <v>50</v>
      </c>
      <c r="N489" s="1" t="s">
        <v>41</v>
      </c>
      <c r="O489" s="1" t="s">
        <v>82</v>
      </c>
      <c r="P489" s="1" t="s">
        <v>83</v>
      </c>
      <c r="Q489" s="1" t="s">
        <v>84</v>
      </c>
      <c r="R489" s="1" t="s">
        <v>45</v>
      </c>
      <c r="S489" s="1">
        <v>339</v>
      </c>
      <c r="T489" s="1">
        <v>0</v>
      </c>
      <c r="U489" s="4">
        <v>4.2361111111111106E-2</v>
      </c>
      <c r="V489" s="1">
        <v>1110</v>
      </c>
      <c r="W489" s="1">
        <v>990</v>
      </c>
      <c r="X489" s="1">
        <v>2100</v>
      </c>
      <c r="Y489" s="1" t="s">
        <v>51</v>
      </c>
      <c r="Z489" s="1">
        <v>1450</v>
      </c>
      <c r="AA489" s="1">
        <v>650</v>
      </c>
      <c r="AB489" s="1">
        <v>0</v>
      </c>
      <c r="AC489" s="1">
        <v>0</v>
      </c>
      <c r="AD489" s="1">
        <v>0</v>
      </c>
      <c r="AE489" s="1">
        <v>0</v>
      </c>
      <c r="AF489" s="1"/>
      <c r="AG489" s="1">
        <v>0</v>
      </c>
      <c r="AH489" s="1">
        <v>0</v>
      </c>
      <c r="AI489" s="1">
        <v>0</v>
      </c>
      <c r="AJ489" s="1">
        <v>0</v>
      </c>
      <c r="AK489" s="1">
        <v>2.0539999999999998</v>
      </c>
      <c r="AL489" s="1">
        <v>2.0539999999999998</v>
      </c>
      <c r="AM489" s="1">
        <v>2.0539999999999998</v>
      </c>
    </row>
    <row r="490" spans="1:39" x14ac:dyDescent="0.3">
      <c r="A490" s="21" t="str">
        <f t="shared" si="7"/>
        <v>HFA115LLBG2026-03-07</v>
      </c>
      <c r="B490" t="e">
        <f>VLOOKUP(A490,Sheet1!A490:B1832,1,FALSE)</f>
        <v>#N/A</v>
      </c>
      <c r="C490" s="3">
        <v>46088</v>
      </c>
      <c r="D490" s="1" t="s">
        <v>143</v>
      </c>
      <c r="E490" s="1" t="s">
        <v>38</v>
      </c>
      <c r="F490" s="1"/>
      <c r="G490" s="1" t="s">
        <v>39</v>
      </c>
      <c r="H490" s="1" t="s">
        <v>134</v>
      </c>
      <c r="I490" s="1" t="s">
        <v>41</v>
      </c>
      <c r="J490" s="1" t="s">
        <v>82</v>
      </c>
      <c r="K490" s="1" t="s">
        <v>83</v>
      </c>
      <c r="L490" s="1" t="s">
        <v>84</v>
      </c>
      <c r="M490" s="1" t="s">
        <v>45</v>
      </c>
      <c r="N490" s="1" t="s">
        <v>67</v>
      </c>
      <c r="O490" s="1" t="s">
        <v>86</v>
      </c>
      <c r="P490" s="1" t="s">
        <v>87</v>
      </c>
      <c r="Q490" s="1" t="s">
        <v>88</v>
      </c>
      <c r="R490" s="1" t="s">
        <v>50</v>
      </c>
      <c r="S490" s="1">
        <v>339</v>
      </c>
      <c r="T490" s="1">
        <v>339</v>
      </c>
      <c r="U490" s="4">
        <v>6.5972222222222224E-2</v>
      </c>
      <c r="V490" s="1">
        <v>1450</v>
      </c>
      <c r="W490" s="1">
        <v>250</v>
      </c>
      <c r="X490" s="1">
        <v>1700</v>
      </c>
      <c r="Y490" s="1" t="s">
        <v>51</v>
      </c>
      <c r="Z490" s="1">
        <v>760</v>
      </c>
      <c r="AA490" s="1">
        <v>940</v>
      </c>
      <c r="AB490" s="1">
        <v>0</v>
      </c>
      <c r="AC490" s="1">
        <v>0</v>
      </c>
      <c r="AD490" s="1">
        <v>0</v>
      </c>
      <c r="AE490" s="1">
        <v>0</v>
      </c>
      <c r="AF490" s="1"/>
      <c r="AG490" s="1">
        <v>0</v>
      </c>
      <c r="AH490" s="1">
        <v>0</v>
      </c>
      <c r="AI490" s="1">
        <v>0</v>
      </c>
      <c r="AJ490" s="1">
        <v>0</v>
      </c>
      <c r="AK490" s="1">
        <v>2.9704000000000002</v>
      </c>
      <c r="AL490" s="1">
        <v>2.9704000000000002</v>
      </c>
      <c r="AM490" s="1">
        <v>2.9704000000000002</v>
      </c>
    </row>
    <row r="491" spans="1:39" x14ac:dyDescent="0.3">
      <c r="A491" s="21" t="str">
        <f t="shared" si="7"/>
        <v>HFA128LCLK2026-03-07</v>
      </c>
      <c r="B491" t="e">
        <f>VLOOKUP(A491,Sheet1!A491:B1833,1,FALSE)</f>
        <v>#N/A</v>
      </c>
      <c r="C491" s="3">
        <v>46088</v>
      </c>
      <c r="D491" s="1" t="s">
        <v>144</v>
      </c>
      <c r="E491" s="1" t="s">
        <v>38</v>
      </c>
      <c r="F491" s="1"/>
      <c r="G491" s="1" t="s">
        <v>39</v>
      </c>
      <c r="H491" s="1" t="s">
        <v>134</v>
      </c>
      <c r="I491" s="1" t="s">
        <v>67</v>
      </c>
      <c r="J491" s="1" t="s">
        <v>86</v>
      </c>
      <c r="K491" s="1" t="s">
        <v>87</v>
      </c>
      <c r="L491" s="1" t="s">
        <v>88</v>
      </c>
      <c r="M491" s="1" t="s">
        <v>50</v>
      </c>
      <c r="N491" s="1" t="s">
        <v>41</v>
      </c>
      <c r="O491" s="1" t="s">
        <v>82</v>
      </c>
      <c r="P491" s="1" t="s">
        <v>83</v>
      </c>
      <c r="Q491" s="1" t="s">
        <v>84</v>
      </c>
      <c r="R491" s="1" t="s">
        <v>45</v>
      </c>
      <c r="S491" s="1">
        <v>339</v>
      </c>
      <c r="T491" s="1">
        <v>0</v>
      </c>
      <c r="U491" s="4">
        <v>6.6666666666666666E-2</v>
      </c>
      <c r="V491" s="1">
        <v>760</v>
      </c>
      <c r="W491" s="1">
        <v>1940</v>
      </c>
      <c r="X491" s="1">
        <v>2700</v>
      </c>
      <c r="Y491" s="1" t="s">
        <v>51</v>
      </c>
      <c r="Z491" s="1">
        <v>1840</v>
      </c>
      <c r="AA491" s="1">
        <v>860</v>
      </c>
      <c r="AB491" s="1">
        <v>0</v>
      </c>
      <c r="AC491" s="1">
        <v>0</v>
      </c>
      <c r="AD491" s="1">
        <v>0</v>
      </c>
      <c r="AE491" s="1">
        <v>0</v>
      </c>
      <c r="AF491" s="1"/>
      <c r="AG491" s="1">
        <v>0</v>
      </c>
      <c r="AH491" s="1">
        <v>0</v>
      </c>
      <c r="AI491" s="1">
        <v>0</v>
      </c>
      <c r="AJ491" s="1">
        <v>0</v>
      </c>
      <c r="AK491" s="1">
        <v>2.7176</v>
      </c>
      <c r="AL491" s="1">
        <v>2.7176</v>
      </c>
      <c r="AM491" s="1">
        <v>2.7176</v>
      </c>
    </row>
    <row r="492" spans="1:39" x14ac:dyDescent="0.3">
      <c r="A492" s="21" t="str">
        <f t="shared" si="7"/>
        <v>HFA127LLBG2026-03-07</v>
      </c>
      <c r="B492" t="e">
        <f>VLOOKUP(A492,Sheet1!A492:B1834,1,FALSE)</f>
        <v>#N/A</v>
      </c>
      <c r="C492" s="3">
        <v>46088</v>
      </c>
      <c r="D492" s="1" t="s">
        <v>145</v>
      </c>
      <c r="E492" s="1" t="s">
        <v>38</v>
      </c>
      <c r="F492" s="1"/>
      <c r="G492" s="1" t="s">
        <v>39</v>
      </c>
      <c r="H492" s="1" t="s">
        <v>134</v>
      </c>
      <c r="I492" s="1" t="s">
        <v>41</v>
      </c>
      <c r="J492" s="1" t="s">
        <v>82</v>
      </c>
      <c r="K492" s="1" t="s">
        <v>83</v>
      </c>
      <c r="L492" s="1" t="s">
        <v>84</v>
      </c>
      <c r="M492" s="1" t="s">
        <v>45</v>
      </c>
      <c r="N492" s="1" t="s">
        <v>67</v>
      </c>
      <c r="O492" s="1" t="s">
        <v>86</v>
      </c>
      <c r="P492" s="1" t="s">
        <v>87</v>
      </c>
      <c r="Q492" s="1" t="s">
        <v>88</v>
      </c>
      <c r="R492" s="1" t="s">
        <v>50</v>
      </c>
      <c r="S492" s="1">
        <v>339</v>
      </c>
      <c r="T492" s="1">
        <v>0</v>
      </c>
      <c r="U492" s="4">
        <v>6.4583333333333326E-2</v>
      </c>
      <c r="V492" s="1">
        <v>1840</v>
      </c>
      <c r="W492" s="1">
        <v>0</v>
      </c>
      <c r="X492" s="1">
        <v>1840</v>
      </c>
      <c r="Y492" s="1" t="s">
        <v>51</v>
      </c>
      <c r="Z492" s="1">
        <v>790</v>
      </c>
      <c r="AA492" s="1">
        <v>1050</v>
      </c>
      <c r="AB492" s="1">
        <v>0</v>
      </c>
      <c r="AC492" s="1">
        <v>0</v>
      </c>
      <c r="AD492" s="1">
        <v>0</v>
      </c>
      <c r="AE492" s="1">
        <v>0</v>
      </c>
      <c r="AF492" s="1"/>
      <c r="AG492" s="1">
        <v>0</v>
      </c>
      <c r="AH492" s="1">
        <v>0</v>
      </c>
      <c r="AI492" s="1">
        <v>0</v>
      </c>
      <c r="AJ492" s="1">
        <v>0</v>
      </c>
      <c r="AK492" s="1">
        <v>3.3180000000000001</v>
      </c>
      <c r="AL492" s="1">
        <v>3.3180000000000001</v>
      </c>
      <c r="AM492" s="1">
        <v>3.3180000000000001</v>
      </c>
    </row>
    <row r="493" spans="1:39" x14ac:dyDescent="0.3">
      <c r="A493" s="21" t="str">
        <f t="shared" si="7"/>
        <v>HFA150ALCLK2026-03-09</v>
      </c>
      <c r="B493" t="e">
        <f>VLOOKUP(A493,Sheet1!A493:B1835,1,FALSE)</f>
        <v>#N/A</v>
      </c>
      <c r="C493" s="3">
        <v>46090</v>
      </c>
      <c r="D493" s="1" t="s">
        <v>146</v>
      </c>
      <c r="E493" s="1" t="s">
        <v>38</v>
      </c>
      <c r="F493" s="1"/>
      <c r="G493" s="1" t="s">
        <v>39</v>
      </c>
      <c r="H493" s="1" t="s">
        <v>134</v>
      </c>
      <c r="I493" s="1" t="s">
        <v>67</v>
      </c>
      <c r="J493" s="1" t="s">
        <v>86</v>
      </c>
      <c r="K493" s="1" t="s">
        <v>87</v>
      </c>
      <c r="L493" s="1" t="s">
        <v>88</v>
      </c>
      <c r="M493" s="1" t="s">
        <v>50</v>
      </c>
      <c r="N493" s="1" t="s">
        <v>46</v>
      </c>
      <c r="O493" s="1" t="s">
        <v>47</v>
      </c>
      <c r="P493" s="1" t="s">
        <v>48</v>
      </c>
      <c r="Q493" s="1" t="s">
        <v>49</v>
      </c>
      <c r="R493" s="1" t="s">
        <v>50</v>
      </c>
      <c r="S493" s="1">
        <v>932</v>
      </c>
      <c r="T493" s="1">
        <v>0</v>
      </c>
      <c r="U493" s="4">
        <v>0.10694444444444444</v>
      </c>
      <c r="V493" s="1">
        <v>790</v>
      </c>
      <c r="W493" s="1">
        <v>2010</v>
      </c>
      <c r="X493" s="1">
        <v>2800</v>
      </c>
      <c r="Y493" s="1" t="s">
        <v>51</v>
      </c>
      <c r="Z493" s="1">
        <v>1190</v>
      </c>
      <c r="AA493" s="1">
        <v>1610</v>
      </c>
      <c r="AB493" s="1">
        <v>0</v>
      </c>
      <c r="AC493" s="1">
        <v>0</v>
      </c>
      <c r="AD493" s="1">
        <v>0</v>
      </c>
      <c r="AE493" s="1">
        <v>0</v>
      </c>
      <c r="AF493" s="1"/>
      <c r="AG493" s="1">
        <v>0</v>
      </c>
      <c r="AH493" s="1">
        <v>0</v>
      </c>
      <c r="AI493" s="1">
        <v>0</v>
      </c>
      <c r="AJ493" s="1">
        <v>0</v>
      </c>
      <c r="AK493" s="1">
        <v>5.0876000000000001</v>
      </c>
      <c r="AL493" s="1">
        <v>5.0876000000000001</v>
      </c>
      <c r="AM493" s="1">
        <v>5.0876000000000001</v>
      </c>
    </row>
    <row r="494" spans="1:39" x14ac:dyDescent="0.3">
      <c r="A494" s="21" t="str">
        <f t="shared" si="7"/>
        <v>HFA150LGAV2026-03-09</v>
      </c>
      <c r="B494" t="e">
        <f>VLOOKUP(A494,Sheet1!A494:B1836,1,FALSE)</f>
        <v>#N/A</v>
      </c>
      <c r="C494" s="3">
        <v>46090</v>
      </c>
      <c r="D494" s="1" t="s">
        <v>147</v>
      </c>
      <c r="E494" s="1" t="s">
        <v>38</v>
      </c>
      <c r="F494" s="1"/>
      <c r="G494" s="1" t="s">
        <v>39</v>
      </c>
      <c r="H494" s="1" t="s">
        <v>134</v>
      </c>
      <c r="I494" s="1" t="s">
        <v>46</v>
      </c>
      <c r="J494" s="1" t="s">
        <v>47</v>
      </c>
      <c r="K494" s="1" t="s">
        <v>48</v>
      </c>
      <c r="L494" s="1" t="s">
        <v>49</v>
      </c>
      <c r="M494" s="1" t="s">
        <v>50</v>
      </c>
      <c r="N494" s="1" t="s">
        <v>67</v>
      </c>
      <c r="O494" s="1" t="s">
        <v>86</v>
      </c>
      <c r="P494" s="1" t="s">
        <v>87</v>
      </c>
      <c r="Q494" s="1" t="s">
        <v>88</v>
      </c>
      <c r="R494" s="1" t="s">
        <v>50</v>
      </c>
      <c r="S494" s="1">
        <v>932</v>
      </c>
      <c r="T494" s="1">
        <v>932</v>
      </c>
      <c r="U494" s="4">
        <v>0.16388888888888889</v>
      </c>
      <c r="V494" s="1">
        <v>1190</v>
      </c>
      <c r="W494" s="1">
        <v>2010</v>
      </c>
      <c r="X494" s="1">
        <v>3200</v>
      </c>
      <c r="Y494" s="1" t="s">
        <v>51</v>
      </c>
      <c r="Z494" s="1">
        <v>750</v>
      </c>
      <c r="AA494" s="1">
        <v>2450</v>
      </c>
      <c r="AB494" s="1">
        <v>0</v>
      </c>
      <c r="AC494" s="1">
        <v>0</v>
      </c>
      <c r="AD494" s="1">
        <v>0</v>
      </c>
      <c r="AE494" s="1">
        <v>0</v>
      </c>
      <c r="AF494" s="1"/>
      <c r="AG494" s="1">
        <v>0</v>
      </c>
      <c r="AH494" s="1">
        <v>0</v>
      </c>
      <c r="AI494" s="1">
        <v>0</v>
      </c>
      <c r="AJ494" s="1">
        <v>0</v>
      </c>
      <c r="AK494" s="1">
        <v>7.742</v>
      </c>
      <c r="AL494" s="1">
        <v>7.742</v>
      </c>
      <c r="AM494" s="1">
        <v>7.742</v>
      </c>
    </row>
    <row r="495" spans="1:39" x14ac:dyDescent="0.3">
      <c r="A495" s="21" t="str">
        <f t="shared" si="7"/>
        <v>HFA150BLCLK2026-03-09</v>
      </c>
      <c r="B495" t="e">
        <f>VLOOKUP(A495,Sheet1!A495:B1837,1,FALSE)</f>
        <v>#N/A</v>
      </c>
      <c r="C495" s="3">
        <v>46090</v>
      </c>
      <c r="D495" s="1" t="s">
        <v>148</v>
      </c>
      <c r="E495" s="1" t="s">
        <v>38</v>
      </c>
      <c r="F495" s="1"/>
      <c r="G495" s="1" t="s">
        <v>39</v>
      </c>
      <c r="H495" s="1" t="s">
        <v>134</v>
      </c>
      <c r="I495" s="1" t="s">
        <v>67</v>
      </c>
      <c r="J495" s="1" t="s">
        <v>86</v>
      </c>
      <c r="K495" s="1" t="s">
        <v>87</v>
      </c>
      <c r="L495" s="1" t="s">
        <v>88</v>
      </c>
      <c r="M495" s="1" t="s">
        <v>50</v>
      </c>
      <c r="N495" s="1" t="s">
        <v>41</v>
      </c>
      <c r="O495" s="1" t="s">
        <v>82</v>
      </c>
      <c r="P495" s="1" t="s">
        <v>83</v>
      </c>
      <c r="Q495" s="1" t="s">
        <v>84</v>
      </c>
      <c r="R495" s="1" t="s">
        <v>45</v>
      </c>
      <c r="S495" s="1">
        <v>339</v>
      </c>
      <c r="T495" s="1">
        <v>339</v>
      </c>
      <c r="U495" s="4">
        <v>4.9999999999999996E-2</v>
      </c>
      <c r="V495" s="1">
        <v>750</v>
      </c>
      <c r="W495" s="1">
        <v>1950</v>
      </c>
      <c r="X495" s="1">
        <v>2700</v>
      </c>
      <c r="Y495" s="1" t="s">
        <v>51</v>
      </c>
      <c r="Z495" s="1">
        <v>1980</v>
      </c>
      <c r="AA495" s="1">
        <v>720</v>
      </c>
      <c r="AB495" s="1">
        <v>0</v>
      </c>
      <c r="AC495" s="1">
        <v>0</v>
      </c>
      <c r="AD495" s="1">
        <v>0</v>
      </c>
      <c r="AE495" s="1">
        <v>0</v>
      </c>
      <c r="AF495" s="1"/>
      <c r="AG495" s="1">
        <v>0</v>
      </c>
      <c r="AH495" s="1">
        <v>0</v>
      </c>
      <c r="AI495" s="1">
        <v>0</v>
      </c>
      <c r="AJ495" s="1">
        <v>0</v>
      </c>
      <c r="AK495" s="1">
        <v>2.2751999999999999</v>
      </c>
      <c r="AL495" s="1">
        <v>2.2751999999999999</v>
      </c>
      <c r="AM495" s="1">
        <v>2.2751999999999999</v>
      </c>
    </row>
    <row r="496" spans="1:39" x14ac:dyDescent="0.3">
      <c r="A496" s="21" t="str">
        <f t="shared" si="7"/>
        <v>HFA151LLBG2026-03-09</v>
      </c>
      <c r="B496" t="e">
        <f>VLOOKUP(A496,Sheet1!A496:B1838,1,FALSE)</f>
        <v>#N/A</v>
      </c>
      <c r="C496" s="3">
        <v>46090</v>
      </c>
      <c r="D496" s="1" t="s">
        <v>149</v>
      </c>
      <c r="E496" s="1" t="s">
        <v>38</v>
      </c>
      <c r="F496" s="1"/>
      <c r="G496" s="1" t="s">
        <v>39</v>
      </c>
      <c r="H496" s="1" t="s">
        <v>134</v>
      </c>
      <c r="I496" s="1" t="s">
        <v>41</v>
      </c>
      <c r="J496" s="1" t="s">
        <v>82</v>
      </c>
      <c r="K496" s="1" t="s">
        <v>83</v>
      </c>
      <c r="L496" s="1" t="s">
        <v>84</v>
      </c>
      <c r="M496" s="1" t="s">
        <v>45</v>
      </c>
      <c r="N496" s="1" t="s">
        <v>67</v>
      </c>
      <c r="O496" s="1" t="s">
        <v>86</v>
      </c>
      <c r="P496" s="1" t="s">
        <v>87</v>
      </c>
      <c r="Q496" s="1" t="s">
        <v>88</v>
      </c>
      <c r="R496" s="1" t="s">
        <v>50</v>
      </c>
      <c r="S496" s="1">
        <v>339</v>
      </c>
      <c r="T496" s="1">
        <v>0</v>
      </c>
      <c r="U496" s="4">
        <v>6.1805555555555558E-2</v>
      </c>
      <c r="V496" s="1">
        <v>1980</v>
      </c>
      <c r="W496" s="1">
        <v>0</v>
      </c>
      <c r="X496" s="1">
        <v>1980</v>
      </c>
      <c r="Y496" s="1" t="s">
        <v>51</v>
      </c>
      <c r="Z496" s="1">
        <v>1100</v>
      </c>
      <c r="AA496" s="1">
        <v>880</v>
      </c>
      <c r="AB496" s="1">
        <v>0</v>
      </c>
      <c r="AC496" s="1">
        <v>0</v>
      </c>
      <c r="AD496" s="1">
        <v>0</v>
      </c>
      <c r="AE496" s="1">
        <v>0</v>
      </c>
      <c r="AF496" s="1"/>
      <c r="AG496" s="1">
        <v>0</v>
      </c>
      <c r="AH496" s="1">
        <v>0</v>
      </c>
      <c r="AI496" s="1">
        <v>0</v>
      </c>
      <c r="AJ496" s="1">
        <v>0</v>
      </c>
      <c r="AK496" s="1">
        <v>2.7808000000000002</v>
      </c>
      <c r="AL496" s="1">
        <v>2.7808000000000002</v>
      </c>
      <c r="AM496" s="1">
        <v>2.7808000000000002</v>
      </c>
    </row>
    <row r="497" spans="1:39" x14ac:dyDescent="0.3">
      <c r="A497" s="21" t="str">
        <f t="shared" si="7"/>
        <v>HFA158LCLK2026-03-10</v>
      </c>
      <c r="B497" t="e">
        <f>VLOOKUP(A497,Sheet1!A497:B1839,1,FALSE)</f>
        <v>#N/A</v>
      </c>
      <c r="C497" s="3">
        <v>46091</v>
      </c>
      <c r="D497" s="1" t="s">
        <v>150</v>
      </c>
      <c r="E497" s="1" t="s">
        <v>38</v>
      </c>
      <c r="F497" s="1"/>
      <c r="G497" s="1" t="s">
        <v>39</v>
      </c>
      <c r="H497" s="1" t="s">
        <v>134</v>
      </c>
      <c r="I497" s="1" t="s">
        <v>67</v>
      </c>
      <c r="J497" s="1" t="s">
        <v>86</v>
      </c>
      <c r="K497" s="1" t="s">
        <v>87</v>
      </c>
      <c r="L497" s="1" t="s">
        <v>88</v>
      </c>
      <c r="M497" s="1" t="s">
        <v>50</v>
      </c>
      <c r="N497" s="1" t="s">
        <v>41</v>
      </c>
      <c r="O497" s="1" t="s">
        <v>82</v>
      </c>
      <c r="P497" s="1" t="s">
        <v>83</v>
      </c>
      <c r="Q497" s="1" t="s">
        <v>84</v>
      </c>
      <c r="R497" s="1" t="s">
        <v>45</v>
      </c>
      <c r="S497" s="1">
        <v>339</v>
      </c>
      <c r="T497" s="1">
        <v>0</v>
      </c>
      <c r="U497" s="4">
        <v>5.7638888888888885E-2</v>
      </c>
      <c r="V497" s="1">
        <v>1100</v>
      </c>
      <c r="W497" s="1">
        <v>1200</v>
      </c>
      <c r="X497" s="1">
        <v>2300</v>
      </c>
      <c r="Y497" s="1" t="s">
        <v>51</v>
      </c>
      <c r="Z497" s="1">
        <v>1600</v>
      </c>
      <c r="AA497" s="1">
        <v>700</v>
      </c>
      <c r="AB497" s="1">
        <v>0</v>
      </c>
      <c r="AC497" s="1">
        <v>0</v>
      </c>
      <c r="AD497" s="1">
        <v>0</v>
      </c>
      <c r="AE497" s="1">
        <v>0</v>
      </c>
      <c r="AF497" s="1"/>
      <c r="AG497" s="1">
        <v>0</v>
      </c>
      <c r="AH497" s="1">
        <v>0</v>
      </c>
      <c r="AI497" s="1">
        <v>0</v>
      </c>
      <c r="AJ497" s="1">
        <v>0</v>
      </c>
      <c r="AK497" s="1">
        <v>2.2120000000000002</v>
      </c>
      <c r="AL497" s="1">
        <v>2.2120000000000002</v>
      </c>
      <c r="AM497" s="1">
        <v>2.2120000000000002</v>
      </c>
    </row>
    <row r="498" spans="1:39" x14ac:dyDescent="0.3">
      <c r="A498" s="21" t="str">
        <f t="shared" si="7"/>
        <v>HFA159LLBG2026-03-11</v>
      </c>
      <c r="B498" t="e">
        <f>VLOOKUP(A498,Sheet1!A498:B1840,1,FALSE)</f>
        <v>#N/A</v>
      </c>
      <c r="C498" s="3">
        <v>46092</v>
      </c>
      <c r="D498" s="1" t="s">
        <v>151</v>
      </c>
      <c r="E498" s="1" t="s">
        <v>38</v>
      </c>
      <c r="F498" s="1"/>
      <c r="G498" s="1" t="s">
        <v>39</v>
      </c>
      <c r="H498" s="1" t="s">
        <v>134</v>
      </c>
      <c r="I498" s="1" t="s">
        <v>41</v>
      </c>
      <c r="J498" s="1" t="s">
        <v>82</v>
      </c>
      <c r="K498" s="1" t="s">
        <v>83</v>
      </c>
      <c r="L498" s="1" t="s">
        <v>84</v>
      </c>
      <c r="M498" s="1" t="s">
        <v>45</v>
      </c>
      <c r="N498" s="1" t="s">
        <v>67</v>
      </c>
      <c r="O498" s="1" t="s">
        <v>86</v>
      </c>
      <c r="P498" s="1" t="s">
        <v>87</v>
      </c>
      <c r="Q498" s="1" t="s">
        <v>88</v>
      </c>
      <c r="R498" s="1" t="s">
        <v>50</v>
      </c>
      <c r="S498" s="1">
        <v>339</v>
      </c>
      <c r="T498" s="1">
        <v>0</v>
      </c>
      <c r="U498" s="4">
        <v>6.25E-2</v>
      </c>
      <c r="V498" s="1">
        <v>1600</v>
      </c>
      <c r="W498" s="1">
        <v>700</v>
      </c>
      <c r="X498" s="1">
        <v>2300</v>
      </c>
      <c r="Y498" s="1" t="s">
        <v>51</v>
      </c>
      <c r="Z498" s="1">
        <v>1490</v>
      </c>
      <c r="AA498" s="1">
        <v>810</v>
      </c>
      <c r="AB498" s="1">
        <v>0</v>
      </c>
      <c r="AC498" s="1">
        <v>0</v>
      </c>
      <c r="AD498" s="1">
        <v>0</v>
      </c>
      <c r="AE498" s="1">
        <v>0</v>
      </c>
      <c r="AF498" s="1"/>
      <c r="AG498" s="1">
        <v>0</v>
      </c>
      <c r="AH498" s="1">
        <v>0</v>
      </c>
      <c r="AI498" s="1">
        <v>0</v>
      </c>
      <c r="AJ498" s="1">
        <v>0</v>
      </c>
      <c r="AK498" s="1">
        <v>2.5596000000000001</v>
      </c>
      <c r="AL498" s="1">
        <v>2.5596000000000001</v>
      </c>
      <c r="AM498" s="1">
        <v>2.5596000000000001</v>
      </c>
    </row>
    <row r="499" spans="1:39" x14ac:dyDescent="0.3">
      <c r="A499" s="21" t="str">
        <f t="shared" si="7"/>
        <v>HFA166LCLK2026-03-11</v>
      </c>
      <c r="B499" t="e">
        <f>VLOOKUP(A499,Sheet1!A499:B1841,1,FALSE)</f>
        <v>#N/A</v>
      </c>
      <c r="C499" s="3">
        <v>46092</v>
      </c>
      <c r="D499" s="1" t="s">
        <v>152</v>
      </c>
      <c r="E499" s="1" t="s">
        <v>38</v>
      </c>
      <c r="F499" s="1"/>
      <c r="G499" s="1" t="s">
        <v>39</v>
      </c>
      <c r="H499" s="1" t="s">
        <v>134</v>
      </c>
      <c r="I499" s="1" t="s">
        <v>67</v>
      </c>
      <c r="J499" s="1" t="s">
        <v>86</v>
      </c>
      <c r="K499" s="1" t="s">
        <v>87</v>
      </c>
      <c r="L499" s="1" t="s">
        <v>88</v>
      </c>
      <c r="M499" s="1" t="s">
        <v>50</v>
      </c>
      <c r="N499" s="1" t="s">
        <v>41</v>
      </c>
      <c r="O499" s="1" t="s">
        <v>82</v>
      </c>
      <c r="P499" s="1" t="s">
        <v>83</v>
      </c>
      <c r="Q499" s="1" t="s">
        <v>84</v>
      </c>
      <c r="R499" s="1" t="s">
        <v>45</v>
      </c>
      <c r="S499" s="1">
        <v>339</v>
      </c>
      <c r="T499" s="1">
        <v>0</v>
      </c>
      <c r="U499" s="4">
        <v>7.2222222222222215E-2</v>
      </c>
      <c r="V499" s="1">
        <v>1490</v>
      </c>
      <c r="W499" s="1">
        <v>810</v>
      </c>
      <c r="X499" s="1">
        <v>2300</v>
      </c>
      <c r="Y499" s="1" t="s">
        <v>51</v>
      </c>
      <c r="Z499" s="1">
        <v>1310</v>
      </c>
      <c r="AA499" s="1">
        <v>990</v>
      </c>
      <c r="AB499" s="1">
        <v>0</v>
      </c>
      <c r="AC499" s="1">
        <v>0</v>
      </c>
      <c r="AD499" s="1">
        <v>0</v>
      </c>
      <c r="AE499" s="1">
        <v>0</v>
      </c>
      <c r="AF499" s="1"/>
      <c r="AG499" s="1">
        <v>0</v>
      </c>
      <c r="AH499" s="1">
        <v>0</v>
      </c>
      <c r="AI499" s="1">
        <v>0</v>
      </c>
      <c r="AJ499" s="1">
        <v>0</v>
      </c>
      <c r="AK499" s="1">
        <v>3.1284000000000001</v>
      </c>
      <c r="AL499" s="1">
        <v>3.1284000000000001</v>
      </c>
      <c r="AM499" s="1">
        <v>3.1284000000000001</v>
      </c>
    </row>
    <row r="500" spans="1:39" x14ac:dyDescent="0.3">
      <c r="A500" s="21" t="str">
        <f t="shared" si="7"/>
        <v>HFA167LLBG2026-03-11</v>
      </c>
      <c r="B500" t="e">
        <f>VLOOKUP(A500,Sheet1!A500:B1842,1,FALSE)</f>
        <v>#N/A</v>
      </c>
      <c r="C500" s="3">
        <v>46092</v>
      </c>
      <c r="D500" s="1" t="s">
        <v>153</v>
      </c>
      <c r="E500" s="1" t="s">
        <v>38</v>
      </c>
      <c r="F500" s="1"/>
      <c r="G500" s="1" t="s">
        <v>39</v>
      </c>
      <c r="H500" s="1" t="s">
        <v>134</v>
      </c>
      <c r="I500" s="1" t="s">
        <v>41</v>
      </c>
      <c r="J500" s="1" t="s">
        <v>82</v>
      </c>
      <c r="K500" s="1" t="s">
        <v>83</v>
      </c>
      <c r="L500" s="1" t="s">
        <v>84</v>
      </c>
      <c r="M500" s="1" t="s">
        <v>45</v>
      </c>
      <c r="N500" s="1" t="s">
        <v>67</v>
      </c>
      <c r="O500" s="1" t="s">
        <v>86</v>
      </c>
      <c r="P500" s="1" t="s">
        <v>87</v>
      </c>
      <c r="Q500" s="1" t="s">
        <v>88</v>
      </c>
      <c r="R500" s="1" t="s">
        <v>50</v>
      </c>
      <c r="S500" s="1">
        <v>339</v>
      </c>
      <c r="T500" s="1">
        <v>0</v>
      </c>
      <c r="U500" s="4">
        <v>5.7638888888888885E-2</v>
      </c>
      <c r="V500" s="1">
        <v>1310</v>
      </c>
      <c r="W500" s="1">
        <v>590</v>
      </c>
      <c r="X500" s="1">
        <v>1900</v>
      </c>
      <c r="Y500" s="1" t="s">
        <v>51</v>
      </c>
      <c r="Z500" s="1">
        <v>1040</v>
      </c>
      <c r="AA500" s="1">
        <v>860</v>
      </c>
      <c r="AB500" s="1">
        <v>0</v>
      </c>
      <c r="AC500" s="1">
        <v>0</v>
      </c>
      <c r="AD500" s="1">
        <v>0</v>
      </c>
      <c r="AE500" s="1">
        <v>0</v>
      </c>
      <c r="AF500" s="1"/>
      <c r="AG500" s="1">
        <v>0</v>
      </c>
      <c r="AH500" s="1">
        <v>0</v>
      </c>
      <c r="AI500" s="1">
        <v>0</v>
      </c>
      <c r="AJ500" s="1">
        <v>0</v>
      </c>
      <c r="AK500" s="1">
        <v>2.7176</v>
      </c>
      <c r="AL500" s="1">
        <v>2.7176</v>
      </c>
      <c r="AM500" s="1">
        <v>2.7176</v>
      </c>
    </row>
    <row r="501" spans="1:39" x14ac:dyDescent="0.3">
      <c r="A501" s="21" t="str">
        <f t="shared" si="7"/>
        <v>HFA168LCLK2026-03-12</v>
      </c>
      <c r="B501" t="e">
        <f>VLOOKUP(A501,Sheet1!A501:B1843,1,FALSE)</f>
        <v>#N/A</v>
      </c>
      <c r="C501" s="3">
        <v>46093</v>
      </c>
      <c r="D501" s="1" t="s">
        <v>154</v>
      </c>
      <c r="E501" s="1" t="s">
        <v>38</v>
      </c>
      <c r="F501" s="1"/>
      <c r="G501" s="1" t="s">
        <v>39</v>
      </c>
      <c r="H501" s="1" t="s">
        <v>134</v>
      </c>
      <c r="I501" s="1" t="s">
        <v>67</v>
      </c>
      <c r="J501" s="1" t="s">
        <v>86</v>
      </c>
      <c r="K501" s="1" t="s">
        <v>87</v>
      </c>
      <c r="L501" s="1" t="s">
        <v>88</v>
      </c>
      <c r="M501" s="1" t="s">
        <v>50</v>
      </c>
      <c r="N501" s="1" t="s">
        <v>41</v>
      </c>
      <c r="O501" s="1" t="s">
        <v>82</v>
      </c>
      <c r="P501" s="1" t="s">
        <v>83</v>
      </c>
      <c r="Q501" s="1" t="s">
        <v>84</v>
      </c>
      <c r="R501" s="1" t="s">
        <v>45</v>
      </c>
      <c r="S501" s="1">
        <v>339</v>
      </c>
      <c r="T501" s="1">
        <v>0</v>
      </c>
      <c r="U501" s="4">
        <v>5.1388888888888887E-2</v>
      </c>
      <c r="V501" s="1">
        <v>1040</v>
      </c>
      <c r="W501" s="1">
        <v>1160</v>
      </c>
      <c r="X501" s="1">
        <v>2200</v>
      </c>
      <c r="Y501" s="1" t="s">
        <v>51</v>
      </c>
      <c r="Z501" s="1">
        <v>1530</v>
      </c>
      <c r="AA501" s="1">
        <v>670</v>
      </c>
      <c r="AB501" s="1">
        <v>0</v>
      </c>
      <c r="AC501" s="1">
        <v>0</v>
      </c>
      <c r="AD501" s="1">
        <v>0</v>
      </c>
      <c r="AE501" s="1">
        <v>0</v>
      </c>
      <c r="AF501" s="1"/>
      <c r="AG501" s="1">
        <v>0</v>
      </c>
      <c r="AH501" s="1">
        <v>0</v>
      </c>
      <c r="AI501" s="1">
        <v>0</v>
      </c>
      <c r="AJ501" s="1">
        <v>0</v>
      </c>
      <c r="AK501" s="1">
        <v>2.1172</v>
      </c>
      <c r="AL501" s="1">
        <v>2.1172</v>
      </c>
      <c r="AM501" s="1">
        <v>2.1172</v>
      </c>
    </row>
    <row r="502" spans="1:39" x14ac:dyDescent="0.3">
      <c r="A502" s="21" t="str">
        <f t="shared" si="7"/>
        <v>HFA169LLBG2026-03-12</v>
      </c>
      <c r="B502" t="e">
        <f>VLOOKUP(A502,Sheet1!A502:B1844,1,FALSE)</f>
        <v>#N/A</v>
      </c>
      <c r="C502" s="3">
        <v>46093</v>
      </c>
      <c r="D502" s="1" t="s">
        <v>155</v>
      </c>
      <c r="E502" s="1" t="s">
        <v>38</v>
      </c>
      <c r="F502" s="1"/>
      <c r="G502" s="1" t="s">
        <v>39</v>
      </c>
      <c r="H502" s="1" t="s">
        <v>134</v>
      </c>
      <c r="I502" s="1" t="s">
        <v>41</v>
      </c>
      <c r="J502" s="1" t="s">
        <v>82</v>
      </c>
      <c r="K502" s="1" t="s">
        <v>83</v>
      </c>
      <c r="L502" s="1" t="s">
        <v>84</v>
      </c>
      <c r="M502" s="1" t="s">
        <v>45</v>
      </c>
      <c r="N502" s="1" t="s">
        <v>46</v>
      </c>
      <c r="O502" s="1" t="s">
        <v>47</v>
      </c>
      <c r="P502" s="1" t="s">
        <v>48</v>
      </c>
      <c r="Q502" s="1" t="s">
        <v>49</v>
      </c>
      <c r="R502" s="1" t="s">
        <v>50</v>
      </c>
      <c r="S502" s="1">
        <v>1195</v>
      </c>
      <c r="T502" s="1">
        <v>0</v>
      </c>
      <c r="U502" s="4">
        <v>0.13055555555555556</v>
      </c>
      <c r="V502" s="1">
        <v>1530</v>
      </c>
      <c r="W502" s="1">
        <v>1170</v>
      </c>
      <c r="X502" s="1">
        <v>2700</v>
      </c>
      <c r="Y502" s="1" t="s">
        <v>51</v>
      </c>
      <c r="Z502" s="1">
        <v>660</v>
      </c>
      <c r="AA502" s="1">
        <v>2040</v>
      </c>
      <c r="AB502" s="1">
        <v>0</v>
      </c>
      <c r="AC502" s="1">
        <v>0</v>
      </c>
      <c r="AD502" s="1">
        <v>0</v>
      </c>
      <c r="AE502" s="1">
        <v>0</v>
      </c>
      <c r="AF502" s="1"/>
      <c r="AG502" s="1">
        <v>0</v>
      </c>
      <c r="AH502" s="1">
        <v>0</v>
      </c>
      <c r="AI502" s="1">
        <v>0</v>
      </c>
      <c r="AJ502" s="1">
        <v>0</v>
      </c>
      <c r="AK502" s="1">
        <v>6.4463999999999997</v>
      </c>
      <c r="AL502" s="1">
        <v>6.4463999999999997</v>
      </c>
      <c r="AM502" s="1">
        <v>6.4463999999999997</v>
      </c>
    </row>
    <row r="503" spans="1:39" x14ac:dyDescent="0.3">
      <c r="A503" s="21" t="str">
        <f t="shared" si="7"/>
        <v>HFA174LGAV2026-03-12</v>
      </c>
      <c r="B503" t="e">
        <f>VLOOKUP(A503,Sheet1!A503:B1845,1,FALSE)</f>
        <v>#N/A</v>
      </c>
      <c r="C503" s="3">
        <v>46093</v>
      </c>
      <c r="D503" s="1" t="s">
        <v>156</v>
      </c>
      <c r="E503" s="1" t="s">
        <v>38</v>
      </c>
      <c r="F503" s="1"/>
      <c r="G503" s="1" t="s">
        <v>39</v>
      </c>
      <c r="H503" s="1" t="s">
        <v>134</v>
      </c>
      <c r="I503" s="1" t="s">
        <v>46</v>
      </c>
      <c r="J503" s="1" t="s">
        <v>47</v>
      </c>
      <c r="K503" s="1" t="s">
        <v>48</v>
      </c>
      <c r="L503" s="1" t="s">
        <v>49</v>
      </c>
      <c r="M503" s="1" t="s">
        <v>50</v>
      </c>
      <c r="N503" s="1" t="s">
        <v>41</v>
      </c>
      <c r="O503" s="1" t="s">
        <v>82</v>
      </c>
      <c r="P503" s="1" t="s">
        <v>83</v>
      </c>
      <c r="Q503" s="1" t="s">
        <v>84</v>
      </c>
      <c r="R503" s="1" t="s">
        <v>45</v>
      </c>
      <c r="S503" s="1">
        <v>1195</v>
      </c>
      <c r="T503" s="1">
        <v>0</v>
      </c>
      <c r="U503" s="4">
        <v>0.11458333333333333</v>
      </c>
      <c r="V503" s="1">
        <v>660</v>
      </c>
      <c r="W503" s="1">
        <v>2540</v>
      </c>
      <c r="X503" s="1">
        <v>3200</v>
      </c>
      <c r="Y503" s="1" t="s">
        <v>51</v>
      </c>
      <c r="Z503" s="1">
        <v>1530</v>
      </c>
      <c r="AA503" s="1">
        <v>1670</v>
      </c>
      <c r="AB503" s="1">
        <v>0</v>
      </c>
      <c r="AC503" s="1">
        <v>0</v>
      </c>
      <c r="AD503" s="1">
        <v>0</v>
      </c>
      <c r="AE503" s="1">
        <v>0</v>
      </c>
      <c r="AF503" s="1"/>
      <c r="AG503" s="1">
        <v>0</v>
      </c>
      <c r="AH503" s="1">
        <v>0</v>
      </c>
      <c r="AI503" s="1">
        <v>0</v>
      </c>
      <c r="AJ503" s="1">
        <v>0</v>
      </c>
      <c r="AK503" s="1">
        <v>5.2771999999999997</v>
      </c>
      <c r="AL503" s="1">
        <v>5.2771999999999997</v>
      </c>
      <c r="AM503" s="1">
        <v>5.2771999999999997</v>
      </c>
    </row>
    <row r="504" spans="1:39" x14ac:dyDescent="0.3">
      <c r="A504" s="21" t="str">
        <f t="shared" si="7"/>
        <v>HFA175LLBG2026-03-12</v>
      </c>
      <c r="B504" t="e">
        <f>VLOOKUP(A504,Sheet1!A504:B1846,1,FALSE)</f>
        <v>#N/A</v>
      </c>
      <c r="C504" s="3">
        <v>46093</v>
      </c>
      <c r="D504" s="1" t="s">
        <v>157</v>
      </c>
      <c r="E504" s="1" t="s">
        <v>38</v>
      </c>
      <c r="F504" s="1"/>
      <c r="G504" s="1" t="s">
        <v>39</v>
      </c>
      <c r="H504" s="1" t="s">
        <v>134</v>
      </c>
      <c r="I504" s="1" t="s">
        <v>41</v>
      </c>
      <c r="J504" s="1" t="s">
        <v>82</v>
      </c>
      <c r="K504" s="1" t="s">
        <v>83</v>
      </c>
      <c r="L504" s="1" t="s">
        <v>84</v>
      </c>
      <c r="M504" s="1" t="s">
        <v>45</v>
      </c>
      <c r="N504" s="1" t="s">
        <v>67</v>
      </c>
      <c r="O504" s="1" t="s">
        <v>86</v>
      </c>
      <c r="P504" s="1" t="s">
        <v>87</v>
      </c>
      <c r="Q504" s="1" t="s">
        <v>88</v>
      </c>
      <c r="R504" s="1" t="s">
        <v>50</v>
      </c>
      <c r="S504" s="1">
        <v>339</v>
      </c>
      <c r="T504" s="1">
        <v>0</v>
      </c>
      <c r="U504" s="4">
        <v>5.2777777777777778E-2</v>
      </c>
      <c r="V504" s="1">
        <v>1530</v>
      </c>
      <c r="W504" s="1">
        <v>870</v>
      </c>
      <c r="X504" s="1">
        <v>2400</v>
      </c>
      <c r="Y504" s="1" t="s">
        <v>51</v>
      </c>
      <c r="Z504" s="1">
        <v>1670</v>
      </c>
      <c r="AA504" s="1">
        <v>730</v>
      </c>
      <c r="AB504" s="1">
        <v>0</v>
      </c>
      <c r="AC504" s="1">
        <v>0</v>
      </c>
      <c r="AD504" s="1">
        <v>0</v>
      </c>
      <c r="AE504" s="1">
        <v>0</v>
      </c>
      <c r="AF504" s="1"/>
      <c r="AG504" s="1">
        <v>0</v>
      </c>
      <c r="AH504" s="1">
        <v>0</v>
      </c>
      <c r="AI504" s="1">
        <v>0</v>
      </c>
      <c r="AJ504" s="1">
        <v>0</v>
      </c>
      <c r="AK504" s="1">
        <v>2.3068</v>
      </c>
      <c r="AL504" s="1">
        <v>2.3068</v>
      </c>
      <c r="AM504" s="1">
        <v>2.3068</v>
      </c>
    </row>
    <row r="505" spans="1:39" x14ac:dyDescent="0.3">
      <c r="A505" s="21" t="str">
        <f t="shared" si="7"/>
        <v>HFA176LCLK2026-03-13</v>
      </c>
      <c r="B505" t="e">
        <f>VLOOKUP(A505,Sheet1!A505:B1847,1,FALSE)</f>
        <v>#N/A</v>
      </c>
      <c r="C505" s="3">
        <v>46094</v>
      </c>
      <c r="D505" s="1" t="s">
        <v>158</v>
      </c>
      <c r="E505" s="1" t="s">
        <v>38</v>
      </c>
      <c r="F505" s="1"/>
      <c r="G505" s="1" t="s">
        <v>39</v>
      </c>
      <c r="H505" s="1" t="s">
        <v>134</v>
      </c>
      <c r="I505" s="1" t="s">
        <v>67</v>
      </c>
      <c r="J505" s="1" t="s">
        <v>86</v>
      </c>
      <c r="K505" s="1" t="s">
        <v>87</v>
      </c>
      <c r="L505" s="1" t="s">
        <v>88</v>
      </c>
      <c r="M505" s="1" t="s">
        <v>50</v>
      </c>
      <c r="N505" s="1" t="s">
        <v>41</v>
      </c>
      <c r="O505" s="1" t="s">
        <v>82</v>
      </c>
      <c r="P505" s="1" t="s">
        <v>83</v>
      </c>
      <c r="Q505" s="1" t="s">
        <v>84</v>
      </c>
      <c r="R505" s="1" t="s">
        <v>45</v>
      </c>
      <c r="S505" s="1">
        <v>339</v>
      </c>
      <c r="T505" s="1">
        <v>0</v>
      </c>
      <c r="U505" s="4">
        <v>5.2777777777777778E-2</v>
      </c>
      <c r="V505" s="1">
        <v>1670</v>
      </c>
      <c r="W505" s="1">
        <v>330</v>
      </c>
      <c r="X505" s="1">
        <v>2000</v>
      </c>
      <c r="Y505" s="1" t="s">
        <v>51</v>
      </c>
      <c r="Z505" s="1">
        <v>1240</v>
      </c>
      <c r="AA505" s="1">
        <v>760</v>
      </c>
      <c r="AB505" s="1">
        <v>0</v>
      </c>
      <c r="AC505" s="1">
        <v>0</v>
      </c>
      <c r="AD505" s="1">
        <v>0</v>
      </c>
      <c r="AE505" s="1">
        <v>0</v>
      </c>
      <c r="AF505" s="1"/>
      <c r="AG505" s="1">
        <v>0</v>
      </c>
      <c r="AH505" s="1">
        <v>0</v>
      </c>
      <c r="AI505" s="1">
        <v>0</v>
      </c>
      <c r="AJ505" s="1">
        <v>0</v>
      </c>
      <c r="AK505" s="1">
        <v>2.4016000000000002</v>
      </c>
      <c r="AL505" s="1">
        <v>2.4016000000000002</v>
      </c>
      <c r="AM505" s="1">
        <v>2.4016000000000002</v>
      </c>
    </row>
    <row r="506" spans="1:39" x14ac:dyDescent="0.3">
      <c r="A506" s="21" t="str">
        <f t="shared" si="7"/>
        <v>HFA177LLBG2026-03-13</v>
      </c>
      <c r="B506" t="e">
        <f>VLOOKUP(A506,Sheet1!A506:B1848,1,FALSE)</f>
        <v>#N/A</v>
      </c>
      <c r="C506" s="3">
        <v>46094</v>
      </c>
      <c r="D506" s="1" t="s">
        <v>159</v>
      </c>
      <c r="E506" s="1" t="s">
        <v>38</v>
      </c>
      <c r="F506" s="1"/>
      <c r="G506" s="1" t="s">
        <v>39</v>
      </c>
      <c r="H506" s="1" t="s">
        <v>134</v>
      </c>
      <c r="I506" s="1" t="s">
        <v>41</v>
      </c>
      <c r="J506" s="1" t="s">
        <v>82</v>
      </c>
      <c r="K506" s="1" t="s">
        <v>83</v>
      </c>
      <c r="L506" s="1" t="s">
        <v>84</v>
      </c>
      <c r="M506" s="1" t="s">
        <v>45</v>
      </c>
      <c r="N506" s="1" t="s">
        <v>46</v>
      </c>
      <c r="O506" s="1" t="s">
        <v>47</v>
      </c>
      <c r="P506" s="1" t="s">
        <v>48</v>
      </c>
      <c r="Q506" s="1" t="s">
        <v>49</v>
      </c>
      <c r="R506" s="1" t="s">
        <v>50</v>
      </c>
      <c r="S506" s="1">
        <v>1195</v>
      </c>
      <c r="T506" s="1">
        <v>1195</v>
      </c>
      <c r="U506" s="4">
        <v>0.13680555555555557</v>
      </c>
      <c r="V506" s="1">
        <v>1240</v>
      </c>
      <c r="W506" s="1">
        <v>1360</v>
      </c>
      <c r="X506" s="1">
        <v>2600</v>
      </c>
      <c r="Y506" s="1" t="s">
        <v>51</v>
      </c>
      <c r="Z506" s="1">
        <v>590</v>
      </c>
      <c r="AA506" s="1">
        <v>2010</v>
      </c>
      <c r="AB506" s="1">
        <v>0</v>
      </c>
      <c r="AC506" s="1">
        <v>0</v>
      </c>
      <c r="AD506" s="1">
        <v>0</v>
      </c>
      <c r="AE506" s="1">
        <v>0</v>
      </c>
      <c r="AF506" s="1"/>
      <c r="AG506" s="1">
        <v>0</v>
      </c>
      <c r="AH506" s="1">
        <v>0</v>
      </c>
      <c r="AI506" s="1">
        <v>0</v>
      </c>
      <c r="AJ506" s="1">
        <v>0</v>
      </c>
      <c r="AK506" s="1">
        <v>6.3516000000000004</v>
      </c>
      <c r="AL506" s="1">
        <v>6.3516000000000004</v>
      </c>
      <c r="AM506" s="1">
        <v>6.3516000000000004</v>
      </c>
    </row>
    <row r="507" spans="1:39" x14ac:dyDescent="0.3">
      <c r="A507" s="21" t="str">
        <f t="shared" si="7"/>
        <v>HFA178LGAV2026-03-13</v>
      </c>
      <c r="B507" t="e">
        <f>VLOOKUP(A507,Sheet1!A507:B1849,1,FALSE)</f>
        <v>#N/A</v>
      </c>
      <c r="C507" s="3">
        <v>46094</v>
      </c>
      <c r="D507" s="1" t="s">
        <v>160</v>
      </c>
      <c r="E507" s="1" t="s">
        <v>38</v>
      </c>
      <c r="F507" s="1"/>
      <c r="G507" s="1" t="s">
        <v>39</v>
      </c>
      <c r="H507" s="1" t="s">
        <v>134</v>
      </c>
      <c r="I507" s="1" t="s">
        <v>46</v>
      </c>
      <c r="J507" s="1" t="s">
        <v>47</v>
      </c>
      <c r="K507" s="1" t="s">
        <v>48</v>
      </c>
      <c r="L507" s="1" t="s">
        <v>49</v>
      </c>
      <c r="M507" s="1" t="s">
        <v>50</v>
      </c>
      <c r="N507" s="1" t="s">
        <v>41</v>
      </c>
      <c r="O507" s="1" t="s">
        <v>82</v>
      </c>
      <c r="P507" s="1" t="s">
        <v>83</v>
      </c>
      <c r="Q507" s="1" t="s">
        <v>84</v>
      </c>
      <c r="R507" s="1" t="s">
        <v>45</v>
      </c>
      <c r="S507" s="1">
        <v>1195</v>
      </c>
      <c r="T507" s="1">
        <v>1195</v>
      </c>
      <c r="U507" s="4">
        <v>0.11666666666666667</v>
      </c>
      <c r="V507" s="1">
        <v>590</v>
      </c>
      <c r="W507" s="1">
        <v>2610</v>
      </c>
      <c r="X507" s="1">
        <v>3200</v>
      </c>
      <c r="Y507" s="1" t="s">
        <v>51</v>
      </c>
      <c r="Z507" s="1">
        <v>1510</v>
      </c>
      <c r="AA507" s="1">
        <v>1690</v>
      </c>
      <c r="AB507" s="1">
        <v>0</v>
      </c>
      <c r="AC507" s="1">
        <v>0</v>
      </c>
      <c r="AD507" s="1">
        <v>0</v>
      </c>
      <c r="AE507" s="1">
        <v>0</v>
      </c>
      <c r="AF507" s="1"/>
      <c r="AG507" s="1">
        <v>0</v>
      </c>
      <c r="AH507" s="1">
        <v>0</v>
      </c>
      <c r="AI507" s="1">
        <v>0</v>
      </c>
      <c r="AJ507" s="1">
        <v>0</v>
      </c>
      <c r="AK507" s="1">
        <v>5.3403999999999998</v>
      </c>
      <c r="AL507" s="1">
        <v>5.3403999999999998</v>
      </c>
      <c r="AM507" s="1">
        <v>5.3403999999999998</v>
      </c>
    </row>
    <row r="508" spans="1:39" x14ac:dyDescent="0.3">
      <c r="A508" s="21" t="str">
        <f t="shared" si="7"/>
        <v>HFA181LLBG2026-03-13</v>
      </c>
      <c r="B508" t="e">
        <f>VLOOKUP(A508,Sheet1!A508:B1850,1,FALSE)</f>
        <v>#N/A</v>
      </c>
      <c r="C508" s="3">
        <v>46094</v>
      </c>
      <c r="D508" s="1" t="s">
        <v>161</v>
      </c>
      <c r="E508" s="1" t="s">
        <v>38</v>
      </c>
      <c r="F508" s="1"/>
      <c r="G508" s="1" t="s">
        <v>39</v>
      </c>
      <c r="H508" s="1" t="s">
        <v>134</v>
      </c>
      <c r="I508" s="1" t="s">
        <v>41</v>
      </c>
      <c r="J508" s="1" t="s">
        <v>82</v>
      </c>
      <c r="K508" s="1" t="s">
        <v>83</v>
      </c>
      <c r="L508" s="1" t="s">
        <v>84</v>
      </c>
      <c r="M508" s="1" t="s">
        <v>45</v>
      </c>
      <c r="N508" s="1" t="s">
        <v>46</v>
      </c>
      <c r="O508" s="1" t="s">
        <v>47</v>
      </c>
      <c r="P508" s="1" t="s">
        <v>48</v>
      </c>
      <c r="Q508" s="1" t="s">
        <v>49</v>
      </c>
      <c r="R508" s="1" t="s">
        <v>50</v>
      </c>
      <c r="S508" s="1">
        <v>1195</v>
      </c>
      <c r="T508" s="1">
        <v>1195</v>
      </c>
      <c r="U508" s="4">
        <v>0.12986111111111112</v>
      </c>
      <c r="V508" s="1">
        <v>1510</v>
      </c>
      <c r="W508" s="1">
        <v>1190</v>
      </c>
      <c r="X508" s="1">
        <v>2700</v>
      </c>
      <c r="Y508" s="1" t="s">
        <v>51</v>
      </c>
      <c r="Z508" s="1">
        <v>720</v>
      </c>
      <c r="AA508" s="1">
        <v>1980</v>
      </c>
      <c r="AB508" s="1">
        <v>0</v>
      </c>
      <c r="AC508" s="1">
        <v>0</v>
      </c>
      <c r="AD508" s="1">
        <v>0</v>
      </c>
      <c r="AE508" s="1">
        <v>0</v>
      </c>
      <c r="AF508" s="1"/>
      <c r="AG508" s="1">
        <v>0</v>
      </c>
      <c r="AH508" s="1">
        <v>0</v>
      </c>
      <c r="AI508" s="1">
        <v>0</v>
      </c>
      <c r="AJ508" s="1">
        <v>0</v>
      </c>
      <c r="AK508" s="1">
        <v>6.2568000000000001</v>
      </c>
      <c r="AL508" s="1">
        <v>6.2568000000000001</v>
      </c>
      <c r="AM508" s="1">
        <v>6.2568000000000001</v>
      </c>
    </row>
    <row r="509" spans="1:39" x14ac:dyDescent="0.3">
      <c r="A509" s="21" t="str">
        <f t="shared" si="7"/>
        <v>HFA181ALGAV2026-03-13</v>
      </c>
      <c r="B509" t="e">
        <f>VLOOKUP(A509,Sheet1!A509:B1851,1,FALSE)</f>
        <v>#N/A</v>
      </c>
      <c r="C509" s="3">
        <v>46094</v>
      </c>
      <c r="D509" s="1" t="s">
        <v>162</v>
      </c>
      <c r="E509" s="1" t="s">
        <v>38</v>
      </c>
      <c r="F509" s="1"/>
      <c r="G509" s="1" t="s">
        <v>39</v>
      </c>
      <c r="H509" s="1" t="s">
        <v>134</v>
      </c>
      <c r="I509" s="1" t="s">
        <v>46</v>
      </c>
      <c r="J509" s="1" t="s">
        <v>47</v>
      </c>
      <c r="K509" s="1" t="s">
        <v>48</v>
      </c>
      <c r="L509" s="1" t="s">
        <v>49</v>
      </c>
      <c r="M509" s="1" t="s">
        <v>50</v>
      </c>
      <c r="N509" s="1" t="s">
        <v>67</v>
      </c>
      <c r="O509" s="1" t="s">
        <v>86</v>
      </c>
      <c r="P509" s="1" t="s">
        <v>87</v>
      </c>
      <c r="Q509" s="1" t="s">
        <v>88</v>
      </c>
      <c r="R509" s="1" t="s">
        <v>50</v>
      </c>
      <c r="S509" s="1">
        <v>932</v>
      </c>
      <c r="T509" s="1">
        <v>0</v>
      </c>
      <c r="U509" s="4">
        <v>9.930555555555555E-2</v>
      </c>
      <c r="V509" s="1">
        <v>720</v>
      </c>
      <c r="W509" s="1">
        <v>1880</v>
      </c>
      <c r="X509" s="1">
        <v>2600</v>
      </c>
      <c r="Y509" s="1" t="s">
        <v>51</v>
      </c>
      <c r="Z509" s="1">
        <v>1380</v>
      </c>
      <c r="AA509" s="1">
        <v>1220</v>
      </c>
      <c r="AB509" s="1">
        <v>0</v>
      </c>
      <c r="AC509" s="1">
        <v>0</v>
      </c>
      <c r="AD509" s="1">
        <v>0</v>
      </c>
      <c r="AE509" s="1">
        <v>0</v>
      </c>
      <c r="AF509" s="1"/>
      <c r="AG509" s="1">
        <v>0</v>
      </c>
      <c r="AH509" s="1">
        <v>0</v>
      </c>
      <c r="AI509" s="1">
        <v>0</v>
      </c>
      <c r="AJ509" s="1">
        <v>0</v>
      </c>
      <c r="AK509" s="1">
        <v>3.8552</v>
      </c>
      <c r="AL509" s="1">
        <v>3.8552</v>
      </c>
      <c r="AM509" s="1">
        <v>3.8552</v>
      </c>
    </row>
    <row r="510" spans="1:39" x14ac:dyDescent="0.3">
      <c r="A510" s="21" t="str">
        <f t="shared" si="7"/>
        <v>HFA206LCLK2026-03-16</v>
      </c>
      <c r="B510" t="e">
        <f>VLOOKUP(A510,Sheet1!A510:B1852,1,FALSE)</f>
        <v>#N/A</v>
      </c>
      <c r="C510" s="3">
        <v>46097</v>
      </c>
      <c r="D510" s="1" t="s">
        <v>163</v>
      </c>
      <c r="E510" s="1" t="s">
        <v>38</v>
      </c>
      <c r="F510" s="1"/>
      <c r="G510" s="1" t="s">
        <v>39</v>
      </c>
      <c r="H510" s="1" t="s">
        <v>134</v>
      </c>
      <c r="I510" s="1" t="s">
        <v>67</v>
      </c>
      <c r="J510" s="1" t="s">
        <v>86</v>
      </c>
      <c r="K510" s="1" t="s">
        <v>87</v>
      </c>
      <c r="L510" s="1" t="s">
        <v>88</v>
      </c>
      <c r="M510" s="1" t="s">
        <v>50</v>
      </c>
      <c r="N510" s="1" t="s">
        <v>41</v>
      </c>
      <c r="O510" s="1" t="s">
        <v>82</v>
      </c>
      <c r="P510" s="1" t="s">
        <v>83</v>
      </c>
      <c r="Q510" s="1" t="s">
        <v>84</v>
      </c>
      <c r="R510" s="1" t="s">
        <v>45</v>
      </c>
      <c r="S510" s="1">
        <v>339</v>
      </c>
      <c r="T510" s="1">
        <v>0</v>
      </c>
      <c r="U510" s="4">
        <v>4.8611111111111105E-2</v>
      </c>
      <c r="V510" s="1">
        <v>1380</v>
      </c>
      <c r="W510" s="1">
        <v>820</v>
      </c>
      <c r="X510" s="1">
        <v>2200</v>
      </c>
      <c r="Y510" s="1" t="s">
        <v>51</v>
      </c>
      <c r="Z510" s="1">
        <v>1500</v>
      </c>
      <c r="AA510" s="1">
        <v>700</v>
      </c>
      <c r="AB510" s="1">
        <v>0</v>
      </c>
      <c r="AC510" s="1">
        <v>0</v>
      </c>
      <c r="AD510" s="1">
        <v>0</v>
      </c>
      <c r="AE510" s="1">
        <v>0</v>
      </c>
      <c r="AF510" s="1"/>
      <c r="AG510" s="1">
        <v>0</v>
      </c>
      <c r="AH510" s="1">
        <v>0</v>
      </c>
      <c r="AI510" s="1">
        <v>0</v>
      </c>
      <c r="AJ510" s="1">
        <v>0</v>
      </c>
      <c r="AK510" s="1">
        <v>2.2120000000000002</v>
      </c>
      <c r="AL510" s="1">
        <v>2.2120000000000002</v>
      </c>
      <c r="AM510" s="1">
        <v>2.2120000000000002</v>
      </c>
    </row>
    <row r="511" spans="1:39" x14ac:dyDescent="0.3">
      <c r="A511" s="21" t="str">
        <f t="shared" si="7"/>
        <v>HFA207LLBG2026-03-16</v>
      </c>
      <c r="B511" t="e">
        <f>VLOOKUP(A511,Sheet1!A511:B1853,1,FALSE)</f>
        <v>#N/A</v>
      </c>
      <c r="C511" s="3">
        <v>46097</v>
      </c>
      <c r="D511" s="1" t="s">
        <v>164</v>
      </c>
      <c r="E511" s="1" t="s">
        <v>38</v>
      </c>
      <c r="F511" s="1"/>
      <c r="G511" s="1" t="s">
        <v>39</v>
      </c>
      <c r="H511" s="1" t="s">
        <v>134</v>
      </c>
      <c r="I511" s="1" t="s">
        <v>41</v>
      </c>
      <c r="J511" s="1" t="s">
        <v>82</v>
      </c>
      <c r="K511" s="1" t="s">
        <v>83</v>
      </c>
      <c r="L511" s="1" t="s">
        <v>84</v>
      </c>
      <c r="M511" s="1" t="s">
        <v>45</v>
      </c>
      <c r="N511" s="1" t="s">
        <v>46</v>
      </c>
      <c r="O511" s="1" t="s">
        <v>47</v>
      </c>
      <c r="P511" s="1" t="s">
        <v>48</v>
      </c>
      <c r="Q511" s="1" t="s">
        <v>49</v>
      </c>
      <c r="R511" s="1" t="s">
        <v>50</v>
      </c>
      <c r="S511" s="1">
        <v>1195</v>
      </c>
      <c r="T511" s="1">
        <v>0</v>
      </c>
      <c r="U511" s="4">
        <v>0.13333333333333333</v>
      </c>
      <c r="V511" s="1">
        <v>1500</v>
      </c>
      <c r="W511" s="1">
        <v>1200</v>
      </c>
      <c r="X511" s="1">
        <v>2700</v>
      </c>
      <c r="Y511" s="1" t="s">
        <v>51</v>
      </c>
      <c r="Z511" s="1">
        <v>700</v>
      </c>
      <c r="AA511" s="1">
        <v>2000</v>
      </c>
      <c r="AB511" s="1">
        <v>0</v>
      </c>
      <c r="AC511" s="1">
        <v>0</v>
      </c>
      <c r="AD511" s="1">
        <v>0</v>
      </c>
      <c r="AE511" s="1">
        <v>0</v>
      </c>
      <c r="AF511" s="1"/>
      <c r="AG511" s="1">
        <v>0</v>
      </c>
      <c r="AH511" s="1">
        <v>0</v>
      </c>
      <c r="AI511" s="1">
        <v>0</v>
      </c>
      <c r="AJ511" s="1">
        <v>0</v>
      </c>
      <c r="AK511" s="1">
        <v>6.32</v>
      </c>
      <c r="AL511" s="1">
        <v>6.32</v>
      </c>
      <c r="AM511" s="1">
        <v>6.32</v>
      </c>
    </row>
    <row r="512" spans="1:39" x14ac:dyDescent="0.3">
      <c r="A512" s="21" t="str">
        <f t="shared" si="7"/>
        <v>HFA210LGAV2026-03-16</v>
      </c>
      <c r="B512" t="e">
        <f>VLOOKUP(A512,Sheet1!A512:B1854,1,FALSE)</f>
        <v>#N/A</v>
      </c>
      <c r="C512" s="3">
        <v>46097</v>
      </c>
      <c r="D512" s="1" t="s">
        <v>165</v>
      </c>
      <c r="E512" s="1" t="s">
        <v>38</v>
      </c>
      <c r="F512" s="1"/>
      <c r="G512" s="1" t="s">
        <v>39</v>
      </c>
      <c r="H512" s="1" t="s">
        <v>134</v>
      </c>
      <c r="I512" s="1" t="s">
        <v>46</v>
      </c>
      <c r="J512" s="1" t="s">
        <v>47</v>
      </c>
      <c r="K512" s="1" t="s">
        <v>48</v>
      </c>
      <c r="L512" s="1" t="s">
        <v>49</v>
      </c>
      <c r="M512" s="1" t="s">
        <v>50</v>
      </c>
      <c r="N512" s="1" t="s">
        <v>41</v>
      </c>
      <c r="O512" s="1" t="s">
        <v>82</v>
      </c>
      <c r="P512" s="1" t="s">
        <v>83</v>
      </c>
      <c r="Q512" s="1" t="s">
        <v>84</v>
      </c>
      <c r="R512" s="1" t="s">
        <v>45</v>
      </c>
      <c r="S512" s="1">
        <v>1195</v>
      </c>
      <c r="T512" s="1">
        <v>0</v>
      </c>
      <c r="U512" s="4">
        <v>0.1111111111111111</v>
      </c>
      <c r="V512" s="1">
        <v>700</v>
      </c>
      <c r="W512" s="1">
        <v>2600</v>
      </c>
      <c r="X512" s="1">
        <v>3300</v>
      </c>
      <c r="Y512" s="1" t="s">
        <v>51</v>
      </c>
      <c r="Z512" s="1">
        <v>1800</v>
      </c>
      <c r="AA512" s="1">
        <v>1500</v>
      </c>
      <c r="AB512" s="1">
        <v>0</v>
      </c>
      <c r="AC512" s="1">
        <v>0</v>
      </c>
      <c r="AD512" s="1">
        <v>0</v>
      </c>
      <c r="AE512" s="1">
        <v>0</v>
      </c>
      <c r="AF512" s="1"/>
      <c r="AG512" s="1">
        <v>0</v>
      </c>
      <c r="AH512" s="1">
        <v>0</v>
      </c>
      <c r="AI512" s="1">
        <v>0</v>
      </c>
      <c r="AJ512" s="1">
        <v>0</v>
      </c>
      <c r="AK512" s="1">
        <v>4.74</v>
      </c>
      <c r="AL512" s="1">
        <v>4.74</v>
      </c>
      <c r="AM512" s="1">
        <v>4.74</v>
      </c>
    </row>
    <row r="513" spans="1:39" x14ac:dyDescent="0.3">
      <c r="A513" s="21" t="str">
        <f t="shared" si="7"/>
        <v>HFA211LLBG2026-03-16</v>
      </c>
      <c r="B513" t="e">
        <f>VLOOKUP(A513,Sheet1!A513:B1855,1,FALSE)</f>
        <v>#N/A</v>
      </c>
      <c r="C513" s="3">
        <v>46097</v>
      </c>
      <c r="D513" s="1" t="s">
        <v>166</v>
      </c>
      <c r="E513" s="1" t="s">
        <v>38</v>
      </c>
      <c r="F513" s="1"/>
      <c r="G513" s="1" t="s">
        <v>39</v>
      </c>
      <c r="H513" s="1" t="s">
        <v>134</v>
      </c>
      <c r="I513" s="1" t="s">
        <v>41</v>
      </c>
      <c r="J513" s="1" t="s">
        <v>82</v>
      </c>
      <c r="K513" s="1" t="s">
        <v>83</v>
      </c>
      <c r="L513" s="1" t="s">
        <v>84</v>
      </c>
      <c r="M513" s="1" t="s">
        <v>45</v>
      </c>
      <c r="N513" s="1" t="s">
        <v>67</v>
      </c>
      <c r="O513" s="1" t="s">
        <v>86</v>
      </c>
      <c r="P513" s="1" t="s">
        <v>87</v>
      </c>
      <c r="Q513" s="1" t="s">
        <v>88</v>
      </c>
      <c r="R513" s="1" t="s">
        <v>50</v>
      </c>
      <c r="S513" s="1">
        <v>339</v>
      </c>
      <c r="T513" s="1">
        <v>0</v>
      </c>
      <c r="U513" s="4">
        <v>6.8750000000000006E-2</v>
      </c>
      <c r="V513" s="1">
        <v>1800</v>
      </c>
      <c r="W513" s="1">
        <v>200</v>
      </c>
      <c r="X513" s="1">
        <v>2000</v>
      </c>
      <c r="Y513" s="1" t="s">
        <v>51</v>
      </c>
      <c r="Z513" s="1">
        <v>1050</v>
      </c>
      <c r="AA513" s="1">
        <v>950</v>
      </c>
      <c r="AB513" s="1">
        <v>0</v>
      </c>
      <c r="AC513" s="1">
        <v>0</v>
      </c>
      <c r="AD513" s="1">
        <v>0</v>
      </c>
      <c r="AE513" s="1">
        <v>0</v>
      </c>
      <c r="AF513" s="1"/>
      <c r="AG513" s="1">
        <v>0</v>
      </c>
      <c r="AH513" s="1">
        <v>0</v>
      </c>
      <c r="AI513" s="1">
        <v>0</v>
      </c>
      <c r="AJ513" s="1">
        <v>0</v>
      </c>
      <c r="AK513" s="1">
        <v>3.0019999999999998</v>
      </c>
      <c r="AL513" s="1">
        <v>3.0019999999999998</v>
      </c>
      <c r="AM513" s="1">
        <v>3.0019999999999998</v>
      </c>
    </row>
    <row r="514" spans="1:39" x14ac:dyDescent="0.3">
      <c r="A514" s="21" t="str">
        <f t="shared" si="7"/>
        <v>HFA240LCLK2026-03-20</v>
      </c>
      <c r="B514" t="e">
        <f>VLOOKUP(A514,Sheet1!A514:B1856,1,FALSE)</f>
        <v>#N/A</v>
      </c>
      <c r="C514" s="3">
        <v>46101</v>
      </c>
      <c r="D514" s="1" t="s">
        <v>167</v>
      </c>
      <c r="E514" s="1" t="s">
        <v>38</v>
      </c>
      <c r="F514" s="1"/>
      <c r="G514" s="1" t="s">
        <v>39</v>
      </c>
      <c r="H514" s="1" t="s">
        <v>134</v>
      </c>
      <c r="I514" s="1" t="s">
        <v>67</v>
      </c>
      <c r="J514" s="1" t="s">
        <v>86</v>
      </c>
      <c r="K514" s="1" t="s">
        <v>87</v>
      </c>
      <c r="L514" s="1" t="s">
        <v>88</v>
      </c>
      <c r="M514" s="1" t="s">
        <v>50</v>
      </c>
      <c r="N514" s="1" t="s">
        <v>41</v>
      </c>
      <c r="O514" s="1" t="s">
        <v>82</v>
      </c>
      <c r="P514" s="1" t="s">
        <v>83</v>
      </c>
      <c r="Q514" s="1" t="s">
        <v>84</v>
      </c>
      <c r="R514" s="1" t="s">
        <v>45</v>
      </c>
      <c r="S514" s="1">
        <v>339</v>
      </c>
      <c r="T514" s="1">
        <v>339</v>
      </c>
      <c r="U514" s="4">
        <v>5.4166666666666669E-2</v>
      </c>
      <c r="V514" s="1">
        <v>1050</v>
      </c>
      <c r="W514" s="1">
        <v>1950</v>
      </c>
      <c r="X514" s="1">
        <v>3000</v>
      </c>
      <c r="Y514" s="1" t="s">
        <v>51</v>
      </c>
      <c r="Z514" s="1">
        <v>2250</v>
      </c>
      <c r="AA514" s="1">
        <v>750</v>
      </c>
      <c r="AB514" s="1">
        <v>0</v>
      </c>
      <c r="AC514" s="1">
        <v>0</v>
      </c>
      <c r="AD514" s="1">
        <v>0</v>
      </c>
      <c r="AE514" s="1">
        <v>0</v>
      </c>
      <c r="AF514" s="1"/>
      <c r="AG514" s="1">
        <v>0</v>
      </c>
      <c r="AH514" s="1">
        <v>0</v>
      </c>
      <c r="AI514" s="1">
        <v>0</v>
      </c>
      <c r="AJ514" s="1">
        <v>0</v>
      </c>
      <c r="AK514" s="1">
        <v>2.37</v>
      </c>
      <c r="AL514" s="1">
        <v>2.37</v>
      </c>
      <c r="AM514" s="1">
        <v>2.37</v>
      </c>
    </row>
    <row r="515" spans="1:39" x14ac:dyDescent="0.3">
      <c r="A515" s="21" t="str">
        <f t="shared" ref="A515:A578" si="8">CONCATENATE(D515,K515,TEXT(C515,"YYYY-MM-DD"))</f>
        <v>HFA241LLBG2026-03-20</v>
      </c>
      <c r="B515" t="e">
        <f>VLOOKUP(A515,Sheet1!A515:B1857,1,FALSE)</f>
        <v>#N/A</v>
      </c>
      <c r="C515" s="3">
        <v>46101</v>
      </c>
      <c r="D515" s="1" t="s">
        <v>168</v>
      </c>
      <c r="E515" s="1" t="s">
        <v>38</v>
      </c>
      <c r="F515" s="1"/>
      <c r="G515" s="1" t="s">
        <v>39</v>
      </c>
      <c r="H515" s="1" t="s">
        <v>134</v>
      </c>
      <c r="I515" s="1" t="s">
        <v>41</v>
      </c>
      <c r="J515" s="1" t="s">
        <v>82</v>
      </c>
      <c r="K515" s="1" t="s">
        <v>83</v>
      </c>
      <c r="L515" s="1" t="s">
        <v>84</v>
      </c>
      <c r="M515" s="1" t="s">
        <v>45</v>
      </c>
      <c r="N515" s="1" t="s">
        <v>67</v>
      </c>
      <c r="O515" s="1" t="s">
        <v>86</v>
      </c>
      <c r="P515" s="1" t="s">
        <v>87</v>
      </c>
      <c r="Q515" s="1" t="s">
        <v>88</v>
      </c>
      <c r="R515" s="1" t="s">
        <v>50</v>
      </c>
      <c r="S515" s="1">
        <v>339</v>
      </c>
      <c r="T515" s="1">
        <v>339</v>
      </c>
      <c r="U515" s="4">
        <v>6.3194444444444442E-2</v>
      </c>
      <c r="V515" s="1">
        <v>2250</v>
      </c>
      <c r="W515" s="1">
        <v>0</v>
      </c>
      <c r="X515" s="1">
        <v>2250</v>
      </c>
      <c r="Y515" s="1" t="s">
        <v>51</v>
      </c>
      <c r="Z515" s="1">
        <v>1400</v>
      </c>
      <c r="AA515" s="1">
        <v>850</v>
      </c>
      <c r="AB515" s="1">
        <v>0</v>
      </c>
      <c r="AC515" s="1">
        <v>0</v>
      </c>
      <c r="AD515" s="1">
        <v>0</v>
      </c>
      <c r="AE515" s="1">
        <v>0</v>
      </c>
      <c r="AF515" s="1"/>
      <c r="AG515" s="1">
        <v>0</v>
      </c>
      <c r="AH515" s="1">
        <v>0</v>
      </c>
      <c r="AI515" s="1">
        <v>0</v>
      </c>
      <c r="AJ515" s="1">
        <v>0</v>
      </c>
      <c r="AK515" s="1">
        <v>2.6859999999999999</v>
      </c>
      <c r="AL515" s="1">
        <v>2.6859999999999999</v>
      </c>
      <c r="AM515" s="1">
        <v>2.6859999999999999</v>
      </c>
    </row>
    <row r="516" spans="1:39" x14ac:dyDescent="0.3">
      <c r="A516" s="21" t="str">
        <f t="shared" si="8"/>
        <v>HFA156LCLK2026-03-21</v>
      </c>
      <c r="B516" t="e">
        <f>VLOOKUP(A516,Sheet1!A516:B1858,1,FALSE)</f>
        <v>#N/A</v>
      </c>
      <c r="C516" s="3">
        <v>46102</v>
      </c>
      <c r="D516" s="1" t="s">
        <v>169</v>
      </c>
      <c r="E516" s="1" t="s">
        <v>38</v>
      </c>
      <c r="F516" s="1"/>
      <c r="G516" s="1" t="s">
        <v>39</v>
      </c>
      <c r="H516" s="1" t="s">
        <v>134</v>
      </c>
      <c r="I516" s="1" t="s">
        <v>67</v>
      </c>
      <c r="J516" s="1" t="s">
        <v>86</v>
      </c>
      <c r="K516" s="1" t="s">
        <v>87</v>
      </c>
      <c r="L516" s="1" t="s">
        <v>88</v>
      </c>
      <c r="M516" s="1" t="s">
        <v>50</v>
      </c>
      <c r="N516" s="1" t="s">
        <v>41</v>
      </c>
      <c r="O516" s="1" t="s">
        <v>82</v>
      </c>
      <c r="P516" s="1" t="s">
        <v>83</v>
      </c>
      <c r="Q516" s="1" t="s">
        <v>84</v>
      </c>
      <c r="R516" s="1" t="s">
        <v>45</v>
      </c>
      <c r="S516" s="1">
        <v>339</v>
      </c>
      <c r="T516" s="1">
        <v>339</v>
      </c>
      <c r="U516" s="4">
        <v>4.7916666666666663E-2</v>
      </c>
      <c r="V516" s="1">
        <v>1400</v>
      </c>
      <c r="W516" s="1">
        <v>1400</v>
      </c>
      <c r="X516" s="1">
        <v>2800</v>
      </c>
      <c r="Y516" s="1" t="s">
        <v>51</v>
      </c>
      <c r="Z516" s="1">
        <v>2130</v>
      </c>
      <c r="AA516" s="1">
        <v>670</v>
      </c>
      <c r="AB516" s="1">
        <v>0</v>
      </c>
      <c r="AC516" s="1">
        <v>0</v>
      </c>
      <c r="AD516" s="1">
        <v>0</v>
      </c>
      <c r="AE516" s="1">
        <v>0</v>
      </c>
      <c r="AF516" s="1"/>
      <c r="AG516" s="1">
        <v>0</v>
      </c>
      <c r="AH516" s="1">
        <v>0</v>
      </c>
      <c r="AI516" s="1">
        <v>0</v>
      </c>
      <c r="AJ516" s="1">
        <v>0</v>
      </c>
      <c r="AK516" s="1">
        <v>2.1172</v>
      </c>
      <c r="AL516" s="1">
        <v>2.1172</v>
      </c>
      <c r="AM516" s="1">
        <v>2.1172</v>
      </c>
    </row>
    <row r="517" spans="1:39" x14ac:dyDescent="0.3">
      <c r="A517" s="21" t="str">
        <f t="shared" si="8"/>
        <v>HFA247LLBG2026-03-21</v>
      </c>
      <c r="B517" t="e">
        <f>VLOOKUP(A517,Sheet1!A517:B1859,1,FALSE)</f>
        <v>#N/A</v>
      </c>
      <c r="C517" s="3">
        <v>46102</v>
      </c>
      <c r="D517" s="1" t="s">
        <v>170</v>
      </c>
      <c r="E517" s="1" t="s">
        <v>38</v>
      </c>
      <c r="F517" s="1"/>
      <c r="G517" s="1" t="s">
        <v>39</v>
      </c>
      <c r="H517" s="1" t="s">
        <v>134</v>
      </c>
      <c r="I517" s="1" t="s">
        <v>41</v>
      </c>
      <c r="J517" s="1" t="s">
        <v>82</v>
      </c>
      <c r="K517" s="1" t="s">
        <v>83</v>
      </c>
      <c r="L517" s="1" t="s">
        <v>84</v>
      </c>
      <c r="M517" s="1" t="s">
        <v>45</v>
      </c>
      <c r="N517" s="1" t="s">
        <v>67</v>
      </c>
      <c r="O517" s="1" t="s">
        <v>86</v>
      </c>
      <c r="P517" s="1" t="s">
        <v>87</v>
      </c>
      <c r="Q517" s="1" t="s">
        <v>88</v>
      </c>
      <c r="R517" s="1" t="s">
        <v>50</v>
      </c>
      <c r="S517" s="1">
        <v>339</v>
      </c>
      <c r="T517" s="1">
        <v>339</v>
      </c>
      <c r="U517" s="4">
        <v>6.9444444444444448E-2</v>
      </c>
      <c r="V517" s="1">
        <v>2130</v>
      </c>
      <c r="W517" s="1">
        <v>0</v>
      </c>
      <c r="X517" s="1">
        <v>2130</v>
      </c>
      <c r="Y517" s="1" t="s">
        <v>51</v>
      </c>
      <c r="Z517" s="1">
        <v>1240</v>
      </c>
      <c r="AA517" s="1">
        <v>890</v>
      </c>
      <c r="AB517" s="1">
        <v>0</v>
      </c>
      <c r="AC517" s="1">
        <v>0</v>
      </c>
      <c r="AD517" s="1">
        <v>0</v>
      </c>
      <c r="AE517" s="1">
        <v>0</v>
      </c>
      <c r="AF517" s="1"/>
      <c r="AG517" s="1">
        <v>0</v>
      </c>
      <c r="AH517" s="1">
        <v>0</v>
      </c>
      <c r="AI517" s="1">
        <v>0</v>
      </c>
      <c r="AJ517" s="1">
        <v>0</v>
      </c>
      <c r="AK517" s="1">
        <v>2.8123999999999998</v>
      </c>
      <c r="AL517" s="1">
        <v>2.8123999999999998</v>
      </c>
      <c r="AM517" s="1">
        <v>2.8123999999999998</v>
      </c>
    </row>
    <row r="518" spans="1:39" x14ac:dyDescent="0.3">
      <c r="A518" s="21" t="str">
        <f t="shared" si="8"/>
        <v>HFA286LCLK2026-03-27</v>
      </c>
      <c r="B518" t="e">
        <f>VLOOKUP(A518,Sheet1!A518:B1860,1,FALSE)</f>
        <v>#N/A</v>
      </c>
      <c r="C518" s="3">
        <v>46108</v>
      </c>
      <c r="D518" s="1" t="s">
        <v>171</v>
      </c>
      <c r="E518" s="1" t="s">
        <v>38</v>
      </c>
      <c r="F518" s="1"/>
      <c r="G518" s="1" t="s">
        <v>39</v>
      </c>
      <c r="H518" s="1" t="s">
        <v>134</v>
      </c>
      <c r="I518" s="1" t="s">
        <v>67</v>
      </c>
      <c r="J518" s="1" t="s">
        <v>86</v>
      </c>
      <c r="K518" s="1" t="s">
        <v>87</v>
      </c>
      <c r="L518" s="1" t="s">
        <v>88</v>
      </c>
      <c r="M518" s="1" t="s">
        <v>50</v>
      </c>
      <c r="N518" s="1" t="s">
        <v>41</v>
      </c>
      <c r="O518" s="1" t="s">
        <v>82</v>
      </c>
      <c r="P518" s="1" t="s">
        <v>83</v>
      </c>
      <c r="Q518" s="1" t="s">
        <v>84</v>
      </c>
      <c r="R518" s="1" t="s">
        <v>45</v>
      </c>
      <c r="S518" s="1">
        <v>339</v>
      </c>
      <c r="T518" s="1">
        <v>339</v>
      </c>
      <c r="U518" s="4">
        <v>6.25E-2</v>
      </c>
      <c r="V518" s="1">
        <v>1240</v>
      </c>
      <c r="W518" s="1">
        <v>1560</v>
      </c>
      <c r="X518" s="1">
        <v>2800</v>
      </c>
      <c r="Y518" s="1" t="s">
        <v>51</v>
      </c>
      <c r="Z518" s="1">
        <v>2000</v>
      </c>
      <c r="AA518" s="1">
        <v>800</v>
      </c>
      <c r="AB518" s="1">
        <v>0</v>
      </c>
      <c r="AC518" s="1">
        <v>0</v>
      </c>
      <c r="AD518" s="1">
        <v>0</v>
      </c>
      <c r="AE518" s="1">
        <v>0</v>
      </c>
      <c r="AF518" s="1"/>
      <c r="AG518" s="1">
        <v>0</v>
      </c>
      <c r="AH518" s="1">
        <v>0</v>
      </c>
      <c r="AI518" s="1">
        <v>0</v>
      </c>
      <c r="AJ518" s="1">
        <v>0</v>
      </c>
      <c r="AK518" s="1">
        <v>2.528</v>
      </c>
      <c r="AL518" s="1">
        <v>2.528</v>
      </c>
      <c r="AM518" s="1">
        <v>2.528</v>
      </c>
    </row>
    <row r="519" spans="1:39" x14ac:dyDescent="0.3">
      <c r="A519" s="21" t="str">
        <f t="shared" si="8"/>
        <v>HFA287LLBG2026-03-27</v>
      </c>
      <c r="B519" t="e">
        <f>VLOOKUP(A519,Sheet1!A519:B1861,1,FALSE)</f>
        <v>#N/A</v>
      </c>
      <c r="C519" s="3">
        <v>46108</v>
      </c>
      <c r="D519" s="1" t="s">
        <v>172</v>
      </c>
      <c r="E519" s="1" t="s">
        <v>38</v>
      </c>
      <c r="F519" s="1"/>
      <c r="G519" s="1" t="s">
        <v>39</v>
      </c>
      <c r="H519" s="1" t="s">
        <v>134</v>
      </c>
      <c r="I519" s="1" t="s">
        <v>41</v>
      </c>
      <c r="J519" s="1" t="s">
        <v>82</v>
      </c>
      <c r="K519" s="1" t="s">
        <v>83</v>
      </c>
      <c r="L519" s="1" t="s">
        <v>84</v>
      </c>
      <c r="M519" s="1" t="s">
        <v>45</v>
      </c>
      <c r="N519" s="1" t="s">
        <v>67</v>
      </c>
      <c r="O519" s="1" t="s">
        <v>86</v>
      </c>
      <c r="P519" s="1" t="s">
        <v>87</v>
      </c>
      <c r="Q519" s="1" t="s">
        <v>88</v>
      </c>
      <c r="R519" s="1" t="s">
        <v>50</v>
      </c>
      <c r="S519" s="1">
        <v>339</v>
      </c>
      <c r="T519" s="1">
        <v>339</v>
      </c>
      <c r="U519" s="4">
        <v>5.7638888888888885E-2</v>
      </c>
      <c r="V519" s="1">
        <v>2000</v>
      </c>
      <c r="W519" s="1">
        <v>0</v>
      </c>
      <c r="X519" s="1">
        <v>2000</v>
      </c>
      <c r="Y519" s="1" t="s">
        <v>51</v>
      </c>
      <c r="Z519" s="1">
        <v>1200</v>
      </c>
      <c r="AA519" s="1">
        <v>800</v>
      </c>
      <c r="AB519" s="1">
        <v>0</v>
      </c>
      <c r="AC519" s="1">
        <v>0</v>
      </c>
      <c r="AD519" s="1">
        <v>0</v>
      </c>
      <c r="AE519" s="1">
        <v>0</v>
      </c>
      <c r="AF519" s="1"/>
      <c r="AG519" s="1">
        <v>0</v>
      </c>
      <c r="AH519" s="1">
        <v>0</v>
      </c>
      <c r="AI519" s="1">
        <v>0</v>
      </c>
      <c r="AJ519" s="1">
        <v>0</v>
      </c>
      <c r="AK519" s="1">
        <v>2.528</v>
      </c>
      <c r="AL519" s="1">
        <v>2.528</v>
      </c>
      <c r="AM519" s="1">
        <v>2.528</v>
      </c>
    </row>
    <row r="520" spans="1:39" x14ac:dyDescent="0.3">
      <c r="A520" s="21" t="str">
        <f t="shared" si="8"/>
        <v>HFA284LCLK2026-03-27</v>
      </c>
      <c r="B520" t="e">
        <f>VLOOKUP(A520,Sheet1!A520:B1862,1,FALSE)</f>
        <v>#N/A</v>
      </c>
      <c r="C520" s="3">
        <v>46108</v>
      </c>
      <c r="D520" s="1" t="s">
        <v>173</v>
      </c>
      <c r="E520" s="1" t="s">
        <v>38</v>
      </c>
      <c r="F520" s="1"/>
      <c r="G520" s="1" t="s">
        <v>39</v>
      </c>
      <c r="H520" s="1" t="s">
        <v>134</v>
      </c>
      <c r="I520" s="1" t="s">
        <v>67</v>
      </c>
      <c r="J520" s="1" t="s">
        <v>86</v>
      </c>
      <c r="K520" s="1" t="s">
        <v>87</v>
      </c>
      <c r="L520" s="1" t="s">
        <v>88</v>
      </c>
      <c r="M520" s="1" t="s">
        <v>50</v>
      </c>
      <c r="N520" s="1" t="s">
        <v>41</v>
      </c>
      <c r="O520" s="1" t="s">
        <v>82</v>
      </c>
      <c r="P520" s="1" t="s">
        <v>83</v>
      </c>
      <c r="Q520" s="1" t="s">
        <v>84</v>
      </c>
      <c r="R520" s="1" t="s">
        <v>45</v>
      </c>
      <c r="S520" s="1">
        <v>339</v>
      </c>
      <c r="T520" s="1">
        <v>339</v>
      </c>
      <c r="U520" s="4">
        <v>5.2083333333333329E-2</v>
      </c>
      <c r="V520" s="1">
        <v>1200</v>
      </c>
      <c r="W520" s="1">
        <v>1600</v>
      </c>
      <c r="X520" s="1">
        <v>2800</v>
      </c>
      <c r="Y520" s="1" t="s">
        <v>51</v>
      </c>
      <c r="Z520" s="1">
        <v>2170</v>
      </c>
      <c r="AA520" s="1">
        <v>630</v>
      </c>
      <c r="AB520" s="1">
        <v>0</v>
      </c>
      <c r="AC520" s="1">
        <v>0</v>
      </c>
      <c r="AD520" s="1">
        <v>0</v>
      </c>
      <c r="AE520" s="1">
        <v>0</v>
      </c>
      <c r="AF520" s="1"/>
      <c r="AG520" s="1">
        <v>0</v>
      </c>
      <c r="AH520" s="1">
        <v>0</v>
      </c>
      <c r="AI520" s="1">
        <v>0</v>
      </c>
      <c r="AJ520" s="1">
        <v>0</v>
      </c>
      <c r="AK520" s="1">
        <v>1.9907999999999999</v>
      </c>
      <c r="AL520" s="1">
        <v>1.9907999999999999</v>
      </c>
      <c r="AM520" s="1">
        <v>1.9907999999999999</v>
      </c>
    </row>
    <row r="521" spans="1:39" x14ac:dyDescent="0.3">
      <c r="A521" s="21" t="str">
        <f t="shared" si="8"/>
        <v>HFA279LLBG2026-03-27</v>
      </c>
      <c r="B521" t="e">
        <f>VLOOKUP(A521,Sheet1!A521:B1863,1,FALSE)</f>
        <v>#N/A</v>
      </c>
      <c r="C521" s="3">
        <v>46108</v>
      </c>
      <c r="D521" s="1" t="s">
        <v>174</v>
      </c>
      <c r="E521" s="1" t="s">
        <v>38</v>
      </c>
      <c r="F521" s="1"/>
      <c r="G521" s="1" t="s">
        <v>39</v>
      </c>
      <c r="H521" s="1" t="s">
        <v>134</v>
      </c>
      <c r="I521" s="1" t="s">
        <v>41</v>
      </c>
      <c r="J521" s="1" t="s">
        <v>82</v>
      </c>
      <c r="K521" s="1" t="s">
        <v>83</v>
      </c>
      <c r="L521" s="1" t="s">
        <v>84</v>
      </c>
      <c r="M521" s="1" t="s">
        <v>45</v>
      </c>
      <c r="N521" s="1" t="s">
        <v>67</v>
      </c>
      <c r="O521" s="1" t="s">
        <v>86</v>
      </c>
      <c r="P521" s="1" t="s">
        <v>87</v>
      </c>
      <c r="Q521" s="1" t="s">
        <v>88</v>
      </c>
      <c r="R521" s="1" t="s">
        <v>50</v>
      </c>
      <c r="S521" s="1">
        <v>339</v>
      </c>
      <c r="T521" s="1">
        <v>339</v>
      </c>
      <c r="U521" s="4">
        <v>5.4166666666666669E-2</v>
      </c>
      <c r="V521" s="1">
        <v>2170</v>
      </c>
      <c r="W521" s="1">
        <v>0</v>
      </c>
      <c r="X521" s="1">
        <v>2170</v>
      </c>
      <c r="Y521" s="1" t="s">
        <v>51</v>
      </c>
      <c r="Z521" s="1">
        <v>1410</v>
      </c>
      <c r="AA521" s="1">
        <v>760</v>
      </c>
      <c r="AB521" s="1">
        <v>0</v>
      </c>
      <c r="AC521" s="1">
        <v>0</v>
      </c>
      <c r="AD521" s="1">
        <v>0</v>
      </c>
      <c r="AE521" s="1">
        <v>0</v>
      </c>
      <c r="AF521" s="1"/>
      <c r="AG521" s="1">
        <v>0</v>
      </c>
      <c r="AH521" s="1">
        <v>0</v>
      </c>
      <c r="AI521" s="1">
        <v>0</v>
      </c>
      <c r="AJ521" s="1">
        <v>0</v>
      </c>
      <c r="AK521" s="1">
        <v>2.4016000000000002</v>
      </c>
      <c r="AL521" s="1">
        <v>2.4016000000000002</v>
      </c>
      <c r="AM521" s="1">
        <v>2.4016000000000002</v>
      </c>
    </row>
    <row r="522" spans="1:39" x14ac:dyDescent="0.3">
      <c r="A522" s="21" t="str">
        <f t="shared" si="8"/>
        <v>HFA104LCLK2026-03-31</v>
      </c>
      <c r="B522" t="e">
        <f>VLOOKUP(A522,Sheet1!A522:B1864,1,FALSE)</f>
        <v>#N/A</v>
      </c>
      <c r="C522" s="3">
        <v>46112</v>
      </c>
      <c r="D522" s="1" t="s">
        <v>175</v>
      </c>
      <c r="E522" s="1" t="s">
        <v>38</v>
      </c>
      <c r="F522" s="1"/>
      <c r="G522" s="1" t="s">
        <v>39</v>
      </c>
      <c r="H522" s="1" t="s">
        <v>134</v>
      </c>
      <c r="I522" s="1" t="s">
        <v>67</v>
      </c>
      <c r="J522" s="1" t="s">
        <v>86</v>
      </c>
      <c r="K522" s="1" t="s">
        <v>87</v>
      </c>
      <c r="L522" s="1" t="s">
        <v>88</v>
      </c>
      <c r="M522" s="1" t="s">
        <v>50</v>
      </c>
      <c r="N522" s="1" t="s">
        <v>41</v>
      </c>
      <c r="O522" s="1" t="s">
        <v>82</v>
      </c>
      <c r="P522" s="1" t="s">
        <v>83</v>
      </c>
      <c r="Q522" s="1" t="s">
        <v>84</v>
      </c>
      <c r="R522" s="1" t="s">
        <v>45</v>
      </c>
      <c r="S522" s="1">
        <v>339</v>
      </c>
      <c r="T522" s="1">
        <v>339</v>
      </c>
      <c r="U522" s="4">
        <v>4.9999999999999996E-2</v>
      </c>
      <c r="V522" s="1">
        <v>1410</v>
      </c>
      <c r="W522" s="1">
        <v>1390</v>
      </c>
      <c r="X522" s="1">
        <v>2800</v>
      </c>
      <c r="Y522" s="1" t="s">
        <v>51</v>
      </c>
      <c r="Z522" s="1">
        <v>2130</v>
      </c>
      <c r="AA522" s="1">
        <v>670</v>
      </c>
      <c r="AB522" s="1">
        <v>0</v>
      </c>
      <c r="AC522" s="1">
        <v>0</v>
      </c>
      <c r="AD522" s="1">
        <v>0</v>
      </c>
      <c r="AE522" s="1">
        <v>0</v>
      </c>
      <c r="AF522" s="1"/>
      <c r="AG522" s="1">
        <v>0</v>
      </c>
      <c r="AH522" s="1">
        <v>0</v>
      </c>
      <c r="AI522" s="1">
        <v>0</v>
      </c>
      <c r="AJ522" s="1">
        <v>0</v>
      </c>
      <c r="AK522" s="1">
        <v>2.1172</v>
      </c>
      <c r="AL522" s="1">
        <v>2.1172</v>
      </c>
      <c r="AM522" s="1">
        <v>2.1172</v>
      </c>
    </row>
    <row r="523" spans="1:39" x14ac:dyDescent="0.3">
      <c r="A523" s="21" t="str">
        <f t="shared" si="8"/>
        <v>HFA105LLBG2026-03-31</v>
      </c>
      <c r="B523" t="e">
        <f>VLOOKUP(A523,Sheet1!A523:B1865,1,FALSE)</f>
        <v>#N/A</v>
      </c>
      <c r="C523" s="3">
        <v>46112</v>
      </c>
      <c r="D523" s="1" t="s">
        <v>141</v>
      </c>
      <c r="E523" s="1" t="s">
        <v>38</v>
      </c>
      <c r="F523" s="1"/>
      <c r="G523" s="1" t="s">
        <v>39</v>
      </c>
      <c r="H523" s="1" t="s">
        <v>134</v>
      </c>
      <c r="I523" s="1" t="s">
        <v>41</v>
      </c>
      <c r="J523" s="1" t="s">
        <v>82</v>
      </c>
      <c r="K523" s="1" t="s">
        <v>83</v>
      </c>
      <c r="L523" s="1" t="s">
        <v>84</v>
      </c>
      <c r="M523" s="1" t="s">
        <v>45</v>
      </c>
      <c r="N523" s="1" t="s">
        <v>67</v>
      </c>
      <c r="O523" s="1" t="s">
        <v>86</v>
      </c>
      <c r="P523" s="1" t="s">
        <v>87</v>
      </c>
      <c r="Q523" s="1" t="s">
        <v>88</v>
      </c>
      <c r="R523" s="1" t="s">
        <v>50</v>
      </c>
      <c r="S523" s="1">
        <v>339</v>
      </c>
      <c r="T523" s="1">
        <v>339</v>
      </c>
      <c r="U523" s="4">
        <v>5.9027777777777776E-2</v>
      </c>
      <c r="V523" s="1">
        <v>2130</v>
      </c>
      <c r="W523" s="1">
        <v>0</v>
      </c>
      <c r="X523" s="1">
        <v>2130</v>
      </c>
      <c r="Y523" s="1" t="s">
        <v>51</v>
      </c>
      <c r="Z523" s="1">
        <v>1360</v>
      </c>
      <c r="AA523" s="1">
        <v>770</v>
      </c>
      <c r="AB523" s="1">
        <v>0</v>
      </c>
      <c r="AC523" s="1">
        <v>0</v>
      </c>
      <c r="AD523" s="1">
        <v>0</v>
      </c>
      <c r="AE523" s="1">
        <v>0</v>
      </c>
      <c r="AF523" s="1"/>
      <c r="AG523" s="1">
        <v>0</v>
      </c>
      <c r="AH523" s="1">
        <v>0</v>
      </c>
      <c r="AI523" s="1">
        <v>0</v>
      </c>
      <c r="AJ523" s="1">
        <v>0</v>
      </c>
      <c r="AK523" s="1">
        <v>2.4331999999999998</v>
      </c>
      <c r="AL523" s="1">
        <v>2.4331999999999998</v>
      </c>
      <c r="AM523" s="1">
        <v>2.4331999999999998</v>
      </c>
    </row>
    <row r="524" spans="1:39" x14ac:dyDescent="0.3">
      <c r="A524" s="21" t="str">
        <f t="shared" si="8"/>
        <v>HFA851LLHA2026-01-01</v>
      </c>
      <c r="B524" t="str">
        <f>VLOOKUP(A524,Sheet1!A524:B1866,1,FALSE)</f>
        <v>HFA851LLHA2026-01-01</v>
      </c>
      <c r="C524" s="3">
        <v>46023</v>
      </c>
      <c r="D524" s="1" t="s">
        <v>66</v>
      </c>
      <c r="E524" s="1" t="s">
        <v>38</v>
      </c>
      <c r="F524" s="1"/>
      <c r="G524" s="1" t="s">
        <v>39</v>
      </c>
      <c r="H524" s="1" t="s">
        <v>176</v>
      </c>
      <c r="I524" s="1" t="s">
        <v>41</v>
      </c>
      <c r="J524" s="1" t="s">
        <v>42</v>
      </c>
      <c r="K524" s="1" t="s">
        <v>43</v>
      </c>
      <c r="L524" s="1" t="s">
        <v>44</v>
      </c>
      <c r="M524" s="1" t="s">
        <v>45</v>
      </c>
      <c r="N524" s="1" t="s">
        <v>67</v>
      </c>
      <c r="O524" s="1" t="s">
        <v>68</v>
      </c>
      <c r="P524" s="1" t="s">
        <v>69</v>
      </c>
      <c r="Q524" s="1" t="s">
        <v>70</v>
      </c>
      <c r="R524" s="1" t="s">
        <v>50</v>
      </c>
      <c r="S524" s="1">
        <v>318</v>
      </c>
      <c r="T524" s="1">
        <v>0</v>
      </c>
      <c r="U524" s="4">
        <v>4.9305555555555554E-2</v>
      </c>
      <c r="V524" s="1">
        <v>2130</v>
      </c>
      <c r="W524" s="1">
        <v>-10</v>
      </c>
      <c r="X524" s="1">
        <v>2120</v>
      </c>
      <c r="Y524" s="1" t="s">
        <v>51</v>
      </c>
      <c r="Z524" s="1">
        <v>1500</v>
      </c>
      <c r="AA524" s="1">
        <v>620</v>
      </c>
      <c r="AB524" s="1">
        <v>0</v>
      </c>
      <c r="AC524" s="1">
        <v>0</v>
      </c>
      <c r="AD524" s="1">
        <v>0</v>
      </c>
      <c r="AE524" s="1">
        <v>0</v>
      </c>
      <c r="AF524" s="1"/>
      <c r="AG524" s="1">
        <v>0</v>
      </c>
      <c r="AH524" s="1">
        <v>0</v>
      </c>
      <c r="AI524" s="1">
        <v>0</v>
      </c>
      <c r="AJ524" s="1">
        <v>0</v>
      </c>
      <c r="AK524" s="1">
        <v>1.9592000000000001</v>
      </c>
      <c r="AL524" s="1">
        <v>1.9592000000000001</v>
      </c>
      <c r="AM524" s="1">
        <v>1.9592000000000001</v>
      </c>
    </row>
    <row r="525" spans="1:39" x14ac:dyDescent="0.3">
      <c r="A525" s="21" t="str">
        <f t="shared" si="8"/>
        <v>HFA852LCPH2026-01-01</v>
      </c>
      <c r="B525" t="str">
        <f>VLOOKUP(A525,Sheet1!A525:B1867,1,FALSE)</f>
        <v>HFA852LCPH2026-01-01</v>
      </c>
      <c r="C525" s="3">
        <v>46023</v>
      </c>
      <c r="D525" s="1" t="s">
        <v>71</v>
      </c>
      <c r="E525" s="1" t="s">
        <v>38</v>
      </c>
      <c r="F525" s="1"/>
      <c r="G525" s="1" t="s">
        <v>39</v>
      </c>
      <c r="H525" s="1" t="s">
        <v>176</v>
      </c>
      <c r="I525" s="1" t="s">
        <v>67</v>
      </c>
      <c r="J525" s="1" t="s">
        <v>68</v>
      </c>
      <c r="K525" s="1" t="s">
        <v>69</v>
      </c>
      <c r="L525" s="1" t="s">
        <v>70</v>
      </c>
      <c r="M525" s="1" t="s">
        <v>50</v>
      </c>
      <c r="N525" s="1" t="s">
        <v>41</v>
      </c>
      <c r="O525" s="1" t="s">
        <v>42</v>
      </c>
      <c r="P525" s="1" t="s">
        <v>43</v>
      </c>
      <c r="Q525" s="1" t="s">
        <v>44</v>
      </c>
      <c r="R525" s="1" t="s">
        <v>45</v>
      </c>
      <c r="S525" s="1">
        <v>318</v>
      </c>
      <c r="T525" s="1">
        <v>0</v>
      </c>
      <c r="U525" s="4">
        <v>4.5138888888888888E-2</v>
      </c>
      <c r="V525" s="1">
        <v>1500</v>
      </c>
      <c r="W525" s="1">
        <v>1100</v>
      </c>
      <c r="X525" s="1">
        <v>2600</v>
      </c>
      <c r="Y525" s="1" t="s">
        <v>51</v>
      </c>
      <c r="Z525" s="1">
        <v>2040</v>
      </c>
      <c r="AA525" s="1">
        <v>560</v>
      </c>
      <c r="AB525" s="1">
        <v>0</v>
      </c>
      <c r="AC525" s="1">
        <v>0</v>
      </c>
      <c r="AD525" s="1">
        <v>0</v>
      </c>
      <c r="AE525" s="1">
        <v>0</v>
      </c>
      <c r="AF525" s="1"/>
      <c r="AG525" s="1">
        <v>0</v>
      </c>
      <c r="AH525" s="1">
        <v>0</v>
      </c>
      <c r="AI525" s="1">
        <v>0</v>
      </c>
      <c r="AJ525" s="1">
        <v>0</v>
      </c>
      <c r="AK525" s="1">
        <v>1.7696000000000001</v>
      </c>
      <c r="AL525" s="1">
        <v>1.7696000000000001</v>
      </c>
      <c r="AM525" s="1">
        <v>1.7696000000000001</v>
      </c>
    </row>
    <row r="526" spans="1:39" x14ac:dyDescent="0.3">
      <c r="A526" s="21" t="str">
        <f t="shared" si="8"/>
        <v>HFA703LLHA2026-01-01</v>
      </c>
      <c r="B526" t="e">
        <f>VLOOKUP(A526,Sheet1!A526:B1868,1,FALSE)</f>
        <v>#N/A</v>
      </c>
      <c r="C526" s="3">
        <v>46023</v>
      </c>
      <c r="D526" s="1" t="s">
        <v>37</v>
      </c>
      <c r="E526" s="1" t="s">
        <v>38</v>
      </c>
      <c r="F526" s="1"/>
      <c r="G526" s="1" t="s">
        <v>39</v>
      </c>
      <c r="H526" s="1" t="s">
        <v>176</v>
      </c>
      <c r="I526" s="1" t="s">
        <v>41</v>
      </c>
      <c r="J526" s="1" t="s">
        <v>42</v>
      </c>
      <c r="K526" s="1" t="s">
        <v>43</v>
      </c>
      <c r="L526" s="1" t="s">
        <v>44</v>
      </c>
      <c r="M526" s="1" t="s">
        <v>45</v>
      </c>
      <c r="N526" s="1" t="s">
        <v>46</v>
      </c>
      <c r="O526" s="1" t="s">
        <v>47</v>
      </c>
      <c r="P526" s="1" t="s">
        <v>48</v>
      </c>
      <c r="Q526" s="1" t="s">
        <v>49</v>
      </c>
      <c r="R526" s="1" t="s">
        <v>50</v>
      </c>
      <c r="S526" s="1">
        <v>1157</v>
      </c>
      <c r="T526" s="1">
        <v>0</v>
      </c>
      <c r="U526" s="4">
        <v>0.13055555555555556</v>
      </c>
      <c r="V526" s="1">
        <v>2040</v>
      </c>
      <c r="W526" s="1">
        <v>1260</v>
      </c>
      <c r="X526" s="1">
        <v>3300</v>
      </c>
      <c r="Y526" s="1" t="s">
        <v>51</v>
      </c>
      <c r="Z526" s="1">
        <v>1380</v>
      </c>
      <c r="AA526" s="1">
        <v>1920</v>
      </c>
      <c r="AB526" s="1">
        <v>0</v>
      </c>
      <c r="AC526" s="1">
        <v>0</v>
      </c>
      <c r="AD526" s="1">
        <v>0</v>
      </c>
      <c r="AE526" s="1">
        <v>0</v>
      </c>
      <c r="AF526" s="1"/>
      <c r="AG526" s="1">
        <v>0</v>
      </c>
      <c r="AH526" s="1">
        <v>0</v>
      </c>
      <c r="AI526" s="1">
        <v>0</v>
      </c>
      <c r="AJ526" s="1">
        <v>0</v>
      </c>
      <c r="AK526" s="1">
        <v>6.0671999999999997</v>
      </c>
      <c r="AL526" s="1">
        <v>6.0671999999999997</v>
      </c>
      <c r="AM526" s="1">
        <v>6.0671999999999997</v>
      </c>
    </row>
    <row r="527" spans="1:39" x14ac:dyDescent="0.3">
      <c r="A527" s="21" t="str">
        <f t="shared" si="8"/>
        <v>HFA704LGAV2026-01-01</v>
      </c>
      <c r="B527" t="str">
        <f>VLOOKUP(A527,Sheet1!A527:B1869,1,FALSE)</f>
        <v>HFA704LGAV2026-01-01</v>
      </c>
      <c r="C527" s="3">
        <v>46023</v>
      </c>
      <c r="D527" s="1" t="s">
        <v>52</v>
      </c>
      <c r="E527" s="1" t="s">
        <v>38</v>
      </c>
      <c r="F527" s="1"/>
      <c r="G527" s="1" t="s">
        <v>39</v>
      </c>
      <c r="H527" s="1" t="s">
        <v>176</v>
      </c>
      <c r="I527" s="1" t="s">
        <v>46</v>
      </c>
      <c r="J527" s="1" t="s">
        <v>47</v>
      </c>
      <c r="K527" s="1" t="s">
        <v>48</v>
      </c>
      <c r="L527" s="1" t="s">
        <v>49</v>
      </c>
      <c r="M527" s="1" t="s">
        <v>50</v>
      </c>
      <c r="N527" s="1" t="s">
        <v>41</v>
      </c>
      <c r="O527" s="1" t="s">
        <v>42</v>
      </c>
      <c r="P527" s="1" t="s">
        <v>43</v>
      </c>
      <c r="Q527" s="1" t="s">
        <v>44</v>
      </c>
      <c r="R527" s="1" t="s">
        <v>45</v>
      </c>
      <c r="S527" s="1">
        <v>1157</v>
      </c>
      <c r="T527" s="1">
        <v>0</v>
      </c>
      <c r="U527" s="4">
        <v>0.1111111111111111</v>
      </c>
      <c r="V527" s="1">
        <v>1380</v>
      </c>
      <c r="W527" s="1">
        <v>1720</v>
      </c>
      <c r="X527" s="1">
        <v>3100</v>
      </c>
      <c r="Y527" s="1" t="s">
        <v>51</v>
      </c>
      <c r="Z527" s="1">
        <v>1610</v>
      </c>
      <c r="AA527" s="1">
        <v>1490</v>
      </c>
      <c r="AB527" s="1">
        <v>0</v>
      </c>
      <c r="AC527" s="1">
        <v>0</v>
      </c>
      <c r="AD527" s="1">
        <v>0</v>
      </c>
      <c r="AE527" s="1">
        <v>0</v>
      </c>
      <c r="AF527" s="1"/>
      <c r="AG527" s="1">
        <v>0</v>
      </c>
      <c r="AH527" s="1">
        <v>0</v>
      </c>
      <c r="AI527" s="1">
        <v>0</v>
      </c>
      <c r="AJ527" s="1">
        <v>0</v>
      </c>
      <c r="AK527" s="1">
        <v>4.7084000000000001</v>
      </c>
      <c r="AL527" s="1">
        <v>4.7084000000000001</v>
      </c>
      <c r="AM527" s="1">
        <v>4.7084000000000001</v>
      </c>
    </row>
    <row r="528" spans="1:39" x14ac:dyDescent="0.3">
      <c r="A528" s="21" t="str">
        <f t="shared" si="8"/>
        <v>HFA701LLHA2026-01-02</v>
      </c>
      <c r="B528" t="e">
        <f>VLOOKUP(A528,Sheet1!A528:B1870,1,FALSE)</f>
        <v>#N/A</v>
      </c>
      <c r="C528" s="3">
        <v>46024</v>
      </c>
      <c r="D528" s="1" t="s">
        <v>53</v>
      </c>
      <c r="E528" s="1" t="s">
        <v>38</v>
      </c>
      <c r="F528" s="1"/>
      <c r="G528" s="1" t="s">
        <v>39</v>
      </c>
      <c r="H528" s="1" t="s">
        <v>176</v>
      </c>
      <c r="I528" s="1" t="s">
        <v>41</v>
      </c>
      <c r="J528" s="1" t="s">
        <v>42</v>
      </c>
      <c r="K528" s="1" t="s">
        <v>43</v>
      </c>
      <c r="L528" s="1" t="s">
        <v>44</v>
      </c>
      <c r="M528" s="1" t="s">
        <v>45</v>
      </c>
      <c r="N528" s="1" t="s">
        <v>46</v>
      </c>
      <c r="O528" s="1" t="s">
        <v>47</v>
      </c>
      <c r="P528" s="1" t="s">
        <v>48</v>
      </c>
      <c r="Q528" s="1" t="s">
        <v>49</v>
      </c>
      <c r="R528" s="1" t="s">
        <v>50</v>
      </c>
      <c r="S528" s="1">
        <v>1157</v>
      </c>
      <c r="T528" s="1">
        <v>0</v>
      </c>
      <c r="U528" s="4">
        <v>0.12083333333333332</v>
      </c>
      <c r="V528" s="1">
        <v>1610</v>
      </c>
      <c r="W528" s="1">
        <v>1490</v>
      </c>
      <c r="X528" s="1">
        <v>3100</v>
      </c>
      <c r="Y528" s="1" t="s">
        <v>51</v>
      </c>
      <c r="Z528" s="1">
        <v>1130</v>
      </c>
      <c r="AA528" s="1">
        <v>1970</v>
      </c>
      <c r="AB528" s="1">
        <v>0</v>
      </c>
      <c r="AC528" s="1">
        <v>0</v>
      </c>
      <c r="AD528" s="1">
        <v>0</v>
      </c>
      <c r="AE528" s="1">
        <v>0</v>
      </c>
      <c r="AF528" s="1"/>
      <c r="AG528" s="1">
        <v>0</v>
      </c>
      <c r="AH528" s="1">
        <v>0</v>
      </c>
      <c r="AI528" s="1">
        <v>0</v>
      </c>
      <c r="AJ528" s="1">
        <v>0</v>
      </c>
      <c r="AK528" s="1">
        <v>6.2252000000000001</v>
      </c>
      <c r="AL528" s="1">
        <v>6.2252000000000001</v>
      </c>
      <c r="AM528" s="1">
        <v>6.2252000000000001</v>
      </c>
    </row>
    <row r="529" spans="1:39" x14ac:dyDescent="0.3">
      <c r="A529" s="21" t="str">
        <f t="shared" si="8"/>
        <v>HFA702LGAV2026-01-02</v>
      </c>
      <c r="B529" t="e">
        <f>VLOOKUP(A529,Sheet1!A529:B1871,1,FALSE)</f>
        <v>#N/A</v>
      </c>
      <c r="C529" s="3">
        <v>46024</v>
      </c>
      <c r="D529" s="1" t="s">
        <v>56</v>
      </c>
      <c r="E529" s="1" t="s">
        <v>38</v>
      </c>
      <c r="F529" s="1"/>
      <c r="G529" s="1" t="s">
        <v>39</v>
      </c>
      <c r="H529" s="1" t="s">
        <v>176</v>
      </c>
      <c r="I529" s="1" t="s">
        <v>46</v>
      </c>
      <c r="J529" s="1" t="s">
        <v>47</v>
      </c>
      <c r="K529" s="1" t="s">
        <v>48</v>
      </c>
      <c r="L529" s="1" t="s">
        <v>49</v>
      </c>
      <c r="M529" s="1" t="s">
        <v>50</v>
      </c>
      <c r="N529" s="1" t="s">
        <v>41</v>
      </c>
      <c r="O529" s="1" t="s">
        <v>42</v>
      </c>
      <c r="P529" s="1" t="s">
        <v>43</v>
      </c>
      <c r="Q529" s="1" t="s">
        <v>44</v>
      </c>
      <c r="R529" s="1" t="s">
        <v>45</v>
      </c>
      <c r="S529" s="1">
        <v>1157</v>
      </c>
      <c r="T529" s="1">
        <v>0</v>
      </c>
      <c r="U529" s="4">
        <v>0.10416666666666666</v>
      </c>
      <c r="V529" s="1">
        <v>1130</v>
      </c>
      <c r="W529" s="1">
        <v>1870</v>
      </c>
      <c r="X529" s="1">
        <v>3000</v>
      </c>
      <c r="Y529" s="1" t="s">
        <v>51</v>
      </c>
      <c r="Z529" s="1">
        <v>1410</v>
      </c>
      <c r="AA529" s="1">
        <v>1590</v>
      </c>
      <c r="AB529" s="1">
        <v>0</v>
      </c>
      <c r="AC529" s="1">
        <v>0</v>
      </c>
      <c r="AD529" s="1">
        <v>0</v>
      </c>
      <c r="AE529" s="1">
        <v>0</v>
      </c>
      <c r="AF529" s="1"/>
      <c r="AG529" s="1">
        <v>0</v>
      </c>
      <c r="AH529" s="1">
        <v>0</v>
      </c>
      <c r="AI529" s="1">
        <v>0</v>
      </c>
      <c r="AJ529" s="1">
        <v>0</v>
      </c>
      <c r="AK529" s="1">
        <v>5.0244</v>
      </c>
      <c r="AL529" s="1">
        <v>5.0244</v>
      </c>
      <c r="AM529" s="1">
        <v>5.0244</v>
      </c>
    </row>
    <row r="530" spans="1:39" x14ac:dyDescent="0.3">
      <c r="A530" s="21" t="str">
        <f t="shared" si="8"/>
        <v>HFA703LLHA2026-01-03</v>
      </c>
      <c r="B530" t="e">
        <f>VLOOKUP(A530,Sheet1!A530:B1872,1,FALSE)</f>
        <v>#N/A</v>
      </c>
      <c r="C530" s="3">
        <v>46025</v>
      </c>
      <c r="D530" s="1" t="s">
        <v>37</v>
      </c>
      <c r="E530" s="1" t="s">
        <v>38</v>
      </c>
      <c r="F530" s="1"/>
      <c r="G530" s="1" t="s">
        <v>39</v>
      </c>
      <c r="H530" s="1" t="s">
        <v>176</v>
      </c>
      <c r="I530" s="1" t="s">
        <v>41</v>
      </c>
      <c r="J530" s="1" t="s">
        <v>42</v>
      </c>
      <c r="K530" s="1" t="s">
        <v>43</v>
      </c>
      <c r="L530" s="1" t="s">
        <v>44</v>
      </c>
      <c r="M530" s="1" t="s">
        <v>45</v>
      </c>
      <c r="N530" s="1" t="s">
        <v>46</v>
      </c>
      <c r="O530" s="1" t="s">
        <v>47</v>
      </c>
      <c r="P530" s="1" t="s">
        <v>48</v>
      </c>
      <c r="Q530" s="1" t="s">
        <v>49</v>
      </c>
      <c r="R530" s="1" t="s">
        <v>50</v>
      </c>
      <c r="S530" s="1">
        <v>1157</v>
      </c>
      <c r="T530" s="1">
        <v>0</v>
      </c>
      <c r="U530" s="4">
        <v>0.12569444444444444</v>
      </c>
      <c r="V530" s="1">
        <v>1410</v>
      </c>
      <c r="W530" s="1">
        <v>1590</v>
      </c>
      <c r="X530" s="1">
        <v>3000</v>
      </c>
      <c r="Y530" s="1" t="s">
        <v>51</v>
      </c>
      <c r="Z530" s="1">
        <v>1050</v>
      </c>
      <c r="AA530" s="1">
        <v>1950</v>
      </c>
      <c r="AB530" s="1">
        <v>0</v>
      </c>
      <c r="AC530" s="1">
        <v>0</v>
      </c>
      <c r="AD530" s="1">
        <v>0</v>
      </c>
      <c r="AE530" s="1">
        <v>0</v>
      </c>
      <c r="AF530" s="1"/>
      <c r="AG530" s="1">
        <v>0</v>
      </c>
      <c r="AH530" s="1">
        <v>0</v>
      </c>
      <c r="AI530" s="1">
        <v>0</v>
      </c>
      <c r="AJ530" s="1">
        <v>0</v>
      </c>
      <c r="AK530" s="1">
        <v>6.1619999999999999</v>
      </c>
      <c r="AL530" s="1">
        <v>6.1619999999999999</v>
      </c>
      <c r="AM530" s="1">
        <v>6.1619999999999999</v>
      </c>
    </row>
    <row r="531" spans="1:39" x14ac:dyDescent="0.3">
      <c r="A531" s="21" t="str">
        <f t="shared" si="8"/>
        <v>HFA704LGAV2026-01-03</v>
      </c>
      <c r="B531" t="str">
        <f>VLOOKUP(A531,Sheet1!A531:B1873,1,FALSE)</f>
        <v>HFA704LGAV2026-01-03</v>
      </c>
      <c r="C531" s="3">
        <v>46025</v>
      </c>
      <c r="D531" s="1" t="s">
        <v>52</v>
      </c>
      <c r="E531" s="1" t="s">
        <v>38</v>
      </c>
      <c r="F531" s="1"/>
      <c r="G531" s="1" t="s">
        <v>39</v>
      </c>
      <c r="H531" s="1" t="s">
        <v>176</v>
      </c>
      <c r="I531" s="1" t="s">
        <v>46</v>
      </c>
      <c r="J531" s="1" t="s">
        <v>47</v>
      </c>
      <c r="K531" s="1" t="s">
        <v>48</v>
      </c>
      <c r="L531" s="1" t="s">
        <v>49</v>
      </c>
      <c r="M531" s="1" t="s">
        <v>50</v>
      </c>
      <c r="N531" s="1" t="s">
        <v>41</v>
      </c>
      <c r="O531" s="1" t="s">
        <v>42</v>
      </c>
      <c r="P531" s="1" t="s">
        <v>43</v>
      </c>
      <c r="Q531" s="1" t="s">
        <v>44</v>
      </c>
      <c r="R531" s="1" t="s">
        <v>45</v>
      </c>
      <c r="S531" s="1">
        <v>1157</v>
      </c>
      <c r="T531" s="1">
        <v>0</v>
      </c>
      <c r="U531" s="4">
        <v>0.10625</v>
      </c>
      <c r="V531" s="1">
        <v>1050</v>
      </c>
      <c r="W531" s="1">
        <v>2050</v>
      </c>
      <c r="X531" s="1">
        <v>3100</v>
      </c>
      <c r="Y531" s="1" t="s">
        <v>51</v>
      </c>
      <c r="Z531" s="1">
        <v>1530</v>
      </c>
      <c r="AA531" s="1">
        <v>1570</v>
      </c>
      <c r="AB531" s="1">
        <v>0</v>
      </c>
      <c r="AC531" s="1">
        <v>0</v>
      </c>
      <c r="AD531" s="1">
        <v>0</v>
      </c>
      <c r="AE531" s="1">
        <v>0</v>
      </c>
      <c r="AF531" s="1"/>
      <c r="AG531" s="1">
        <v>0</v>
      </c>
      <c r="AH531" s="1">
        <v>0</v>
      </c>
      <c r="AI531" s="1">
        <v>0</v>
      </c>
      <c r="AJ531" s="1">
        <v>0</v>
      </c>
      <c r="AK531" s="1">
        <v>4.9611999999999998</v>
      </c>
      <c r="AL531" s="1">
        <v>4.9611999999999998</v>
      </c>
      <c r="AM531" s="1">
        <v>4.9611999999999998</v>
      </c>
    </row>
    <row r="532" spans="1:39" x14ac:dyDescent="0.3">
      <c r="A532" s="21" t="str">
        <f t="shared" si="8"/>
        <v>HFA701LLHA2026-01-04</v>
      </c>
      <c r="B532" t="e">
        <f>VLOOKUP(A532,Sheet1!A532:B1874,1,FALSE)</f>
        <v>#N/A</v>
      </c>
      <c r="C532" s="3">
        <v>46026</v>
      </c>
      <c r="D532" s="1" t="s">
        <v>53</v>
      </c>
      <c r="E532" s="1" t="s">
        <v>38</v>
      </c>
      <c r="F532" s="1"/>
      <c r="G532" s="1" t="s">
        <v>39</v>
      </c>
      <c r="H532" s="1" t="s">
        <v>176</v>
      </c>
      <c r="I532" s="1" t="s">
        <v>41</v>
      </c>
      <c r="J532" s="1" t="s">
        <v>42</v>
      </c>
      <c r="K532" s="1" t="s">
        <v>43</v>
      </c>
      <c r="L532" s="1" t="s">
        <v>44</v>
      </c>
      <c r="M532" s="1" t="s">
        <v>45</v>
      </c>
      <c r="N532" s="1" t="s">
        <v>46</v>
      </c>
      <c r="O532" s="1" t="s">
        <v>47</v>
      </c>
      <c r="P532" s="1" t="s">
        <v>48</v>
      </c>
      <c r="Q532" s="1" t="s">
        <v>49</v>
      </c>
      <c r="R532" s="1" t="s">
        <v>50</v>
      </c>
      <c r="S532" s="1">
        <v>1157</v>
      </c>
      <c r="T532" s="1">
        <v>0</v>
      </c>
      <c r="U532" s="4">
        <v>0.12013888888888888</v>
      </c>
      <c r="V532" s="1">
        <v>1530</v>
      </c>
      <c r="W532" s="1">
        <v>1370</v>
      </c>
      <c r="X532" s="1">
        <v>2900</v>
      </c>
      <c r="Y532" s="1" t="s">
        <v>51</v>
      </c>
      <c r="Z532" s="1">
        <v>1100</v>
      </c>
      <c r="AA532" s="1">
        <v>1800</v>
      </c>
      <c r="AB532" s="1">
        <v>0</v>
      </c>
      <c r="AC532" s="1">
        <v>0</v>
      </c>
      <c r="AD532" s="1">
        <v>0</v>
      </c>
      <c r="AE532" s="1">
        <v>0</v>
      </c>
      <c r="AF532" s="1"/>
      <c r="AG532" s="1">
        <v>0</v>
      </c>
      <c r="AH532" s="1">
        <v>0</v>
      </c>
      <c r="AI532" s="1">
        <v>0</v>
      </c>
      <c r="AJ532" s="1">
        <v>0</v>
      </c>
      <c r="AK532" s="1">
        <v>5.6879999999999997</v>
      </c>
      <c r="AL532" s="1">
        <v>5.6879999999999997</v>
      </c>
      <c r="AM532" s="1">
        <v>5.6879999999999997</v>
      </c>
    </row>
    <row r="533" spans="1:39" x14ac:dyDescent="0.3">
      <c r="A533" s="21" t="str">
        <f t="shared" si="8"/>
        <v>HFA702LGAV2026-01-04</v>
      </c>
      <c r="B533" t="e">
        <f>VLOOKUP(A533,Sheet1!A533:B1875,1,FALSE)</f>
        <v>#N/A</v>
      </c>
      <c r="C533" s="3">
        <v>46026</v>
      </c>
      <c r="D533" s="1" t="s">
        <v>56</v>
      </c>
      <c r="E533" s="1" t="s">
        <v>38</v>
      </c>
      <c r="F533" s="1"/>
      <c r="G533" s="1" t="s">
        <v>39</v>
      </c>
      <c r="H533" s="1" t="s">
        <v>176</v>
      </c>
      <c r="I533" s="1" t="s">
        <v>46</v>
      </c>
      <c r="J533" s="1" t="s">
        <v>47</v>
      </c>
      <c r="K533" s="1" t="s">
        <v>48</v>
      </c>
      <c r="L533" s="1" t="s">
        <v>49</v>
      </c>
      <c r="M533" s="1" t="s">
        <v>50</v>
      </c>
      <c r="N533" s="1" t="s">
        <v>41</v>
      </c>
      <c r="O533" s="1" t="s">
        <v>42</v>
      </c>
      <c r="P533" s="1" t="s">
        <v>43</v>
      </c>
      <c r="Q533" s="1" t="s">
        <v>44</v>
      </c>
      <c r="R533" s="1" t="s">
        <v>45</v>
      </c>
      <c r="S533" s="1">
        <v>1157</v>
      </c>
      <c r="T533" s="1">
        <v>0</v>
      </c>
      <c r="U533" s="4">
        <v>0.11458333333333333</v>
      </c>
      <c r="V533" s="1">
        <v>1100</v>
      </c>
      <c r="W533" s="1">
        <v>2000</v>
      </c>
      <c r="X533" s="1">
        <v>3100</v>
      </c>
      <c r="Y533" s="1" t="s">
        <v>51</v>
      </c>
      <c r="Z533" s="1">
        <v>1480</v>
      </c>
      <c r="AA533" s="1">
        <v>1620</v>
      </c>
      <c r="AB533" s="1">
        <v>0</v>
      </c>
      <c r="AC533" s="1">
        <v>0</v>
      </c>
      <c r="AD533" s="1">
        <v>0</v>
      </c>
      <c r="AE533" s="1">
        <v>0</v>
      </c>
      <c r="AF533" s="1"/>
      <c r="AG533" s="1">
        <v>0</v>
      </c>
      <c r="AH533" s="1">
        <v>0</v>
      </c>
      <c r="AI533" s="1">
        <v>0</v>
      </c>
      <c r="AJ533" s="1">
        <v>0</v>
      </c>
      <c r="AK533" s="1">
        <v>5.1192000000000002</v>
      </c>
      <c r="AL533" s="1">
        <v>5.1192000000000002</v>
      </c>
      <c r="AM533" s="1">
        <v>5.1192000000000002</v>
      </c>
    </row>
    <row r="534" spans="1:39" x14ac:dyDescent="0.3">
      <c r="A534" s="21" t="str">
        <f t="shared" si="8"/>
        <v>HFA703LLHA2026-01-05</v>
      </c>
      <c r="B534" t="e">
        <f>VLOOKUP(A534,Sheet1!A534:B1876,1,FALSE)</f>
        <v>#N/A</v>
      </c>
      <c r="C534" s="3">
        <v>46027</v>
      </c>
      <c r="D534" s="1" t="s">
        <v>37</v>
      </c>
      <c r="E534" s="1" t="s">
        <v>38</v>
      </c>
      <c r="F534" s="1"/>
      <c r="G534" s="1" t="s">
        <v>39</v>
      </c>
      <c r="H534" s="1" t="s">
        <v>176</v>
      </c>
      <c r="I534" s="1" t="s">
        <v>41</v>
      </c>
      <c r="J534" s="1" t="s">
        <v>42</v>
      </c>
      <c r="K534" s="1" t="s">
        <v>43</v>
      </c>
      <c r="L534" s="1" t="s">
        <v>44</v>
      </c>
      <c r="M534" s="1" t="s">
        <v>45</v>
      </c>
      <c r="N534" s="1" t="s">
        <v>46</v>
      </c>
      <c r="O534" s="1" t="s">
        <v>47</v>
      </c>
      <c r="P534" s="1" t="s">
        <v>48</v>
      </c>
      <c r="Q534" s="1" t="s">
        <v>49</v>
      </c>
      <c r="R534" s="1" t="s">
        <v>50</v>
      </c>
      <c r="S534" s="1">
        <v>1157</v>
      </c>
      <c r="T534" s="1">
        <v>0</v>
      </c>
      <c r="U534" s="4">
        <v>0.11805555555555555</v>
      </c>
      <c r="V534" s="1">
        <v>1480</v>
      </c>
      <c r="W534" s="1">
        <v>1480</v>
      </c>
      <c r="X534" s="1">
        <v>2960</v>
      </c>
      <c r="Y534" s="1" t="s">
        <v>51</v>
      </c>
      <c r="Z534" s="1">
        <v>1210</v>
      </c>
      <c r="AA534" s="1">
        <v>1750</v>
      </c>
      <c r="AB534" s="1">
        <v>0</v>
      </c>
      <c r="AC534" s="1">
        <v>0</v>
      </c>
      <c r="AD534" s="1">
        <v>0</v>
      </c>
      <c r="AE534" s="1">
        <v>0</v>
      </c>
      <c r="AF534" s="1"/>
      <c r="AG534" s="1">
        <v>0</v>
      </c>
      <c r="AH534" s="1">
        <v>0</v>
      </c>
      <c r="AI534" s="1">
        <v>0</v>
      </c>
      <c r="AJ534" s="1">
        <v>0</v>
      </c>
      <c r="AK534" s="1">
        <v>5.53</v>
      </c>
      <c r="AL534" s="1">
        <v>5.53</v>
      </c>
      <c r="AM534" s="1">
        <v>5.53</v>
      </c>
    </row>
    <row r="535" spans="1:39" x14ac:dyDescent="0.3">
      <c r="A535" s="21" t="str">
        <f t="shared" si="8"/>
        <v>HFA704LGAV2026-01-05</v>
      </c>
      <c r="B535" t="str">
        <f>VLOOKUP(A535,Sheet1!A535:B1877,1,FALSE)</f>
        <v>HFA704LGAV2026-01-05</v>
      </c>
      <c r="C535" s="3">
        <v>46027</v>
      </c>
      <c r="D535" s="1" t="s">
        <v>52</v>
      </c>
      <c r="E535" s="1" t="s">
        <v>38</v>
      </c>
      <c r="F535" s="1"/>
      <c r="G535" s="1" t="s">
        <v>39</v>
      </c>
      <c r="H535" s="1" t="s">
        <v>176</v>
      </c>
      <c r="I535" s="1" t="s">
        <v>46</v>
      </c>
      <c r="J535" s="1" t="s">
        <v>47</v>
      </c>
      <c r="K535" s="1" t="s">
        <v>48</v>
      </c>
      <c r="L535" s="1" t="s">
        <v>49</v>
      </c>
      <c r="M535" s="1" t="s">
        <v>50</v>
      </c>
      <c r="N535" s="1" t="s">
        <v>41</v>
      </c>
      <c r="O535" s="1" t="s">
        <v>42</v>
      </c>
      <c r="P535" s="1" t="s">
        <v>43</v>
      </c>
      <c r="Q535" s="1" t="s">
        <v>44</v>
      </c>
      <c r="R535" s="1" t="s">
        <v>45</v>
      </c>
      <c r="S535" s="1">
        <v>1157</v>
      </c>
      <c r="T535" s="1">
        <v>0</v>
      </c>
      <c r="U535" s="4">
        <v>0.11666666666666667</v>
      </c>
      <c r="V535" s="1">
        <v>1210</v>
      </c>
      <c r="W535" s="1">
        <v>2190</v>
      </c>
      <c r="X535" s="1">
        <v>3400</v>
      </c>
      <c r="Y535" s="1" t="s">
        <v>51</v>
      </c>
      <c r="Z535" s="1">
        <v>1830</v>
      </c>
      <c r="AA535" s="1">
        <v>1570</v>
      </c>
      <c r="AB535" s="1">
        <v>0</v>
      </c>
      <c r="AC535" s="1">
        <v>0</v>
      </c>
      <c r="AD535" s="1">
        <v>0</v>
      </c>
      <c r="AE535" s="1">
        <v>0</v>
      </c>
      <c r="AF535" s="1"/>
      <c r="AG535" s="1">
        <v>0</v>
      </c>
      <c r="AH535" s="1">
        <v>0</v>
      </c>
      <c r="AI535" s="1">
        <v>0</v>
      </c>
      <c r="AJ535" s="1">
        <v>0</v>
      </c>
      <c r="AK535" s="1">
        <v>4.9611999999999998</v>
      </c>
      <c r="AL535" s="1">
        <v>4.9611999999999998</v>
      </c>
      <c r="AM535" s="1">
        <v>4.9611999999999998</v>
      </c>
    </row>
    <row r="536" spans="1:39" x14ac:dyDescent="0.3">
      <c r="A536" s="21" t="str">
        <f t="shared" si="8"/>
        <v>HFA601LLHA2026-01-06</v>
      </c>
      <c r="B536" t="e">
        <f>VLOOKUP(A536,Sheet1!A536:B1878,1,FALSE)</f>
        <v>#N/A</v>
      </c>
      <c r="C536" s="3">
        <v>46028</v>
      </c>
      <c r="D536" s="1" t="s">
        <v>57</v>
      </c>
      <c r="E536" s="1" t="s">
        <v>38</v>
      </c>
      <c r="F536" s="1" t="s">
        <v>54</v>
      </c>
      <c r="G536" s="1" t="s">
        <v>39</v>
      </c>
      <c r="H536" s="1" t="s">
        <v>176</v>
      </c>
      <c r="I536" s="1" t="s">
        <v>41</v>
      </c>
      <c r="J536" s="1" t="s">
        <v>42</v>
      </c>
      <c r="K536" s="1" t="s">
        <v>43</v>
      </c>
      <c r="L536" s="1" t="s">
        <v>44</v>
      </c>
      <c r="M536" s="1" t="s">
        <v>45</v>
      </c>
      <c r="N536" s="1" t="s">
        <v>41</v>
      </c>
      <c r="O536" s="1" t="s">
        <v>58</v>
      </c>
      <c r="P536" s="1" t="s">
        <v>59</v>
      </c>
      <c r="Q536" s="1" t="s">
        <v>60</v>
      </c>
      <c r="R536" s="1" t="s">
        <v>45</v>
      </c>
      <c r="S536" s="1">
        <v>342</v>
      </c>
      <c r="T536" s="1">
        <v>0</v>
      </c>
      <c r="U536" s="4">
        <v>4.583333333333333E-2</v>
      </c>
      <c r="V536" s="1">
        <v>1830</v>
      </c>
      <c r="W536" s="1">
        <v>-20</v>
      </c>
      <c r="X536" s="1">
        <v>1810</v>
      </c>
      <c r="Y536" s="1" t="s">
        <v>51</v>
      </c>
      <c r="Z536" s="1">
        <v>1070</v>
      </c>
      <c r="AA536" s="1">
        <v>740</v>
      </c>
      <c r="AB536" s="1">
        <v>0</v>
      </c>
      <c r="AC536" s="1">
        <v>0</v>
      </c>
      <c r="AD536" s="1">
        <v>0</v>
      </c>
      <c r="AE536" s="1">
        <v>0</v>
      </c>
      <c r="AF536" s="1"/>
      <c r="AG536" s="1">
        <v>0</v>
      </c>
      <c r="AH536" s="1">
        <v>0</v>
      </c>
      <c r="AI536" s="1">
        <v>0</v>
      </c>
      <c r="AJ536" s="1">
        <v>0</v>
      </c>
      <c r="AK536" s="1">
        <v>2.3384</v>
      </c>
      <c r="AL536" s="1">
        <v>2.3384</v>
      </c>
      <c r="AM536" s="1">
        <v>2.3384</v>
      </c>
    </row>
    <row r="537" spans="1:39" x14ac:dyDescent="0.3">
      <c r="A537" s="21" t="str">
        <f t="shared" si="8"/>
        <v>HFA602LLER2026-01-06</v>
      </c>
      <c r="B537" t="e">
        <f>VLOOKUP(A537,Sheet1!A537:B1879,1,FALSE)</f>
        <v>#N/A</v>
      </c>
      <c r="C537" s="3">
        <v>46028</v>
      </c>
      <c r="D537" s="1" t="s">
        <v>61</v>
      </c>
      <c r="E537" s="1" t="s">
        <v>38</v>
      </c>
      <c r="F537" s="1" t="s">
        <v>54</v>
      </c>
      <c r="G537" s="1" t="s">
        <v>39</v>
      </c>
      <c r="H537" s="1" t="s">
        <v>176</v>
      </c>
      <c r="I537" s="1" t="s">
        <v>41</v>
      </c>
      <c r="J537" s="1" t="s">
        <v>58</v>
      </c>
      <c r="K537" s="1" t="s">
        <v>59</v>
      </c>
      <c r="L537" s="1" t="s">
        <v>60</v>
      </c>
      <c r="M537" s="1" t="s">
        <v>45</v>
      </c>
      <c r="N537" s="1" t="s">
        <v>41</v>
      </c>
      <c r="O537" s="1" t="s">
        <v>42</v>
      </c>
      <c r="P537" s="1" t="s">
        <v>43</v>
      </c>
      <c r="Q537" s="1" t="s">
        <v>44</v>
      </c>
      <c r="R537" s="1" t="s">
        <v>45</v>
      </c>
      <c r="S537" s="1">
        <v>342</v>
      </c>
      <c r="T537" s="1">
        <v>0</v>
      </c>
      <c r="U537" s="4">
        <v>4.3749999999999997E-2</v>
      </c>
      <c r="V537" s="1">
        <v>1070</v>
      </c>
      <c r="W537" s="1">
        <v>1430</v>
      </c>
      <c r="X537" s="1">
        <v>2500</v>
      </c>
      <c r="Y537" s="1" t="s">
        <v>51</v>
      </c>
      <c r="Z537" s="1">
        <v>1880</v>
      </c>
      <c r="AA537" s="1">
        <v>620</v>
      </c>
      <c r="AB537" s="1">
        <v>0</v>
      </c>
      <c r="AC537" s="1">
        <v>0</v>
      </c>
      <c r="AD537" s="1">
        <v>0</v>
      </c>
      <c r="AE537" s="1">
        <v>0</v>
      </c>
      <c r="AF537" s="1"/>
      <c r="AG537" s="1">
        <v>0</v>
      </c>
      <c r="AH537" s="1">
        <v>0</v>
      </c>
      <c r="AI537" s="1">
        <v>0</v>
      </c>
      <c r="AJ537" s="1">
        <v>0</v>
      </c>
      <c r="AK537" s="1">
        <v>1.9592000000000001</v>
      </c>
      <c r="AL537" s="1">
        <v>1.9592000000000001</v>
      </c>
      <c r="AM537" s="1">
        <v>1.9592000000000001</v>
      </c>
    </row>
    <row r="538" spans="1:39" x14ac:dyDescent="0.3">
      <c r="A538" s="21" t="str">
        <f t="shared" si="8"/>
        <v>HFA703LLHA2026-01-06</v>
      </c>
      <c r="B538" t="e">
        <f>VLOOKUP(A538,Sheet1!A538:B1880,1,FALSE)</f>
        <v>#N/A</v>
      </c>
      <c r="C538" s="3">
        <v>46028</v>
      </c>
      <c r="D538" s="1" t="s">
        <v>37</v>
      </c>
      <c r="E538" s="1" t="s">
        <v>38</v>
      </c>
      <c r="F538" s="1"/>
      <c r="G538" s="1" t="s">
        <v>39</v>
      </c>
      <c r="H538" s="1" t="s">
        <v>176</v>
      </c>
      <c r="I538" s="1" t="s">
        <v>41</v>
      </c>
      <c r="J538" s="1" t="s">
        <v>42</v>
      </c>
      <c r="K538" s="1" t="s">
        <v>43</v>
      </c>
      <c r="L538" s="1" t="s">
        <v>44</v>
      </c>
      <c r="M538" s="1" t="s">
        <v>45</v>
      </c>
      <c r="N538" s="1" t="s">
        <v>46</v>
      </c>
      <c r="O538" s="1" t="s">
        <v>47</v>
      </c>
      <c r="P538" s="1" t="s">
        <v>48</v>
      </c>
      <c r="Q538" s="1" t="s">
        <v>49</v>
      </c>
      <c r="R538" s="1" t="s">
        <v>50</v>
      </c>
      <c r="S538" s="1">
        <v>1157</v>
      </c>
      <c r="T538" s="1">
        <v>0</v>
      </c>
      <c r="U538" s="4">
        <v>0.11736111111111111</v>
      </c>
      <c r="V538" s="1">
        <v>1880</v>
      </c>
      <c r="W538" s="1">
        <v>1220</v>
      </c>
      <c r="X538" s="1">
        <v>3100</v>
      </c>
      <c r="Y538" s="1" t="s">
        <v>51</v>
      </c>
      <c r="Z538" s="1">
        <v>1110</v>
      </c>
      <c r="AA538" s="1">
        <v>1990</v>
      </c>
      <c r="AB538" s="1">
        <v>0</v>
      </c>
      <c r="AC538" s="1">
        <v>0</v>
      </c>
      <c r="AD538" s="1">
        <v>0</v>
      </c>
      <c r="AE538" s="1">
        <v>0</v>
      </c>
      <c r="AF538" s="1"/>
      <c r="AG538" s="1">
        <v>0</v>
      </c>
      <c r="AH538" s="1">
        <v>0</v>
      </c>
      <c r="AI538" s="1">
        <v>0</v>
      </c>
      <c r="AJ538" s="1">
        <v>0</v>
      </c>
      <c r="AK538" s="1">
        <v>6.2884000000000002</v>
      </c>
      <c r="AL538" s="1">
        <v>6.2884000000000002</v>
      </c>
      <c r="AM538" s="1">
        <v>6.2884000000000002</v>
      </c>
    </row>
    <row r="539" spans="1:39" x14ac:dyDescent="0.3">
      <c r="A539" s="21" t="str">
        <f t="shared" si="8"/>
        <v>HFA704LGAV2026-01-06</v>
      </c>
      <c r="B539" t="str">
        <f>VLOOKUP(A539,Sheet1!A539:B1881,1,FALSE)</f>
        <v>HFA704LGAV2026-01-06</v>
      </c>
      <c r="C539" s="3">
        <v>46028</v>
      </c>
      <c r="D539" s="1" t="s">
        <v>52</v>
      </c>
      <c r="E539" s="1" t="s">
        <v>38</v>
      </c>
      <c r="F539" s="1"/>
      <c r="G539" s="1" t="s">
        <v>39</v>
      </c>
      <c r="H539" s="1" t="s">
        <v>176</v>
      </c>
      <c r="I539" s="1" t="s">
        <v>46</v>
      </c>
      <c r="J539" s="1" t="s">
        <v>47</v>
      </c>
      <c r="K539" s="1" t="s">
        <v>48</v>
      </c>
      <c r="L539" s="1" t="s">
        <v>49</v>
      </c>
      <c r="M539" s="1" t="s">
        <v>50</v>
      </c>
      <c r="N539" s="1" t="s">
        <v>41</v>
      </c>
      <c r="O539" s="1" t="s">
        <v>42</v>
      </c>
      <c r="P539" s="1" t="s">
        <v>43</v>
      </c>
      <c r="Q539" s="1" t="s">
        <v>44</v>
      </c>
      <c r="R539" s="1" t="s">
        <v>45</v>
      </c>
      <c r="S539" s="1">
        <v>1157</v>
      </c>
      <c r="T539" s="1">
        <v>0</v>
      </c>
      <c r="U539" s="4">
        <v>0.10625</v>
      </c>
      <c r="V539" s="1">
        <v>1110</v>
      </c>
      <c r="W539" s="1">
        <v>1990</v>
      </c>
      <c r="X539" s="1">
        <v>3100</v>
      </c>
      <c r="Y539" s="1" t="s">
        <v>51</v>
      </c>
      <c r="Z539" s="1">
        <v>1590</v>
      </c>
      <c r="AA539" s="1">
        <v>1510</v>
      </c>
      <c r="AB539" s="1">
        <v>0</v>
      </c>
      <c r="AC539" s="1">
        <v>0</v>
      </c>
      <c r="AD539" s="1">
        <v>0</v>
      </c>
      <c r="AE539" s="1">
        <v>0</v>
      </c>
      <c r="AF539" s="1"/>
      <c r="AG539" s="1">
        <v>0</v>
      </c>
      <c r="AH539" s="1">
        <v>0</v>
      </c>
      <c r="AI539" s="1">
        <v>0</v>
      </c>
      <c r="AJ539" s="1">
        <v>0</v>
      </c>
      <c r="AK539" s="1">
        <v>4.7716000000000003</v>
      </c>
      <c r="AL539" s="1">
        <v>4.7716000000000003</v>
      </c>
      <c r="AM539" s="1">
        <v>4.7716000000000003</v>
      </c>
    </row>
    <row r="540" spans="1:39" x14ac:dyDescent="0.3">
      <c r="A540" s="21" t="str">
        <f t="shared" si="8"/>
        <v>HFA951LLHA2026-01-07</v>
      </c>
      <c r="B540" t="str">
        <f>VLOOKUP(A540,Sheet1!A540:B1882,1,FALSE)</f>
        <v>HFA951LLHA2026-01-07</v>
      </c>
      <c r="C540" s="3">
        <v>46029</v>
      </c>
      <c r="D540" s="1" t="s">
        <v>74</v>
      </c>
      <c r="E540" s="1" t="s">
        <v>38</v>
      </c>
      <c r="F540" s="1"/>
      <c r="G540" s="1" t="s">
        <v>39</v>
      </c>
      <c r="H540" s="1" t="s">
        <v>176</v>
      </c>
      <c r="I540" s="1" t="s">
        <v>41</v>
      </c>
      <c r="J540" s="1" t="s">
        <v>42</v>
      </c>
      <c r="K540" s="1" t="s">
        <v>43</v>
      </c>
      <c r="L540" s="1" t="s">
        <v>44</v>
      </c>
      <c r="M540" s="1" t="s">
        <v>45</v>
      </c>
      <c r="N540" s="1" t="s">
        <v>75</v>
      </c>
      <c r="O540" s="1" t="s">
        <v>76</v>
      </c>
      <c r="P540" s="1" t="s">
        <v>77</v>
      </c>
      <c r="Q540" s="1" t="s">
        <v>78</v>
      </c>
      <c r="R540" s="1" t="s">
        <v>50</v>
      </c>
      <c r="S540" s="1">
        <v>1499</v>
      </c>
      <c r="T540" s="1">
        <v>0</v>
      </c>
      <c r="U540" s="4">
        <v>0.16250000000000001</v>
      </c>
      <c r="V540" s="1">
        <v>1590</v>
      </c>
      <c r="W540" s="1">
        <v>2010</v>
      </c>
      <c r="X540" s="1">
        <v>3600</v>
      </c>
      <c r="Y540" s="1" t="s">
        <v>51</v>
      </c>
      <c r="Z540" s="1">
        <v>1120</v>
      </c>
      <c r="AA540" s="1">
        <v>2480</v>
      </c>
      <c r="AB540" s="1">
        <v>0</v>
      </c>
      <c r="AC540" s="1">
        <v>0</v>
      </c>
      <c r="AD540" s="1">
        <v>0</v>
      </c>
      <c r="AE540" s="1">
        <v>0</v>
      </c>
      <c r="AF540" s="1"/>
      <c r="AG540" s="1">
        <v>0</v>
      </c>
      <c r="AH540" s="1">
        <v>0</v>
      </c>
      <c r="AI540" s="1">
        <v>0</v>
      </c>
      <c r="AJ540" s="1">
        <v>0</v>
      </c>
      <c r="AK540" s="1">
        <v>7.8368000000000002</v>
      </c>
      <c r="AL540" s="1">
        <v>7.8368000000000002</v>
      </c>
      <c r="AM540" s="1">
        <v>7.8368000000000002</v>
      </c>
    </row>
    <row r="541" spans="1:39" x14ac:dyDescent="0.3">
      <c r="A541" s="21" t="str">
        <f t="shared" si="8"/>
        <v>HFA952LBSF2026-01-07</v>
      </c>
      <c r="B541" t="str">
        <f>VLOOKUP(A541,Sheet1!A541:B1883,1,FALSE)</f>
        <v>HFA952LBSF2026-01-07</v>
      </c>
      <c r="C541" s="3">
        <v>46029</v>
      </c>
      <c r="D541" s="1" t="s">
        <v>79</v>
      </c>
      <c r="E541" s="1" t="s">
        <v>38</v>
      </c>
      <c r="F541" s="1"/>
      <c r="G541" s="1" t="s">
        <v>39</v>
      </c>
      <c r="H541" s="1" t="s">
        <v>176</v>
      </c>
      <c r="I541" s="1" t="s">
        <v>75</v>
      </c>
      <c r="J541" s="1" t="s">
        <v>76</v>
      </c>
      <c r="K541" s="1" t="s">
        <v>77</v>
      </c>
      <c r="L541" s="1" t="s">
        <v>78</v>
      </c>
      <c r="M541" s="1" t="s">
        <v>50</v>
      </c>
      <c r="N541" s="1" t="s">
        <v>41</v>
      </c>
      <c r="O541" s="1" t="s">
        <v>42</v>
      </c>
      <c r="P541" s="1" t="s">
        <v>43</v>
      </c>
      <c r="Q541" s="1" t="s">
        <v>44</v>
      </c>
      <c r="R541" s="1" t="s">
        <v>45</v>
      </c>
      <c r="S541" s="1">
        <v>1499</v>
      </c>
      <c r="T541" s="1">
        <v>0</v>
      </c>
      <c r="U541" s="4">
        <v>0.15</v>
      </c>
      <c r="V541" s="1">
        <v>1120</v>
      </c>
      <c r="W541" s="1">
        <v>2480</v>
      </c>
      <c r="X541" s="1">
        <v>3600</v>
      </c>
      <c r="Y541" s="1" t="s">
        <v>51</v>
      </c>
      <c r="Z541" s="1">
        <v>1790</v>
      </c>
      <c r="AA541" s="1">
        <v>1810</v>
      </c>
      <c r="AB541" s="1">
        <v>0</v>
      </c>
      <c r="AC541" s="1">
        <v>0</v>
      </c>
      <c r="AD541" s="1">
        <v>0</v>
      </c>
      <c r="AE541" s="1">
        <v>0</v>
      </c>
      <c r="AF541" s="1"/>
      <c r="AG541" s="1">
        <v>0</v>
      </c>
      <c r="AH541" s="1">
        <v>0</v>
      </c>
      <c r="AI541" s="1">
        <v>0</v>
      </c>
      <c r="AJ541" s="1">
        <v>0</v>
      </c>
      <c r="AK541" s="1">
        <v>5.7195999999999998</v>
      </c>
      <c r="AL541" s="1">
        <v>5.7195999999999998</v>
      </c>
      <c r="AM541" s="1">
        <v>5.7195999999999998</v>
      </c>
    </row>
    <row r="542" spans="1:39" x14ac:dyDescent="0.3">
      <c r="A542" s="21" t="str">
        <f t="shared" si="8"/>
        <v>HFA701LLHA2026-01-08</v>
      </c>
      <c r="B542" t="e">
        <f>VLOOKUP(A542,Sheet1!A542:B1884,1,FALSE)</f>
        <v>#N/A</v>
      </c>
      <c r="C542" s="3">
        <v>46030</v>
      </c>
      <c r="D542" s="1" t="s">
        <v>53</v>
      </c>
      <c r="E542" s="1" t="s">
        <v>38</v>
      </c>
      <c r="F542" s="1"/>
      <c r="G542" s="1" t="s">
        <v>39</v>
      </c>
      <c r="H542" s="1" t="s">
        <v>176</v>
      </c>
      <c r="I542" s="1" t="s">
        <v>41</v>
      </c>
      <c r="J542" s="1" t="s">
        <v>42</v>
      </c>
      <c r="K542" s="1" t="s">
        <v>43</v>
      </c>
      <c r="L542" s="1" t="s">
        <v>44</v>
      </c>
      <c r="M542" s="1" t="s">
        <v>45</v>
      </c>
      <c r="N542" s="1" t="s">
        <v>46</v>
      </c>
      <c r="O542" s="1" t="s">
        <v>47</v>
      </c>
      <c r="P542" s="1" t="s">
        <v>48</v>
      </c>
      <c r="Q542" s="1" t="s">
        <v>49</v>
      </c>
      <c r="R542" s="1" t="s">
        <v>50</v>
      </c>
      <c r="S542" s="1">
        <v>1157</v>
      </c>
      <c r="T542" s="1">
        <v>0</v>
      </c>
      <c r="U542" s="4">
        <v>0.12777777777777777</v>
      </c>
      <c r="V542" s="1">
        <v>1790</v>
      </c>
      <c r="W542" s="1">
        <v>1310</v>
      </c>
      <c r="X542" s="1">
        <v>3100</v>
      </c>
      <c r="Y542" s="1" t="s">
        <v>51</v>
      </c>
      <c r="Z542" s="1">
        <v>1210</v>
      </c>
      <c r="AA542" s="1">
        <v>1890</v>
      </c>
      <c r="AB542" s="1">
        <v>0</v>
      </c>
      <c r="AC542" s="1">
        <v>0</v>
      </c>
      <c r="AD542" s="1">
        <v>0</v>
      </c>
      <c r="AE542" s="1">
        <v>0</v>
      </c>
      <c r="AF542" s="1"/>
      <c r="AG542" s="1">
        <v>0</v>
      </c>
      <c r="AH542" s="1">
        <v>0</v>
      </c>
      <c r="AI542" s="1">
        <v>0</v>
      </c>
      <c r="AJ542" s="1">
        <v>0</v>
      </c>
      <c r="AK542" s="1">
        <v>5.9724000000000004</v>
      </c>
      <c r="AL542" s="1">
        <v>5.9724000000000004</v>
      </c>
      <c r="AM542" s="1">
        <v>5.9724000000000004</v>
      </c>
    </row>
    <row r="543" spans="1:39" x14ac:dyDescent="0.3">
      <c r="A543" s="21" t="str">
        <f t="shared" si="8"/>
        <v>HFA702LGAV2026-01-08</v>
      </c>
      <c r="B543" t="e">
        <f>VLOOKUP(A543,Sheet1!A543:B1885,1,FALSE)</f>
        <v>#N/A</v>
      </c>
      <c r="C543" s="3">
        <v>46030</v>
      </c>
      <c r="D543" s="1" t="s">
        <v>56</v>
      </c>
      <c r="E543" s="1" t="s">
        <v>38</v>
      </c>
      <c r="F543" s="1"/>
      <c r="G543" s="1" t="s">
        <v>39</v>
      </c>
      <c r="H543" s="1" t="s">
        <v>176</v>
      </c>
      <c r="I543" s="1" t="s">
        <v>46</v>
      </c>
      <c r="J543" s="1" t="s">
        <v>47</v>
      </c>
      <c r="K543" s="1" t="s">
        <v>48</v>
      </c>
      <c r="L543" s="1" t="s">
        <v>49</v>
      </c>
      <c r="M543" s="1" t="s">
        <v>50</v>
      </c>
      <c r="N543" s="1" t="s">
        <v>41</v>
      </c>
      <c r="O543" s="1" t="s">
        <v>42</v>
      </c>
      <c r="P543" s="1" t="s">
        <v>43</v>
      </c>
      <c r="Q543" s="1" t="s">
        <v>44</v>
      </c>
      <c r="R543" s="1" t="s">
        <v>45</v>
      </c>
      <c r="S543" s="1">
        <v>1157</v>
      </c>
      <c r="T543" s="1">
        <v>0</v>
      </c>
      <c r="U543" s="4">
        <v>0.10763888888888888</v>
      </c>
      <c r="V543" s="1">
        <v>1210</v>
      </c>
      <c r="W543" s="1">
        <v>2090</v>
      </c>
      <c r="X543" s="1">
        <v>3300</v>
      </c>
      <c r="Y543" s="1" t="s">
        <v>51</v>
      </c>
      <c r="Z543" s="1">
        <v>1750</v>
      </c>
      <c r="AA543" s="1">
        <v>1550</v>
      </c>
      <c r="AB543" s="1">
        <v>0</v>
      </c>
      <c r="AC543" s="1">
        <v>0</v>
      </c>
      <c r="AD543" s="1">
        <v>0</v>
      </c>
      <c r="AE543" s="1">
        <v>0</v>
      </c>
      <c r="AF543" s="1"/>
      <c r="AG543" s="1">
        <v>0</v>
      </c>
      <c r="AH543" s="1">
        <v>0</v>
      </c>
      <c r="AI543" s="1">
        <v>0</v>
      </c>
      <c r="AJ543" s="1">
        <v>0</v>
      </c>
      <c r="AK543" s="1">
        <v>4.8979999999999997</v>
      </c>
      <c r="AL543" s="1">
        <v>4.8979999999999997</v>
      </c>
      <c r="AM543" s="1">
        <v>4.8979999999999997</v>
      </c>
    </row>
    <row r="544" spans="1:39" x14ac:dyDescent="0.3">
      <c r="A544" s="21" t="str">
        <f t="shared" si="8"/>
        <v>HFA951LLHA2026-01-09</v>
      </c>
      <c r="B544" t="str">
        <f>VLOOKUP(A544,Sheet1!A544:B1886,1,FALSE)</f>
        <v>HFA951LLHA2026-01-09</v>
      </c>
      <c r="C544" s="3">
        <v>46031</v>
      </c>
      <c r="D544" s="1" t="s">
        <v>74</v>
      </c>
      <c r="E544" s="1" t="s">
        <v>38</v>
      </c>
      <c r="F544" s="1"/>
      <c r="G544" s="1" t="s">
        <v>39</v>
      </c>
      <c r="H544" s="1" t="s">
        <v>176</v>
      </c>
      <c r="I544" s="1" t="s">
        <v>41</v>
      </c>
      <c r="J544" s="1" t="s">
        <v>42</v>
      </c>
      <c r="K544" s="1" t="s">
        <v>43</v>
      </c>
      <c r="L544" s="1" t="s">
        <v>44</v>
      </c>
      <c r="M544" s="1" t="s">
        <v>45</v>
      </c>
      <c r="N544" s="1" t="s">
        <v>75</v>
      </c>
      <c r="O544" s="1" t="s">
        <v>76</v>
      </c>
      <c r="P544" s="1" t="s">
        <v>77</v>
      </c>
      <c r="Q544" s="1" t="s">
        <v>78</v>
      </c>
      <c r="R544" s="1" t="s">
        <v>50</v>
      </c>
      <c r="S544" s="1">
        <v>1499</v>
      </c>
      <c r="T544" s="1">
        <v>0</v>
      </c>
      <c r="U544" s="4">
        <v>0.17569444444444443</v>
      </c>
      <c r="V544" s="1">
        <v>1750</v>
      </c>
      <c r="W544" s="1">
        <v>2550</v>
      </c>
      <c r="X544" s="1">
        <v>4300</v>
      </c>
      <c r="Y544" s="1" t="s">
        <v>51</v>
      </c>
      <c r="Z544" s="1">
        <v>1220</v>
      </c>
      <c r="AA544" s="1">
        <v>3080</v>
      </c>
      <c r="AB544" s="1">
        <v>0</v>
      </c>
      <c r="AC544" s="1">
        <v>0</v>
      </c>
      <c r="AD544" s="1">
        <v>0</v>
      </c>
      <c r="AE544" s="1">
        <v>0</v>
      </c>
      <c r="AF544" s="1"/>
      <c r="AG544" s="1">
        <v>0</v>
      </c>
      <c r="AH544" s="1">
        <v>0</v>
      </c>
      <c r="AI544" s="1">
        <v>0</v>
      </c>
      <c r="AJ544" s="1">
        <v>0</v>
      </c>
      <c r="AK544" s="1">
        <v>9.7327999999999992</v>
      </c>
      <c r="AL544" s="1">
        <v>9.7327999999999992</v>
      </c>
      <c r="AM544" s="1">
        <v>9.7327999999999992</v>
      </c>
    </row>
    <row r="545" spans="1:39" x14ac:dyDescent="0.3">
      <c r="A545" s="21" t="str">
        <f t="shared" si="8"/>
        <v>HFA952LBSF2026-01-09</v>
      </c>
      <c r="B545" t="str">
        <f>VLOOKUP(A545,Sheet1!A545:B1887,1,FALSE)</f>
        <v>HFA952LBSF2026-01-09</v>
      </c>
      <c r="C545" s="3">
        <v>46031</v>
      </c>
      <c r="D545" s="1" t="s">
        <v>79</v>
      </c>
      <c r="E545" s="1" t="s">
        <v>38</v>
      </c>
      <c r="F545" s="1"/>
      <c r="G545" s="1" t="s">
        <v>39</v>
      </c>
      <c r="H545" s="1" t="s">
        <v>176</v>
      </c>
      <c r="I545" s="1" t="s">
        <v>75</v>
      </c>
      <c r="J545" s="1" t="s">
        <v>76</v>
      </c>
      <c r="K545" s="1" t="s">
        <v>77</v>
      </c>
      <c r="L545" s="1" t="s">
        <v>78</v>
      </c>
      <c r="M545" s="1" t="s">
        <v>50</v>
      </c>
      <c r="N545" s="1" t="s">
        <v>41</v>
      </c>
      <c r="O545" s="1" t="s">
        <v>42</v>
      </c>
      <c r="P545" s="1" t="s">
        <v>43</v>
      </c>
      <c r="Q545" s="1" t="s">
        <v>44</v>
      </c>
      <c r="R545" s="1" t="s">
        <v>45</v>
      </c>
      <c r="S545" s="1">
        <v>1499</v>
      </c>
      <c r="T545" s="1">
        <v>0</v>
      </c>
      <c r="U545" s="4">
        <v>0.12291666666666666</v>
      </c>
      <c r="V545" s="1">
        <v>1220</v>
      </c>
      <c r="W545" s="1">
        <v>2480</v>
      </c>
      <c r="X545" s="1">
        <v>3700</v>
      </c>
      <c r="Y545" s="1" t="s">
        <v>51</v>
      </c>
      <c r="Z545" s="1">
        <v>2070</v>
      </c>
      <c r="AA545" s="1">
        <v>1630</v>
      </c>
      <c r="AB545" s="1">
        <v>0</v>
      </c>
      <c r="AC545" s="1">
        <v>0</v>
      </c>
      <c r="AD545" s="1">
        <v>0</v>
      </c>
      <c r="AE545" s="1">
        <v>0</v>
      </c>
      <c r="AF545" s="1"/>
      <c r="AG545" s="1">
        <v>0</v>
      </c>
      <c r="AH545" s="1">
        <v>0</v>
      </c>
      <c r="AI545" s="1">
        <v>0</v>
      </c>
      <c r="AJ545" s="1">
        <v>0</v>
      </c>
      <c r="AK545" s="1">
        <v>5.1508000000000003</v>
      </c>
      <c r="AL545" s="1">
        <v>5.1508000000000003</v>
      </c>
      <c r="AM545" s="1">
        <v>5.1508000000000003</v>
      </c>
    </row>
    <row r="546" spans="1:39" x14ac:dyDescent="0.3">
      <c r="A546" s="21" t="str">
        <f t="shared" si="8"/>
        <v>HFA703LLHA2026-01-11</v>
      </c>
      <c r="B546" t="e">
        <f>VLOOKUP(A546,Sheet1!A546:B1888,1,FALSE)</f>
        <v>#N/A</v>
      </c>
      <c r="C546" s="3">
        <v>46033</v>
      </c>
      <c r="D546" s="1" t="s">
        <v>37</v>
      </c>
      <c r="E546" s="1" t="s">
        <v>38</v>
      </c>
      <c r="F546" s="1"/>
      <c r="G546" s="1" t="s">
        <v>39</v>
      </c>
      <c r="H546" s="1" t="s">
        <v>176</v>
      </c>
      <c r="I546" s="1" t="s">
        <v>41</v>
      </c>
      <c r="J546" s="1" t="s">
        <v>42</v>
      </c>
      <c r="K546" s="1" t="s">
        <v>43</v>
      </c>
      <c r="L546" s="1" t="s">
        <v>44</v>
      </c>
      <c r="M546" s="1" t="s">
        <v>45</v>
      </c>
      <c r="N546" s="1" t="s">
        <v>46</v>
      </c>
      <c r="O546" s="1" t="s">
        <v>47</v>
      </c>
      <c r="P546" s="1" t="s">
        <v>48</v>
      </c>
      <c r="Q546" s="1" t="s">
        <v>49</v>
      </c>
      <c r="R546" s="1" t="s">
        <v>50</v>
      </c>
      <c r="S546" s="1">
        <v>1157</v>
      </c>
      <c r="T546" s="1">
        <v>0</v>
      </c>
      <c r="U546" s="4">
        <v>0.12847222222222221</v>
      </c>
      <c r="V546" s="1">
        <v>2070</v>
      </c>
      <c r="W546" s="1">
        <v>1030</v>
      </c>
      <c r="X546" s="1">
        <v>3100</v>
      </c>
      <c r="Y546" s="1" t="s">
        <v>51</v>
      </c>
      <c r="Z546" s="1">
        <v>1300</v>
      </c>
      <c r="AA546" s="1">
        <v>1800</v>
      </c>
      <c r="AB546" s="1">
        <v>0</v>
      </c>
      <c r="AC546" s="1">
        <v>0</v>
      </c>
      <c r="AD546" s="1">
        <v>0</v>
      </c>
      <c r="AE546" s="1">
        <v>0</v>
      </c>
      <c r="AF546" s="1"/>
      <c r="AG546" s="1">
        <v>0</v>
      </c>
      <c r="AH546" s="1">
        <v>0</v>
      </c>
      <c r="AI546" s="1">
        <v>0</v>
      </c>
      <c r="AJ546" s="1">
        <v>0</v>
      </c>
      <c r="AK546" s="1">
        <v>5.6879999999999997</v>
      </c>
      <c r="AL546" s="1">
        <v>5.6879999999999997</v>
      </c>
      <c r="AM546" s="1">
        <v>5.6879999999999997</v>
      </c>
    </row>
    <row r="547" spans="1:39" x14ac:dyDescent="0.3">
      <c r="A547" s="21" t="str">
        <f t="shared" si="8"/>
        <v>HFA704LGAV2026-01-11</v>
      </c>
      <c r="B547" t="e">
        <f>VLOOKUP(A547,Sheet1!A547:B1889,1,FALSE)</f>
        <v>#N/A</v>
      </c>
      <c r="C547" s="3">
        <v>46033</v>
      </c>
      <c r="D547" s="1" t="s">
        <v>52</v>
      </c>
      <c r="E547" s="1" t="s">
        <v>38</v>
      </c>
      <c r="F547" s="1"/>
      <c r="G547" s="1" t="s">
        <v>39</v>
      </c>
      <c r="H547" s="1" t="s">
        <v>176</v>
      </c>
      <c r="I547" s="1" t="s">
        <v>46</v>
      </c>
      <c r="J547" s="1" t="s">
        <v>47</v>
      </c>
      <c r="K547" s="1" t="s">
        <v>48</v>
      </c>
      <c r="L547" s="1" t="s">
        <v>49</v>
      </c>
      <c r="M547" s="1" t="s">
        <v>50</v>
      </c>
      <c r="N547" s="1" t="s">
        <v>41</v>
      </c>
      <c r="O547" s="1" t="s">
        <v>42</v>
      </c>
      <c r="P547" s="1" t="s">
        <v>43</v>
      </c>
      <c r="Q547" s="1" t="s">
        <v>44</v>
      </c>
      <c r="R547" s="1" t="s">
        <v>45</v>
      </c>
      <c r="S547" s="1">
        <v>1157</v>
      </c>
      <c r="T547" s="1">
        <v>0</v>
      </c>
      <c r="U547" s="4">
        <v>0.11249999999999999</v>
      </c>
      <c r="V547" s="1">
        <v>1300</v>
      </c>
      <c r="W547" s="1">
        <v>1400</v>
      </c>
      <c r="X547" s="1">
        <v>2700</v>
      </c>
      <c r="Y547" s="1" t="s">
        <v>51</v>
      </c>
      <c r="Z547" s="1">
        <v>1240</v>
      </c>
      <c r="AA547" s="1">
        <v>1460</v>
      </c>
      <c r="AB547" s="1">
        <v>0</v>
      </c>
      <c r="AC547" s="1">
        <v>0</v>
      </c>
      <c r="AD547" s="1">
        <v>0</v>
      </c>
      <c r="AE547" s="1">
        <v>0</v>
      </c>
      <c r="AF547" s="1"/>
      <c r="AG547" s="1">
        <v>0</v>
      </c>
      <c r="AH547" s="1">
        <v>0</v>
      </c>
      <c r="AI547" s="1">
        <v>0</v>
      </c>
      <c r="AJ547" s="1">
        <v>0</v>
      </c>
      <c r="AK547" s="1">
        <v>4.6135999999999999</v>
      </c>
      <c r="AL547" s="1">
        <v>4.6135999999999999</v>
      </c>
      <c r="AM547" s="1">
        <v>4.6135999999999999</v>
      </c>
    </row>
    <row r="548" spans="1:39" x14ac:dyDescent="0.3">
      <c r="A548" s="21" t="str">
        <f t="shared" si="8"/>
        <v>HFA951LLHA2026-01-12</v>
      </c>
      <c r="B548" t="str">
        <f>VLOOKUP(A548,Sheet1!A548:B1890,1,FALSE)</f>
        <v>HFA951LLHA2026-01-12</v>
      </c>
      <c r="C548" s="3">
        <v>46034</v>
      </c>
      <c r="D548" s="1" t="s">
        <v>74</v>
      </c>
      <c r="E548" s="1" t="s">
        <v>38</v>
      </c>
      <c r="F548" s="1"/>
      <c r="G548" s="1" t="s">
        <v>39</v>
      </c>
      <c r="H548" s="1" t="s">
        <v>176</v>
      </c>
      <c r="I548" s="1" t="s">
        <v>41</v>
      </c>
      <c r="J548" s="1" t="s">
        <v>42</v>
      </c>
      <c r="K548" s="1" t="s">
        <v>43</v>
      </c>
      <c r="L548" s="1" t="s">
        <v>44</v>
      </c>
      <c r="M548" s="1" t="s">
        <v>45</v>
      </c>
      <c r="N548" s="1" t="s">
        <v>75</v>
      </c>
      <c r="O548" s="1" t="s">
        <v>76</v>
      </c>
      <c r="P548" s="1" t="s">
        <v>77</v>
      </c>
      <c r="Q548" s="1" t="s">
        <v>78</v>
      </c>
      <c r="R548" s="1" t="s">
        <v>50</v>
      </c>
      <c r="S548" s="1">
        <v>1499</v>
      </c>
      <c r="T548" s="1">
        <v>0</v>
      </c>
      <c r="U548" s="4">
        <v>0.16458333333333333</v>
      </c>
      <c r="V548" s="1">
        <v>1240</v>
      </c>
      <c r="W548" s="1">
        <v>2760</v>
      </c>
      <c r="X548" s="1">
        <v>4000</v>
      </c>
      <c r="Y548" s="1" t="s">
        <v>51</v>
      </c>
      <c r="Z548" s="1">
        <v>1540</v>
      </c>
      <c r="AA548" s="1">
        <v>2460</v>
      </c>
      <c r="AB548" s="1">
        <v>0</v>
      </c>
      <c r="AC548" s="1">
        <v>0</v>
      </c>
      <c r="AD548" s="1">
        <v>0</v>
      </c>
      <c r="AE548" s="1">
        <v>0</v>
      </c>
      <c r="AF548" s="1"/>
      <c r="AG548" s="1">
        <v>0</v>
      </c>
      <c r="AH548" s="1">
        <v>0</v>
      </c>
      <c r="AI548" s="1">
        <v>0</v>
      </c>
      <c r="AJ548" s="1">
        <v>0</v>
      </c>
      <c r="AK548" s="1">
        <v>7.7736000000000001</v>
      </c>
      <c r="AL548" s="1">
        <v>7.7736000000000001</v>
      </c>
      <c r="AM548" s="1">
        <v>7.7736000000000001</v>
      </c>
    </row>
    <row r="549" spans="1:39" x14ac:dyDescent="0.3">
      <c r="A549" s="21" t="str">
        <f t="shared" si="8"/>
        <v>HFA952LBSF2026-01-12</v>
      </c>
      <c r="B549" t="str">
        <f>VLOOKUP(A549,Sheet1!A549:B1891,1,FALSE)</f>
        <v>HFA952LBSF2026-01-12</v>
      </c>
      <c r="C549" s="3">
        <v>46034</v>
      </c>
      <c r="D549" s="1" t="s">
        <v>79</v>
      </c>
      <c r="E549" s="1" t="s">
        <v>38</v>
      </c>
      <c r="F549" s="1"/>
      <c r="G549" s="1" t="s">
        <v>39</v>
      </c>
      <c r="H549" s="1" t="s">
        <v>176</v>
      </c>
      <c r="I549" s="1" t="s">
        <v>75</v>
      </c>
      <c r="J549" s="1" t="s">
        <v>76</v>
      </c>
      <c r="K549" s="1" t="s">
        <v>77</v>
      </c>
      <c r="L549" s="1" t="s">
        <v>78</v>
      </c>
      <c r="M549" s="1" t="s">
        <v>50</v>
      </c>
      <c r="N549" s="1" t="s">
        <v>41</v>
      </c>
      <c r="O549" s="1" t="s">
        <v>82</v>
      </c>
      <c r="P549" s="1" t="s">
        <v>83</v>
      </c>
      <c r="Q549" s="1" t="s">
        <v>84</v>
      </c>
      <c r="R549" s="1" t="s">
        <v>45</v>
      </c>
      <c r="S549" s="1">
        <v>1559</v>
      </c>
      <c r="T549" s="1">
        <v>1559</v>
      </c>
      <c r="U549" s="4">
        <v>0.18124999999999999</v>
      </c>
      <c r="V549" s="1">
        <v>1540</v>
      </c>
      <c r="W549" s="1">
        <v>1960</v>
      </c>
      <c r="X549" s="1">
        <v>3500</v>
      </c>
      <c r="Y549" s="1" t="s">
        <v>51</v>
      </c>
      <c r="Z549" s="1">
        <v>1110</v>
      </c>
      <c r="AA549" s="1">
        <v>2390</v>
      </c>
      <c r="AB549" s="1">
        <v>0</v>
      </c>
      <c r="AC549" s="1">
        <v>0</v>
      </c>
      <c r="AD549" s="1">
        <v>0</v>
      </c>
      <c r="AE549" s="1">
        <v>0</v>
      </c>
      <c r="AF549" s="1"/>
      <c r="AG549" s="1">
        <v>0</v>
      </c>
      <c r="AH549" s="1">
        <v>0</v>
      </c>
      <c r="AI549" s="1">
        <v>0</v>
      </c>
      <c r="AJ549" s="1">
        <v>0</v>
      </c>
      <c r="AK549" s="1">
        <v>7.5523999999999996</v>
      </c>
      <c r="AL549" s="1">
        <v>7.5523999999999996</v>
      </c>
      <c r="AM549" s="1">
        <v>7.5523999999999996</v>
      </c>
    </row>
    <row r="550" spans="1:39" x14ac:dyDescent="0.3">
      <c r="A550" s="21" t="str">
        <f t="shared" si="8"/>
        <v>HFA201LLBG2026-01-13</v>
      </c>
      <c r="B550" t="e">
        <f>VLOOKUP(A550,Sheet1!A550:B1892,1,FALSE)</f>
        <v>#N/A</v>
      </c>
      <c r="C550" s="3">
        <v>46035</v>
      </c>
      <c r="D550" s="1" t="s">
        <v>80</v>
      </c>
      <c r="E550" s="1" t="s">
        <v>65</v>
      </c>
      <c r="F550" s="1"/>
      <c r="G550" s="1" t="s">
        <v>39</v>
      </c>
      <c r="H550" s="1" t="s">
        <v>176</v>
      </c>
      <c r="I550" s="1" t="s">
        <v>41</v>
      </c>
      <c r="J550" s="1" t="s">
        <v>82</v>
      </c>
      <c r="K550" s="1" t="s">
        <v>83</v>
      </c>
      <c r="L550" s="1" t="s">
        <v>84</v>
      </c>
      <c r="M550" s="1" t="s">
        <v>45</v>
      </c>
      <c r="N550" s="1" t="s">
        <v>46</v>
      </c>
      <c r="O550" s="1" t="s">
        <v>47</v>
      </c>
      <c r="P550" s="1" t="s">
        <v>48</v>
      </c>
      <c r="Q550" s="1" t="s">
        <v>49</v>
      </c>
      <c r="R550" s="1" t="s">
        <v>50</v>
      </c>
      <c r="S550" s="1">
        <v>1195</v>
      </c>
      <c r="T550" s="1">
        <v>1195</v>
      </c>
      <c r="U550" s="4">
        <v>0.14930555555555555</v>
      </c>
      <c r="V550" s="1">
        <v>1110</v>
      </c>
      <c r="W550" s="1">
        <v>2390</v>
      </c>
      <c r="X550" s="1">
        <v>3500</v>
      </c>
      <c r="Y550" s="1" t="s">
        <v>51</v>
      </c>
      <c r="Z550" s="1">
        <v>1350</v>
      </c>
      <c r="AA550" s="1">
        <v>2150</v>
      </c>
      <c r="AB550" s="1">
        <v>0</v>
      </c>
      <c r="AC550" s="1">
        <v>0</v>
      </c>
      <c r="AD550" s="1">
        <v>0</v>
      </c>
      <c r="AE550" s="1">
        <v>0</v>
      </c>
      <c r="AF550" s="1"/>
      <c r="AG550" s="1">
        <v>0</v>
      </c>
      <c r="AH550" s="1">
        <v>0</v>
      </c>
      <c r="AI550" s="1">
        <v>0</v>
      </c>
      <c r="AJ550" s="1">
        <v>0</v>
      </c>
      <c r="AK550" s="1">
        <v>6.7939999999999996</v>
      </c>
      <c r="AL550" s="1">
        <v>6.7939999999999996</v>
      </c>
      <c r="AM550" s="1">
        <v>6.7939999999999996</v>
      </c>
    </row>
    <row r="551" spans="1:39" x14ac:dyDescent="0.3">
      <c r="A551" s="21" t="str">
        <f t="shared" si="8"/>
        <v>HFA702LGAV2026-01-13</v>
      </c>
      <c r="B551" t="e">
        <f>VLOOKUP(A551,Sheet1!A551:B1893,1,FALSE)</f>
        <v>#N/A</v>
      </c>
      <c r="C551" s="3">
        <v>46035</v>
      </c>
      <c r="D551" s="1" t="s">
        <v>56</v>
      </c>
      <c r="E551" s="1" t="s">
        <v>38</v>
      </c>
      <c r="F551" s="1"/>
      <c r="G551" s="1" t="s">
        <v>39</v>
      </c>
      <c r="H551" s="1" t="s">
        <v>176</v>
      </c>
      <c r="I551" s="1" t="s">
        <v>46</v>
      </c>
      <c r="J551" s="1" t="s">
        <v>47</v>
      </c>
      <c r="K551" s="1" t="s">
        <v>48</v>
      </c>
      <c r="L551" s="1" t="s">
        <v>49</v>
      </c>
      <c r="M551" s="1" t="s">
        <v>50</v>
      </c>
      <c r="N551" s="1" t="s">
        <v>41</v>
      </c>
      <c r="O551" s="1" t="s">
        <v>42</v>
      </c>
      <c r="P551" s="1" t="s">
        <v>43</v>
      </c>
      <c r="Q551" s="1" t="s">
        <v>44</v>
      </c>
      <c r="R551" s="1" t="s">
        <v>45</v>
      </c>
      <c r="S551" s="1">
        <v>1157</v>
      </c>
      <c r="T551" s="1">
        <v>1158</v>
      </c>
      <c r="U551" s="4">
        <v>0.12569444444444444</v>
      </c>
      <c r="V551" s="1">
        <v>1350</v>
      </c>
      <c r="W551" s="1">
        <v>1750</v>
      </c>
      <c r="X551" s="1">
        <v>3100</v>
      </c>
      <c r="Y551" s="1" t="s">
        <v>51</v>
      </c>
      <c r="Z551" s="1">
        <v>1420</v>
      </c>
      <c r="AA551" s="1">
        <v>1680</v>
      </c>
      <c r="AB551" s="1">
        <v>0</v>
      </c>
      <c r="AC551" s="1">
        <v>0</v>
      </c>
      <c r="AD551" s="1">
        <v>0</v>
      </c>
      <c r="AE551" s="1">
        <v>0</v>
      </c>
      <c r="AF551" s="1"/>
      <c r="AG551" s="1">
        <v>0</v>
      </c>
      <c r="AH551" s="1">
        <v>0</v>
      </c>
      <c r="AI551" s="1">
        <v>0</v>
      </c>
      <c r="AJ551" s="1">
        <v>0</v>
      </c>
      <c r="AK551" s="1">
        <v>5.3087999999999997</v>
      </c>
      <c r="AL551" s="1">
        <v>5.3087999999999997</v>
      </c>
      <c r="AM551" s="1">
        <v>5.3087999999999997</v>
      </c>
    </row>
    <row r="552" spans="1:39" x14ac:dyDescent="0.3">
      <c r="A552" s="21" t="str">
        <f t="shared" si="8"/>
        <v>HFA701LLHA2026-01-14</v>
      </c>
      <c r="B552" t="e">
        <f>VLOOKUP(A552,Sheet1!A552:B1894,1,FALSE)</f>
        <v>#N/A</v>
      </c>
      <c r="C552" s="3">
        <v>46036</v>
      </c>
      <c r="D552" s="1" t="s">
        <v>53</v>
      </c>
      <c r="E552" s="1" t="s">
        <v>38</v>
      </c>
      <c r="F552" s="1"/>
      <c r="G552" s="1" t="s">
        <v>39</v>
      </c>
      <c r="H552" s="1" t="s">
        <v>176</v>
      </c>
      <c r="I552" s="1" t="s">
        <v>41</v>
      </c>
      <c r="J552" s="1" t="s">
        <v>42</v>
      </c>
      <c r="K552" s="1" t="s">
        <v>43</v>
      </c>
      <c r="L552" s="1" t="s">
        <v>44</v>
      </c>
      <c r="M552" s="1" t="s">
        <v>45</v>
      </c>
      <c r="N552" s="1" t="s">
        <v>46</v>
      </c>
      <c r="O552" s="1" t="s">
        <v>47</v>
      </c>
      <c r="P552" s="1" t="s">
        <v>48</v>
      </c>
      <c r="Q552" s="1" t="s">
        <v>49</v>
      </c>
      <c r="R552" s="1" t="s">
        <v>50</v>
      </c>
      <c r="S552" s="1">
        <v>1157</v>
      </c>
      <c r="T552" s="1">
        <v>0</v>
      </c>
      <c r="U552" s="4">
        <v>0.13125000000000001</v>
      </c>
      <c r="V552" s="1">
        <v>1420</v>
      </c>
      <c r="W552" s="1">
        <v>1780</v>
      </c>
      <c r="X552" s="1">
        <v>3200</v>
      </c>
      <c r="Y552" s="1" t="s">
        <v>51</v>
      </c>
      <c r="Z552" s="1">
        <v>1190</v>
      </c>
      <c r="AA552" s="1">
        <v>2010</v>
      </c>
      <c r="AB552" s="1">
        <v>0</v>
      </c>
      <c r="AC552" s="1">
        <v>0</v>
      </c>
      <c r="AD552" s="1">
        <v>0</v>
      </c>
      <c r="AE552" s="1">
        <v>0</v>
      </c>
      <c r="AF552" s="1"/>
      <c r="AG552" s="1">
        <v>0</v>
      </c>
      <c r="AH552" s="1">
        <v>0</v>
      </c>
      <c r="AI552" s="1">
        <v>0</v>
      </c>
      <c r="AJ552" s="1">
        <v>0</v>
      </c>
      <c r="AK552" s="1">
        <v>6.3516000000000004</v>
      </c>
      <c r="AL552" s="1">
        <v>6.3516000000000004</v>
      </c>
      <c r="AM552" s="1">
        <v>6.3516000000000004</v>
      </c>
    </row>
    <row r="553" spans="1:39" x14ac:dyDescent="0.3">
      <c r="A553" s="21" t="str">
        <f t="shared" si="8"/>
        <v>HFA702LGAV2026-01-14</v>
      </c>
      <c r="B553" t="e">
        <f>VLOOKUP(A553,Sheet1!A553:B1895,1,FALSE)</f>
        <v>#N/A</v>
      </c>
      <c r="C553" s="3">
        <v>46036</v>
      </c>
      <c r="D553" s="1" t="s">
        <v>56</v>
      </c>
      <c r="E553" s="1" t="s">
        <v>38</v>
      </c>
      <c r="F553" s="1"/>
      <c r="G553" s="1" t="s">
        <v>39</v>
      </c>
      <c r="H553" s="1" t="s">
        <v>176</v>
      </c>
      <c r="I553" s="1" t="s">
        <v>46</v>
      </c>
      <c r="J553" s="1" t="s">
        <v>47</v>
      </c>
      <c r="K553" s="1" t="s">
        <v>48</v>
      </c>
      <c r="L553" s="1" t="s">
        <v>49</v>
      </c>
      <c r="M553" s="1" t="s">
        <v>50</v>
      </c>
      <c r="N553" s="1" t="s">
        <v>41</v>
      </c>
      <c r="O553" s="1" t="s">
        <v>42</v>
      </c>
      <c r="P553" s="1" t="s">
        <v>43</v>
      </c>
      <c r="Q553" s="1" t="s">
        <v>44</v>
      </c>
      <c r="R553" s="1" t="s">
        <v>45</v>
      </c>
      <c r="S553" s="1">
        <v>1157</v>
      </c>
      <c r="T553" s="1">
        <v>0</v>
      </c>
      <c r="U553" s="4">
        <v>9.930555555555555E-2</v>
      </c>
      <c r="V553" s="1">
        <v>1190</v>
      </c>
      <c r="W553" s="1">
        <v>2310</v>
      </c>
      <c r="X553" s="1">
        <v>3500</v>
      </c>
      <c r="Y553" s="1" t="s">
        <v>51</v>
      </c>
      <c r="Z553" s="1">
        <v>2140</v>
      </c>
      <c r="AA553" s="1">
        <v>1360</v>
      </c>
      <c r="AB553" s="1">
        <v>0</v>
      </c>
      <c r="AC553" s="1">
        <v>0</v>
      </c>
      <c r="AD553" s="1">
        <v>0</v>
      </c>
      <c r="AE553" s="1">
        <v>0</v>
      </c>
      <c r="AF553" s="1"/>
      <c r="AG553" s="1">
        <v>0</v>
      </c>
      <c r="AH553" s="1">
        <v>0</v>
      </c>
      <c r="AI553" s="1">
        <v>0</v>
      </c>
      <c r="AJ553" s="1">
        <v>0</v>
      </c>
      <c r="AK553" s="1">
        <v>4.2976000000000001</v>
      </c>
      <c r="AL553" s="1">
        <v>4.2976000000000001</v>
      </c>
      <c r="AM553" s="1">
        <v>4.2976000000000001</v>
      </c>
    </row>
    <row r="554" spans="1:39" x14ac:dyDescent="0.3">
      <c r="A554" s="21" t="str">
        <f t="shared" si="8"/>
        <v>HFA703LLHA2026-01-14</v>
      </c>
      <c r="B554" t="e">
        <f>VLOOKUP(A554,Sheet1!A554:B1896,1,FALSE)</f>
        <v>#N/A</v>
      </c>
      <c r="C554" s="3">
        <v>46036</v>
      </c>
      <c r="D554" s="1" t="s">
        <v>37</v>
      </c>
      <c r="E554" s="1" t="s">
        <v>38</v>
      </c>
      <c r="F554" s="1"/>
      <c r="G554" s="1" t="s">
        <v>39</v>
      </c>
      <c r="H554" s="1" t="s">
        <v>176</v>
      </c>
      <c r="I554" s="1" t="s">
        <v>41</v>
      </c>
      <c r="J554" s="1" t="s">
        <v>42</v>
      </c>
      <c r="K554" s="1" t="s">
        <v>43</v>
      </c>
      <c r="L554" s="1" t="s">
        <v>44</v>
      </c>
      <c r="M554" s="1" t="s">
        <v>45</v>
      </c>
      <c r="N554" s="1" t="s">
        <v>46</v>
      </c>
      <c r="O554" s="1" t="s">
        <v>47</v>
      </c>
      <c r="P554" s="1" t="s">
        <v>48</v>
      </c>
      <c r="Q554" s="1" t="s">
        <v>49</v>
      </c>
      <c r="R554" s="1" t="s">
        <v>50</v>
      </c>
      <c r="S554" s="1">
        <v>1157</v>
      </c>
      <c r="T554" s="1">
        <v>0</v>
      </c>
      <c r="U554" s="4">
        <v>0.12847222222222221</v>
      </c>
      <c r="V554" s="1">
        <v>2140</v>
      </c>
      <c r="W554" s="1">
        <v>1060</v>
      </c>
      <c r="X554" s="1">
        <v>3200</v>
      </c>
      <c r="Y554" s="1" t="s">
        <v>51</v>
      </c>
      <c r="Z554" s="1">
        <v>1130</v>
      </c>
      <c r="AA554" s="1">
        <v>2070</v>
      </c>
      <c r="AB554" s="1">
        <v>0</v>
      </c>
      <c r="AC554" s="1">
        <v>0</v>
      </c>
      <c r="AD554" s="1">
        <v>0</v>
      </c>
      <c r="AE554" s="1">
        <v>0</v>
      </c>
      <c r="AF554" s="1"/>
      <c r="AG554" s="1">
        <v>0</v>
      </c>
      <c r="AH554" s="1">
        <v>0</v>
      </c>
      <c r="AI554" s="1">
        <v>0</v>
      </c>
      <c r="AJ554" s="1">
        <v>0</v>
      </c>
      <c r="AK554" s="1">
        <v>6.5411999999999999</v>
      </c>
      <c r="AL554" s="1">
        <v>6.5411999999999999</v>
      </c>
      <c r="AM554" s="1">
        <v>6.5411999999999999</v>
      </c>
    </row>
    <row r="555" spans="1:39" x14ac:dyDescent="0.3">
      <c r="A555" s="21" t="str">
        <f t="shared" si="8"/>
        <v>HFA704LGAV2026-01-14</v>
      </c>
      <c r="B555" t="e">
        <f>VLOOKUP(A555,Sheet1!A555:B1897,1,FALSE)</f>
        <v>#N/A</v>
      </c>
      <c r="C555" s="3">
        <v>46036</v>
      </c>
      <c r="D555" s="1" t="s">
        <v>52</v>
      </c>
      <c r="E555" s="1" t="s">
        <v>38</v>
      </c>
      <c r="F555" s="1"/>
      <c r="G555" s="1" t="s">
        <v>39</v>
      </c>
      <c r="H555" s="1" t="s">
        <v>176</v>
      </c>
      <c r="I555" s="1" t="s">
        <v>46</v>
      </c>
      <c r="J555" s="1" t="s">
        <v>47</v>
      </c>
      <c r="K555" s="1" t="s">
        <v>48</v>
      </c>
      <c r="L555" s="1" t="s">
        <v>49</v>
      </c>
      <c r="M555" s="1" t="s">
        <v>50</v>
      </c>
      <c r="N555" s="1" t="s">
        <v>41</v>
      </c>
      <c r="O555" s="1" t="s">
        <v>42</v>
      </c>
      <c r="P555" s="1" t="s">
        <v>43</v>
      </c>
      <c r="Q555" s="1" t="s">
        <v>44</v>
      </c>
      <c r="R555" s="1" t="s">
        <v>45</v>
      </c>
      <c r="S555" s="1">
        <v>1157</v>
      </c>
      <c r="T555" s="1">
        <v>0</v>
      </c>
      <c r="U555" s="4">
        <v>9.8611111111111108E-2</v>
      </c>
      <c r="V555" s="1">
        <v>1130</v>
      </c>
      <c r="W555" s="1">
        <v>2170</v>
      </c>
      <c r="X555" s="1">
        <v>3300</v>
      </c>
      <c r="Y555" s="1" t="s">
        <v>51</v>
      </c>
      <c r="Z555" s="1">
        <v>1920</v>
      </c>
      <c r="AA555" s="1">
        <v>1380</v>
      </c>
      <c r="AB555" s="1">
        <v>0</v>
      </c>
      <c r="AC555" s="1">
        <v>0</v>
      </c>
      <c r="AD555" s="1">
        <v>0</v>
      </c>
      <c r="AE555" s="1">
        <v>0</v>
      </c>
      <c r="AF555" s="1"/>
      <c r="AG555" s="1">
        <v>0</v>
      </c>
      <c r="AH555" s="1">
        <v>0</v>
      </c>
      <c r="AI555" s="1">
        <v>0</v>
      </c>
      <c r="AJ555" s="1">
        <v>0</v>
      </c>
      <c r="AK555" s="1">
        <v>4.3608000000000002</v>
      </c>
      <c r="AL555" s="1">
        <v>4.3608000000000002</v>
      </c>
      <c r="AM555" s="1">
        <v>4.3608000000000002</v>
      </c>
    </row>
    <row r="556" spans="1:39" x14ac:dyDescent="0.3">
      <c r="A556" s="21" t="str">
        <f t="shared" si="8"/>
        <v>HFA701LLHA2026-01-15</v>
      </c>
      <c r="B556" t="e">
        <f>VLOOKUP(A556,Sheet1!A556:B1898,1,FALSE)</f>
        <v>#N/A</v>
      </c>
      <c r="C556" s="3">
        <v>46037</v>
      </c>
      <c r="D556" s="1" t="s">
        <v>53</v>
      </c>
      <c r="E556" s="1" t="s">
        <v>38</v>
      </c>
      <c r="F556" s="1"/>
      <c r="G556" s="1" t="s">
        <v>39</v>
      </c>
      <c r="H556" s="1" t="s">
        <v>176</v>
      </c>
      <c r="I556" s="1" t="s">
        <v>41</v>
      </c>
      <c r="J556" s="1" t="s">
        <v>42</v>
      </c>
      <c r="K556" s="1" t="s">
        <v>43</v>
      </c>
      <c r="L556" s="1" t="s">
        <v>44</v>
      </c>
      <c r="M556" s="1" t="s">
        <v>45</v>
      </c>
      <c r="N556" s="1" t="s">
        <v>46</v>
      </c>
      <c r="O556" s="1" t="s">
        <v>47</v>
      </c>
      <c r="P556" s="1" t="s">
        <v>48</v>
      </c>
      <c r="Q556" s="1" t="s">
        <v>49</v>
      </c>
      <c r="R556" s="1" t="s">
        <v>50</v>
      </c>
      <c r="S556" s="1">
        <v>1157</v>
      </c>
      <c r="T556" s="1">
        <v>0</v>
      </c>
      <c r="U556" s="4">
        <v>0.12222222222222222</v>
      </c>
      <c r="V556" s="1">
        <v>1920</v>
      </c>
      <c r="W556" s="1">
        <v>1180</v>
      </c>
      <c r="X556" s="1">
        <v>3100</v>
      </c>
      <c r="Y556" s="1" t="s">
        <v>51</v>
      </c>
      <c r="Z556" s="1">
        <v>1160</v>
      </c>
      <c r="AA556" s="1">
        <v>1940</v>
      </c>
      <c r="AB556" s="1">
        <v>0</v>
      </c>
      <c r="AC556" s="1">
        <v>0</v>
      </c>
      <c r="AD556" s="1">
        <v>0</v>
      </c>
      <c r="AE556" s="1">
        <v>0</v>
      </c>
      <c r="AF556" s="1"/>
      <c r="AG556" s="1">
        <v>0</v>
      </c>
      <c r="AH556" s="1">
        <v>0</v>
      </c>
      <c r="AI556" s="1">
        <v>0</v>
      </c>
      <c r="AJ556" s="1">
        <v>0</v>
      </c>
      <c r="AK556" s="1">
        <v>6.1303999999999998</v>
      </c>
      <c r="AL556" s="1">
        <v>6.1303999999999998</v>
      </c>
      <c r="AM556" s="1">
        <v>6.1303999999999998</v>
      </c>
    </row>
    <row r="557" spans="1:39" x14ac:dyDescent="0.3">
      <c r="A557" s="21" t="str">
        <f t="shared" si="8"/>
        <v>HFA702LGAV2026-01-15</v>
      </c>
      <c r="B557" t="e">
        <f>VLOOKUP(A557,Sheet1!A557:B1899,1,FALSE)</f>
        <v>#N/A</v>
      </c>
      <c r="C557" s="3">
        <v>46037</v>
      </c>
      <c r="D557" s="1" t="s">
        <v>56</v>
      </c>
      <c r="E557" s="1" t="s">
        <v>38</v>
      </c>
      <c r="F557" s="1"/>
      <c r="G557" s="1" t="s">
        <v>39</v>
      </c>
      <c r="H557" s="1" t="s">
        <v>176</v>
      </c>
      <c r="I557" s="1" t="s">
        <v>46</v>
      </c>
      <c r="J557" s="1" t="s">
        <v>47</v>
      </c>
      <c r="K557" s="1" t="s">
        <v>48</v>
      </c>
      <c r="L557" s="1" t="s">
        <v>49</v>
      </c>
      <c r="M557" s="1" t="s">
        <v>50</v>
      </c>
      <c r="N557" s="1" t="s">
        <v>41</v>
      </c>
      <c r="O557" s="1" t="s">
        <v>42</v>
      </c>
      <c r="P557" s="1" t="s">
        <v>43</v>
      </c>
      <c r="Q557" s="1" t="s">
        <v>44</v>
      </c>
      <c r="R557" s="1" t="s">
        <v>45</v>
      </c>
      <c r="S557" s="1">
        <v>1157</v>
      </c>
      <c r="T557" s="1">
        <v>0</v>
      </c>
      <c r="U557" s="4">
        <v>0.10208333333333333</v>
      </c>
      <c r="V557" s="1">
        <v>1160</v>
      </c>
      <c r="W557" s="1">
        <v>2140</v>
      </c>
      <c r="X557" s="1">
        <v>3300</v>
      </c>
      <c r="Y557" s="1" t="s">
        <v>51</v>
      </c>
      <c r="Z557" s="1">
        <v>1910</v>
      </c>
      <c r="AA557" s="1">
        <v>1390</v>
      </c>
      <c r="AB557" s="1">
        <v>0</v>
      </c>
      <c r="AC557" s="1">
        <v>0</v>
      </c>
      <c r="AD557" s="1">
        <v>0</v>
      </c>
      <c r="AE557" s="1">
        <v>0</v>
      </c>
      <c r="AF557" s="1"/>
      <c r="AG557" s="1">
        <v>0</v>
      </c>
      <c r="AH557" s="1">
        <v>0</v>
      </c>
      <c r="AI557" s="1">
        <v>0</v>
      </c>
      <c r="AJ557" s="1">
        <v>0</v>
      </c>
      <c r="AK557" s="1">
        <v>4.3924000000000003</v>
      </c>
      <c r="AL557" s="1">
        <v>4.3924000000000003</v>
      </c>
      <c r="AM557" s="1">
        <v>4.3924000000000003</v>
      </c>
    </row>
    <row r="558" spans="1:39" x14ac:dyDescent="0.3">
      <c r="A558" s="21" t="str">
        <f t="shared" si="8"/>
        <v>HFA951LLHA2026-01-16</v>
      </c>
      <c r="B558" t="str">
        <f>VLOOKUP(A558,Sheet1!A558:B1900,1,FALSE)</f>
        <v>HFA951LLHA2026-01-16</v>
      </c>
      <c r="C558" s="3">
        <v>46038</v>
      </c>
      <c r="D558" s="1" t="s">
        <v>74</v>
      </c>
      <c r="E558" s="1" t="s">
        <v>38</v>
      </c>
      <c r="F558" s="1"/>
      <c r="G558" s="1" t="s">
        <v>39</v>
      </c>
      <c r="H558" s="1" t="s">
        <v>176</v>
      </c>
      <c r="I558" s="1" t="s">
        <v>41</v>
      </c>
      <c r="J558" s="1" t="s">
        <v>42</v>
      </c>
      <c r="K558" s="1" t="s">
        <v>43</v>
      </c>
      <c r="L558" s="1" t="s">
        <v>44</v>
      </c>
      <c r="M558" s="1" t="s">
        <v>45</v>
      </c>
      <c r="N558" s="1" t="s">
        <v>75</v>
      </c>
      <c r="O558" s="1" t="s">
        <v>76</v>
      </c>
      <c r="P558" s="1" t="s">
        <v>77</v>
      </c>
      <c r="Q558" s="1" t="s">
        <v>78</v>
      </c>
      <c r="R558" s="1" t="s">
        <v>50</v>
      </c>
      <c r="S558" s="1">
        <v>1499</v>
      </c>
      <c r="T558" s="1">
        <v>0</v>
      </c>
      <c r="U558" s="4">
        <v>0.15486111111111112</v>
      </c>
      <c r="V558" s="1">
        <v>1910</v>
      </c>
      <c r="W558" s="1">
        <v>1690</v>
      </c>
      <c r="X558" s="1">
        <v>3600</v>
      </c>
      <c r="Y558" s="1" t="s">
        <v>51</v>
      </c>
      <c r="Z558" s="1">
        <v>1110</v>
      </c>
      <c r="AA558" s="1">
        <v>2490</v>
      </c>
      <c r="AB558" s="1">
        <v>0</v>
      </c>
      <c r="AC558" s="1">
        <v>0</v>
      </c>
      <c r="AD558" s="1">
        <v>0</v>
      </c>
      <c r="AE558" s="1">
        <v>0</v>
      </c>
      <c r="AF558" s="1"/>
      <c r="AG558" s="1">
        <v>0</v>
      </c>
      <c r="AH558" s="1">
        <v>0</v>
      </c>
      <c r="AI558" s="1">
        <v>0</v>
      </c>
      <c r="AJ558" s="1">
        <v>0</v>
      </c>
      <c r="AK558" s="1">
        <v>7.8684000000000003</v>
      </c>
      <c r="AL558" s="1">
        <v>7.8684000000000003</v>
      </c>
      <c r="AM558" s="1">
        <v>7.8684000000000003</v>
      </c>
    </row>
    <row r="559" spans="1:39" x14ac:dyDescent="0.3">
      <c r="A559" s="21" t="str">
        <f t="shared" si="8"/>
        <v>HFA952LBSF2026-01-16</v>
      </c>
      <c r="B559" t="str">
        <f>VLOOKUP(A559,Sheet1!A559:B1901,1,FALSE)</f>
        <v>HFA952LBSF2026-01-16</v>
      </c>
      <c r="C559" s="3">
        <v>46038</v>
      </c>
      <c r="D559" s="1" t="s">
        <v>79</v>
      </c>
      <c r="E559" s="1" t="s">
        <v>38</v>
      </c>
      <c r="F559" s="1"/>
      <c r="G559" s="1" t="s">
        <v>39</v>
      </c>
      <c r="H559" s="1" t="s">
        <v>176</v>
      </c>
      <c r="I559" s="1" t="s">
        <v>75</v>
      </c>
      <c r="J559" s="1" t="s">
        <v>76</v>
      </c>
      <c r="K559" s="1" t="s">
        <v>77</v>
      </c>
      <c r="L559" s="1" t="s">
        <v>78</v>
      </c>
      <c r="M559" s="1" t="s">
        <v>50</v>
      </c>
      <c r="N559" s="1" t="s">
        <v>41</v>
      </c>
      <c r="O559" s="1" t="s">
        <v>42</v>
      </c>
      <c r="P559" s="1" t="s">
        <v>43</v>
      </c>
      <c r="Q559" s="1" t="s">
        <v>44</v>
      </c>
      <c r="R559" s="1" t="s">
        <v>45</v>
      </c>
      <c r="S559" s="1">
        <v>1499</v>
      </c>
      <c r="T559" s="1">
        <v>0</v>
      </c>
      <c r="U559" s="4">
        <v>0.14305555555555555</v>
      </c>
      <c r="V559" s="1">
        <v>1110</v>
      </c>
      <c r="W559" s="1">
        <v>2490</v>
      </c>
      <c r="X559" s="1">
        <v>3600</v>
      </c>
      <c r="Y559" s="1" t="s">
        <v>51</v>
      </c>
      <c r="Z559" s="1">
        <v>1730</v>
      </c>
      <c r="AA559" s="1">
        <v>1870</v>
      </c>
      <c r="AB559" s="1">
        <v>0</v>
      </c>
      <c r="AC559" s="1">
        <v>0</v>
      </c>
      <c r="AD559" s="1">
        <v>0</v>
      </c>
      <c r="AE559" s="1">
        <v>0</v>
      </c>
      <c r="AF559" s="1"/>
      <c r="AG559" s="1">
        <v>0</v>
      </c>
      <c r="AH559" s="1">
        <v>0</v>
      </c>
      <c r="AI559" s="1">
        <v>0</v>
      </c>
      <c r="AJ559" s="1">
        <v>0</v>
      </c>
      <c r="AK559" s="1">
        <v>5.9092000000000002</v>
      </c>
      <c r="AL559" s="1">
        <v>5.9092000000000002</v>
      </c>
      <c r="AM559" s="1">
        <v>5.9092000000000002</v>
      </c>
    </row>
    <row r="560" spans="1:39" x14ac:dyDescent="0.3">
      <c r="A560" s="21" t="str">
        <f t="shared" si="8"/>
        <v>HFA703LLHA2026-01-17</v>
      </c>
      <c r="B560" t="e">
        <f>VLOOKUP(A560,Sheet1!A560:B1902,1,FALSE)</f>
        <v>#N/A</v>
      </c>
      <c r="C560" s="3">
        <v>46039</v>
      </c>
      <c r="D560" s="1" t="s">
        <v>37</v>
      </c>
      <c r="E560" s="1" t="s">
        <v>38</v>
      </c>
      <c r="F560" s="1"/>
      <c r="G560" s="1" t="s">
        <v>39</v>
      </c>
      <c r="H560" s="1" t="s">
        <v>176</v>
      </c>
      <c r="I560" s="1" t="s">
        <v>41</v>
      </c>
      <c r="J560" s="1" t="s">
        <v>42</v>
      </c>
      <c r="K560" s="1" t="s">
        <v>43</v>
      </c>
      <c r="L560" s="1" t="s">
        <v>44</v>
      </c>
      <c r="M560" s="1" t="s">
        <v>45</v>
      </c>
      <c r="N560" s="1" t="s">
        <v>46</v>
      </c>
      <c r="O560" s="1" t="s">
        <v>47</v>
      </c>
      <c r="P560" s="1" t="s">
        <v>48</v>
      </c>
      <c r="Q560" s="1" t="s">
        <v>49</v>
      </c>
      <c r="R560" s="1" t="s">
        <v>50</v>
      </c>
      <c r="S560" s="1">
        <v>1157</v>
      </c>
      <c r="T560" s="1">
        <v>0</v>
      </c>
      <c r="U560" s="4">
        <v>0.12291666666666666</v>
      </c>
      <c r="V560" s="1">
        <v>1730</v>
      </c>
      <c r="W560" s="1">
        <v>1470</v>
      </c>
      <c r="X560" s="1">
        <v>3200</v>
      </c>
      <c r="Y560" s="1" t="s">
        <v>51</v>
      </c>
      <c r="Z560" s="1">
        <v>1460</v>
      </c>
      <c r="AA560" s="1">
        <v>1740</v>
      </c>
      <c r="AB560" s="1">
        <v>0</v>
      </c>
      <c r="AC560" s="1">
        <v>0</v>
      </c>
      <c r="AD560" s="1">
        <v>0</v>
      </c>
      <c r="AE560" s="1">
        <v>0</v>
      </c>
      <c r="AF560" s="1"/>
      <c r="AG560" s="1">
        <v>0</v>
      </c>
      <c r="AH560" s="1">
        <v>0</v>
      </c>
      <c r="AI560" s="1">
        <v>0</v>
      </c>
      <c r="AJ560" s="1">
        <v>0</v>
      </c>
      <c r="AK560" s="1">
        <v>5.4984000000000002</v>
      </c>
      <c r="AL560" s="1">
        <v>5.4984000000000002</v>
      </c>
      <c r="AM560" s="1">
        <v>5.4984000000000002</v>
      </c>
    </row>
    <row r="561" spans="1:39" x14ac:dyDescent="0.3">
      <c r="A561" s="21" t="str">
        <f t="shared" si="8"/>
        <v>HFA704LGAV2026-01-17</v>
      </c>
      <c r="B561" t="e">
        <f>VLOOKUP(A561,Sheet1!A561:B1903,1,FALSE)</f>
        <v>#N/A</v>
      </c>
      <c r="C561" s="3">
        <v>46039</v>
      </c>
      <c r="D561" s="1" t="s">
        <v>52</v>
      </c>
      <c r="E561" s="1" t="s">
        <v>38</v>
      </c>
      <c r="F561" s="1"/>
      <c r="G561" s="1" t="s">
        <v>39</v>
      </c>
      <c r="H561" s="1" t="s">
        <v>176</v>
      </c>
      <c r="I561" s="1" t="s">
        <v>46</v>
      </c>
      <c r="J561" s="1" t="s">
        <v>47</v>
      </c>
      <c r="K561" s="1" t="s">
        <v>48</v>
      </c>
      <c r="L561" s="1" t="s">
        <v>49</v>
      </c>
      <c r="M561" s="1" t="s">
        <v>50</v>
      </c>
      <c r="N561" s="1" t="s">
        <v>41</v>
      </c>
      <c r="O561" s="1" t="s">
        <v>42</v>
      </c>
      <c r="P561" s="1" t="s">
        <v>43</v>
      </c>
      <c r="Q561" s="1" t="s">
        <v>44</v>
      </c>
      <c r="R561" s="1" t="s">
        <v>45</v>
      </c>
      <c r="S561" s="1">
        <v>1157</v>
      </c>
      <c r="T561" s="1">
        <v>0</v>
      </c>
      <c r="U561" s="4">
        <v>0.1048611111111111</v>
      </c>
      <c r="V561" s="1">
        <v>1460</v>
      </c>
      <c r="W561" s="1">
        <v>1540</v>
      </c>
      <c r="X561" s="1">
        <v>3000</v>
      </c>
      <c r="Y561" s="1" t="s">
        <v>51</v>
      </c>
      <c r="Z561" s="1">
        <v>1600</v>
      </c>
      <c r="AA561" s="1">
        <v>1400</v>
      </c>
      <c r="AB561" s="1">
        <v>0</v>
      </c>
      <c r="AC561" s="1">
        <v>0</v>
      </c>
      <c r="AD561" s="1">
        <v>0</v>
      </c>
      <c r="AE561" s="1">
        <v>0</v>
      </c>
      <c r="AF561" s="1"/>
      <c r="AG561" s="1">
        <v>0</v>
      </c>
      <c r="AH561" s="1">
        <v>0</v>
      </c>
      <c r="AI561" s="1">
        <v>0</v>
      </c>
      <c r="AJ561" s="1">
        <v>0</v>
      </c>
      <c r="AK561" s="1">
        <v>4.4240000000000004</v>
      </c>
      <c r="AL561" s="1">
        <v>4.4240000000000004</v>
      </c>
      <c r="AM561" s="1">
        <v>4.4240000000000004</v>
      </c>
    </row>
    <row r="562" spans="1:39" x14ac:dyDescent="0.3">
      <c r="A562" s="21" t="str">
        <f t="shared" si="8"/>
        <v>HFA703LLHA2026-01-18</v>
      </c>
      <c r="B562" t="e">
        <f>VLOOKUP(A562,Sheet1!A562:B1904,1,FALSE)</f>
        <v>#N/A</v>
      </c>
      <c r="C562" s="3">
        <v>46040</v>
      </c>
      <c r="D562" s="1" t="s">
        <v>37</v>
      </c>
      <c r="E562" s="1" t="s">
        <v>38</v>
      </c>
      <c r="F562" s="1"/>
      <c r="G562" s="1" t="s">
        <v>39</v>
      </c>
      <c r="H562" s="1" t="s">
        <v>176</v>
      </c>
      <c r="I562" s="1" t="s">
        <v>41</v>
      </c>
      <c r="J562" s="1" t="s">
        <v>42</v>
      </c>
      <c r="K562" s="1" t="s">
        <v>43</v>
      </c>
      <c r="L562" s="1" t="s">
        <v>44</v>
      </c>
      <c r="M562" s="1" t="s">
        <v>45</v>
      </c>
      <c r="N562" s="1" t="s">
        <v>46</v>
      </c>
      <c r="O562" s="1" t="s">
        <v>47</v>
      </c>
      <c r="P562" s="1" t="s">
        <v>48</v>
      </c>
      <c r="Q562" s="1" t="s">
        <v>49</v>
      </c>
      <c r="R562" s="1" t="s">
        <v>50</v>
      </c>
      <c r="S562" s="1">
        <v>1157</v>
      </c>
      <c r="T562" s="1">
        <v>0</v>
      </c>
      <c r="U562" s="4">
        <v>0.12222222222222222</v>
      </c>
      <c r="V562" s="1">
        <v>1600</v>
      </c>
      <c r="W562" s="1">
        <v>1500</v>
      </c>
      <c r="X562" s="1">
        <v>3100</v>
      </c>
      <c r="Y562" s="1" t="s">
        <v>51</v>
      </c>
      <c r="Z562" s="1">
        <v>1100</v>
      </c>
      <c r="AA562" s="1">
        <v>2000</v>
      </c>
      <c r="AB562" s="1">
        <v>0</v>
      </c>
      <c r="AC562" s="1">
        <v>0</v>
      </c>
      <c r="AD562" s="1">
        <v>0</v>
      </c>
      <c r="AE562" s="1">
        <v>0</v>
      </c>
      <c r="AF562" s="1"/>
      <c r="AG562" s="1">
        <v>0</v>
      </c>
      <c r="AH562" s="1">
        <v>0</v>
      </c>
      <c r="AI562" s="1">
        <v>0</v>
      </c>
      <c r="AJ562" s="1">
        <v>0</v>
      </c>
      <c r="AK562" s="1">
        <v>6.32</v>
      </c>
      <c r="AL562" s="1">
        <v>6.32</v>
      </c>
      <c r="AM562" s="1">
        <v>6.32</v>
      </c>
    </row>
    <row r="563" spans="1:39" x14ac:dyDescent="0.3">
      <c r="A563" s="21" t="str">
        <f t="shared" si="8"/>
        <v>HFA704LGAV2026-01-18</v>
      </c>
      <c r="B563" t="e">
        <f>VLOOKUP(A563,Sheet1!A563:B1905,1,FALSE)</f>
        <v>#N/A</v>
      </c>
      <c r="C563" s="3">
        <v>46040</v>
      </c>
      <c r="D563" s="1" t="s">
        <v>52</v>
      </c>
      <c r="E563" s="1" t="s">
        <v>38</v>
      </c>
      <c r="F563" s="1"/>
      <c r="G563" s="1" t="s">
        <v>39</v>
      </c>
      <c r="H563" s="1" t="s">
        <v>176</v>
      </c>
      <c r="I563" s="1" t="s">
        <v>46</v>
      </c>
      <c r="J563" s="1" t="s">
        <v>47</v>
      </c>
      <c r="K563" s="1" t="s">
        <v>48</v>
      </c>
      <c r="L563" s="1" t="s">
        <v>49</v>
      </c>
      <c r="M563" s="1" t="s">
        <v>50</v>
      </c>
      <c r="N563" s="1" t="s">
        <v>41</v>
      </c>
      <c r="O563" s="1" t="s">
        <v>42</v>
      </c>
      <c r="P563" s="1" t="s">
        <v>43</v>
      </c>
      <c r="Q563" s="1" t="s">
        <v>44</v>
      </c>
      <c r="R563" s="1" t="s">
        <v>45</v>
      </c>
      <c r="S563" s="1">
        <v>1157</v>
      </c>
      <c r="T563" s="1">
        <v>0</v>
      </c>
      <c r="U563" s="4">
        <v>0.10277777777777777</v>
      </c>
      <c r="V563" s="1">
        <v>1100</v>
      </c>
      <c r="W563" s="1">
        <v>1700</v>
      </c>
      <c r="X563" s="1">
        <v>2800</v>
      </c>
      <c r="Y563" s="1" t="s">
        <v>51</v>
      </c>
      <c r="Z563" s="1">
        <v>1420</v>
      </c>
      <c r="AA563" s="1">
        <v>1380</v>
      </c>
      <c r="AB563" s="1">
        <v>0</v>
      </c>
      <c r="AC563" s="1">
        <v>0</v>
      </c>
      <c r="AD563" s="1">
        <v>0</v>
      </c>
      <c r="AE563" s="1">
        <v>0</v>
      </c>
      <c r="AF563" s="1"/>
      <c r="AG563" s="1">
        <v>0</v>
      </c>
      <c r="AH563" s="1">
        <v>0</v>
      </c>
      <c r="AI563" s="1">
        <v>0</v>
      </c>
      <c r="AJ563" s="1">
        <v>0</v>
      </c>
      <c r="AK563" s="1">
        <v>4.3608000000000002</v>
      </c>
      <c r="AL563" s="1">
        <v>4.3608000000000002</v>
      </c>
      <c r="AM563" s="1">
        <v>4.3608000000000002</v>
      </c>
    </row>
    <row r="564" spans="1:39" x14ac:dyDescent="0.3">
      <c r="A564" s="21" t="str">
        <f t="shared" si="8"/>
        <v>HFA951LLHA2026-01-19</v>
      </c>
      <c r="B564" t="str">
        <f>VLOOKUP(A564,Sheet1!A564:B1906,1,FALSE)</f>
        <v>HFA951LLHA2026-01-19</v>
      </c>
      <c r="C564" s="3">
        <v>46041</v>
      </c>
      <c r="D564" s="1" t="s">
        <v>74</v>
      </c>
      <c r="E564" s="1" t="s">
        <v>38</v>
      </c>
      <c r="F564" s="1"/>
      <c r="G564" s="1" t="s">
        <v>39</v>
      </c>
      <c r="H564" s="1" t="s">
        <v>176</v>
      </c>
      <c r="I564" s="1" t="s">
        <v>41</v>
      </c>
      <c r="J564" s="1" t="s">
        <v>42</v>
      </c>
      <c r="K564" s="1" t="s">
        <v>43</v>
      </c>
      <c r="L564" s="1" t="s">
        <v>44</v>
      </c>
      <c r="M564" s="1" t="s">
        <v>45</v>
      </c>
      <c r="N564" s="1" t="s">
        <v>75</v>
      </c>
      <c r="O564" s="1" t="s">
        <v>76</v>
      </c>
      <c r="P564" s="1" t="s">
        <v>77</v>
      </c>
      <c r="Q564" s="1" t="s">
        <v>78</v>
      </c>
      <c r="R564" s="1" t="s">
        <v>50</v>
      </c>
      <c r="S564" s="1">
        <v>1499</v>
      </c>
      <c r="T564" s="1">
        <v>0</v>
      </c>
      <c r="U564" s="4">
        <v>0.16527777777777777</v>
      </c>
      <c r="V564" s="1">
        <v>1420</v>
      </c>
      <c r="W564" s="1">
        <v>2580</v>
      </c>
      <c r="X564" s="1">
        <v>4000</v>
      </c>
      <c r="Y564" s="1" t="s">
        <v>51</v>
      </c>
      <c r="Z564" s="1">
        <v>1130</v>
      </c>
      <c r="AA564" s="1">
        <v>2870</v>
      </c>
      <c r="AB564" s="1">
        <v>0</v>
      </c>
      <c r="AC564" s="1">
        <v>0</v>
      </c>
      <c r="AD564" s="1">
        <v>0</v>
      </c>
      <c r="AE564" s="1">
        <v>0</v>
      </c>
      <c r="AF564" s="1"/>
      <c r="AG564" s="1">
        <v>0</v>
      </c>
      <c r="AH564" s="1">
        <v>0</v>
      </c>
      <c r="AI564" s="1">
        <v>0</v>
      </c>
      <c r="AJ564" s="1">
        <v>0</v>
      </c>
      <c r="AK564" s="1">
        <v>9.0692000000000004</v>
      </c>
      <c r="AL564" s="1">
        <v>9.0692000000000004</v>
      </c>
      <c r="AM564" s="1">
        <v>9.0692000000000004</v>
      </c>
    </row>
    <row r="565" spans="1:39" x14ac:dyDescent="0.3">
      <c r="A565" s="21" t="str">
        <f t="shared" si="8"/>
        <v>HFA952LBSF2026-01-19</v>
      </c>
      <c r="B565" t="str">
        <f>VLOOKUP(A565,Sheet1!A565:B1907,1,FALSE)</f>
        <v>HFA952LBSF2026-01-19</v>
      </c>
      <c r="C565" s="3">
        <v>46041</v>
      </c>
      <c r="D565" s="1" t="s">
        <v>79</v>
      </c>
      <c r="E565" s="1" t="s">
        <v>38</v>
      </c>
      <c r="F565" s="1"/>
      <c r="G565" s="1" t="s">
        <v>39</v>
      </c>
      <c r="H565" s="1" t="s">
        <v>176</v>
      </c>
      <c r="I565" s="1" t="s">
        <v>75</v>
      </c>
      <c r="J565" s="1" t="s">
        <v>76</v>
      </c>
      <c r="K565" s="1" t="s">
        <v>77</v>
      </c>
      <c r="L565" s="1" t="s">
        <v>78</v>
      </c>
      <c r="M565" s="1" t="s">
        <v>50</v>
      </c>
      <c r="N565" s="1" t="s">
        <v>41</v>
      </c>
      <c r="O565" s="1" t="s">
        <v>42</v>
      </c>
      <c r="P565" s="1" t="s">
        <v>43</v>
      </c>
      <c r="Q565" s="1" t="s">
        <v>44</v>
      </c>
      <c r="R565" s="1" t="s">
        <v>45</v>
      </c>
      <c r="S565" s="1">
        <v>1499</v>
      </c>
      <c r="T565" s="1">
        <v>0</v>
      </c>
      <c r="U565" s="4">
        <v>0.13402777777777777</v>
      </c>
      <c r="V565" s="1">
        <v>1130</v>
      </c>
      <c r="W565" s="1">
        <v>2270</v>
      </c>
      <c r="X565" s="1">
        <v>3400</v>
      </c>
      <c r="Y565" s="1" t="s">
        <v>51</v>
      </c>
      <c r="Z565" s="1">
        <v>1710</v>
      </c>
      <c r="AA565" s="1">
        <v>1690</v>
      </c>
      <c r="AB565" s="1">
        <v>0</v>
      </c>
      <c r="AC565" s="1">
        <v>0</v>
      </c>
      <c r="AD565" s="1">
        <v>0</v>
      </c>
      <c r="AE565" s="1">
        <v>0</v>
      </c>
      <c r="AF565" s="1"/>
      <c r="AG565" s="1">
        <v>0</v>
      </c>
      <c r="AH565" s="1">
        <v>0</v>
      </c>
      <c r="AI565" s="1">
        <v>0</v>
      </c>
      <c r="AJ565" s="1">
        <v>0</v>
      </c>
      <c r="AK565" s="1">
        <v>5.3403999999999998</v>
      </c>
      <c r="AL565" s="1">
        <v>5.3403999999999998</v>
      </c>
      <c r="AM565" s="1">
        <v>5.3403999999999998</v>
      </c>
    </row>
    <row r="566" spans="1:39" x14ac:dyDescent="0.3">
      <c r="A566" s="21" t="str">
        <f t="shared" si="8"/>
        <v>HFA703LLHA2026-01-20</v>
      </c>
      <c r="B566" t="e">
        <f>VLOOKUP(A566,Sheet1!A566:B1908,1,FALSE)</f>
        <v>#N/A</v>
      </c>
      <c r="C566" s="3">
        <v>46042</v>
      </c>
      <c r="D566" s="1" t="s">
        <v>37</v>
      </c>
      <c r="E566" s="1" t="s">
        <v>38</v>
      </c>
      <c r="F566" s="1"/>
      <c r="G566" s="1" t="s">
        <v>39</v>
      </c>
      <c r="H566" s="1" t="s">
        <v>176</v>
      </c>
      <c r="I566" s="1" t="s">
        <v>41</v>
      </c>
      <c r="J566" s="1" t="s">
        <v>42</v>
      </c>
      <c r="K566" s="1" t="s">
        <v>43</v>
      </c>
      <c r="L566" s="1" t="s">
        <v>44</v>
      </c>
      <c r="M566" s="1" t="s">
        <v>45</v>
      </c>
      <c r="N566" s="1" t="s">
        <v>46</v>
      </c>
      <c r="O566" s="1" t="s">
        <v>47</v>
      </c>
      <c r="P566" s="1" t="s">
        <v>48</v>
      </c>
      <c r="Q566" s="1" t="s">
        <v>49</v>
      </c>
      <c r="R566" s="1" t="s">
        <v>50</v>
      </c>
      <c r="S566" s="1">
        <v>1157</v>
      </c>
      <c r="T566" s="1">
        <v>0</v>
      </c>
      <c r="U566" s="4">
        <v>0.13055555555555556</v>
      </c>
      <c r="V566" s="1">
        <v>1710</v>
      </c>
      <c r="W566" s="1">
        <v>1490</v>
      </c>
      <c r="X566" s="1">
        <v>3200</v>
      </c>
      <c r="Y566" s="1" t="s">
        <v>51</v>
      </c>
      <c r="Z566" s="1">
        <v>1240</v>
      </c>
      <c r="AA566" s="1">
        <v>1960</v>
      </c>
      <c r="AB566" s="1">
        <v>0</v>
      </c>
      <c r="AC566" s="1">
        <v>0</v>
      </c>
      <c r="AD566" s="1">
        <v>0</v>
      </c>
      <c r="AE566" s="1">
        <v>0</v>
      </c>
      <c r="AF566" s="1"/>
      <c r="AG566" s="1">
        <v>0</v>
      </c>
      <c r="AH566" s="1">
        <v>0</v>
      </c>
      <c r="AI566" s="1">
        <v>0</v>
      </c>
      <c r="AJ566" s="1">
        <v>0</v>
      </c>
      <c r="AK566" s="1">
        <v>6.1936</v>
      </c>
      <c r="AL566" s="1">
        <v>6.1936</v>
      </c>
      <c r="AM566" s="1">
        <v>6.1936</v>
      </c>
    </row>
    <row r="567" spans="1:39" x14ac:dyDescent="0.3">
      <c r="A567" s="21" t="str">
        <f t="shared" si="8"/>
        <v>HFA704LGAV2026-01-20</v>
      </c>
      <c r="B567" t="e">
        <f>VLOOKUP(A567,Sheet1!A567:B1909,1,FALSE)</f>
        <v>#N/A</v>
      </c>
      <c r="C567" s="3">
        <v>46042</v>
      </c>
      <c r="D567" s="1" t="s">
        <v>52</v>
      </c>
      <c r="E567" s="1" t="s">
        <v>38</v>
      </c>
      <c r="F567" s="1"/>
      <c r="G567" s="1" t="s">
        <v>39</v>
      </c>
      <c r="H567" s="1" t="s">
        <v>176</v>
      </c>
      <c r="I567" s="1" t="s">
        <v>46</v>
      </c>
      <c r="J567" s="1" t="s">
        <v>47</v>
      </c>
      <c r="K567" s="1" t="s">
        <v>48</v>
      </c>
      <c r="L567" s="1" t="s">
        <v>49</v>
      </c>
      <c r="M567" s="1" t="s">
        <v>50</v>
      </c>
      <c r="N567" s="1" t="s">
        <v>41</v>
      </c>
      <c r="O567" s="1" t="s">
        <v>42</v>
      </c>
      <c r="P567" s="1" t="s">
        <v>43</v>
      </c>
      <c r="Q567" s="1" t="s">
        <v>44</v>
      </c>
      <c r="R567" s="1" t="s">
        <v>45</v>
      </c>
      <c r="S567" s="1">
        <v>1157</v>
      </c>
      <c r="T567" s="1">
        <v>0</v>
      </c>
      <c r="U567" s="4">
        <v>9.930555555555555E-2</v>
      </c>
      <c r="V567" s="1">
        <v>1240</v>
      </c>
      <c r="W567" s="1">
        <v>2060</v>
      </c>
      <c r="X567" s="1">
        <v>3300</v>
      </c>
      <c r="Y567" s="1" t="s">
        <v>51</v>
      </c>
      <c r="Z567" s="1">
        <v>2040</v>
      </c>
      <c r="AA567" s="1">
        <v>1260</v>
      </c>
      <c r="AB567" s="1">
        <v>0</v>
      </c>
      <c r="AC567" s="1">
        <v>0</v>
      </c>
      <c r="AD567" s="1">
        <v>0</v>
      </c>
      <c r="AE567" s="1">
        <v>0</v>
      </c>
      <c r="AF567" s="1"/>
      <c r="AG567" s="1">
        <v>0</v>
      </c>
      <c r="AH567" s="1">
        <v>0</v>
      </c>
      <c r="AI567" s="1">
        <v>0</v>
      </c>
      <c r="AJ567" s="1">
        <v>0</v>
      </c>
      <c r="AK567" s="1">
        <v>3.9815999999999998</v>
      </c>
      <c r="AL567" s="1">
        <v>3.9815999999999998</v>
      </c>
      <c r="AM567" s="1">
        <v>3.9815999999999998</v>
      </c>
    </row>
    <row r="568" spans="1:39" x14ac:dyDescent="0.3">
      <c r="A568" s="21" t="str">
        <f t="shared" si="8"/>
        <v>HFA951LLHA2026-01-21</v>
      </c>
      <c r="B568" t="str">
        <f>VLOOKUP(A568,Sheet1!A568:B1910,1,FALSE)</f>
        <v>HFA951LLHA2026-01-21</v>
      </c>
      <c r="C568" s="3">
        <v>46043</v>
      </c>
      <c r="D568" s="1" t="s">
        <v>74</v>
      </c>
      <c r="E568" s="1" t="s">
        <v>38</v>
      </c>
      <c r="F568" s="1"/>
      <c r="G568" s="1" t="s">
        <v>39</v>
      </c>
      <c r="H568" s="1" t="s">
        <v>176</v>
      </c>
      <c r="I568" s="1" t="s">
        <v>41</v>
      </c>
      <c r="J568" s="1" t="s">
        <v>42</v>
      </c>
      <c r="K568" s="1" t="s">
        <v>43</v>
      </c>
      <c r="L568" s="1" t="s">
        <v>44</v>
      </c>
      <c r="M568" s="1" t="s">
        <v>45</v>
      </c>
      <c r="N568" s="1" t="s">
        <v>75</v>
      </c>
      <c r="O568" s="1" t="s">
        <v>76</v>
      </c>
      <c r="P568" s="1" t="s">
        <v>77</v>
      </c>
      <c r="Q568" s="1" t="s">
        <v>78</v>
      </c>
      <c r="R568" s="1" t="s">
        <v>50</v>
      </c>
      <c r="S568" s="1">
        <v>1499</v>
      </c>
      <c r="T568" s="1">
        <v>0</v>
      </c>
      <c r="U568" s="4">
        <v>0.16180555555555556</v>
      </c>
      <c r="V568" s="1">
        <v>2040</v>
      </c>
      <c r="W568" s="1">
        <v>1960</v>
      </c>
      <c r="X568" s="1">
        <v>4000</v>
      </c>
      <c r="Y568" s="1" t="s">
        <v>51</v>
      </c>
      <c r="Z568" s="1">
        <v>1700</v>
      </c>
      <c r="AA568" s="1">
        <v>2300</v>
      </c>
      <c r="AB568" s="1">
        <v>0</v>
      </c>
      <c r="AC568" s="1">
        <v>0</v>
      </c>
      <c r="AD568" s="1">
        <v>0</v>
      </c>
      <c r="AE568" s="1">
        <v>0</v>
      </c>
      <c r="AF568" s="1"/>
      <c r="AG568" s="1">
        <v>0</v>
      </c>
      <c r="AH568" s="1">
        <v>0</v>
      </c>
      <c r="AI568" s="1">
        <v>0</v>
      </c>
      <c r="AJ568" s="1">
        <v>0</v>
      </c>
      <c r="AK568" s="1">
        <v>7.2679999999999998</v>
      </c>
      <c r="AL568" s="1">
        <v>7.2679999999999998</v>
      </c>
      <c r="AM568" s="1">
        <v>7.2679999999999998</v>
      </c>
    </row>
    <row r="569" spans="1:39" x14ac:dyDescent="0.3">
      <c r="A569" s="21" t="str">
        <f t="shared" si="8"/>
        <v>HFA952LBSF2026-01-21</v>
      </c>
      <c r="B569" t="str">
        <f>VLOOKUP(A569,Sheet1!A569:B1911,1,FALSE)</f>
        <v>HFA952LBSF2026-01-21</v>
      </c>
      <c r="C569" s="3">
        <v>46043</v>
      </c>
      <c r="D569" s="1" t="s">
        <v>79</v>
      </c>
      <c r="E569" s="1" t="s">
        <v>38</v>
      </c>
      <c r="F569" s="1"/>
      <c r="G569" s="1" t="s">
        <v>39</v>
      </c>
      <c r="H569" s="1" t="s">
        <v>176</v>
      </c>
      <c r="I569" s="1" t="s">
        <v>75</v>
      </c>
      <c r="J569" s="1" t="s">
        <v>76</v>
      </c>
      <c r="K569" s="1" t="s">
        <v>77</v>
      </c>
      <c r="L569" s="1" t="s">
        <v>78</v>
      </c>
      <c r="M569" s="1" t="s">
        <v>50</v>
      </c>
      <c r="N569" s="1" t="s">
        <v>41</v>
      </c>
      <c r="O569" s="1" t="s">
        <v>42</v>
      </c>
      <c r="P569" s="1" t="s">
        <v>43</v>
      </c>
      <c r="Q569" s="1" t="s">
        <v>44</v>
      </c>
      <c r="R569" s="1" t="s">
        <v>45</v>
      </c>
      <c r="S569" s="1">
        <v>1499</v>
      </c>
      <c r="T569" s="1">
        <v>0</v>
      </c>
      <c r="U569" s="4">
        <v>0.15</v>
      </c>
      <c r="V569" s="1">
        <v>1700</v>
      </c>
      <c r="W569" s="1">
        <v>2000</v>
      </c>
      <c r="X569" s="1">
        <v>3700</v>
      </c>
      <c r="Y569" s="1" t="s">
        <v>51</v>
      </c>
      <c r="Z569" s="1">
        <v>1820</v>
      </c>
      <c r="AA569" s="1">
        <v>1880</v>
      </c>
      <c r="AB569" s="1">
        <v>0</v>
      </c>
      <c r="AC569" s="1">
        <v>0</v>
      </c>
      <c r="AD569" s="1">
        <v>0</v>
      </c>
      <c r="AE569" s="1">
        <v>0</v>
      </c>
      <c r="AF569" s="1"/>
      <c r="AG569" s="1">
        <v>0</v>
      </c>
      <c r="AH569" s="1">
        <v>0</v>
      </c>
      <c r="AI569" s="1">
        <v>0</v>
      </c>
      <c r="AJ569" s="1">
        <v>0</v>
      </c>
      <c r="AK569" s="1">
        <v>5.9408000000000003</v>
      </c>
      <c r="AL569" s="1">
        <v>5.9408000000000003</v>
      </c>
      <c r="AM569" s="1">
        <v>5.9408000000000003</v>
      </c>
    </row>
    <row r="570" spans="1:39" x14ac:dyDescent="0.3">
      <c r="A570" s="21" t="str">
        <f t="shared" si="8"/>
        <v>HFA701LLHA2026-01-22</v>
      </c>
      <c r="B570" t="e">
        <f>VLOOKUP(A570,Sheet1!A570:B1912,1,FALSE)</f>
        <v>#N/A</v>
      </c>
      <c r="C570" s="3">
        <v>46044</v>
      </c>
      <c r="D570" s="1" t="s">
        <v>53</v>
      </c>
      <c r="E570" s="1" t="s">
        <v>38</v>
      </c>
      <c r="F570" s="1"/>
      <c r="G570" s="1" t="s">
        <v>39</v>
      </c>
      <c r="H570" s="1" t="s">
        <v>176</v>
      </c>
      <c r="I570" s="1" t="s">
        <v>41</v>
      </c>
      <c r="J570" s="1" t="s">
        <v>42</v>
      </c>
      <c r="K570" s="1" t="s">
        <v>43</v>
      </c>
      <c r="L570" s="1" t="s">
        <v>44</v>
      </c>
      <c r="M570" s="1" t="s">
        <v>45</v>
      </c>
      <c r="N570" s="1" t="s">
        <v>46</v>
      </c>
      <c r="O570" s="1" t="s">
        <v>47</v>
      </c>
      <c r="P570" s="1" t="s">
        <v>48</v>
      </c>
      <c r="Q570" s="1" t="s">
        <v>49</v>
      </c>
      <c r="R570" s="1" t="s">
        <v>50</v>
      </c>
      <c r="S570" s="1">
        <v>1157</v>
      </c>
      <c r="T570" s="1">
        <v>0</v>
      </c>
      <c r="U570" s="4">
        <v>0.12222222222222222</v>
      </c>
      <c r="V570" s="1">
        <v>1820</v>
      </c>
      <c r="W570" s="1">
        <v>1280</v>
      </c>
      <c r="X570" s="1">
        <v>3100</v>
      </c>
      <c r="Y570" s="1" t="s">
        <v>51</v>
      </c>
      <c r="Z570" s="1">
        <v>1260</v>
      </c>
      <c r="AA570" s="1">
        <v>1840</v>
      </c>
      <c r="AB570" s="1">
        <v>0</v>
      </c>
      <c r="AC570" s="1">
        <v>0</v>
      </c>
      <c r="AD570" s="1">
        <v>0</v>
      </c>
      <c r="AE570" s="1">
        <v>0</v>
      </c>
      <c r="AF570" s="1"/>
      <c r="AG570" s="1">
        <v>0</v>
      </c>
      <c r="AH570" s="1">
        <v>0</v>
      </c>
      <c r="AI570" s="1">
        <v>0</v>
      </c>
      <c r="AJ570" s="1">
        <v>0</v>
      </c>
      <c r="AK570" s="1">
        <v>5.8144</v>
      </c>
      <c r="AL570" s="1">
        <v>5.8144</v>
      </c>
      <c r="AM570" s="1">
        <v>5.8144</v>
      </c>
    </row>
    <row r="571" spans="1:39" x14ac:dyDescent="0.3">
      <c r="A571" s="21" t="str">
        <f t="shared" si="8"/>
        <v>HFA702LGAV2026-01-22</v>
      </c>
      <c r="B571" t="e">
        <f>VLOOKUP(A571,Sheet1!A571:B1913,1,FALSE)</f>
        <v>#N/A</v>
      </c>
      <c r="C571" s="3">
        <v>46044</v>
      </c>
      <c r="D571" s="1" t="s">
        <v>56</v>
      </c>
      <c r="E571" s="1" t="s">
        <v>38</v>
      </c>
      <c r="F571" s="1"/>
      <c r="G571" s="1" t="s">
        <v>39</v>
      </c>
      <c r="H571" s="1" t="s">
        <v>176</v>
      </c>
      <c r="I571" s="1" t="s">
        <v>46</v>
      </c>
      <c r="J571" s="1" t="s">
        <v>47</v>
      </c>
      <c r="K571" s="1" t="s">
        <v>48</v>
      </c>
      <c r="L571" s="1" t="s">
        <v>49</v>
      </c>
      <c r="M571" s="1" t="s">
        <v>50</v>
      </c>
      <c r="N571" s="1" t="s">
        <v>41</v>
      </c>
      <c r="O571" s="1" t="s">
        <v>42</v>
      </c>
      <c r="P571" s="1" t="s">
        <v>43</v>
      </c>
      <c r="Q571" s="1" t="s">
        <v>44</v>
      </c>
      <c r="R571" s="1" t="s">
        <v>45</v>
      </c>
      <c r="S571" s="1">
        <v>1157</v>
      </c>
      <c r="T571" s="1">
        <v>0</v>
      </c>
      <c r="U571" s="4">
        <v>0.10555555555555556</v>
      </c>
      <c r="V571" s="1">
        <v>1260</v>
      </c>
      <c r="W571" s="1">
        <v>2340</v>
      </c>
      <c r="X571" s="1">
        <v>3600</v>
      </c>
      <c r="Y571" s="1" t="s">
        <v>51</v>
      </c>
      <c r="Z571" s="1">
        <v>2230</v>
      </c>
      <c r="AA571" s="1">
        <v>1370</v>
      </c>
      <c r="AB571" s="1">
        <v>0</v>
      </c>
      <c r="AC571" s="1">
        <v>0</v>
      </c>
      <c r="AD571" s="1">
        <v>0</v>
      </c>
      <c r="AE571" s="1">
        <v>0</v>
      </c>
      <c r="AF571" s="1"/>
      <c r="AG571" s="1">
        <v>0</v>
      </c>
      <c r="AH571" s="1">
        <v>0</v>
      </c>
      <c r="AI571" s="1">
        <v>0</v>
      </c>
      <c r="AJ571" s="1">
        <v>0</v>
      </c>
      <c r="AK571" s="1">
        <v>4.3292000000000002</v>
      </c>
      <c r="AL571" s="1">
        <v>4.3292000000000002</v>
      </c>
      <c r="AM571" s="1">
        <v>4.3292000000000002</v>
      </c>
    </row>
    <row r="572" spans="1:39" x14ac:dyDescent="0.3">
      <c r="A572" s="21" t="str">
        <f t="shared" si="8"/>
        <v>HFA605LLHA2026-01-22</v>
      </c>
      <c r="B572" t="e">
        <f>VLOOKUP(A572,Sheet1!A572:B1914,1,FALSE)</f>
        <v>#N/A</v>
      </c>
      <c r="C572" s="3">
        <v>46044</v>
      </c>
      <c r="D572" s="1" t="s">
        <v>62</v>
      </c>
      <c r="E572" s="1" t="s">
        <v>38</v>
      </c>
      <c r="F572" s="1" t="s">
        <v>54</v>
      </c>
      <c r="G572" s="1" t="s">
        <v>39</v>
      </c>
      <c r="H572" s="1" t="s">
        <v>176</v>
      </c>
      <c r="I572" s="1" t="s">
        <v>41</v>
      </c>
      <c r="J572" s="1" t="s">
        <v>42</v>
      </c>
      <c r="K572" s="1" t="s">
        <v>43</v>
      </c>
      <c r="L572" s="1" t="s">
        <v>44</v>
      </c>
      <c r="M572" s="1" t="s">
        <v>45</v>
      </c>
      <c r="N572" s="1" t="s">
        <v>41</v>
      </c>
      <c r="O572" s="1" t="s">
        <v>58</v>
      </c>
      <c r="P572" s="1" t="s">
        <v>59</v>
      </c>
      <c r="Q572" s="1" t="s">
        <v>60</v>
      </c>
      <c r="R572" s="1" t="s">
        <v>45</v>
      </c>
      <c r="S572" s="1">
        <v>342</v>
      </c>
      <c r="T572" s="1">
        <v>0</v>
      </c>
      <c r="U572" s="4">
        <v>4.9999999999999996E-2</v>
      </c>
      <c r="V572" s="1">
        <v>2230</v>
      </c>
      <c r="W572" s="1">
        <v>-30</v>
      </c>
      <c r="X572" s="1">
        <v>2200</v>
      </c>
      <c r="Y572" s="1" t="s">
        <v>51</v>
      </c>
      <c r="Z572" s="1">
        <v>1530</v>
      </c>
      <c r="AA572" s="1">
        <v>670</v>
      </c>
      <c r="AB572" s="1">
        <v>0</v>
      </c>
      <c r="AC572" s="1">
        <v>0</v>
      </c>
      <c r="AD572" s="1">
        <v>0</v>
      </c>
      <c r="AE572" s="1">
        <v>0</v>
      </c>
      <c r="AF572" s="1"/>
      <c r="AG572" s="1">
        <v>0</v>
      </c>
      <c r="AH572" s="1">
        <v>0</v>
      </c>
      <c r="AI572" s="1">
        <v>0</v>
      </c>
      <c r="AJ572" s="1">
        <v>0</v>
      </c>
      <c r="AK572" s="1">
        <v>2.1172</v>
      </c>
      <c r="AL572" s="1">
        <v>2.1172</v>
      </c>
      <c r="AM572" s="1">
        <v>2.1172</v>
      </c>
    </row>
    <row r="573" spans="1:39" x14ac:dyDescent="0.3">
      <c r="A573" s="21" t="str">
        <f t="shared" si="8"/>
        <v>HFA606LLER2026-01-22</v>
      </c>
      <c r="B573" t="e">
        <f>VLOOKUP(A573,Sheet1!A573:B1915,1,FALSE)</f>
        <v>#N/A</v>
      </c>
      <c r="C573" s="3">
        <v>46044</v>
      </c>
      <c r="D573" s="1" t="s">
        <v>63</v>
      </c>
      <c r="E573" s="1" t="s">
        <v>38</v>
      </c>
      <c r="F573" s="1" t="s">
        <v>54</v>
      </c>
      <c r="G573" s="1" t="s">
        <v>39</v>
      </c>
      <c r="H573" s="1" t="s">
        <v>176</v>
      </c>
      <c r="I573" s="1" t="s">
        <v>41</v>
      </c>
      <c r="J573" s="1" t="s">
        <v>58</v>
      </c>
      <c r="K573" s="1" t="s">
        <v>59</v>
      </c>
      <c r="L573" s="1" t="s">
        <v>60</v>
      </c>
      <c r="M573" s="1" t="s">
        <v>45</v>
      </c>
      <c r="N573" s="1" t="s">
        <v>41</v>
      </c>
      <c r="O573" s="1" t="s">
        <v>42</v>
      </c>
      <c r="P573" s="1" t="s">
        <v>43</v>
      </c>
      <c r="Q573" s="1" t="s">
        <v>44</v>
      </c>
      <c r="R573" s="1" t="s">
        <v>45</v>
      </c>
      <c r="S573" s="1">
        <v>342</v>
      </c>
      <c r="T573" s="1">
        <v>0</v>
      </c>
      <c r="U573" s="4">
        <v>4.3749999999999997E-2</v>
      </c>
      <c r="V573" s="1">
        <v>1530</v>
      </c>
      <c r="W573" s="1">
        <v>770</v>
      </c>
      <c r="X573" s="1">
        <v>2300</v>
      </c>
      <c r="Y573" s="1" t="s">
        <v>51</v>
      </c>
      <c r="Z573" s="1">
        <v>1650</v>
      </c>
      <c r="AA573" s="1">
        <v>650</v>
      </c>
      <c r="AB573" s="1">
        <v>0</v>
      </c>
      <c r="AC573" s="1">
        <v>0</v>
      </c>
      <c r="AD573" s="1">
        <v>0</v>
      </c>
      <c r="AE573" s="1">
        <v>0</v>
      </c>
      <c r="AF573" s="1"/>
      <c r="AG573" s="1">
        <v>0</v>
      </c>
      <c r="AH573" s="1">
        <v>0</v>
      </c>
      <c r="AI573" s="1">
        <v>0</v>
      </c>
      <c r="AJ573" s="1">
        <v>0</v>
      </c>
      <c r="AK573" s="1">
        <v>2.0539999999999998</v>
      </c>
      <c r="AL573" s="1">
        <v>2.0539999999999998</v>
      </c>
      <c r="AM573" s="1">
        <v>2.0539999999999998</v>
      </c>
    </row>
    <row r="574" spans="1:39" x14ac:dyDescent="0.3">
      <c r="A574" s="21" t="str">
        <f t="shared" si="8"/>
        <v>HFA951LLHA2026-01-23</v>
      </c>
      <c r="B574" t="str">
        <f>VLOOKUP(A574,Sheet1!A574:B1916,1,FALSE)</f>
        <v>HFA951LLHA2026-01-23</v>
      </c>
      <c r="C574" s="3">
        <v>46045</v>
      </c>
      <c r="D574" s="1" t="s">
        <v>74</v>
      </c>
      <c r="E574" s="1" t="s">
        <v>38</v>
      </c>
      <c r="F574" s="1"/>
      <c r="G574" s="1" t="s">
        <v>39</v>
      </c>
      <c r="H574" s="1" t="s">
        <v>176</v>
      </c>
      <c r="I574" s="1" t="s">
        <v>41</v>
      </c>
      <c r="J574" s="1" t="s">
        <v>42</v>
      </c>
      <c r="K574" s="1" t="s">
        <v>43</v>
      </c>
      <c r="L574" s="1" t="s">
        <v>44</v>
      </c>
      <c r="M574" s="1" t="s">
        <v>45</v>
      </c>
      <c r="N574" s="1" t="s">
        <v>75</v>
      </c>
      <c r="O574" s="1" t="s">
        <v>76</v>
      </c>
      <c r="P574" s="1" t="s">
        <v>77</v>
      </c>
      <c r="Q574" s="1" t="s">
        <v>78</v>
      </c>
      <c r="R574" s="1" t="s">
        <v>50</v>
      </c>
      <c r="S574" s="1">
        <v>1499</v>
      </c>
      <c r="T574" s="1">
        <v>0</v>
      </c>
      <c r="U574" s="4">
        <v>0.15972222222222221</v>
      </c>
      <c r="V574" s="1">
        <v>1650</v>
      </c>
      <c r="W574" s="1">
        <v>2050</v>
      </c>
      <c r="X574" s="1">
        <v>3700</v>
      </c>
      <c r="Y574" s="1" t="s">
        <v>51</v>
      </c>
      <c r="Z574" s="1">
        <v>1360</v>
      </c>
      <c r="AA574" s="1">
        <v>2340</v>
      </c>
      <c r="AB574" s="1">
        <v>0</v>
      </c>
      <c r="AC574" s="1">
        <v>0</v>
      </c>
      <c r="AD574" s="1">
        <v>0</v>
      </c>
      <c r="AE574" s="1">
        <v>0</v>
      </c>
      <c r="AF574" s="1"/>
      <c r="AG574" s="1">
        <v>0</v>
      </c>
      <c r="AH574" s="1">
        <v>0</v>
      </c>
      <c r="AI574" s="1">
        <v>0</v>
      </c>
      <c r="AJ574" s="1">
        <v>0</v>
      </c>
      <c r="AK574" s="1">
        <v>7.3944000000000001</v>
      </c>
      <c r="AL574" s="1">
        <v>7.3944000000000001</v>
      </c>
      <c r="AM574" s="1">
        <v>7.3944000000000001</v>
      </c>
    </row>
    <row r="575" spans="1:39" x14ac:dyDescent="0.3">
      <c r="A575" s="21" t="str">
        <f t="shared" si="8"/>
        <v>HFA952LBSF2026-01-23</v>
      </c>
      <c r="B575" t="str">
        <f>VLOOKUP(A575,Sheet1!A575:B1917,1,FALSE)</f>
        <v>HFA952LBSF2026-01-23</v>
      </c>
      <c r="C575" s="3">
        <v>46045</v>
      </c>
      <c r="D575" s="1" t="s">
        <v>79</v>
      </c>
      <c r="E575" s="1" t="s">
        <v>38</v>
      </c>
      <c r="F575" s="1"/>
      <c r="G575" s="1" t="s">
        <v>39</v>
      </c>
      <c r="H575" s="1" t="s">
        <v>176</v>
      </c>
      <c r="I575" s="1" t="s">
        <v>75</v>
      </c>
      <c r="J575" s="1" t="s">
        <v>76</v>
      </c>
      <c r="K575" s="1" t="s">
        <v>77</v>
      </c>
      <c r="L575" s="1" t="s">
        <v>78</v>
      </c>
      <c r="M575" s="1" t="s">
        <v>50</v>
      </c>
      <c r="N575" s="1" t="s">
        <v>41</v>
      </c>
      <c r="O575" s="1" t="s">
        <v>42</v>
      </c>
      <c r="P575" s="1" t="s">
        <v>43</v>
      </c>
      <c r="Q575" s="1" t="s">
        <v>44</v>
      </c>
      <c r="R575" s="1" t="s">
        <v>45</v>
      </c>
      <c r="S575" s="1">
        <v>1499</v>
      </c>
      <c r="T575" s="1">
        <v>0</v>
      </c>
      <c r="U575" s="4">
        <v>0.14583333333333334</v>
      </c>
      <c r="V575" s="1">
        <v>1360</v>
      </c>
      <c r="W575" s="1">
        <v>2140</v>
      </c>
      <c r="X575" s="1">
        <v>3500</v>
      </c>
      <c r="Y575" s="1" t="s">
        <v>51</v>
      </c>
      <c r="Z575" s="1">
        <v>1640</v>
      </c>
      <c r="AA575" s="1">
        <v>1860</v>
      </c>
      <c r="AB575" s="1">
        <v>0</v>
      </c>
      <c r="AC575" s="1">
        <v>0</v>
      </c>
      <c r="AD575" s="1">
        <v>0</v>
      </c>
      <c r="AE575" s="1">
        <v>0</v>
      </c>
      <c r="AF575" s="1"/>
      <c r="AG575" s="1">
        <v>0</v>
      </c>
      <c r="AH575" s="1">
        <v>0</v>
      </c>
      <c r="AI575" s="1">
        <v>0</v>
      </c>
      <c r="AJ575" s="1">
        <v>0</v>
      </c>
      <c r="AK575" s="1">
        <v>5.8776000000000002</v>
      </c>
      <c r="AL575" s="1">
        <v>5.8776000000000002</v>
      </c>
      <c r="AM575" s="1">
        <v>5.8776000000000002</v>
      </c>
    </row>
    <row r="576" spans="1:39" x14ac:dyDescent="0.3">
      <c r="A576" s="21" t="str">
        <f t="shared" si="8"/>
        <v>HFA701LLHA2026-01-25</v>
      </c>
      <c r="B576" t="e">
        <f>VLOOKUP(A576,Sheet1!A576:B1918,1,FALSE)</f>
        <v>#N/A</v>
      </c>
      <c r="C576" s="3">
        <v>46047</v>
      </c>
      <c r="D576" s="1" t="s">
        <v>53</v>
      </c>
      <c r="E576" s="1" t="s">
        <v>38</v>
      </c>
      <c r="F576" s="1"/>
      <c r="G576" s="1" t="s">
        <v>39</v>
      </c>
      <c r="H576" s="1" t="s">
        <v>176</v>
      </c>
      <c r="I576" s="1" t="s">
        <v>41</v>
      </c>
      <c r="J576" s="1" t="s">
        <v>42</v>
      </c>
      <c r="K576" s="1" t="s">
        <v>43</v>
      </c>
      <c r="L576" s="1" t="s">
        <v>44</v>
      </c>
      <c r="M576" s="1" t="s">
        <v>45</v>
      </c>
      <c r="N576" s="1" t="s">
        <v>46</v>
      </c>
      <c r="O576" s="1" t="s">
        <v>47</v>
      </c>
      <c r="P576" s="1" t="s">
        <v>48</v>
      </c>
      <c r="Q576" s="1" t="s">
        <v>49</v>
      </c>
      <c r="R576" s="1" t="s">
        <v>50</v>
      </c>
      <c r="S576" s="1">
        <v>1157</v>
      </c>
      <c r="T576" s="1">
        <v>0</v>
      </c>
      <c r="U576" s="4">
        <v>0.11874999999999999</v>
      </c>
      <c r="V576" s="1">
        <v>1640</v>
      </c>
      <c r="W576" s="1">
        <v>1260</v>
      </c>
      <c r="X576" s="1">
        <v>2900</v>
      </c>
      <c r="Y576" s="1" t="s">
        <v>51</v>
      </c>
      <c r="Z576" s="1">
        <v>1000</v>
      </c>
      <c r="AA576" s="1">
        <v>1900</v>
      </c>
      <c r="AB576" s="1">
        <v>0</v>
      </c>
      <c r="AC576" s="1">
        <v>0</v>
      </c>
      <c r="AD576" s="1">
        <v>0</v>
      </c>
      <c r="AE576" s="1">
        <v>0</v>
      </c>
      <c r="AF576" s="1"/>
      <c r="AG576" s="1">
        <v>0</v>
      </c>
      <c r="AH576" s="1">
        <v>0</v>
      </c>
      <c r="AI576" s="1">
        <v>0</v>
      </c>
      <c r="AJ576" s="1">
        <v>0</v>
      </c>
      <c r="AK576" s="1">
        <v>6.0039999999999996</v>
      </c>
      <c r="AL576" s="1">
        <v>6.0039999999999996</v>
      </c>
      <c r="AM576" s="1">
        <v>6.0039999999999996</v>
      </c>
    </row>
    <row r="577" spans="1:39" x14ac:dyDescent="0.3">
      <c r="A577" s="21" t="str">
        <f t="shared" si="8"/>
        <v>HFA702LGAV2026-01-25</v>
      </c>
      <c r="B577" t="e">
        <f>VLOOKUP(A577,Sheet1!A577:B1919,1,FALSE)</f>
        <v>#N/A</v>
      </c>
      <c r="C577" s="3">
        <v>46047</v>
      </c>
      <c r="D577" s="1" t="s">
        <v>56</v>
      </c>
      <c r="E577" s="1" t="s">
        <v>38</v>
      </c>
      <c r="F577" s="1"/>
      <c r="G577" s="1" t="s">
        <v>39</v>
      </c>
      <c r="H577" s="1" t="s">
        <v>176</v>
      </c>
      <c r="I577" s="1" t="s">
        <v>46</v>
      </c>
      <c r="J577" s="1" t="s">
        <v>47</v>
      </c>
      <c r="K577" s="1" t="s">
        <v>48</v>
      </c>
      <c r="L577" s="1" t="s">
        <v>49</v>
      </c>
      <c r="M577" s="1" t="s">
        <v>50</v>
      </c>
      <c r="N577" s="1" t="s">
        <v>41</v>
      </c>
      <c r="O577" s="1" t="s">
        <v>42</v>
      </c>
      <c r="P577" s="1" t="s">
        <v>43</v>
      </c>
      <c r="Q577" s="1" t="s">
        <v>44</v>
      </c>
      <c r="R577" s="1" t="s">
        <v>45</v>
      </c>
      <c r="S577" s="1">
        <v>1157</v>
      </c>
      <c r="T577" s="1">
        <v>0</v>
      </c>
      <c r="U577" s="4">
        <v>0.10833333333333334</v>
      </c>
      <c r="V577" s="1">
        <v>1000</v>
      </c>
      <c r="W577" s="1">
        <v>2300</v>
      </c>
      <c r="X577" s="1">
        <v>3300</v>
      </c>
      <c r="Y577" s="1" t="s">
        <v>51</v>
      </c>
      <c r="Z577" s="1">
        <v>1800</v>
      </c>
      <c r="AA577" s="1">
        <v>1500</v>
      </c>
      <c r="AB577" s="1">
        <v>0</v>
      </c>
      <c r="AC577" s="1">
        <v>0</v>
      </c>
      <c r="AD577" s="1">
        <v>0</v>
      </c>
      <c r="AE577" s="1">
        <v>0</v>
      </c>
      <c r="AF577" s="1"/>
      <c r="AG577" s="1">
        <v>0</v>
      </c>
      <c r="AH577" s="1">
        <v>0</v>
      </c>
      <c r="AI577" s="1">
        <v>0</v>
      </c>
      <c r="AJ577" s="1">
        <v>0</v>
      </c>
      <c r="AK577" s="1">
        <v>4.74</v>
      </c>
      <c r="AL577" s="1">
        <v>4.74</v>
      </c>
      <c r="AM577" s="1">
        <v>4.74</v>
      </c>
    </row>
    <row r="578" spans="1:39" x14ac:dyDescent="0.3">
      <c r="A578" s="21" t="str">
        <f t="shared" si="8"/>
        <v>HFA605LLHA2026-01-25</v>
      </c>
      <c r="B578" t="e">
        <f>VLOOKUP(A578,Sheet1!A578:B1920,1,FALSE)</f>
        <v>#N/A</v>
      </c>
      <c r="C578" s="3">
        <v>46047</v>
      </c>
      <c r="D578" s="1" t="s">
        <v>62</v>
      </c>
      <c r="E578" s="1" t="s">
        <v>38</v>
      </c>
      <c r="F578" s="1" t="s">
        <v>54</v>
      </c>
      <c r="G578" s="1" t="s">
        <v>39</v>
      </c>
      <c r="H578" s="1" t="s">
        <v>176</v>
      </c>
      <c r="I578" s="1" t="s">
        <v>41</v>
      </c>
      <c r="J578" s="1" t="s">
        <v>42</v>
      </c>
      <c r="K578" s="1" t="s">
        <v>43</v>
      </c>
      <c r="L578" s="1" t="s">
        <v>44</v>
      </c>
      <c r="M578" s="1" t="s">
        <v>45</v>
      </c>
      <c r="N578" s="1" t="s">
        <v>41</v>
      </c>
      <c r="O578" s="1" t="s">
        <v>58</v>
      </c>
      <c r="P578" s="1" t="s">
        <v>59</v>
      </c>
      <c r="Q578" s="1" t="s">
        <v>60</v>
      </c>
      <c r="R578" s="1" t="s">
        <v>45</v>
      </c>
      <c r="S578" s="1">
        <v>342</v>
      </c>
      <c r="T578" s="1">
        <v>0</v>
      </c>
      <c r="U578" s="4">
        <v>4.7222222222222221E-2</v>
      </c>
      <c r="V578" s="1">
        <v>1800</v>
      </c>
      <c r="W578" s="1">
        <v>0</v>
      </c>
      <c r="X578" s="1">
        <v>1800</v>
      </c>
      <c r="Y578" s="1" t="s">
        <v>51</v>
      </c>
      <c r="Z578" s="1">
        <v>1040</v>
      </c>
      <c r="AA578" s="1">
        <v>760</v>
      </c>
      <c r="AB578" s="1">
        <v>0</v>
      </c>
      <c r="AC578" s="1">
        <v>0</v>
      </c>
      <c r="AD578" s="1">
        <v>0</v>
      </c>
      <c r="AE578" s="1">
        <v>0</v>
      </c>
      <c r="AF578" s="1"/>
      <c r="AG578" s="1">
        <v>0</v>
      </c>
      <c r="AH578" s="1">
        <v>0</v>
      </c>
      <c r="AI578" s="1">
        <v>0</v>
      </c>
      <c r="AJ578" s="1">
        <v>0</v>
      </c>
      <c r="AK578" s="1">
        <v>2.4016000000000002</v>
      </c>
      <c r="AL578" s="1">
        <v>2.4016000000000002</v>
      </c>
      <c r="AM578" s="1">
        <v>2.4016000000000002</v>
      </c>
    </row>
    <row r="579" spans="1:39" x14ac:dyDescent="0.3">
      <c r="A579" s="21" t="str">
        <f t="shared" ref="A579:A642" si="9">CONCATENATE(D579,K579,TEXT(C579,"YYYY-MM-DD"))</f>
        <v>HFA606LLER2026-01-25</v>
      </c>
      <c r="B579" t="e">
        <f>VLOOKUP(A579,Sheet1!A579:B1921,1,FALSE)</f>
        <v>#N/A</v>
      </c>
      <c r="C579" s="3">
        <v>46047</v>
      </c>
      <c r="D579" s="1" t="s">
        <v>63</v>
      </c>
      <c r="E579" s="1" t="s">
        <v>38</v>
      </c>
      <c r="F579" s="1" t="s">
        <v>54</v>
      </c>
      <c r="G579" s="1" t="s">
        <v>39</v>
      </c>
      <c r="H579" s="1" t="s">
        <v>176</v>
      </c>
      <c r="I579" s="1" t="s">
        <v>41</v>
      </c>
      <c r="J579" s="1" t="s">
        <v>58</v>
      </c>
      <c r="K579" s="1" t="s">
        <v>59</v>
      </c>
      <c r="L579" s="1" t="s">
        <v>60</v>
      </c>
      <c r="M579" s="1" t="s">
        <v>45</v>
      </c>
      <c r="N579" s="1" t="s">
        <v>41</v>
      </c>
      <c r="O579" s="1" t="s">
        <v>42</v>
      </c>
      <c r="P579" s="1" t="s">
        <v>43</v>
      </c>
      <c r="Q579" s="1" t="s">
        <v>44</v>
      </c>
      <c r="R579" s="1" t="s">
        <v>45</v>
      </c>
      <c r="S579" s="1">
        <v>342</v>
      </c>
      <c r="T579" s="1">
        <v>0</v>
      </c>
      <c r="U579" s="4">
        <v>4.583333333333333E-2</v>
      </c>
      <c r="V579" s="1">
        <v>1040</v>
      </c>
      <c r="W579" s="1">
        <v>1460</v>
      </c>
      <c r="X579" s="1">
        <v>2500</v>
      </c>
      <c r="Y579" s="1" t="s">
        <v>51</v>
      </c>
      <c r="Z579" s="1">
        <v>1860</v>
      </c>
      <c r="AA579" s="1">
        <v>640</v>
      </c>
      <c r="AB579" s="1">
        <v>0</v>
      </c>
      <c r="AC579" s="1">
        <v>0</v>
      </c>
      <c r="AD579" s="1">
        <v>0</v>
      </c>
      <c r="AE579" s="1">
        <v>0</v>
      </c>
      <c r="AF579" s="1"/>
      <c r="AG579" s="1">
        <v>0</v>
      </c>
      <c r="AH579" s="1">
        <v>0</v>
      </c>
      <c r="AI579" s="1">
        <v>0</v>
      </c>
      <c r="AJ579" s="1">
        <v>0</v>
      </c>
      <c r="AK579" s="1">
        <v>2.0224000000000002</v>
      </c>
      <c r="AL579" s="1">
        <v>2.0224000000000002</v>
      </c>
      <c r="AM579" s="1">
        <v>2.0224000000000002</v>
      </c>
    </row>
    <row r="580" spans="1:39" x14ac:dyDescent="0.3">
      <c r="A580" s="21" t="str">
        <f t="shared" si="9"/>
        <v>HFA951LLHA2026-01-26</v>
      </c>
      <c r="B580" t="str">
        <f>VLOOKUP(A580,Sheet1!A580:B1922,1,FALSE)</f>
        <v>HFA951LLHA2026-01-26</v>
      </c>
      <c r="C580" s="3">
        <v>46048</v>
      </c>
      <c r="D580" s="1" t="s">
        <v>74</v>
      </c>
      <c r="E580" s="1" t="s">
        <v>38</v>
      </c>
      <c r="F580" s="1"/>
      <c r="G580" s="1" t="s">
        <v>39</v>
      </c>
      <c r="H580" s="1" t="s">
        <v>176</v>
      </c>
      <c r="I580" s="1" t="s">
        <v>41</v>
      </c>
      <c r="J580" s="1" t="s">
        <v>42</v>
      </c>
      <c r="K580" s="1" t="s">
        <v>43</v>
      </c>
      <c r="L580" s="1" t="s">
        <v>44</v>
      </c>
      <c r="M580" s="1" t="s">
        <v>45</v>
      </c>
      <c r="N580" s="1" t="s">
        <v>75</v>
      </c>
      <c r="O580" s="1" t="s">
        <v>76</v>
      </c>
      <c r="P580" s="1" t="s">
        <v>77</v>
      </c>
      <c r="Q580" s="1" t="s">
        <v>78</v>
      </c>
      <c r="R580" s="1" t="s">
        <v>50</v>
      </c>
      <c r="S580" s="1">
        <v>1499</v>
      </c>
      <c r="T580" s="1">
        <v>0</v>
      </c>
      <c r="U580" s="4">
        <v>0.14305555555555555</v>
      </c>
      <c r="V580" s="1">
        <v>1860</v>
      </c>
      <c r="W580" s="1">
        <v>1640</v>
      </c>
      <c r="X580" s="1">
        <v>3500</v>
      </c>
      <c r="Y580" s="1" t="s">
        <v>51</v>
      </c>
      <c r="Z580" s="1">
        <v>1580</v>
      </c>
      <c r="AA580" s="1">
        <v>1920</v>
      </c>
      <c r="AB580" s="1">
        <v>0</v>
      </c>
      <c r="AC580" s="1">
        <v>0</v>
      </c>
      <c r="AD580" s="1">
        <v>0</v>
      </c>
      <c r="AE580" s="1">
        <v>0</v>
      </c>
      <c r="AF580" s="1"/>
      <c r="AG580" s="1">
        <v>0</v>
      </c>
      <c r="AH580" s="1">
        <v>0</v>
      </c>
      <c r="AI580" s="1">
        <v>0</v>
      </c>
      <c r="AJ580" s="1">
        <v>0</v>
      </c>
      <c r="AK580" s="1">
        <v>6.0671999999999997</v>
      </c>
      <c r="AL580" s="1">
        <v>6.0671999999999997</v>
      </c>
      <c r="AM580" s="1">
        <v>6.0671999999999997</v>
      </c>
    </row>
    <row r="581" spans="1:39" x14ac:dyDescent="0.3">
      <c r="A581" s="21" t="str">
        <f t="shared" si="9"/>
        <v>HFA952LBSF2026-01-26</v>
      </c>
      <c r="B581" t="str">
        <f>VLOOKUP(A581,Sheet1!A581:B1923,1,FALSE)</f>
        <v>HFA952LBSF2026-01-26</v>
      </c>
      <c r="C581" s="3">
        <v>46048</v>
      </c>
      <c r="D581" s="1" t="s">
        <v>79</v>
      </c>
      <c r="E581" s="1" t="s">
        <v>38</v>
      </c>
      <c r="F581" s="1"/>
      <c r="G581" s="1" t="s">
        <v>39</v>
      </c>
      <c r="H581" s="1" t="s">
        <v>176</v>
      </c>
      <c r="I581" s="1" t="s">
        <v>75</v>
      </c>
      <c r="J581" s="1" t="s">
        <v>76</v>
      </c>
      <c r="K581" s="1" t="s">
        <v>77</v>
      </c>
      <c r="L581" s="1" t="s">
        <v>78</v>
      </c>
      <c r="M581" s="1" t="s">
        <v>50</v>
      </c>
      <c r="N581" s="1" t="s">
        <v>41</v>
      </c>
      <c r="O581" s="1" t="s">
        <v>42</v>
      </c>
      <c r="P581" s="1" t="s">
        <v>43</v>
      </c>
      <c r="Q581" s="1" t="s">
        <v>44</v>
      </c>
      <c r="R581" s="1" t="s">
        <v>45</v>
      </c>
      <c r="S581" s="1">
        <v>1499</v>
      </c>
      <c r="T581" s="1">
        <v>0</v>
      </c>
      <c r="U581" s="4">
        <v>0.17986111111111111</v>
      </c>
      <c r="V581" s="1">
        <v>1580</v>
      </c>
      <c r="W581" s="1">
        <v>2320</v>
      </c>
      <c r="X581" s="1">
        <v>3900</v>
      </c>
      <c r="Y581" s="1" t="s">
        <v>51</v>
      </c>
      <c r="Z581" s="1">
        <v>1450</v>
      </c>
      <c r="AA581" s="1">
        <v>2450</v>
      </c>
      <c r="AB581" s="1">
        <v>0</v>
      </c>
      <c r="AC581" s="1">
        <v>0</v>
      </c>
      <c r="AD581" s="1">
        <v>0</v>
      </c>
      <c r="AE581" s="1">
        <v>0</v>
      </c>
      <c r="AF581" s="1"/>
      <c r="AG581" s="1">
        <v>0</v>
      </c>
      <c r="AH581" s="1">
        <v>0</v>
      </c>
      <c r="AI581" s="1">
        <v>0</v>
      </c>
      <c r="AJ581" s="1">
        <v>0</v>
      </c>
      <c r="AK581" s="1">
        <v>7.742</v>
      </c>
      <c r="AL581" s="1">
        <v>7.742</v>
      </c>
      <c r="AM581" s="1">
        <v>7.742</v>
      </c>
    </row>
    <row r="582" spans="1:39" x14ac:dyDescent="0.3">
      <c r="A582" s="21" t="str">
        <f t="shared" si="9"/>
        <v>HFA703LLHA2026-01-27</v>
      </c>
      <c r="B582" t="e">
        <f>VLOOKUP(A582,Sheet1!A582:B1924,1,FALSE)</f>
        <v>#N/A</v>
      </c>
      <c r="C582" s="3">
        <v>46049</v>
      </c>
      <c r="D582" s="1" t="s">
        <v>37</v>
      </c>
      <c r="E582" s="1" t="s">
        <v>38</v>
      </c>
      <c r="F582" s="1"/>
      <c r="G582" s="1" t="s">
        <v>39</v>
      </c>
      <c r="H582" s="1" t="s">
        <v>176</v>
      </c>
      <c r="I582" s="1" t="s">
        <v>41</v>
      </c>
      <c r="J582" s="1" t="s">
        <v>42</v>
      </c>
      <c r="K582" s="1" t="s">
        <v>43</v>
      </c>
      <c r="L582" s="1" t="s">
        <v>44</v>
      </c>
      <c r="M582" s="1" t="s">
        <v>45</v>
      </c>
      <c r="N582" s="1" t="s">
        <v>46</v>
      </c>
      <c r="O582" s="1" t="s">
        <v>47</v>
      </c>
      <c r="P582" s="1" t="s">
        <v>48</v>
      </c>
      <c r="Q582" s="1" t="s">
        <v>49</v>
      </c>
      <c r="R582" s="1" t="s">
        <v>50</v>
      </c>
      <c r="S582" s="1">
        <v>1157</v>
      </c>
      <c r="T582" s="1">
        <v>0</v>
      </c>
      <c r="U582" s="4">
        <v>0.12291666666666666</v>
      </c>
      <c r="V582" s="1">
        <v>1450</v>
      </c>
      <c r="W582" s="1">
        <v>1850</v>
      </c>
      <c r="X582" s="1">
        <v>3300</v>
      </c>
      <c r="Y582" s="1" t="s">
        <v>51</v>
      </c>
      <c r="Z582" s="1">
        <v>1580</v>
      </c>
      <c r="AA582" s="1">
        <v>1720</v>
      </c>
      <c r="AB582" s="1">
        <v>0</v>
      </c>
      <c r="AC582" s="1">
        <v>0</v>
      </c>
      <c r="AD582" s="1">
        <v>0</v>
      </c>
      <c r="AE582" s="1">
        <v>0</v>
      </c>
      <c r="AF582" s="1"/>
      <c r="AG582" s="1">
        <v>0</v>
      </c>
      <c r="AH582" s="1">
        <v>0</v>
      </c>
      <c r="AI582" s="1">
        <v>0</v>
      </c>
      <c r="AJ582" s="1">
        <v>0</v>
      </c>
      <c r="AK582" s="1">
        <v>5.4352</v>
      </c>
      <c r="AL582" s="1">
        <v>5.4352</v>
      </c>
      <c r="AM582" s="1">
        <v>5.4352</v>
      </c>
    </row>
    <row r="583" spans="1:39" x14ac:dyDescent="0.3">
      <c r="A583" s="21" t="str">
        <f t="shared" si="9"/>
        <v>HFA704LGAV2026-01-27</v>
      </c>
      <c r="B583" t="e">
        <f>VLOOKUP(A583,Sheet1!A583:B1925,1,FALSE)</f>
        <v>#N/A</v>
      </c>
      <c r="C583" s="3">
        <v>46049</v>
      </c>
      <c r="D583" s="1" t="s">
        <v>52</v>
      </c>
      <c r="E583" s="1" t="s">
        <v>38</v>
      </c>
      <c r="F583" s="1"/>
      <c r="G583" s="1" t="s">
        <v>39</v>
      </c>
      <c r="H583" s="1" t="s">
        <v>176</v>
      </c>
      <c r="I583" s="1" t="s">
        <v>46</v>
      </c>
      <c r="J583" s="1" t="s">
        <v>47</v>
      </c>
      <c r="K583" s="1" t="s">
        <v>48</v>
      </c>
      <c r="L583" s="1" t="s">
        <v>49</v>
      </c>
      <c r="M583" s="1" t="s">
        <v>50</v>
      </c>
      <c r="N583" s="1" t="s">
        <v>41</v>
      </c>
      <c r="O583" s="1" t="s">
        <v>42</v>
      </c>
      <c r="P583" s="1" t="s">
        <v>43</v>
      </c>
      <c r="Q583" s="1" t="s">
        <v>44</v>
      </c>
      <c r="R583" s="1" t="s">
        <v>45</v>
      </c>
      <c r="S583" s="1">
        <v>1157</v>
      </c>
      <c r="T583" s="1">
        <v>0</v>
      </c>
      <c r="U583" s="4">
        <v>0.11527777777777777</v>
      </c>
      <c r="V583" s="1">
        <v>1580</v>
      </c>
      <c r="W583" s="1">
        <v>1820</v>
      </c>
      <c r="X583" s="1">
        <v>3400</v>
      </c>
      <c r="Y583" s="1" t="s">
        <v>51</v>
      </c>
      <c r="Z583" s="1">
        <v>1980</v>
      </c>
      <c r="AA583" s="1">
        <v>1420</v>
      </c>
      <c r="AB583" s="1">
        <v>0</v>
      </c>
      <c r="AC583" s="1">
        <v>0</v>
      </c>
      <c r="AD583" s="1">
        <v>0</v>
      </c>
      <c r="AE583" s="1">
        <v>0</v>
      </c>
      <c r="AF583" s="1"/>
      <c r="AG583" s="1">
        <v>0</v>
      </c>
      <c r="AH583" s="1">
        <v>0</v>
      </c>
      <c r="AI583" s="1">
        <v>0</v>
      </c>
      <c r="AJ583" s="1">
        <v>0</v>
      </c>
      <c r="AK583" s="1">
        <v>4.4871999999999996</v>
      </c>
      <c r="AL583" s="1">
        <v>4.4871999999999996</v>
      </c>
      <c r="AM583" s="1">
        <v>4.4871999999999996</v>
      </c>
    </row>
    <row r="584" spans="1:39" x14ac:dyDescent="0.3">
      <c r="A584" s="21" t="str">
        <f t="shared" si="9"/>
        <v>HFA951LLHA2026-01-28</v>
      </c>
      <c r="B584" t="str">
        <f>VLOOKUP(A584,Sheet1!A584:B1926,1,FALSE)</f>
        <v>HFA951LLHA2026-01-28</v>
      </c>
      <c r="C584" s="3">
        <v>46050</v>
      </c>
      <c r="D584" s="1" t="s">
        <v>74</v>
      </c>
      <c r="E584" s="1" t="s">
        <v>38</v>
      </c>
      <c r="F584" s="1"/>
      <c r="G584" s="1" t="s">
        <v>39</v>
      </c>
      <c r="H584" s="1" t="s">
        <v>176</v>
      </c>
      <c r="I584" s="1" t="s">
        <v>41</v>
      </c>
      <c r="J584" s="1" t="s">
        <v>42</v>
      </c>
      <c r="K584" s="1" t="s">
        <v>43</v>
      </c>
      <c r="L584" s="1" t="s">
        <v>44</v>
      </c>
      <c r="M584" s="1" t="s">
        <v>45</v>
      </c>
      <c r="N584" s="1" t="s">
        <v>75</v>
      </c>
      <c r="O584" s="1" t="s">
        <v>76</v>
      </c>
      <c r="P584" s="1" t="s">
        <v>77</v>
      </c>
      <c r="Q584" s="1" t="s">
        <v>78</v>
      </c>
      <c r="R584" s="1" t="s">
        <v>50</v>
      </c>
      <c r="S584" s="1">
        <v>1499</v>
      </c>
      <c r="T584" s="1">
        <v>0</v>
      </c>
      <c r="U584" s="4">
        <v>0.16319444444444445</v>
      </c>
      <c r="V584" s="1">
        <v>1980</v>
      </c>
      <c r="W584" s="1">
        <v>1620</v>
      </c>
      <c r="X584" s="1">
        <v>3600</v>
      </c>
      <c r="Y584" s="1" t="s">
        <v>51</v>
      </c>
      <c r="Z584" s="1">
        <v>1280</v>
      </c>
      <c r="AA584" s="1">
        <v>2320</v>
      </c>
      <c r="AB584" s="1">
        <v>0</v>
      </c>
      <c r="AC584" s="1">
        <v>0</v>
      </c>
      <c r="AD584" s="1">
        <v>0</v>
      </c>
      <c r="AE584" s="1">
        <v>0</v>
      </c>
      <c r="AF584" s="1"/>
      <c r="AG584" s="1">
        <v>0</v>
      </c>
      <c r="AH584" s="1">
        <v>0</v>
      </c>
      <c r="AI584" s="1">
        <v>0</v>
      </c>
      <c r="AJ584" s="1">
        <v>0</v>
      </c>
      <c r="AK584" s="1">
        <v>7.3311999999999999</v>
      </c>
      <c r="AL584" s="1">
        <v>7.3311999999999999</v>
      </c>
      <c r="AM584" s="1">
        <v>7.3311999999999999</v>
      </c>
    </row>
    <row r="585" spans="1:39" x14ac:dyDescent="0.3">
      <c r="A585" s="21" t="str">
        <f t="shared" si="9"/>
        <v>HFA952LBSF2026-01-28</v>
      </c>
      <c r="B585" t="str">
        <f>VLOOKUP(A585,Sheet1!A585:B1927,1,FALSE)</f>
        <v>HFA952LBSF2026-01-28</v>
      </c>
      <c r="C585" s="3">
        <v>46050</v>
      </c>
      <c r="D585" s="1" t="s">
        <v>79</v>
      </c>
      <c r="E585" s="1" t="s">
        <v>38</v>
      </c>
      <c r="F585" s="1"/>
      <c r="G585" s="1" t="s">
        <v>39</v>
      </c>
      <c r="H585" s="1" t="s">
        <v>176</v>
      </c>
      <c r="I585" s="1" t="s">
        <v>75</v>
      </c>
      <c r="J585" s="1" t="s">
        <v>76</v>
      </c>
      <c r="K585" s="1" t="s">
        <v>77</v>
      </c>
      <c r="L585" s="1" t="s">
        <v>78</v>
      </c>
      <c r="M585" s="1" t="s">
        <v>50</v>
      </c>
      <c r="N585" s="1" t="s">
        <v>41</v>
      </c>
      <c r="O585" s="1" t="s">
        <v>42</v>
      </c>
      <c r="P585" s="1" t="s">
        <v>43</v>
      </c>
      <c r="Q585" s="1" t="s">
        <v>44</v>
      </c>
      <c r="R585" s="1" t="s">
        <v>45</v>
      </c>
      <c r="S585" s="1">
        <v>1499</v>
      </c>
      <c r="T585" s="1">
        <v>0</v>
      </c>
      <c r="U585" s="4">
        <v>0.14166666666666666</v>
      </c>
      <c r="V585" s="1">
        <v>1280</v>
      </c>
      <c r="W585" s="1">
        <v>2420</v>
      </c>
      <c r="X585" s="1">
        <v>3700</v>
      </c>
      <c r="Y585" s="1" t="s">
        <v>51</v>
      </c>
      <c r="Z585" s="1">
        <v>1880</v>
      </c>
      <c r="AA585" s="1">
        <v>1820</v>
      </c>
      <c r="AB585" s="1">
        <v>0</v>
      </c>
      <c r="AC585" s="1">
        <v>0</v>
      </c>
      <c r="AD585" s="1">
        <v>0</v>
      </c>
      <c r="AE585" s="1">
        <v>0</v>
      </c>
      <c r="AF585" s="1"/>
      <c r="AG585" s="1">
        <v>0</v>
      </c>
      <c r="AH585" s="1">
        <v>0</v>
      </c>
      <c r="AI585" s="1">
        <v>0</v>
      </c>
      <c r="AJ585" s="1">
        <v>0</v>
      </c>
      <c r="AK585" s="1">
        <v>5.7511999999999999</v>
      </c>
      <c r="AL585" s="1">
        <v>5.7511999999999999</v>
      </c>
      <c r="AM585" s="1">
        <v>5.7511999999999999</v>
      </c>
    </row>
    <row r="586" spans="1:39" x14ac:dyDescent="0.3">
      <c r="A586" s="21" t="str">
        <f t="shared" si="9"/>
        <v>HFA701LLHA2026-01-29</v>
      </c>
      <c r="B586" t="e">
        <f>VLOOKUP(A586,Sheet1!A586:B1928,1,FALSE)</f>
        <v>#N/A</v>
      </c>
      <c r="C586" s="3">
        <v>46051</v>
      </c>
      <c r="D586" s="1" t="s">
        <v>53</v>
      </c>
      <c r="E586" s="1" t="s">
        <v>38</v>
      </c>
      <c r="F586" s="1"/>
      <c r="G586" s="1" t="s">
        <v>39</v>
      </c>
      <c r="H586" s="1" t="s">
        <v>176</v>
      </c>
      <c r="I586" s="1" t="s">
        <v>41</v>
      </c>
      <c r="J586" s="1" t="s">
        <v>42</v>
      </c>
      <c r="K586" s="1" t="s">
        <v>43</v>
      </c>
      <c r="L586" s="1" t="s">
        <v>44</v>
      </c>
      <c r="M586" s="1" t="s">
        <v>45</v>
      </c>
      <c r="N586" s="1" t="s">
        <v>46</v>
      </c>
      <c r="O586" s="1" t="s">
        <v>47</v>
      </c>
      <c r="P586" s="1" t="s">
        <v>48</v>
      </c>
      <c r="Q586" s="1" t="s">
        <v>49</v>
      </c>
      <c r="R586" s="1" t="s">
        <v>50</v>
      </c>
      <c r="S586" s="1">
        <v>1157</v>
      </c>
      <c r="T586" s="1">
        <v>0</v>
      </c>
      <c r="U586" s="4">
        <v>0.12152777777777778</v>
      </c>
      <c r="V586" s="1">
        <v>1880</v>
      </c>
      <c r="W586" s="1">
        <v>1310</v>
      </c>
      <c r="X586" s="1">
        <v>3190</v>
      </c>
      <c r="Y586" s="1" t="s">
        <v>51</v>
      </c>
      <c r="Z586" s="1">
        <v>1210</v>
      </c>
      <c r="AA586" s="1">
        <v>1980</v>
      </c>
      <c r="AB586" s="1">
        <v>0</v>
      </c>
      <c r="AC586" s="1">
        <v>0</v>
      </c>
      <c r="AD586" s="1">
        <v>0</v>
      </c>
      <c r="AE586" s="1">
        <v>0</v>
      </c>
      <c r="AF586" s="1"/>
      <c r="AG586" s="1">
        <v>0</v>
      </c>
      <c r="AH586" s="1">
        <v>0</v>
      </c>
      <c r="AI586" s="1">
        <v>0</v>
      </c>
      <c r="AJ586" s="1">
        <v>0</v>
      </c>
      <c r="AK586" s="1">
        <v>6.2568000000000001</v>
      </c>
      <c r="AL586" s="1">
        <v>6.2568000000000001</v>
      </c>
      <c r="AM586" s="1">
        <v>6.2568000000000001</v>
      </c>
    </row>
    <row r="587" spans="1:39" x14ac:dyDescent="0.3">
      <c r="A587" s="21" t="str">
        <f t="shared" si="9"/>
        <v>HFA702LGAV2026-01-29</v>
      </c>
      <c r="B587" t="e">
        <f>VLOOKUP(A587,Sheet1!A587:B1929,1,FALSE)</f>
        <v>#N/A</v>
      </c>
      <c r="C587" s="3">
        <v>46051</v>
      </c>
      <c r="D587" s="1" t="s">
        <v>56</v>
      </c>
      <c r="E587" s="1" t="s">
        <v>38</v>
      </c>
      <c r="F587" s="1"/>
      <c r="G587" s="1" t="s">
        <v>39</v>
      </c>
      <c r="H587" s="1" t="s">
        <v>176</v>
      </c>
      <c r="I587" s="1" t="s">
        <v>46</v>
      </c>
      <c r="J587" s="1" t="s">
        <v>47</v>
      </c>
      <c r="K587" s="1" t="s">
        <v>48</v>
      </c>
      <c r="L587" s="1" t="s">
        <v>49</v>
      </c>
      <c r="M587" s="1" t="s">
        <v>50</v>
      </c>
      <c r="N587" s="1" t="s">
        <v>41</v>
      </c>
      <c r="O587" s="1" t="s">
        <v>42</v>
      </c>
      <c r="P587" s="1" t="s">
        <v>43</v>
      </c>
      <c r="Q587" s="1" t="s">
        <v>44</v>
      </c>
      <c r="R587" s="1" t="s">
        <v>45</v>
      </c>
      <c r="S587" s="1">
        <v>1157</v>
      </c>
      <c r="T587" s="1">
        <v>0</v>
      </c>
      <c r="U587" s="4">
        <v>9.7916666666666666E-2</v>
      </c>
      <c r="V587" s="1">
        <v>1210</v>
      </c>
      <c r="W587" s="1">
        <v>2090</v>
      </c>
      <c r="X587" s="1">
        <v>3300</v>
      </c>
      <c r="Y587" s="1" t="s">
        <v>51</v>
      </c>
      <c r="Z587" s="1">
        <v>1990</v>
      </c>
      <c r="AA587" s="1">
        <v>1310</v>
      </c>
      <c r="AB587" s="1">
        <v>0</v>
      </c>
      <c r="AC587" s="1">
        <v>0</v>
      </c>
      <c r="AD587" s="1">
        <v>0</v>
      </c>
      <c r="AE587" s="1">
        <v>0</v>
      </c>
      <c r="AF587" s="1"/>
      <c r="AG587" s="1">
        <v>0</v>
      </c>
      <c r="AH587" s="1">
        <v>0</v>
      </c>
      <c r="AI587" s="1">
        <v>0</v>
      </c>
      <c r="AJ587" s="1">
        <v>0</v>
      </c>
      <c r="AK587" s="1">
        <v>4.1395999999999997</v>
      </c>
      <c r="AL587" s="1">
        <v>4.1395999999999997</v>
      </c>
      <c r="AM587" s="1">
        <v>4.1395999999999997</v>
      </c>
    </row>
    <row r="588" spans="1:39" x14ac:dyDescent="0.3">
      <c r="A588" s="21" t="str">
        <f t="shared" si="9"/>
        <v>HFA951LLHA2026-01-30</v>
      </c>
      <c r="B588" t="str">
        <f>VLOOKUP(A588,Sheet1!A588:B1930,1,FALSE)</f>
        <v>HFA951LLHA2026-01-30</v>
      </c>
      <c r="C588" s="3">
        <v>46052</v>
      </c>
      <c r="D588" s="1" t="s">
        <v>74</v>
      </c>
      <c r="E588" s="1" t="s">
        <v>38</v>
      </c>
      <c r="F588" s="1"/>
      <c r="G588" s="1" t="s">
        <v>39</v>
      </c>
      <c r="H588" s="1" t="s">
        <v>176</v>
      </c>
      <c r="I588" s="1" t="s">
        <v>41</v>
      </c>
      <c r="J588" s="1" t="s">
        <v>42</v>
      </c>
      <c r="K588" s="1" t="s">
        <v>43</v>
      </c>
      <c r="L588" s="1" t="s">
        <v>44</v>
      </c>
      <c r="M588" s="1" t="s">
        <v>45</v>
      </c>
      <c r="N588" s="1" t="s">
        <v>75</v>
      </c>
      <c r="O588" s="1" t="s">
        <v>76</v>
      </c>
      <c r="P588" s="1" t="s">
        <v>77</v>
      </c>
      <c r="Q588" s="1" t="s">
        <v>78</v>
      </c>
      <c r="R588" s="1" t="s">
        <v>50</v>
      </c>
      <c r="S588" s="1">
        <v>1499</v>
      </c>
      <c r="T588" s="1">
        <v>0</v>
      </c>
      <c r="U588" s="4">
        <v>0.16111111111111109</v>
      </c>
      <c r="V588" s="1">
        <v>1990</v>
      </c>
      <c r="W588" s="1">
        <v>1910</v>
      </c>
      <c r="X588" s="1">
        <v>3900</v>
      </c>
      <c r="Y588" s="1" t="s">
        <v>51</v>
      </c>
      <c r="Z588" s="1">
        <v>1320</v>
      </c>
      <c r="AA588" s="1">
        <v>2580</v>
      </c>
      <c r="AB588" s="1">
        <v>0</v>
      </c>
      <c r="AC588" s="1">
        <v>0</v>
      </c>
      <c r="AD588" s="1">
        <v>0</v>
      </c>
      <c r="AE588" s="1">
        <v>0</v>
      </c>
      <c r="AF588" s="1"/>
      <c r="AG588" s="1">
        <v>0</v>
      </c>
      <c r="AH588" s="1">
        <v>0</v>
      </c>
      <c r="AI588" s="1">
        <v>0</v>
      </c>
      <c r="AJ588" s="1">
        <v>0</v>
      </c>
      <c r="AK588" s="1">
        <v>8.1527999999999992</v>
      </c>
      <c r="AL588" s="1">
        <v>8.1527999999999992</v>
      </c>
      <c r="AM588" s="1">
        <v>8.1527999999999992</v>
      </c>
    </row>
    <row r="589" spans="1:39" x14ac:dyDescent="0.3">
      <c r="A589" s="21" t="str">
        <f t="shared" si="9"/>
        <v>HFA952LBSF2026-01-30</v>
      </c>
      <c r="B589" t="str">
        <f>VLOOKUP(A589,Sheet1!A589:B1931,1,FALSE)</f>
        <v>HFA952LBSF2026-01-30</v>
      </c>
      <c r="C589" s="3">
        <v>46052</v>
      </c>
      <c r="D589" s="1" t="s">
        <v>79</v>
      </c>
      <c r="E589" s="1" t="s">
        <v>38</v>
      </c>
      <c r="F589" s="1"/>
      <c r="G589" s="1" t="s">
        <v>39</v>
      </c>
      <c r="H589" s="1" t="s">
        <v>176</v>
      </c>
      <c r="I589" s="1" t="s">
        <v>75</v>
      </c>
      <c r="J589" s="1" t="s">
        <v>76</v>
      </c>
      <c r="K589" s="1" t="s">
        <v>77</v>
      </c>
      <c r="L589" s="1" t="s">
        <v>78</v>
      </c>
      <c r="M589" s="1" t="s">
        <v>50</v>
      </c>
      <c r="N589" s="1" t="s">
        <v>41</v>
      </c>
      <c r="O589" s="1" t="s">
        <v>42</v>
      </c>
      <c r="P589" s="1" t="s">
        <v>43</v>
      </c>
      <c r="Q589" s="1" t="s">
        <v>44</v>
      </c>
      <c r="R589" s="1" t="s">
        <v>45</v>
      </c>
      <c r="S589" s="1">
        <v>1499</v>
      </c>
      <c r="T589" s="1">
        <v>0</v>
      </c>
      <c r="U589" s="4">
        <v>0.14097222222222222</v>
      </c>
      <c r="V589" s="1">
        <v>1320</v>
      </c>
      <c r="W589" s="1">
        <v>2580</v>
      </c>
      <c r="X589" s="1">
        <v>3900</v>
      </c>
      <c r="Y589" s="1" t="s">
        <v>51</v>
      </c>
      <c r="Z589" s="1">
        <v>2140</v>
      </c>
      <c r="AA589" s="1">
        <v>1760</v>
      </c>
      <c r="AB589" s="1">
        <v>0</v>
      </c>
      <c r="AC589" s="1">
        <v>0</v>
      </c>
      <c r="AD589" s="1">
        <v>0</v>
      </c>
      <c r="AE589" s="1">
        <v>0</v>
      </c>
      <c r="AF589" s="1"/>
      <c r="AG589" s="1">
        <v>0</v>
      </c>
      <c r="AH589" s="1">
        <v>0</v>
      </c>
      <c r="AI589" s="1">
        <v>0</v>
      </c>
      <c r="AJ589" s="1">
        <v>0</v>
      </c>
      <c r="AK589" s="1">
        <v>5.5616000000000003</v>
      </c>
      <c r="AL589" s="1">
        <v>5.5616000000000003</v>
      </c>
      <c r="AM589" s="1">
        <v>5.5616000000000003</v>
      </c>
    </row>
    <row r="590" spans="1:39" x14ac:dyDescent="0.3">
      <c r="A590" s="21" t="str">
        <f t="shared" si="9"/>
        <v>HFA803LLHA2026-02-01</v>
      </c>
      <c r="B590" t="str">
        <f>VLOOKUP(A590,Sheet1!A590:B1932,1,FALSE)</f>
        <v>HFA803LLHA2026-02-01</v>
      </c>
      <c r="C590" s="3">
        <v>46054</v>
      </c>
      <c r="D590" s="1" t="s">
        <v>116</v>
      </c>
      <c r="E590" s="1" t="s">
        <v>38</v>
      </c>
      <c r="F590" s="1"/>
      <c r="G590" s="1" t="s">
        <v>39</v>
      </c>
      <c r="H590" s="1" t="s">
        <v>176</v>
      </c>
      <c r="I590" s="1" t="s">
        <v>41</v>
      </c>
      <c r="J590" s="1" t="s">
        <v>42</v>
      </c>
      <c r="K590" s="1" t="s">
        <v>43</v>
      </c>
      <c r="L590" s="1" t="s">
        <v>44</v>
      </c>
      <c r="M590" s="1" t="s">
        <v>45</v>
      </c>
      <c r="N590" s="1" t="s">
        <v>67</v>
      </c>
      <c r="O590" s="1" t="s">
        <v>86</v>
      </c>
      <c r="P590" s="1" t="s">
        <v>87</v>
      </c>
      <c r="Q590" s="1" t="s">
        <v>88</v>
      </c>
      <c r="R590" s="1" t="s">
        <v>50</v>
      </c>
      <c r="S590" s="1">
        <v>264</v>
      </c>
      <c r="T590" s="1">
        <v>0</v>
      </c>
      <c r="U590" s="4">
        <v>3.7499999999999999E-2</v>
      </c>
      <c r="V590" s="1">
        <v>2140</v>
      </c>
      <c r="W590" s="1">
        <v>0</v>
      </c>
      <c r="X590" s="1">
        <v>2140</v>
      </c>
      <c r="Y590" s="1" t="s">
        <v>51</v>
      </c>
      <c r="Z590" s="1">
        <v>1650</v>
      </c>
      <c r="AA590" s="1">
        <v>490</v>
      </c>
      <c r="AB590" s="1">
        <v>0</v>
      </c>
      <c r="AC590" s="1">
        <v>0</v>
      </c>
      <c r="AD590" s="1">
        <v>0</v>
      </c>
      <c r="AE590" s="1">
        <v>0</v>
      </c>
      <c r="AF590" s="1"/>
      <c r="AG590" s="1">
        <v>0</v>
      </c>
      <c r="AH590" s="1">
        <v>0</v>
      </c>
      <c r="AI590" s="1">
        <v>0</v>
      </c>
      <c r="AJ590" s="1">
        <v>0</v>
      </c>
      <c r="AK590" s="1">
        <v>1.5484</v>
      </c>
      <c r="AL590" s="1">
        <v>1.5484</v>
      </c>
      <c r="AM590" s="1">
        <v>1.5484</v>
      </c>
    </row>
    <row r="591" spans="1:39" x14ac:dyDescent="0.3">
      <c r="A591" s="21" t="str">
        <f t="shared" si="9"/>
        <v>HFA804LCLK2026-02-01</v>
      </c>
      <c r="B591" t="str">
        <f>VLOOKUP(A591,Sheet1!A591:B1933,1,FALSE)</f>
        <v>HFA804LCLK2026-02-01</v>
      </c>
      <c r="C591" s="3">
        <v>46054</v>
      </c>
      <c r="D591" s="1" t="s">
        <v>117</v>
      </c>
      <c r="E591" s="1" t="s">
        <v>38</v>
      </c>
      <c r="F591" s="1"/>
      <c r="G591" s="1" t="s">
        <v>39</v>
      </c>
      <c r="H591" s="1" t="s">
        <v>176</v>
      </c>
      <c r="I591" s="1" t="s">
        <v>67</v>
      </c>
      <c r="J591" s="1" t="s">
        <v>86</v>
      </c>
      <c r="K591" s="1" t="s">
        <v>87</v>
      </c>
      <c r="L591" s="1" t="s">
        <v>88</v>
      </c>
      <c r="M591" s="1" t="s">
        <v>50</v>
      </c>
      <c r="N591" s="1" t="s">
        <v>41</v>
      </c>
      <c r="O591" s="1" t="s">
        <v>42</v>
      </c>
      <c r="P591" s="1" t="s">
        <v>43</v>
      </c>
      <c r="Q591" s="1" t="s">
        <v>44</v>
      </c>
      <c r="R591" s="1" t="s">
        <v>45</v>
      </c>
      <c r="S591" s="1">
        <v>264</v>
      </c>
      <c r="T591" s="1">
        <v>0</v>
      </c>
      <c r="U591" s="4">
        <v>4.0972222222222222E-2</v>
      </c>
      <c r="V591" s="1">
        <v>1650</v>
      </c>
      <c r="W591" s="1">
        <v>750</v>
      </c>
      <c r="X591" s="1">
        <v>2400</v>
      </c>
      <c r="Y591" s="1" t="s">
        <v>51</v>
      </c>
      <c r="Z591" s="1">
        <v>1870</v>
      </c>
      <c r="AA591" s="1">
        <v>530</v>
      </c>
      <c r="AB591" s="1">
        <v>0</v>
      </c>
      <c r="AC591" s="1">
        <v>0</v>
      </c>
      <c r="AD591" s="1">
        <v>0</v>
      </c>
      <c r="AE591" s="1">
        <v>0</v>
      </c>
      <c r="AF591" s="1"/>
      <c r="AG591" s="1">
        <v>0</v>
      </c>
      <c r="AH591" s="1">
        <v>0</v>
      </c>
      <c r="AI591" s="1">
        <v>0</v>
      </c>
      <c r="AJ591" s="1">
        <v>0</v>
      </c>
      <c r="AK591" s="1">
        <v>1.6748000000000001</v>
      </c>
      <c r="AL591" s="1">
        <v>1.6748000000000001</v>
      </c>
      <c r="AM591" s="1">
        <v>1.6748000000000001</v>
      </c>
    </row>
    <row r="592" spans="1:39" x14ac:dyDescent="0.3">
      <c r="A592" s="21" t="str">
        <f t="shared" si="9"/>
        <v>HFA951LLHA2026-02-02</v>
      </c>
      <c r="B592" t="str">
        <f>VLOOKUP(A592,Sheet1!A592:B1934,1,FALSE)</f>
        <v>HFA951LLHA2026-02-02</v>
      </c>
      <c r="C592" s="3">
        <v>46055</v>
      </c>
      <c r="D592" s="1" t="s">
        <v>74</v>
      </c>
      <c r="E592" s="1" t="s">
        <v>38</v>
      </c>
      <c r="F592" s="1"/>
      <c r="G592" s="1" t="s">
        <v>39</v>
      </c>
      <c r="H592" s="1" t="s">
        <v>176</v>
      </c>
      <c r="I592" s="1" t="s">
        <v>41</v>
      </c>
      <c r="J592" s="1" t="s">
        <v>42</v>
      </c>
      <c r="K592" s="1" t="s">
        <v>43</v>
      </c>
      <c r="L592" s="1" t="s">
        <v>44</v>
      </c>
      <c r="M592" s="1" t="s">
        <v>45</v>
      </c>
      <c r="N592" s="1" t="s">
        <v>75</v>
      </c>
      <c r="O592" s="1" t="s">
        <v>76</v>
      </c>
      <c r="P592" s="1" t="s">
        <v>77</v>
      </c>
      <c r="Q592" s="1" t="s">
        <v>78</v>
      </c>
      <c r="R592" s="1" t="s">
        <v>50</v>
      </c>
      <c r="S592" s="1">
        <v>1499</v>
      </c>
      <c r="T592" s="1">
        <v>0</v>
      </c>
      <c r="U592" s="4">
        <v>0.15763888888888888</v>
      </c>
      <c r="V592" s="1">
        <v>1870</v>
      </c>
      <c r="W592" s="1">
        <v>1630</v>
      </c>
      <c r="X592" s="1">
        <v>3500</v>
      </c>
      <c r="Y592" s="1" t="s">
        <v>51</v>
      </c>
      <c r="Z592" s="1">
        <v>1080</v>
      </c>
      <c r="AA592" s="1">
        <v>2420</v>
      </c>
      <c r="AB592" s="1">
        <v>0</v>
      </c>
      <c r="AC592" s="1">
        <v>0</v>
      </c>
      <c r="AD592" s="1">
        <v>0</v>
      </c>
      <c r="AE592" s="1">
        <v>0</v>
      </c>
      <c r="AF592" s="1"/>
      <c r="AG592" s="1">
        <v>0</v>
      </c>
      <c r="AH592" s="1">
        <v>0</v>
      </c>
      <c r="AI592" s="1">
        <v>0</v>
      </c>
      <c r="AJ592" s="1">
        <v>0</v>
      </c>
      <c r="AK592" s="1">
        <v>7.6471999999999998</v>
      </c>
      <c r="AL592" s="1">
        <v>7.6471999999999998</v>
      </c>
      <c r="AM592" s="1">
        <v>7.6471999999999998</v>
      </c>
    </row>
    <row r="593" spans="1:39" x14ac:dyDescent="0.3">
      <c r="A593" s="21" t="str">
        <f t="shared" si="9"/>
        <v>HFA952LBSF2026-02-02</v>
      </c>
      <c r="B593" t="str">
        <f>VLOOKUP(A593,Sheet1!A593:B1935,1,FALSE)</f>
        <v>HFA952LBSF2026-02-02</v>
      </c>
      <c r="C593" s="3">
        <v>46055</v>
      </c>
      <c r="D593" s="1" t="s">
        <v>79</v>
      </c>
      <c r="E593" s="1" t="s">
        <v>38</v>
      </c>
      <c r="F593" s="1"/>
      <c r="G593" s="1" t="s">
        <v>39</v>
      </c>
      <c r="H593" s="1" t="s">
        <v>176</v>
      </c>
      <c r="I593" s="1" t="s">
        <v>75</v>
      </c>
      <c r="J593" s="1" t="s">
        <v>76</v>
      </c>
      <c r="K593" s="1" t="s">
        <v>77</v>
      </c>
      <c r="L593" s="1" t="s">
        <v>78</v>
      </c>
      <c r="M593" s="1" t="s">
        <v>50</v>
      </c>
      <c r="N593" s="1" t="s">
        <v>41</v>
      </c>
      <c r="O593" s="1" t="s">
        <v>82</v>
      </c>
      <c r="P593" s="1" t="s">
        <v>83</v>
      </c>
      <c r="Q593" s="1" t="s">
        <v>84</v>
      </c>
      <c r="R593" s="1" t="s">
        <v>45</v>
      </c>
      <c r="S593" s="1">
        <v>1559</v>
      </c>
      <c r="T593" s="1">
        <v>0</v>
      </c>
      <c r="U593" s="4">
        <v>0.18194444444444444</v>
      </c>
      <c r="V593" s="1">
        <v>1080</v>
      </c>
      <c r="W593" s="1">
        <v>2620</v>
      </c>
      <c r="X593" s="1">
        <v>3700</v>
      </c>
      <c r="Y593" s="1" t="s">
        <v>51</v>
      </c>
      <c r="Z593" s="1">
        <v>1200</v>
      </c>
      <c r="AA593" s="1">
        <v>2500</v>
      </c>
      <c r="AB593" s="1">
        <v>0</v>
      </c>
      <c r="AC593" s="1">
        <v>0</v>
      </c>
      <c r="AD593" s="1">
        <v>0</v>
      </c>
      <c r="AE593" s="1">
        <v>0</v>
      </c>
      <c r="AF593" s="1"/>
      <c r="AG593" s="1">
        <v>0</v>
      </c>
      <c r="AH593" s="1">
        <v>0</v>
      </c>
      <c r="AI593" s="1">
        <v>0</v>
      </c>
      <c r="AJ593" s="1">
        <v>0</v>
      </c>
      <c r="AK593" s="1">
        <v>7.9</v>
      </c>
      <c r="AL593" s="1">
        <v>7.9</v>
      </c>
      <c r="AM593" s="1">
        <v>7.9</v>
      </c>
    </row>
    <row r="594" spans="1:39" x14ac:dyDescent="0.3">
      <c r="A594" s="21" t="str">
        <f t="shared" si="9"/>
        <v>HFA952ALLBG2026-02-02</v>
      </c>
      <c r="B594" t="str">
        <f>VLOOKUP(A594,Sheet1!A594:B1936,1,FALSE)</f>
        <v>HFA952ALLBG2026-02-02</v>
      </c>
      <c r="C594" s="3">
        <v>46055</v>
      </c>
      <c r="D594" s="1" t="s">
        <v>177</v>
      </c>
      <c r="E594" s="1" t="s">
        <v>38</v>
      </c>
      <c r="F594" s="1" t="s">
        <v>54</v>
      </c>
      <c r="G594" s="1" t="s">
        <v>39</v>
      </c>
      <c r="H594" s="1" t="s">
        <v>176</v>
      </c>
      <c r="I594" s="1" t="s">
        <v>41</v>
      </c>
      <c r="J594" s="1" t="s">
        <v>82</v>
      </c>
      <c r="K594" s="1" t="s">
        <v>83</v>
      </c>
      <c r="L594" s="1" t="s">
        <v>84</v>
      </c>
      <c r="M594" s="1" t="s">
        <v>45</v>
      </c>
      <c r="N594" s="1" t="s">
        <v>41</v>
      </c>
      <c r="O594" s="1" t="s">
        <v>42</v>
      </c>
      <c r="P594" s="1" t="s">
        <v>43</v>
      </c>
      <c r="Q594" s="1" t="s">
        <v>44</v>
      </c>
      <c r="R594" s="1" t="s">
        <v>45</v>
      </c>
      <c r="S594" s="1">
        <v>90</v>
      </c>
      <c r="T594" s="1">
        <v>91</v>
      </c>
      <c r="U594" s="4">
        <v>2.8472222222222222E-2</v>
      </c>
      <c r="V594" s="1">
        <v>1200</v>
      </c>
      <c r="W594" s="1">
        <v>0</v>
      </c>
      <c r="X594" s="1">
        <v>1200</v>
      </c>
      <c r="Y594" s="1" t="s">
        <v>51</v>
      </c>
      <c r="Z594" s="1">
        <v>920</v>
      </c>
      <c r="AA594" s="1">
        <v>280</v>
      </c>
      <c r="AB594" s="1">
        <v>0</v>
      </c>
      <c r="AC594" s="1">
        <v>0</v>
      </c>
      <c r="AD594" s="1">
        <v>0</v>
      </c>
      <c r="AE594" s="1">
        <v>0</v>
      </c>
      <c r="AF594" s="1"/>
      <c r="AG594" s="1">
        <v>0</v>
      </c>
      <c r="AH594" s="1">
        <v>0</v>
      </c>
      <c r="AI594" s="1">
        <v>0</v>
      </c>
      <c r="AJ594" s="1">
        <v>0</v>
      </c>
      <c r="AK594" s="1">
        <v>0.88480000000000003</v>
      </c>
      <c r="AL594" s="1">
        <v>0.88480000000000003</v>
      </c>
      <c r="AM594" s="1">
        <v>0.88480000000000003</v>
      </c>
    </row>
    <row r="595" spans="1:39" x14ac:dyDescent="0.3">
      <c r="A595" s="21" t="str">
        <f t="shared" si="9"/>
        <v>HFA703LLHA2026-02-03</v>
      </c>
      <c r="B595" t="e">
        <f>VLOOKUP(A595,Sheet1!A595:B1937,1,FALSE)</f>
        <v>#N/A</v>
      </c>
      <c r="C595" s="3">
        <v>46056</v>
      </c>
      <c r="D595" s="1" t="s">
        <v>37</v>
      </c>
      <c r="E595" s="1" t="s">
        <v>38</v>
      </c>
      <c r="F595" s="1"/>
      <c r="G595" s="1" t="s">
        <v>39</v>
      </c>
      <c r="H595" s="1" t="s">
        <v>176</v>
      </c>
      <c r="I595" s="1" t="s">
        <v>41</v>
      </c>
      <c r="J595" s="1" t="s">
        <v>42</v>
      </c>
      <c r="K595" s="1" t="s">
        <v>43</v>
      </c>
      <c r="L595" s="1" t="s">
        <v>44</v>
      </c>
      <c r="M595" s="1" t="s">
        <v>45</v>
      </c>
      <c r="N595" s="1" t="s">
        <v>46</v>
      </c>
      <c r="O595" s="1" t="s">
        <v>47</v>
      </c>
      <c r="P595" s="1" t="s">
        <v>48</v>
      </c>
      <c r="Q595" s="1" t="s">
        <v>49</v>
      </c>
      <c r="R595" s="1" t="s">
        <v>50</v>
      </c>
      <c r="S595" s="1">
        <v>1157</v>
      </c>
      <c r="T595" s="1">
        <v>0</v>
      </c>
      <c r="U595" s="4">
        <v>0.12638888888888888</v>
      </c>
      <c r="V595" s="1">
        <v>920</v>
      </c>
      <c r="W595" s="1">
        <v>2280</v>
      </c>
      <c r="X595" s="1">
        <v>3200</v>
      </c>
      <c r="Y595" s="1" t="s">
        <v>51</v>
      </c>
      <c r="Z595" s="1">
        <v>1060</v>
      </c>
      <c r="AA595" s="1">
        <v>2140</v>
      </c>
      <c r="AB595" s="1">
        <v>0</v>
      </c>
      <c r="AC595" s="1">
        <v>0</v>
      </c>
      <c r="AD595" s="1">
        <v>0</v>
      </c>
      <c r="AE595" s="1">
        <v>0</v>
      </c>
      <c r="AF595" s="1"/>
      <c r="AG595" s="1">
        <v>0</v>
      </c>
      <c r="AH595" s="1">
        <v>0</v>
      </c>
      <c r="AI595" s="1">
        <v>0</v>
      </c>
      <c r="AJ595" s="1">
        <v>0</v>
      </c>
      <c r="AK595" s="1">
        <v>6.7624000000000004</v>
      </c>
      <c r="AL595" s="1">
        <v>6.7624000000000004</v>
      </c>
      <c r="AM595" s="1">
        <v>6.7624000000000004</v>
      </c>
    </row>
    <row r="596" spans="1:39" x14ac:dyDescent="0.3">
      <c r="A596" s="21" t="str">
        <f t="shared" si="9"/>
        <v>HFA704LGAV2026-02-03</v>
      </c>
      <c r="B596" t="e">
        <f>VLOOKUP(A596,Sheet1!A596:B1938,1,FALSE)</f>
        <v>#N/A</v>
      </c>
      <c r="C596" s="3">
        <v>46056</v>
      </c>
      <c r="D596" s="1" t="s">
        <v>52</v>
      </c>
      <c r="E596" s="1" t="s">
        <v>38</v>
      </c>
      <c r="F596" s="1"/>
      <c r="G596" s="1" t="s">
        <v>39</v>
      </c>
      <c r="H596" s="1" t="s">
        <v>176</v>
      </c>
      <c r="I596" s="1" t="s">
        <v>46</v>
      </c>
      <c r="J596" s="1" t="s">
        <v>47</v>
      </c>
      <c r="K596" s="1" t="s">
        <v>48</v>
      </c>
      <c r="L596" s="1" t="s">
        <v>49</v>
      </c>
      <c r="M596" s="1" t="s">
        <v>50</v>
      </c>
      <c r="N596" s="1" t="s">
        <v>41</v>
      </c>
      <c r="O596" s="1" t="s">
        <v>42</v>
      </c>
      <c r="P596" s="1" t="s">
        <v>43</v>
      </c>
      <c r="Q596" s="1" t="s">
        <v>44</v>
      </c>
      <c r="R596" s="1" t="s">
        <v>45</v>
      </c>
      <c r="S596" s="1">
        <v>1157</v>
      </c>
      <c r="T596" s="1">
        <v>0</v>
      </c>
      <c r="U596" s="4">
        <v>9.4444444444444442E-2</v>
      </c>
      <c r="V596" s="1">
        <v>1060</v>
      </c>
      <c r="W596" s="1">
        <v>2440</v>
      </c>
      <c r="X596" s="1">
        <v>3500</v>
      </c>
      <c r="Y596" s="1" t="s">
        <v>51</v>
      </c>
      <c r="Z596" s="1">
        <v>2250</v>
      </c>
      <c r="AA596" s="1">
        <v>1250</v>
      </c>
      <c r="AB596" s="1">
        <v>0</v>
      </c>
      <c r="AC596" s="1">
        <v>0</v>
      </c>
      <c r="AD596" s="1">
        <v>0</v>
      </c>
      <c r="AE596" s="1">
        <v>0</v>
      </c>
      <c r="AF596" s="1"/>
      <c r="AG596" s="1">
        <v>0</v>
      </c>
      <c r="AH596" s="1">
        <v>0</v>
      </c>
      <c r="AI596" s="1">
        <v>0</v>
      </c>
      <c r="AJ596" s="1">
        <v>0</v>
      </c>
      <c r="AK596" s="1">
        <v>3.95</v>
      </c>
      <c r="AL596" s="1">
        <v>3.95</v>
      </c>
      <c r="AM596" s="1">
        <v>3.95</v>
      </c>
    </row>
    <row r="597" spans="1:39" x14ac:dyDescent="0.3">
      <c r="A597" s="21" t="str">
        <f t="shared" si="9"/>
        <v>HFA951LLHA2026-02-04</v>
      </c>
      <c r="B597" t="str">
        <f>VLOOKUP(A597,Sheet1!A597:B1939,1,FALSE)</f>
        <v>HFA951LLHA2026-02-04</v>
      </c>
      <c r="C597" s="3">
        <v>46057</v>
      </c>
      <c r="D597" s="1" t="s">
        <v>74</v>
      </c>
      <c r="E597" s="1" t="s">
        <v>38</v>
      </c>
      <c r="F597" s="1"/>
      <c r="G597" s="1" t="s">
        <v>39</v>
      </c>
      <c r="H597" s="1" t="s">
        <v>176</v>
      </c>
      <c r="I597" s="1" t="s">
        <v>41</v>
      </c>
      <c r="J597" s="1" t="s">
        <v>42</v>
      </c>
      <c r="K597" s="1" t="s">
        <v>43</v>
      </c>
      <c r="L597" s="1" t="s">
        <v>44</v>
      </c>
      <c r="M597" s="1" t="s">
        <v>45</v>
      </c>
      <c r="N597" s="1" t="s">
        <v>75</v>
      </c>
      <c r="O597" s="1" t="s">
        <v>76</v>
      </c>
      <c r="P597" s="1" t="s">
        <v>77</v>
      </c>
      <c r="Q597" s="1" t="s">
        <v>78</v>
      </c>
      <c r="R597" s="1" t="s">
        <v>50</v>
      </c>
      <c r="S597" s="1">
        <v>1499</v>
      </c>
      <c r="T597" s="1">
        <v>0</v>
      </c>
      <c r="U597" s="4">
        <v>0.15833333333333333</v>
      </c>
      <c r="V597" s="1">
        <v>2250</v>
      </c>
      <c r="W597" s="1">
        <v>1150</v>
      </c>
      <c r="X597" s="1">
        <v>3400</v>
      </c>
      <c r="Y597" s="1" t="s">
        <v>51</v>
      </c>
      <c r="Z597" s="1">
        <v>1100</v>
      </c>
      <c r="AA597" s="1">
        <v>2300</v>
      </c>
      <c r="AB597" s="1">
        <v>0</v>
      </c>
      <c r="AC597" s="1">
        <v>0</v>
      </c>
      <c r="AD597" s="1">
        <v>0</v>
      </c>
      <c r="AE597" s="1">
        <v>0</v>
      </c>
      <c r="AF597" s="1"/>
      <c r="AG597" s="1">
        <v>0</v>
      </c>
      <c r="AH597" s="1">
        <v>0</v>
      </c>
      <c r="AI597" s="1">
        <v>0</v>
      </c>
      <c r="AJ597" s="1">
        <v>0</v>
      </c>
      <c r="AK597" s="1">
        <v>7.2679999999999998</v>
      </c>
      <c r="AL597" s="1">
        <v>7.2679999999999998</v>
      </c>
      <c r="AM597" s="1">
        <v>7.2679999999999998</v>
      </c>
    </row>
    <row r="598" spans="1:39" x14ac:dyDescent="0.3">
      <c r="A598" s="21" t="str">
        <f t="shared" si="9"/>
        <v>HFA952LBSF2026-02-04</v>
      </c>
      <c r="B598" t="str">
        <f>VLOOKUP(A598,Sheet1!A598:B1940,1,FALSE)</f>
        <v>HFA952LBSF2026-02-04</v>
      </c>
      <c r="C598" s="3">
        <v>46057</v>
      </c>
      <c r="D598" s="1" t="s">
        <v>79</v>
      </c>
      <c r="E598" s="1" t="s">
        <v>38</v>
      </c>
      <c r="F598" s="1"/>
      <c r="G598" s="1" t="s">
        <v>39</v>
      </c>
      <c r="H598" s="1" t="s">
        <v>176</v>
      </c>
      <c r="I598" s="1" t="s">
        <v>75</v>
      </c>
      <c r="J598" s="1" t="s">
        <v>76</v>
      </c>
      <c r="K598" s="1" t="s">
        <v>77</v>
      </c>
      <c r="L598" s="1" t="s">
        <v>78</v>
      </c>
      <c r="M598" s="1" t="s">
        <v>50</v>
      </c>
      <c r="N598" s="1" t="s">
        <v>41</v>
      </c>
      <c r="O598" s="1" t="s">
        <v>42</v>
      </c>
      <c r="P598" s="1" t="s">
        <v>43</v>
      </c>
      <c r="Q598" s="1" t="s">
        <v>44</v>
      </c>
      <c r="R598" s="1" t="s">
        <v>45</v>
      </c>
      <c r="S598" s="1">
        <v>1499</v>
      </c>
      <c r="T598" s="1">
        <v>0</v>
      </c>
      <c r="U598" s="4">
        <v>0.14583333333333334</v>
      </c>
      <c r="V598" s="1">
        <v>1100</v>
      </c>
      <c r="W598" s="1">
        <v>2900</v>
      </c>
      <c r="X598" s="1">
        <v>4000</v>
      </c>
      <c r="Y598" s="1" t="s">
        <v>51</v>
      </c>
      <c r="Z598" s="1">
        <v>1980</v>
      </c>
      <c r="AA598" s="1">
        <v>2020</v>
      </c>
      <c r="AB598" s="1">
        <v>0</v>
      </c>
      <c r="AC598" s="1">
        <v>0</v>
      </c>
      <c r="AD598" s="1">
        <v>0</v>
      </c>
      <c r="AE598" s="1">
        <v>0</v>
      </c>
      <c r="AF598" s="1"/>
      <c r="AG598" s="1">
        <v>0</v>
      </c>
      <c r="AH598" s="1">
        <v>0</v>
      </c>
      <c r="AI598" s="1">
        <v>0</v>
      </c>
      <c r="AJ598" s="1">
        <v>0</v>
      </c>
      <c r="AK598" s="1">
        <v>6.3832000000000004</v>
      </c>
      <c r="AL598" s="1">
        <v>6.3832000000000004</v>
      </c>
      <c r="AM598" s="1">
        <v>6.3832000000000004</v>
      </c>
    </row>
    <row r="599" spans="1:39" x14ac:dyDescent="0.3">
      <c r="A599" s="21" t="str">
        <f t="shared" si="9"/>
        <v>HFA703LLHA2026-02-05</v>
      </c>
      <c r="B599" t="e">
        <f>VLOOKUP(A599,Sheet1!A599:B1941,1,FALSE)</f>
        <v>#N/A</v>
      </c>
      <c r="C599" s="3">
        <v>46058</v>
      </c>
      <c r="D599" s="1" t="s">
        <v>37</v>
      </c>
      <c r="E599" s="1" t="s">
        <v>38</v>
      </c>
      <c r="F599" s="1"/>
      <c r="G599" s="1" t="s">
        <v>39</v>
      </c>
      <c r="H599" s="1" t="s">
        <v>176</v>
      </c>
      <c r="I599" s="1" t="s">
        <v>41</v>
      </c>
      <c r="J599" s="1" t="s">
        <v>42</v>
      </c>
      <c r="K599" s="1" t="s">
        <v>43</v>
      </c>
      <c r="L599" s="1" t="s">
        <v>44</v>
      </c>
      <c r="M599" s="1" t="s">
        <v>45</v>
      </c>
      <c r="N599" s="1" t="s">
        <v>46</v>
      </c>
      <c r="O599" s="1" t="s">
        <v>47</v>
      </c>
      <c r="P599" s="1" t="s">
        <v>48</v>
      </c>
      <c r="Q599" s="1" t="s">
        <v>49</v>
      </c>
      <c r="R599" s="1" t="s">
        <v>50</v>
      </c>
      <c r="S599" s="1">
        <v>1157</v>
      </c>
      <c r="T599" s="1">
        <v>0</v>
      </c>
      <c r="U599" s="4">
        <v>0.11944444444444444</v>
      </c>
      <c r="V599" s="1">
        <v>1980</v>
      </c>
      <c r="W599" s="1">
        <v>1220</v>
      </c>
      <c r="X599" s="1">
        <v>3200</v>
      </c>
      <c r="Y599" s="1" t="s">
        <v>51</v>
      </c>
      <c r="Z599" s="1">
        <v>1360</v>
      </c>
      <c r="AA599" s="1">
        <v>1840</v>
      </c>
      <c r="AB599" s="1">
        <v>0</v>
      </c>
      <c r="AC599" s="1">
        <v>0</v>
      </c>
      <c r="AD599" s="1">
        <v>0</v>
      </c>
      <c r="AE599" s="1">
        <v>0</v>
      </c>
      <c r="AF599" s="1"/>
      <c r="AG599" s="1">
        <v>0</v>
      </c>
      <c r="AH599" s="1">
        <v>0</v>
      </c>
      <c r="AI599" s="1">
        <v>0</v>
      </c>
      <c r="AJ599" s="1">
        <v>0</v>
      </c>
      <c r="AK599" s="1">
        <v>5.8144</v>
      </c>
      <c r="AL599" s="1">
        <v>5.8144</v>
      </c>
      <c r="AM599" s="1">
        <v>5.8144</v>
      </c>
    </row>
    <row r="600" spans="1:39" x14ac:dyDescent="0.3">
      <c r="A600" s="21" t="str">
        <f t="shared" si="9"/>
        <v>HFA704LGAV2026-02-05</v>
      </c>
      <c r="B600" t="e">
        <f>VLOOKUP(A600,Sheet1!A600:B1942,1,FALSE)</f>
        <v>#N/A</v>
      </c>
      <c r="C600" s="3">
        <v>46058</v>
      </c>
      <c r="D600" s="1" t="s">
        <v>52</v>
      </c>
      <c r="E600" s="1" t="s">
        <v>38</v>
      </c>
      <c r="F600" s="1"/>
      <c r="G600" s="1" t="s">
        <v>39</v>
      </c>
      <c r="H600" s="1" t="s">
        <v>176</v>
      </c>
      <c r="I600" s="1" t="s">
        <v>46</v>
      </c>
      <c r="J600" s="1" t="s">
        <v>47</v>
      </c>
      <c r="K600" s="1" t="s">
        <v>48</v>
      </c>
      <c r="L600" s="1" t="s">
        <v>49</v>
      </c>
      <c r="M600" s="1" t="s">
        <v>50</v>
      </c>
      <c r="N600" s="1" t="s">
        <v>41</v>
      </c>
      <c r="O600" s="1" t="s">
        <v>42</v>
      </c>
      <c r="P600" s="1" t="s">
        <v>43</v>
      </c>
      <c r="Q600" s="1" t="s">
        <v>44</v>
      </c>
      <c r="R600" s="1" t="s">
        <v>45</v>
      </c>
      <c r="S600" s="1">
        <v>1157</v>
      </c>
      <c r="T600" s="1">
        <v>0</v>
      </c>
      <c r="U600" s="4">
        <v>0.10069444444444445</v>
      </c>
      <c r="V600" s="1">
        <v>1360</v>
      </c>
      <c r="W600" s="1">
        <v>2240</v>
      </c>
      <c r="X600" s="1">
        <v>3600</v>
      </c>
      <c r="Y600" s="1" t="s">
        <v>51</v>
      </c>
      <c r="Z600" s="1">
        <v>2180</v>
      </c>
      <c r="AA600" s="1">
        <v>1420</v>
      </c>
      <c r="AB600" s="1">
        <v>0</v>
      </c>
      <c r="AC600" s="1">
        <v>0</v>
      </c>
      <c r="AD600" s="1">
        <v>0</v>
      </c>
      <c r="AE600" s="1">
        <v>0</v>
      </c>
      <c r="AF600" s="1"/>
      <c r="AG600" s="1">
        <v>0</v>
      </c>
      <c r="AH600" s="1">
        <v>0</v>
      </c>
      <c r="AI600" s="1">
        <v>0</v>
      </c>
      <c r="AJ600" s="1">
        <v>0</v>
      </c>
      <c r="AK600" s="1">
        <v>4.4871999999999996</v>
      </c>
      <c r="AL600" s="1">
        <v>4.4871999999999996</v>
      </c>
      <c r="AM600" s="1">
        <v>4.4871999999999996</v>
      </c>
    </row>
    <row r="601" spans="1:39" x14ac:dyDescent="0.3">
      <c r="A601" s="21" t="str">
        <f t="shared" si="9"/>
        <v>HFA951LLHA2026-02-06</v>
      </c>
      <c r="B601" t="str">
        <f>VLOOKUP(A601,Sheet1!A601:B1943,1,FALSE)</f>
        <v>HFA951LLHA2026-02-06</v>
      </c>
      <c r="C601" s="3">
        <v>46059</v>
      </c>
      <c r="D601" s="1" t="s">
        <v>74</v>
      </c>
      <c r="E601" s="1" t="s">
        <v>38</v>
      </c>
      <c r="F601" s="1"/>
      <c r="G601" s="1" t="s">
        <v>39</v>
      </c>
      <c r="H601" s="1" t="s">
        <v>176</v>
      </c>
      <c r="I601" s="1" t="s">
        <v>41</v>
      </c>
      <c r="J601" s="1" t="s">
        <v>42</v>
      </c>
      <c r="K601" s="1" t="s">
        <v>43</v>
      </c>
      <c r="L601" s="1" t="s">
        <v>44</v>
      </c>
      <c r="M601" s="1" t="s">
        <v>45</v>
      </c>
      <c r="N601" s="1" t="s">
        <v>75</v>
      </c>
      <c r="O601" s="1" t="s">
        <v>76</v>
      </c>
      <c r="P601" s="1" t="s">
        <v>77</v>
      </c>
      <c r="Q601" s="1" t="s">
        <v>78</v>
      </c>
      <c r="R601" s="1" t="s">
        <v>50</v>
      </c>
      <c r="S601" s="1">
        <v>1499</v>
      </c>
      <c r="T601" s="1">
        <v>0</v>
      </c>
      <c r="U601" s="4">
        <v>0.15555555555555556</v>
      </c>
      <c r="V601" s="1">
        <v>2180</v>
      </c>
      <c r="W601" s="1">
        <v>1420</v>
      </c>
      <c r="X601" s="1">
        <v>3600</v>
      </c>
      <c r="Y601" s="1" t="s">
        <v>51</v>
      </c>
      <c r="Z601" s="1">
        <v>1050</v>
      </c>
      <c r="AA601" s="1">
        <v>2550</v>
      </c>
      <c r="AB601" s="1">
        <v>0</v>
      </c>
      <c r="AC601" s="1">
        <v>0</v>
      </c>
      <c r="AD601" s="1">
        <v>0</v>
      </c>
      <c r="AE601" s="1">
        <v>0</v>
      </c>
      <c r="AF601" s="1"/>
      <c r="AG601" s="1">
        <v>0</v>
      </c>
      <c r="AH601" s="1">
        <v>0</v>
      </c>
      <c r="AI601" s="1">
        <v>0</v>
      </c>
      <c r="AJ601" s="1">
        <v>0</v>
      </c>
      <c r="AK601" s="1">
        <v>8.0579999999999998</v>
      </c>
      <c r="AL601" s="1">
        <v>8.0579999999999998</v>
      </c>
      <c r="AM601" s="1">
        <v>8.0579999999999998</v>
      </c>
    </row>
    <row r="602" spans="1:39" x14ac:dyDescent="0.3">
      <c r="A602" s="21" t="str">
        <f t="shared" si="9"/>
        <v>HFA952LBSF2026-02-06</v>
      </c>
      <c r="B602" t="str">
        <f>VLOOKUP(A602,Sheet1!A602:B1944,1,FALSE)</f>
        <v>HFA952LBSF2026-02-06</v>
      </c>
      <c r="C602" s="3">
        <v>46059</v>
      </c>
      <c r="D602" s="1" t="s">
        <v>79</v>
      </c>
      <c r="E602" s="1" t="s">
        <v>38</v>
      </c>
      <c r="F602" s="1"/>
      <c r="G602" s="1" t="s">
        <v>39</v>
      </c>
      <c r="H602" s="1" t="s">
        <v>176</v>
      </c>
      <c r="I602" s="1" t="s">
        <v>75</v>
      </c>
      <c r="J602" s="1" t="s">
        <v>76</v>
      </c>
      <c r="K602" s="1" t="s">
        <v>77</v>
      </c>
      <c r="L602" s="1" t="s">
        <v>78</v>
      </c>
      <c r="M602" s="1" t="s">
        <v>50</v>
      </c>
      <c r="N602" s="1" t="s">
        <v>41</v>
      </c>
      <c r="O602" s="1" t="s">
        <v>42</v>
      </c>
      <c r="P602" s="1" t="s">
        <v>43</v>
      </c>
      <c r="Q602" s="1" t="s">
        <v>44</v>
      </c>
      <c r="R602" s="1" t="s">
        <v>45</v>
      </c>
      <c r="S602" s="1">
        <v>1499</v>
      </c>
      <c r="T602" s="1">
        <v>0</v>
      </c>
      <c r="U602" s="4">
        <v>0.14166666666666666</v>
      </c>
      <c r="V602" s="1">
        <v>1050</v>
      </c>
      <c r="W602" s="1">
        <v>2950</v>
      </c>
      <c r="X602" s="1">
        <v>4000</v>
      </c>
      <c r="Y602" s="1" t="s">
        <v>51</v>
      </c>
      <c r="Z602" s="1">
        <v>2130</v>
      </c>
      <c r="AA602" s="1">
        <v>1870</v>
      </c>
      <c r="AB602" s="1">
        <v>0</v>
      </c>
      <c r="AC602" s="1">
        <v>0</v>
      </c>
      <c r="AD602" s="1">
        <v>0</v>
      </c>
      <c r="AE602" s="1">
        <v>0</v>
      </c>
      <c r="AF602" s="1"/>
      <c r="AG602" s="1">
        <v>0</v>
      </c>
      <c r="AH602" s="1">
        <v>0</v>
      </c>
      <c r="AI602" s="1">
        <v>0</v>
      </c>
      <c r="AJ602" s="1">
        <v>0</v>
      </c>
      <c r="AK602" s="1">
        <v>5.9092000000000002</v>
      </c>
      <c r="AL602" s="1">
        <v>5.9092000000000002</v>
      </c>
      <c r="AM602" s="1">
        <v>5.9092000000000002</v>
      </c>
    </row>
    <row r="603" spans="1:39" x14ac:dyDescent="0.3">
      <c r="A603" s="21" t="str">
        <f t="shared" si="9"/>
        <v>HFA703LLHA2026-02-08</v>
      </c>
      <c r="B603" t="e">
        <f>VLOOKUP(A603,Sheet1!A603:B1945,1,FALSE)</f>
        <v>#N/A</v>
      </c>
      <c r="C603" s="3">
        <v>46061</v>
      </c>
      <c r="D603" s="1" t="s">
        <v>37</v>
      </c>
      <c r="E603" s="1" t="s">
        <v>38</v>
      </c>
      <c r="F603" s="1"/>
      <c r="G603" s="1" t="s">
        <v>39</v>
      </c>
      <c r="H603" s="1" t="s">
        <v>176</v>
      </c>
      <c r="I603" s="1" t="s">
        <v>41</v>
      </c>
      <c r="J603" s="1" t="s">
        <v>42</v>
      </c>
      <c r="K603" s="1" t="s">
        <v>43</v>
      </c>
      <c r="L603" s="1" t="s">
        <v>44</v>
      </c>
      <c r="M603" s="1" t="s">
        <v>45</v>
      </c>
      <c r="N603" s="1" t="s">
        <v>46</v>
      </c>
      <c r="O603" s="1" t="s">
        <v>47</v>
      </c>
      <c r="P603" s="1" t="s">
        <v>48</v>
      </c>
      <c r="Q603" s="1" t="s">
        <v>49</v>
      </c>
      <c r="R603" s="1" t="s">
        <v>50</v>
      </c>
      <c r="S603" s="1">
        <v>1157</v>
      </c>
      <c r="T603" s="1">
        <v>0</v>
      </c>
      <c r="U603" s="4">
        <v>0.13958333333333334</v>
      </c>
      <c r="V603" s="1">
        <v>2130</v>
      </c>
      <c r="W603" s="1">
        <v>1070</v>
      </c>
      <c r="X603" s="1">
        <v>3200</v>
      </c>
      <c r="Y603" s="1" t="s">
        <v>51</v>
      </c>
      <c r="Z603" s="1">
        <v>920</v>
      </c>
      <c r="AA603" s="1">
        <v>2280</v>
      </c>
      <c r="AB603" s="1">
        <v>0</v>
      </c>
      <c r="AC603" s="1">
        <v>0</v>
      </c>
      <c r="AD603" s="1">
        <v>0</v>
      </c>
      <c r="AE603" s="1">
        <v>0</v>
      </c>
      <c r="AF603" s="1"/>
      <c r="AG603" s="1">
        <v>0</v>
      </c>
      <c r="AH603" s="1">
        <v>0</v>
      </c>
      <c r="AI603" s="1">
        <v>0</v>
      </c>
      <c r="AJ603" s="1">
        <v>0</v>
      </c>
      <c r="AK603" s="1">
        <v>7.2047999999999996</v>
      </c>
      <c r="AL603" s="1">
        <v>7.2047999999999996</v>
      </c>
      <c r="AM603" s="1">
        <v>7.2047999999999996</v>
      </c>
    </row>
    <row r="604" spans="1:39" x14ac:dyDescent="0.3">
      <c r="A604" s="21" t="str">
        <f t="shared" si="9"/>
        <v>HFA704LGAV2026-02-08</v>
      </c>
      <c r="B604" t="e">
        <f>VLOOKUP(A604,Sheet1!A604:B1946,1,FALSE)</f>
        <v>#N/A</v>
      </c>
      <c r="C604" s="3">
        <v>46061</v>
      </c>
      <c r="D604" s="1" t="s">
        <v>52</v>
      </c>
      <c r="E604" s="1" t="s">
        <v>38</v>
      </c>
      <c r="F604" s="1"/>
      <c r="G604" s="1" t="s">
        <v>39</v>
      </c>
      <c r="H604" s="1" t="s">
        <v>176</v>
      </c>
      <c r="I604" s="1" t="s">
        <v>46</v>
      </c>
      <c r="J604" s="1" t="s">
        <v>47</v>
      </c>
      <c r="K604" s="1" t="s">
        <v>48</v>
      </c>
      <c r="L604" s="1" t="s">
        <v>49</v>
      </c>
      <c r="M604" s="1" t="s">
        <v>50</v>
      </c>
      <c r="N604" s="1" t="s">
        <v>41</v>
      </c>
      <c r="O604" s="1" t="s">
        <v>42</v>
      </c>
      <c r="P604" s="1" t="s">
        <v>43</v>
      </c>
      <c r="Q604" s="1" t="s">
        <v>44</v>
      </c>
      <c r="R604" s="1" t="s">
        <v>45</v>
      </c>
      <c r="S604" s="1">
        <v>1157</v>
      </c>
      <c r="T604" s="1">
        <v>0</v>
      </c>
      <c r="U604" s="4">
        <v>9.930555555555555E-2</v>
      </c>
      <c r="V604" s="1">
        <v>920</v>
      </c>
      <c r="W604" s="1">
        <v>2180</v>
      </c>
      <c r="X604" s="1">
        <v>3100</v>
      </c>
      <c r="Y604" s="1" t="s">
        <v>51</v>
      </c>
      <c r="Z604" s="1">
        <v>1540</v>
      </c>
      <c r="AA604" s="1">
        <v>1560</v>
      </c>
      <c r="AB604" s="1">
        <v>0</v>
      </c>
      <c r="AC604" s="1">
        <v>0</v>
      </c>
      <c r="AD604" s="1">
        <v>0</v>
      </c>
      <c r="AE604" s="1">
        <v>0</v>
      </c>
      <c r="AF604" s="1"/>
      <c r="AG604" s="1">
        <v>0</v>
      </c>
      <c r="AH604" s="1">
        <v>0</v>
      </c>
      <c r="AI604" s="1">
        <v>0</v>
      </c>
      <c r="AJ604" s="1">
        <v>0</v>
      </c>
      <c r="AK604" s="1">
        <v>4.9295999999999998</v>
      </c>
      <c r="AL604" s="1">
        <v>4.9295999999999998</v>
      </c>
      <c r="AM604" s="1">
        <v>4.9295999999999998</v>
      </c>
    </row>
    <row r="605" spans="1:39" x14ac:dyDescent="0.3">
      <c r="A605" s="21" t="str">
        <f t="shared" si="9"/>
        <v>HFA951LLHA2026-02-09</v>
      </c>
      <c r="B605" t="str">
        <f>VLOOKUP(A605,Sheet1!A605:B1947,1,FALSE)</f>
        <v>HFA951LLHA2026-02-09</v>
      </c>
      <c r="C605" s="3">
        <v>46062</v>
      </c>
      <c r="D605" s="1" t="s">
        <v>74</v>
      </c>
      <c r="E605" s="1" t="s">
        <v>38</v>
      </c>
      <c r="F605" s="1"/>
      <c r="G605" s="1" t="s">
        <v>39</v>
      </c>
      <c r="H605" s="1" t="s">
        <v>176</v>
      </c>
      <c r="I605" s="1" t="s">
        <v>41</v>
      </c>
      <c r="J605" s="1" t="s">
        <v>42</v>
      </c>
      <c r="K605" s="1" t="s">
        <v>43</v>
      </c>
      <c r="L605" s="1" t="s">
        <v>44</v>
      </c>
      <c r="M605" s="1" t="s">
        <v>45</v>
      </c>
      <c r="N605" s="1" t="s">
        <v>75</v>
      </c>
      <c r="O605" s="1" t="s">
        <v>76</v>
      </c>
      <c r="P605" s="1" t="s">
        <v>77</v>
      </c>
      <c r="Q605" s="1" t="s">
        <v>78</v>
      </c>
      <c r="R605" s="1" t="s">
        <v>50</v>
      </c>
      <c r="S605" s="1">
        <v>1499</v>
      </c>
      <c r="T605" s="1">
        <v>0</v>
      </c>
      <c r="U605" s="4">
        <v>0.16527777777777777</v>
      </c>
      <c r="V605" s="1">
        <v>1540</v>
      </c>
      <c r="W605" s="1">
        <v>1960</v>
      </c>
      <c r="X605" s="1">
        <v>3500</v>
      </c>
      <c r="Y605" s="1" t="s">
        <v>51</v>
      </c>
      <c r="Z605" s="1">
        <v>1140</v>
      </c>
      <c r="AA605" s="1">
        <v>2360</v>
      </c>
      <c r="AB605" s="1">
        <v>0</v>
      </c>
      <c r="AC605" s="1">
        <v>0</v>
      </c>
      <c r="AD605" s="1">
        <v>0</v>
      </c>
      <c r="AE605" s="1">
        <v>0</v>
      </c>
      <c r="AF605" s="1"/>
      <c r="AG605" s="1">
        <v>0</v>
      </c>
      <c r="AH605" s="1">
        <v>0</v>
      </c>
      <c r="AI605" s="1">
        <v>0</v>
      </c>
      <c r="AJ605" s="1">
        <v>0</v>
      </c>
      <c r="AK605" s="1">
        <v>7.4576000000000002</v>
      </c>
      <c r="AL605" s="1">
        <v>7.4576000000000002</v>
      </c>
      <c r="AM605" s="1">
        <v>7.4576000000000002</v>
      </c>
    </row>
    <row r="606" spans="1:39" x14ac:dyDescent="0.3">
      <c r="A606" s="21" t="str">
        <f t="shared" si="9"/>
        <v>HFA952LBSF2026-02-09</v>
      </c>
      <c r="B606" t="str">
        <f>VLOOKUP(A606,Sheet1!A606:B1948,1,FALSE)</f>
        <v>HFA952LBSF2026-02-09</v>
      </c>
      <c r="C606" s="3">
        <v>46062</v>
      </c>
      <c r="D606" s="1" t="s">
        <v>79</v>
      </c>
      <c r="E606" s="1" t="s">
        <v>38</v>
      </c>
      <c r="F606" s="1"/>
      <c r="G606" s="1" t="s">
        <v>39</v>
      </c>
      <c r="H606" s="1" t="s">
        <v>176</v>
      </c>
      <c r="I606" s="1" t="s">
        <v>75</v>
      </c>
      <c r="J606" s="1" t="s">
        <v>76</v>
      </c>
      <c r="K606" s="1" t="s">
        <v>77</v>
      </c>
      <c r="L606" s="1" t="s">
        <v>78</v>
      </c>
      <c r="M606" s="1" t="s">
        <v>50</v>
      </c>
      <c r="N606" s="1" t="s">
        <v>41</v>
      </c>
      <c r="O606" s="1" t="s">
        <v>42</v>
      </c>
      <c r="P606" s="1" t="s">
        <v>43</v>
      </c>
      <c r="Q606" s="1" t="s">
        <v>44</v>
      </c>
      <c r="R606" s="1" t="s">
        <v>45</v>
      </c>
      <c r="S606" s="1">
        <v>1499</v>
      </c>
      <c r="T606" s="1">
        <v>0</v>
      </c>
      <c r="U606" s="4">
        <v>0.14652777777777778</v>
      </c>
      <c r="V606" s="1">
        <v>1140</v>
      </c>
      <c r="W606" s="1">
        <v>2160</v>
      </c>
      <c r="X606" s="1">
        <v>3300</v>
      </c>
      <c r="Y606" s="1" t="s">
        <v>51</v>
      </c>
      <c r="Z606" s="1">
        <v>1440</v>
      </c>
      <c r="AA606" s="1">
        <v>1860</v>
      </c>
      <c r="AB606" s="1">
        <v>0</v>
      </c>
      <c r="AC606" s="1">
        <v>0</v>
      </c>
      <c r="AD606" s="1">
        <v>0</v>
      </c>
      <c r="AE606" s="1">
        <v>0</v>
      </c>
      <c r="AF606" s="1"/>
      <c r="AG606" s="1">
        <v>0</v>
      </c>
      <c r="AH606" s="1">
        <v>0</v>
      </c>
      <c r="AI606" s="1">
        <v>0</v>
      </c>
      <c r="AJ606" s="1">
        <v>0</v>
      </c>
      <c r="AK606" s="1">
        <v>5.8776000000000002</v>
      </c>
      <c r="AL606" s="1">
        <v>5.8776000000000002</v>
      </c>
      <c r="AM606" s="1">
        <v>5.8776000000000002</v>
      </c>
    </row>
    <row r="607" spans="1:39" x14ac:dyDescent="0.3">
      <c r="A607" s="21" t="str">
        <f t="shared" si="9"/>
        <v>HFA703LLHA2026-02-10</v>
      </c>
      <c r="B607" t="e">
        <f>VLOOKUP(A607,Sheet1!A607:B1949,1,FALSE)</f>
        <v>#N/A</v>
      </c>
      <c r="C607" s="3">
        <v>46063</v>
      </c>
      <c r="D607" s="1" t="s">
        <v>37</v>
      </c>
      <c r="E607" s="1" t="s">
        <v>38</v>
      </c>
      <c r="F607" s="1"/>
      <c r="G607" s="1" t="s">
        <v>39</v>
      </c>
      <c r="H607" s="1" t="s">
        <v>176</v>
      </c>
      <c r="I607" s="1" t="s">
        <v>41</v>
      </c>
      <c r="J607" s="1" t="s">
        <v>42</v>
      </c>
      <c r="K607" s="1" t="s">
        <v>43</v>
      </c>
      <c r="L607" s="1" t="s">
        <v>44</v>
      </c>
      <c r="M607" s="1" t="s">
        <v>45</v>
      </c>
      <c r="N607" s="1" t="s">
        <v>46</v>
      </c>
      <c r="O607" s="1" t="s">
        <v>47</v>
      </c>
      <c r="P607" s="1" t="s">
        <v>48</v>
      </c>
      <c r="Q607" s="1" t="s">
        <v>49</v>
      </c>
      <c r="R607" s="1" t="s">
        <v>50</v>
      </c>
      <c r="S607" s="1">
        <v>1157</v>
      </c>
      <c r="T607" s="1">
        <v>0</v>
      </c>
      <c r="U607" s="4">
        <v>0.12291666666666666</v>
      </c>
      <c r="V607" s="1">
        <v>1440</v>
      </c>
      <c r="W607" s="1">
        <v>1660</v>
      </c>
      <c r="X607" s="1">
        <v>3100</v>
      </c>
      <c r="Y607" s="1" t="s">
        <v>51</v>
      </c>
      <c r="Z607" s="1">
        <v>1170</v>
      </c>
      <c r="AA607" s="1">
        <v>1930</v>
      </c>
      <c r="AB607" s="1">
        <v>0</v>
      </c>
      <c r="AC607" s="1">
        <v>0</v>
      </c>
      <c r="AD607" s="1">
        <v>0</v>
      </c>
      <c r="AE607" s="1">
        <v>0</v>
      </c>
      <c r="AF607" s="1"/>
      <c r="AG607" s="1">
        <v>0</v>
      </c>
      <c r="AH607" s="1">
        <v>0</v>
      </c>
      <c r="AI607" s="1">
        <v>0</v>
      </c>
      <c r="AJ607" s="1">
        <v>0</v>
      </c>
      <c r="AK607" s="1">
        <v>6.0987999999999998</v>
      </c>
      <c r="AL607" s="1">
        <v>6.0987999999999998</v>
      </c>
      <c r="AM607" s="1">
        <v>6.0987999999999998</v>
      </c>
    </row>
    <row r="608" spans="1:39" x14ac:dyDescent="0.3">
      <c r="A608" s="21" t="str">
        <f t="shared" si="9"/>
        <v>HFA704LGAV2026-02-10</v>
      </c>
      <c r="B608" t="e">
        <f>VLOOKUP(A608,Sheet1!A608:B1950,1,FALSE)</f>
        <v>#N/A</v>
      </c>
      <c r="C608" s="3">
        <v>46063</v>
      </c>
      <c r="D608" s="1" t="s">
        <v>52</v>
      </c>
      <c r="E608" s="1" t="s">
        <v>38</v>
      </c>
      <c r="F608" s="1"/>
      <c r="G608" s="1" t="s">
        <v>39</v>
      </c>
      <c r="H608" s="1" t="s">
        <v>176</v>
      </c>
      <c r="I608" s="1" t="s">
        <v>46</v>
      </c>
      <c r="J608" s="1" t="s">
        <v>47</v>
      </c>
      <c r="K608" s="1" t="s">
        <v>48</v>
      </c>
      <c r="L608" s="1" t="s">
        <v>49</v>
      </c>
      <c r="M608" s="1" t="s">
        <v>50</v>
      </c>
      <c r="N608" s="1" t="s">
        <v>41</v>
      </c>
      <c r="O608" s="1" t="s">
        <v>42</v>
      </c>
      <c r="P608" s="1" t="s">
        <v>43</v>
      </c>
      <c r="Q608" s="1" t="s">
        <v>44</v>
      </c>
      <c r="R608" s="1" t="s">
        <v>45</v>
      </c>
      <c r="S608" s="1">
        <v>1157</v>
      </c>
      <c r="T608" s="1">
        <v>0</v>
      </c>
      <c r="U608" s="4">
        <v>0.10694444444444444</v>
      </c>
      <c r="V608" s="1">
        <v>1170</v>
      </c>
      <c r="W608" s="1">
        <v>2530</v>
      </c>
      <c r="X608" s="1">
        <v>3700</v>
      </c>
      <c r="Y608" s="1" t="s">
        <v>51</v>
      </c>
      <c r="Z608" s="1">
        <v>2330</v>
      </c>
      <c r="AA608" s="1">
        <v>1370</v>
      </c>
      <c r="AB608" s="1">
        <v>0</v>
      </c>
      <c r="AC608" s="1">
        <v>0</v>
      </c>
      <c r="AD608" s="1">
        <v>0</v>
      </c>
      <c r="AE608" s="1">
        <v>0</v>
      </c>
      <c r="AF608" s="1"/>
      <c r="AG608" s="1">
        <v>0</v>
      </c>
      <c r="AH608" s="1">
        <v>0</v>
      </c>
      <c r="AI608" s="1">
        <v>0</v>
      </c>
      <c r="AJ608" s="1">
        <v>0</v>
      </c>
      <c r="AK608" s="1">
        <v>4.3292000000000002</v>
      </c>
      <c r="AL608" s="1">
        <v>4.3292000000000002</v>
      </c>
      <c r="AM608" s="1">
        <v>4.3292000000000002</v>
      </c>
    </row>
    <row r="609" spans="1:39" x14ac:dyDescent="0.3">
      <c r="A609" s="21" t="str">
        <f t="shared" si="9"/>
        <v>HFA951LLHA2026-02-11</v>
      </c>
      <c r="B609" t="str">
        <f>VLOOKUP(A609,Sheet1!A609:B1951,1,FALSE)</f>
        <v>HFA951LLHA2026-02-11</v>
      </c>
      <c r="C609" s="3">
        <v>46064</v>
      </c>
      <c r="D609" s="1" t="s">
        <v>74</v>
      </c>
      <c r="E609" s="1" t="s">
        <v>38</v>
      </c>
      <c r="F609" s="1"/>
      <c r="G609" s="1" t="s">
        <v>39</v>
      </c>
      <c r="H609" s="1" t="s">
        <v>176</v>
      </c>
      <c r="I609" s="1" t="s">
        <v>41</v>
      </c>
      <c r="J609" s="1" t="s">
        <v>42</v>
      </c>
      <c r="K609" s="1" t="s">
        <v>43</v>
      </c>
      <c r="L609" s="1" t="s">
        <v>44</v>
      </c>
      <c r="M609" s="1" t="s">
        <v>45</v>
      </c>
      <c r="N609" s="1" t="s">
        <v>75</v>
      </c>
      <c r="O609" s="1" t="s">
        <v>76</v>
      </c>
      <c r="P609" s="1" t="s">
        <v>77</v>
      </c>
      <c r="Q609" s="1" t="s">
        <v>78</v>
      </c>
      <c r="R609" s="1" t="s">
        <v>50</v>
      </c>
      <c r="S609" s="1">
        <v>1499</v>
      </c>
      <c r="T609" s="1">
        <v>0</v>
      </c>
      <c r="U609" s="4">
        <v>0.15277777777777779</v>
      </c>
      <c r="V609" s="1">
        <v>2330</v>
      </c>
      <c r="W609" s="1">
        <v>1370</v>
      </c>
      <c r="X609" s="1">
        <v>3700</v>
      </c>
      <c r="Y609" s="1" t="s">
        <v>51</v>
      </c>
      <c r="Z609" s="1">
        <v>1190</v>
      </c>
      <c r="AA609" s="1">
        <v>2510</v>
      </c>
      <c r="AB609" s="1">
        <v>0</v>
      </c>
      <c r="AC609" s="1">
        <v>0</v>
      </c>
      <c r="AD609" s="1">
        <v>0</v>
      </c>
      <c r="AE609" s="1">
        <v>0</v>
      </c>
      <c r="AF609" s="1"/>
      <c r="AG609" s="1">
        <v>0</v>
      </c>
      <c r="AH609" s="1">
        <v>0</v>
      </c>
      <c r="AI609" s="1">
        <v>0</v>
      </c>
      <c r="AJ609" s="1">
        <v>0</v>
      </c>
      <c r="AK609" s="1">
        <v>7.9316000000000004</v>
      </c>
      <c r="AL609" s="1">
        <v>7.9316000000000004</v>
      </c>
      <c r="AM609" s="1">
        <v>7.9316000000000004</v>
      </c>
    </row>
    <row r="610" spans="1:39" x14ac:dyDescent="0.3">
      <c r="A610" s="21" t="str">
        <f t="shared" si="9"/>
        <v>HFA952LBSF2026-02-11</v>
      </c>
      <c r="B610" t="str">
        <f>VLOOKUP(A610,Sheet1!A610:B1952,1,FALSE)</f>
        <v>HFA952LBSF2026-02-11</v>
      </c>
      <c r="C610" s="3">
        <v>46064</v>
      </c>
      <c r="D610" s="1" t="s">
        <v>79</v>
      </c>
      <c r="E610" s="1" t="s">
        <v>38</v>
      </c>
      <c r="F610" s="1"/>
      <c r="G610" s="1" t="s">
        <v>39</v>
      </c>
      <c r="H610" s="1" t="s">
        <v>176</v>
      </c>
      <c r="I610" s="1" t="s">
        <v>75</v>
      </c>
      <c r="J610" s="1" t="s">
        <v>76</v>
      </c>
      <c r="K610" s="1" t="s">
        <v>77</v>
      </c>
      <c r="L610" s="1" t="s">
        <v>78</v>
      </c>
      <c r="M610" s="1" t="s">
        <v>50</v>
      </c>
      <c r="N610" s="1" t="s">
        <v>41</v>
      </c>
      <c r="O610" s="1" t="s">
        <v>42</v>
      </c>
      <c r="P610" s="1" t="s">
        <v>43</v>
      </c>
      <c r="Q610" s="1" t="s">
        <v>44</v>
      </c>
      <c r="R610" s="1" t="s">
        <v>45</v>
      </c>
      <c r="S610" s="1">
        <v>1499</v>
      </c>
      <c r="T610" s="1">
        <v>0</v>
      </c>
      <c r="U610" s="4">
        <v>0.13055555555555556</v>
      </c>
      <c r="V610" s="1">
        <v>1190</v>
      </c>
      <c r="W610" s="1">
        <v>2810</v>
      </c>
      <c r="X610" s="1">
        <v>4000</v>
      </c>
      <c r="Y610" s="1" t="s">
        <v>51</v>
      </c>
      <c r="Z610" s="1">
        <v>2270</v>
      </c>
      <c r="AA610" s="1">
        <v>1730</v>
      </c>
      <c r="AB610" s="1">
        <v>0</v>
      </c>
      <c r="AC610" s="1">
        <v>0</v>
      </c>
      <c r="AD610" s="1">
        <v>0</v>
      </c>
      <c r="AE610" s="1">
        <v>0</v>
      </c>
      <c r="AF610" s="1"/>
      <c r="AG610" s="1">
        <v>0</v>
      </c>
      <c r="AH610" s="1">
        <v>0</v>
      </c>
      <c r="AI610" s="1">
        <v>0</v>
      </c>
      <c r="AJ610" s="1">
        <v>0</v>
      </c>
      <c r="AK610" s="1">
        <v>5.4668000000000001</v>
      </c>
      <c r="AL610" s="1">
        <v>5.4668000000000001</v>
      </c>
      <c r="AM610" s="1">
        <v>5.4668000000000001</v>
      </c>
    </row>
    <row r="611" spans="1:39" x14ac:dyDescent="0.3">
      <c r="A611" s="21" t="str">
        <f t="shared" si="9"/>
        <v>HFA703LLHA2026-02-12</v>
      </c>
      <c r="B611" t="e">
        <f>VLOOKUP(A611,Sheet1!A611:B1953,1,FALSE)</f>
        <v>#N/A</v>
      </c>
      <c r="C611" s="3">
        <v>46065</v>
      </c>
      <c r="D611" s="1" t="s">
        <v>37</v>
      </c>
      <c r="E611" s="1" t="s">
        <v>38</v>
      </c>
      <c r="F611" s="1"/>
      <c r="G611" s="1" t="s">
        <v>39</v>
      </c>
      <c r="H611" s="1" t="s">
        <v>176</v>
      </c>
      <c r="I611" s="1" t="s">
        <v>41</v>
      </c>
      <c r="J611" s="1" t="s">
        <v>42</v>
      </c>
      <c r="K611" s="1" t="s">
        <v>43</v>
      </c>
      <c r="L611" s="1" t="s">
        <v>44</v>
      </c>
      <c r="M611" s="1" t="s">
        <v>45</v>
      </c>
      <c r="N611" s="1" t="s">
        <v>46</v>
      </c>
      <c r="O611" s="1" t="s">
        <v>47</v>
      </c>
      <c r="P611" s="1" t="s">
        <v>48</v>
      </c>
      <c r="Q611" s="1" t="s">
        <v>49</v>
      </c>
      <c r="R611" s="1" t="s">
        <v>50</v>
      </c>
      <c r="S611" s="1">
        <v>1157</v>
      </c>
      <c r="T611" s="1">
        <v>0</v>
      </c>
      <c r="U611" s="4">
        <v>0.12152777777777778</v>
      </c>
      <c r="V611" s="1">
        <v>2270</v>
      </c>
      <c r="W611" s="1">
        <v>830</v>
      </c>
      <c r="X611" s="1">
        <v>3100</v>
      </c>
      <c r="Y611" s="1" t="s">
        <v>51</v>
      </c>
      <c r="Z611" s="1">
        <v>1110</v>
      </c>
      <c r="AA611" s="1">
        <v>1990</v>
      </c>
      <c r="AB611" s="1">
        <v>0</v>
      </c>
      <c r="AC611" s="1">
        <v>0</v>
      </c>
      <c r="AD611" s="1">
        <v>0</v>
      </c>
      <c r="AE611" s="1">
        <v>0</v>
      </c>
      <c r="AF611" s="1"/>
      <c r="AG611" s="1">
        <v>0</v>
      </c>
      <c r="AH611" s="1">
        <v>0</v>
      </c>
      <c r="AI611" s="1">
        <v>0</v>
      </c>
      <c r="AJ611" s="1">
        <v>0</v>
      </c>
      <c r="AK611" s="1">
        <v>6.2884000000000002</v>
      </c>
      <c r="AL611" s="1">
        <v>6.2884000000000002</v>
      </c>
      <c r="AM611" s="1">
        <v>6.2884000000000002</v>
      </c>
    </row>
    <row r="612" spans="1:39" x14ac:dyDescent="0.3">
      <c r="A612" s="21" t="str">
        <f t="shared" si="9"/>
        <v>HFA704LGAV2026-02-12</v>
      </c>
      <c r="B612" t="e">
        <f>VLOOKUP(A612,Sheet1!A612:B1954,1,FALSE)</f>
        <v>#N/A</v>
      </c>
      <c r="C612" s="3">
        <v>46065</v>
      </c>
      <c r="D612" s="1" t="s">
        <v>52</v>
      </c>
      <c r="E612" s="1" t="s">
        <v>38</v>
      </c>
      <c r="F612" s="1"/>
      <c r="G612" s="1" t="s">
        <v>39</v>
      </c>
      <c r="H612" s="1" t="s">
        <v>176</v>
      </c>
      <c r="I612" s="1" t="s">
        <v>46</v>
      </c>
      <c r="J612" s="1" t="s">
        <v>47</v>
      </c>
      <c r="K612" s="1" t="s">
        <v>48</v>
      </c>
      <c r="L612" s="1" t="s">
        <v>49</v>
      </c>
      <c r="M612" s="1" t="s">
        <v>50</v>
      </c>
      <c r="N612" s="1" t="s">
        <v>41</v>
      </c>
      <c r="O612" s="1" t="s">
        <v>42</v>
      </c>
      <c r="P612" s="1" t="s">
        <v>43</v>
      </c>
      <c r="Q612" s="1" t="s">
        <v>44</v>
      </c>
      <c r="R612" s="1" t="s">
        <v>45</v>
      </c>
      <c r="S612" s="1">
        <v>1157</v>
      </c>
      <c r="T612" s="1">
        <v>0</v>
      </c>
      <c r="U612" s="4">
        <v>0.10277777777777777</v>
      </c>
      <c r="V612" s="1">
        <v>1110</v>
      </c>
      <c r="W612" s="1">
        <v>2290</v>
      </c>
      <c r="X612" s="1">
        <v>3400</v>
      </c>
      <c r="Y612" s="1" t="s">
        <v>51</v>
      </c>
      <c r="Z612" s="1">
        <v>2040</v>
      </c>
      <c r="AA612" s="1">
        <v>1360</v>
      </c>
      <c r="AB612" s="1">
        <v>0</v>
      </c>
      <c r="AC612" s="1">
        <v>0</v>
      </c>
      <c r="AD612" s="1">
        <v>0</v>
      </c>
      <c r="AE612" s="1">
        <v>0</v>
      </c>
      <c r="AF612" s="1"/>
      <c r="AG612" s="1">
        <v>0</v>
      </c>
      <c r="AH612" s="1">
        <v>0</v>
      </c>
      <c r="AI612" s="1">
        <v>0</v>
      </c>
      <c r="AJ612" s="1">
        <v>0</v>
      </c>
      <c r="AK612" s="1">
        <v>4.2976000000000001</v>
      </c>
      <c r="AL612" s="1">
        <v>4.2976000000000001</v>
      </c>
      <c r="AM612" s="1">
        <v>4.2976000000000001</v>
      </c>
    </row>
    <row r="613" spans="1:39" x14ac:dyDescent="0.3">
      <c r="A613" s="21" t="str">
        <f t="shared" si="9"/>
        <v>HFA701LLHA2026-02-13</v>
      </c>
      <c r="B613" t="e">
        <f>VLOOKUP(A613,Sheet1!A613:B1955,1,FALSE)</f>
        <v>#N/A</v>
      </c>
      <c r="C613" s="3">
        <v>46066</v>
      </c>
      <c r="D613" s="1" t="s">
        <v>53</v>
      </c>
      <c r="E613" s="1" t="s">
        <v>38</v>
      </c>
      <c r="F613" s="1"/>
      <c r="G613" s="1" t="s">
        <v>39</v>
      </c>
      <c r="H613" s="1" t="s">
        <v>176</v>
      </c>
      <c r="I613" s="1" t="s">
        <v>41</v>
      </c>
      <c r="J613" s="1" t="s">
        <v>42</v>
      </c>
      <c r="K613" s="1" t="s">
        <v>43</v>
      </c>
      <c r="L613" s="1" t="s">
        <v>44</v>
      </c>
      <c r="M613" s="1" t="s">
        <v>45</v>
      </c>
      <c r="N613" s="1" t="s">
        <v>46</v>
      </c>
      <c r="O613" s="1" t="s">
        <v>47</v>
      </c>
      <c r="P613" s="1" t="s">
        <v>48</v>
      </c>
      <c r="Q613" s="1" t="s">
        <v>49</v>
      </c>
      <c r="R613" s="1" t="s">
        <v>50</v>
      </c>
      <c r="S613" s="1">
        <v>1157</v>
      </c>
      <c r="T613" s="1">
        <v>0</v>
      </c>
      <c r="U613" s="4">
        <v>0.12083333333333332</v>
      </c>
      <c r="V613" s="1">
        <v>2040</v>
      </c>
      <c r="W613" s="1">
        <v>1260</v>
      </c>
      <c r="X613" s="1">
        <v>3300</v>
      </c>
      <c r="Y613" s="1" t="s">
        <v>51</v>
      </c>
      <c r="Z613" s="1">
        <v>1530</v>
      </c>
      <c r="AA613" s="1">
        <v>1770</v>
      </c>
      <c r="AB613" s="1">
        <v>0</v>
      </c>
      <c r="AC613" s="1">
        <v>0</v>
      </c>
      <c r="AD613" s="1">
        <v>0</v>
      </c>
      <c r="AE613" s="1">
        <v>0</v>
      </c>
      <c r="AF613" s="1"/>
      <c r="AG613" s="1">
        <v>0</v>
      </c>
      <c r="AH613" s="1">
        <v>0</v>
      </c>
      <c r="AI613" s="1">
        <v>0</v>
      </c>
      <c r="AJ613" s="1">
        <v>0</v>
      </c>
      <c r="AK613" s="1">
        <v>5.5932000000000004</v>
      </c>
      <c r="AL613" s="1">
        <v>5.5932000000000004</v>
      </c>
      <c r="AM613" s="1">
        <v>5.5932000000000004</v>
      </c>
    </row>
    <row r="614" spans="1:39" x14ac:dyDescent="0.3">
      <c r="A614" s="21" t="str">
        <f t="shared" si="9"/>
        <v>HFA702LGAV2026-02-13</v>
      </c>
      <c r="B614" t="e">
        <f>VLOOKUP(A614,Sheet1!A614:B1956,1,FALSE)</f>
        <v>#N/A</v>
      </c>
      <c r="C614" s="3">
        <v>46066</v>
      </c>
      <c r="D614" s="1" t="s">
        <v>56</v>
      </c>
      <c r="E614" s="1" t="s">
        <v>38</v>
      </c>
      <c r="F614" s="1"/>
      <c r="G614" s="1" t="s">
        <v>39</v>
      </c>
      <c r="H614" s="1" t="s">
        <v>176</v>
      </c>
      <c r="I614" s="1" t="s">
        <v>46</v>
      </c>
      <c r="J614" s="1" t="s">
        <v>47</v>
      </c>
      <c r="K614" s="1" t="s">
        <v>48</v>
      </c>
      <c r="L614" s="1" t="s">
        <v>49</v>
      </c>
      <c r="M614" s="1" t="s">
        <v>50</v>
      </c>
      <c r="N614" s="1" t="s">
        <v>41</v>
      </c>
      <c r="O614" s="1" t="s">
        <v>42</v>
      </c>
      <c r="P614" s="1" t="s">
        <v>43</v>
      </c>
      <c r="Q614" s="1" t="s">
        <v>44</v>
      </c>
      <c r="R614" s="1" t="s">
        <v>45</v>
      </c>
      <c r="S614" s="1">
        <v>1157</v>
      </c>
      <c r="T614" s="1">
        <v>0</v>
      </c>
      <c r="U614" s="4">
        <v>0.10277777777777777</v>
      </c>
      <c r="V614" s="1">
        <v>1530</v>
      </c>
      <c r="W614" s="1">
        <v>2170</v>
      </c>
      <c r="X614" s="1">
        <v>3700</v>
      </c>
      <c r="Y614" s="1" t="s">
        <v>51</v>
      </c>
      <c r="Z614" s="1">
        <v>2050</v>
      </c>
      <c r="AA614" s="1">
        <v>1650</v>
      </c>
      <c r="AB614" s="1">
        <v>0</v>
      </c>
      <c r="AC614" s="1">
        <v>0</v>
      </c>
      <c r="AD614" s="1">
        <v>0</v>
      </c>
      <c r="AE614" s="1">
        <v>0</v>
      </c>
      <c r="AF614" s="1"/>
      <c r="AG614" s="1">
        <v>0</v>
      </c>
      <c r="AH614" s="1">
        <v>0</v>
      </c>
      <c r="AI614" s="1">
        <v>0</v>
      </c>
      <c r="AJ614" s="1">
        <v>0</v>
      </c>
      <c r="AK614" s="1">
        <v>5.2140000000000004</v>
      </c>
      <c r="AL614" s="1">
        <v>5.2140000000000004</v>
      </c>
      <c r="AM614" s="1">
        <v>5.2140000000000004</v>
      </c>
    </row>
    <row r="615" spans="1:39" x14ac:dyDescent="0.3">
      <c r="A615" s="21" t="str">
        <f t="shared" si="9"/>
        <v>HFA851LLHA2026-02-15</v>
      </c>
      <c r="B615" t="str">
        <f>VLOOKUP(A615,Sheet1!A615:B1957,1,FALSE)</f>
        <v>HFA851LLHA2026-02-15</v>
      </c>
      <c r="C615" s="3">
        <v>46068</v>
      </c>
      <c r="D615" s="1" t="s">
        <v>66</v>
      </c>
      <c r="E615" s="1" t="s">
        <v>38</v>
      </c>
      <c r="F615" s="1"/>
      <c r="G615" s="1" t="s">
        <v>39</v>
      </c>
      <c r="H615" s="1" t="s">
        <v>176</v>
      </c>
      <c r="I615" s="1" t="s">
        <v>41</v>
      </c>
      <c r="J615" s="1" t="s">
        <v>42</v>
      </c>
      <c r="K615" s="1" t="s">
        <v>43</v>
      </c>
      <c r="L615" s="1" t="s">
        <v>44</v>
      </c>
      <c r="M615" s="1" t="s">
        <v>45</v>
      </c>
      <c r="N615" s="1" t="s">
        <v>67</v>
      </c>
      <c r="O615" s="1" t="s">
        <v>68</v>
      </c>
      <c r="P615" s="1" t="s">
        <v>69</v>
      </c>
      <c r="Q615" s="1" t="s">
        <v>70</v>
      </c>
      <c r="R615" s="1" t="s">
        <v>50</v>
      </c>
      <c r="S615" s="1">
        <v>318</v>
      </c>
      <c r="T615" s="1">
        <v>0</v>
      </c>
      <c r="U615" s="4">
        <v>4.583333333333333E-2</v>
      </c>
      <c r="V615" s="1">
        <v>2050</v>
      </c>
      <c r="W615" s="1">
        <v>-30</v>
      </c>
      <c r="X615" s="1">
        <v>2020</v>
      </c>
      <c r="Y615" s="1" t="s">
        <v>51</v>
      </c>
      <c r="Z615" s="1">
        <v>1390</v>
      </c>
      <c r="AA615" s="1">
        <v>630</v>
      </c>
      <c r="AB615" s="1">
        <v>0</v>
      </c>
      <c r="AC615" s="1">
        <v>0</v>
      </c>
      <c r="AD615" s="1">
        <v>0</v>
      </c>
      <c r="AE615" s="1">
        <v>0</v>
      </c>
      <c r="AF615" s="1"/>
      <c r="AG615" s="1">
        <v>0</v>
      </c>
      <c r="AH615" s="1">
        <v>0</v>
      </c>
      <c r="AI615" s="1">
        <v>0</v>
      </c>
      <c r="AJ615" s="1">
        <v>0</v>
      </c>
      <c r="AK615" s="1">
        <v>1.9907999999999999</v>
      </c>
      <c r="AL615" s="1">
        <v>1.9907999999999999</v>
      </c>
      <c r="AM615" s="1">
        <v>1.9907999999999999</v>
      </c>
    </row>
    <row r="616" spans="1:39" x14ac:dyDescent="0.3">
      <c r="A616" s="21" t="str">
        <f t="shared" si="9"/>
        <v>HFA852LCPH2026-02-15</v>
      </c>
      <c r="B616" t="str">
        <f>VLOOKUP(A616,Sheet1!A616:B1958,1,FALSE)</f>
        <v>HFA852LCPH2026-02-15</v>
      </c>
      <c r="C616" s="3">
        <v>46068</v>
      </c>
      <c r="D616" s="1" t="s">
        <v>71</v>
      </c>
      <c r="E616" s="1" t="s">
        <v>38</v>
      </c>
      <c r="F616" s="1"/>
      <c r="G616" s="1" t="s">
        <v>39</v>
      </c>
      <c r="H616" s="1" t="s">
        <v>176</v>
      </c>
      <c r="I616" s="1" t="s">
        <v>67</v>
      </c>
      <c r="J616" s="1" t="s">
        <v>68</v>
      </c>
      <c r="K616" s="1" t="s">
        <v>69</v>
      </c>
      <c r="L616" s="1" t="s">
        <v>70</v>
      </c>
      <c r="M616" s="1" t="s">
        <v>50</v>
      </c>
      <c r="N616" s="1" t="s">
        <v>41</v>
      </c>
      <c r="O616" s="1" t="s">
        <v>42</v>
      </c>
      <c r="P616" s="1" t="s">
        <v>43</v>
      </c>
      <c r="Q616" s="1" t="s">
        <v>44</v>
      </c>
      <c r="R616" s="1" t="s">
        <v>45</v>
      </c>
      <c r="S616" s="1">
        <v>318</v>
      </c>
      <c r="T616" s="1">
        <v>0</v>
      </c>
      <c r="U616" s="4">
        <v>4.5138888888888888E-2</v>
      </c>
      <c r="V616" s="1">
        <v>1390</v>
      </c>
      <c r="W616" s="1">
        <v>910</v>
      </c>
      <c r="X616" s="1">
        <v>2300</v>
      </c>
      <c r="Y616" s="1" t="s">
        <v>51</v>
      </c>
      <c r="Z616" s="1">
        <v>1730</v>
      </c>
      <c r="AA616" s="1">
        <v>570</v>
      </c>
      <c r="AB616" s="1">
        <v>0</v>
      </c>
      <c r="AC616" s="1">
        <v>0</v>
      </c>
      <c r="AD616" s="1">
        <v>0</v>
      </c>
      <c r="AE616" s="1">
        <v>0</v>
      </c>
      <c r="AF616" s="1"/>
      <c r="AG616" s="1">
        <v>0</v>
      </c>
      <c r="AH616" s="1">
        <v>0</v>
      </c>
      <c r="AI616" s="1">
        <v>0</v>
      </c>
      <c r="AJ616" s="1">
        <v>0</v>
      </c>
      <c r="AK616" s="1">
        <v>1.8011999999999999</v>
      </c>
      <c r="AL616" s="1">
        <v>1.8011999999999999</v>
      </c>
      <c r="AM616" s="1">
        <v>1.8011999999999999</v>
      </c>
    </row>
    <row r="617" spans="1:39" x14ac:dyDescent="0.3">
      <c r="A617" s="21" t="str">
        <f t="shared" si="9"/>
        <v>HFA703LLHA2026-02-15</v>
      </c>
      <c r="B617" t="e">
        <f>VLOOKUP(A617,Sheet1!A617:B1959,1,FALSE)</f>
        <v>#N/A</v>
      </c>
      <c r="C617" s="3">
        <v>46068</v>
      </c>
      <c r="D617" s="1" t="s">
        <v>37</v>
      </c>
      <c r="E617" s="1" t="s">
        <v>38</v>
      </c>
      <c r="F617" s="1"/>
      <c r="G617" s="1" t="s">
        <v>39</v>
      </c>
      <c r="H617" s="1" t="s">
        <v>176</v>
      </c>
      <c r="I617" s="1" t="s">
        <v>41</v>
      </c>
      <c r="J617" s="1" t="s">
        <v>42</v>
      </c>
      <c r="K617" s="1" t="s">
        <v>43</v>
      </c>
      <c r="L617" s="1" t="s">
        <v>44</v>
      </c>
      <c r="M617" s="1" t="s">
        <v>45</v>
      </c>
      <c r="N617" s="1" t="s">
        <v>46</v>
      </c>
      <c r="O617" s="1" t="s">
        <v>47</v>
      </c>
      <c r="P617" s="1" t="s">
        <v>48</v>
      </c>
      <c r="Q617" s="1" t="s">
        <v>49</v>
      </c>
      <c r="R617" s="1" t="s">
        <v>50</v>
      </c>
      <c r="S617" s="1">
        <v>1157</v>
      </c>
      <c r="T617" s="1">
        <v>0</v>
      </c>
      <c r="U617" s="4">
        <v>0.12013888888888888</v>
      </c>
      <c r="V617" s="1">
        <v>1730</v>
      </c>
      <c r="W617" s="1">
        <v>1270</v>
      </c>
      <c r="X617" s="1">
        <v>3000</v>
      </c>
      <c r="Y617" s="1" t="s">
        <v>51</v>
      </c>
      <c r="Z617" s="1">
        <v>1110</v>
      </c>
      <c r="AA617" s="1">
        <v>1890</v>
      </c>
      <c r="AB617" s="1">
        <v>0</v>
      </c>
      <c r="AC617" s="1">
        <v>0</v>
      </c>
      <c r="AD617" s="1">
        <v>0</v>
      </c>
      <c r="AE617" s="1">
        <v>0</v>
      </c>
      <c r="AF617" s="1"/>
      <c r="AG617" s="1">
        <v>0</v>
      </c>
      <c r="AH617" s="1">
        <v>0</v>
      </c>
      <c r="AI617" s="1">
        <v>0</v>
      </c>
      <c r="AJ617" s="1">
        <v>0</v>
      </c>
      <c r="AK617" s="1">
        <v>5.9724000000000004</v>
      </c>
      <c r="AL617" s="1">
        <v>5.9724000000000004</v>
      </c>
      <c r="AM617" s="1">
        <v>5.9724000000000004</v>
      </c>
    </row>
    <row r="618" spans="1:39" x14ac:dyDescent="0.3">
      <c r="A618" s="21" t="str">
        <f t="shared" si="9"/>
        <v>HFA704LGAV2026-02-15</v>
      </c>
      <c r="B618" t="e">
        <f>VLOOKUP(A618,Sheet1!A618:B1960,1,FALSE)</f>
        <v>#N/A</v>
      </c>
      <c r="C618" s="3">
        <v>46068</v>
      </c>
      <c r="D618" s="1" t="s">
        <v>52</v>
      </c>
      <c r="E618" s="1" t="s">
        <v>38</v>
      </c>
      <c r="F618" s="1"/>
      <c r="G618" s="1" t="s">
        <v>39</v>
      </c>
      <c r="H618" s="1" t="s">
        <v>176</v>
      </c>
      <c r="I618" s="1" t="s">
        <v>46</v>
      </c>
      <c r="J618" s="1" t="s">
        <v>47</v>
      </c>
      <c r="K618" s="1" t="s">
        <v>48</v>
      </c>
      <c r="L618" s="1" t="s">
        <v>49</v>
      </c>
      <c r="M618" s="1" t="s">
        <v>50</v>
      </c>
      <c r="N618" s="1" t="s">
        <v>41</v>
      </c>
      <c r="O618" s="1" t="s">
        <v>42</v>
      </c>
      <c r="P618" s="1" t="s">
        <v>43</v>
      </c>
      <c r="Q618" s="1" t="s">
        <v>44</v>
      </c>
      <c r="R618" s="1" t="s">
        <v>45</v>
      </c>
      <c r="S618" s="1">
        <v>1157</v>
      </c>
      <c r="T618" s="1">
        <v>0</v>
      </c>
      <c r="U618" s="4">
        <v>0.11458333333333333</v>
      </c>
      <c r="V618" s="1">
        <v>1110</v>
      </c>
      <c r="W618" s="1">
        <v>2490</v>
      </c>
      <c r="X618" s="1">
        <v>3600</v>
      </c>
      <c r="Y618" s="1" t="s">
        <v>51</v>
      </c>
      <c r="Z618" s="1">
        <v>2070</v>
      </c>
      <c r="AA618" s="1">
        <v>1530</v>
      </c>
      <c r="AB618" s="1">
        <v>0</v>
      </c>
      <c r="AC618" s="1">
        <v>0</v>
      </c>
      <c r="AD618" s="1">
        <v>0</v>
      </c>
      <c r="AE618" s="1">
        <v>0</v>
      </c>
      <c r="AF618" s="1"/>
      <c r="AG618" s="1">
        <v>0</v>
      </c>
      <c r="AH618" s="1">
        <v>0</v>
      </c>
      <c r="AI618" s="1">
        <v>0</v>
      </c>
      <c r="AJ618" s="1">
        <v>0</v>
      </c>
      <c r="AK618" s="1">
        <v>4.8348000000000004</v>
      </c>
      <c r="AL618" s="1">
        <v>4.8348000000000004</v>
      </c>
      <c r="AM618" s="1">
        <v>4.8348000000000004</v>
      </c>
    </row>
    <row r="619" spans="1:39" x14ac:dyDescent="0.3">
      <c r="A619" s="21" t="str">
        <f t="shared" si="9"/>
        <v>HFA951LLHA2026-02-16</v>
      </c>
      <c r="B619" t="str">
        <f>VLOOKUP(A619,Sheet1!A619:B1961,1,FALSE)</f>
        <v>HFA951LLHA2026-02-16</v>
      </c>
      <c r="C619" s="3">
        <v>46069</v>
      </c>
      <c r="D619" s="1" t="s">
        <v>74</v>
      </c>
      <c r="E619" s="1" t="s">
        <v>38</v>
      </c>
      <c r="F619" s="1"/>
      <c r="G619" s="1" t="s">
        <v>39</v>
      </c>
      <c r="H619" s="1" t="s">
        <v>176</v>
      </c>
      <c r="I619" s="1" t="s">
        <v>41</v>
      </c>
      <c r="J619" s="1" t="s">
        <v>42</v>
      </c>
      <c r="K619" s="1" t="s">
        <v>43</v>
      </c>
      <c r="L619" s="1" t="s">
        <v>44</v>
      </c>
      <c r="M619" s="1" t="s">
        <v>45</v>
      </c>
      <c r="N619" s="1" t="s">
        <v>75</v>
      </c>
      <c r="O619" s="1" t="s">
        <v>76</v>
      </c>
      <c r="P619" s="1" t="s">
        <v>77</v>
      </c>
      <c r="Q619" s="1" t="s">
        <v>78</v>
      </c>
      <c r="R619" s="1" t="s">
        <v>50</v>
      </c>
      <c r="S619" s="1">
        <v>1499</v>
      </c>
      <c r="T619" s="1">
        <v>0</v>
      </c>
      <c r="U619" s="4">
        <v>0.15347222222222223</v>
      </c>
      <c r="V619" s="1">
        <v>2070</v>
      </c>
      <c r="W619" s="1">
        <v>1030</v>
      </c>
      <c r="X619" s="1">
        <v>3100</v>
      </c>
      <c r="Y619" s="1" t="s">
        <v>51</v>
      </c>
      <c r="Z619" s="1">
        <v>960</v>
      </c>
      <c r="AA619" s="1">
        <v>2140</v>
      </c>
      <c r="AB619" s="1">
        <v>0</v>
      </c>
      <c r="AC619" s="1">
        <v>0</v>
      </c>
      <c r="AD619" s="1">
        <v>0</v>
      </c>
      <c r="AE619" s="1">
        <v>0</v>
      </c>
      <c r="AF619" s="1"/>
      <c r="AG619" s="1">
        <v>0</v>
      </c>
      <c r="AH619" s="1">
        <v>0</v>
      </c>
      <c r="AI619" s="1">
        <v>0</v>
      </c>
      <c r="AJ619" s="1">
        <v>0</v>
      </c>
      <c r="AK619" s="1">
        <v>6.7624000000000004</v>
      </c>
      <c r="AL619" s="1">
        <v>6.7624000000000004</v>
      </c>
      <c r="AM619" s="1">
        <v>6.7624000000000004</v>
      </c>
    </row>
    <row r="620" spans="1:39" x14ac:dyDescent="0.3">
      <c r="A620" s="21" t="str">
        <f t="shared" si="9"/>
        <v>HFA952LBSF2026-02-16</v>
      </c>
      <c r="B620" t="str">
        <f>VLOOKUP(A620,Sheet1!A620:B1962,1,FALSE)</f>
        <v>HFA952LBSF2026-02-16</v>
      </c>
      <c r="C620" s="3">
        <v>46069</v>
      </c>
      <c r="D620" s="1" t="s">
        <v>79</v>
      </c>
      <c r="E620" s="1" t="s">
        <v>38</v>
      </c>
      <c r="F620" s="1"/>
      <c r="G620" s="1" t="s">
        <v>39</v>
      </c>
      <c r="H620" s="1" t="s">
        <v>176</v>
      </c>
      <c r="I620" s="1" t="s">
        <v>75</v>
      </c>
      <c r="J620" s="1" t="s">
        <v>76</v>
      </c>
      <c r="K620" s="1" t="s">
        <v>77</v>
      </c>
      <c r="L620" s="1" t="s">
        <v>78</v>
      </c>
      <c r="M620" s="1" t="s">
        <v>50</v>
      </c>
      <c r="N620" s="1" t="s">
        <v>41</v>
      </c>
      <c r="O620" s="1" t="s">
        <v>42</v>
      </c>
      <c r="P620" s="1" t="s">
        <v>43</v>
      </c>
      <c r="Q620" s="1" t="s">
        <v>44</v>
      </c>
      <c r="R620" s="1" t="s">
        <v>45</v>
      </c>
      <c r="S620" s="1">
        <v>1499</v>
      </c>
      <c r="T620" s="1">
        <v>0</v>
      </c>
      <c r="U620" s="4">
        <v>0.15555555555555556</v>
      </c>
      <c r="V620" s="1">
        <v>960</v>
      </c>
      <c r="W620" s="1">
        <v>2940</v>
      </c>
      <c r="X620" s="1">
        <v>3900</v>
      </c>
      <c r="Y620" s="1" t="s">
        <v>51</v>
      </c>
      <c r="Z620" s="1">
        <v>1580</v>
      </c>
      <c r="AA620" s="1">
        <v>2320</v>
      </c>
      <c r="AB620" s="1">
        <v>0</v>
      </c>
      <c r="AC620" s="1">
        <v>0</v>
      </c>
      <c r="AD620" s="1">
        <v>0</v>
      </c>
      <c r="AE620" s="1">
        <v>0</v>
      </c>
      <c r="AF620" s="1"/>
      <c r="AG620" s="1">
        <v>0</v>
      </c>
      <c r="AH620" s="1">
        <v>0</v>
      </c>
      <c r="AI620" s="1">
        <v>0</v>
      </c>
      <c r="AJ620" s="1">
        <v>0</v>
      </c>
      <c r="AK620" s="1">
        <v>7.3311999999999999</v>
      </c>
      <c r="AL620" s="1">
        <v>7.3311999999999999</v>
      </c>
      <c r="AM620" s="1">
        <v>7.3311999999999999</v>
      </c>
    </row>
    <row r="621" spans="1:39" x14ac:dyDescent="0.3">
      <c r="A621" s="21" t="str">
        <f t="shared" si="9"/>
        <v>HFA703LLHA2026-02-17</v>
      </c>
      <c r="B621" t="e">
        <f>VLOOKUP(A621,Sheet1!A621:B1963,1,FALSE)</f>
        <v>#N/A</v>
      </c>
      <c r="C621" s="3">
        <v>46070</v>
      </c>
      <c r="D621" s="1" t="s">
        <v>37</v>
      </c>
      <c r="E621" s="1" t="s">
        <v>38</v>
      </c>
      <c r="F621" s="1"/>
      <c r="G621" s="1" t="s">
        <v>39</v>
      </c>
      <c r="H621" s="1" t="s">
        <v>176</v>
      </c>
      <c r="I621" s="1" t="s">
        <v>41</v>
      </c>
      <c r="J621" s="1" t="s">
        <v>42</v>
      </c>
      <c r="K621" s="1" t="s">
        <v>43</v>
      </c>
      <c r="L621" s="1" t="s">
        <v>44</v>
      </c>
      <c r="M621" s="1" t="s">
        <v>45</v>
      </c>
      <c r="N621" s="1" t="s">
        <v>46</v>
      </c>
      <c r="O621" s="1" t="s">
        <v>47</v>
      </c>
      <c r="P621" s="1" t="s">
        <v>48</v>
      </c>
      <c r="Q621" s="1" t="s">
        <v>49</v>
      </c>
      <c r="R621" s="1" t="s">
        <v>50</v>
      </c>
      <c r="S621" s="1">
        <v>1157</v>
      </c>
      <c r="T621" s="1">
        <v>0</v>
      </c>
      <c r="U621" s="4">
        <v>0.12916666666666668</v>
      </c>
      <c r="V621" s="1">
        <v>1580</v>
      </c>
      <c r="W621" s="1">
        <v>1720</v>
      </c>
      <c r="X621" s="1">
        <v>3300</v>
      </c>
      <c r="Y621" s="1" t="s">
        <v>51</v>
      </c>
      <c r="Z621" s="1">
        <v>1420</v>
      </c>
      <c r="AA621" s="1">
        <v>1880</v>
      </c>
      <c r="AB621" s="1">
        <v>0</v>
      </c>
      <c r="AC621" s="1">
        <v>0</v>
      </c>
      <c r="AD621" s="1">
        <v>0</v>
      </c>
      <c r="AE621" s="1">
        <v>0</v>
      </c>
      <c r="AF621" s="1"/>
      <c r="AG621" s="1">
        <v>0</v>
      </c>
      <c r="AH621" s="1">
        <v>0</v>
      </c>
      <c r="AI621" s="1">
        <v>0</v>
      </c>
      <c r="AJ621" s="1">
        <v>0</v>
      </c>
      <c r="AK621" s="1">
        <v>5.9408000000000003</v>
      </c>
      <c r="AL621" s="1">
        <v>5.9408000000000003</v>
      </c>
      <c r="AM621" s="1">
        <v>5.9408000000000003</v>
      </c>
    </row>
    <row r="622" spans="1:39" x14ac:dyDescent="0.3">
      <c r="A622" s="21" t="str">
        <f t="shared" si="9"/>
        <v>HFA704LGAV2026-02-17</v>
      </c>
      <c r="B622" t="e">
        <f>VLOOKUP(A622,Sheet1!A622:B1964,1,FALSE)</f>
        <v>#N/A</v>
      </c>
      <c r="C622" s="3">
        <v>46070</v>
      </c>
      <c r="D622" s="1" t="s">
        <v>52</v>
      </c>
      <c r="E622" s="1" t="s">
        <v>38</v>
      </c>
      <c r="F622" s="1"/>
      <c r="G622" s="1" t="s">
        <v>39</v>
      </c>
      <c r="H622" s="1" t="s">
        <v>176</v>
      </c>
      <c r="I622" s="1" t="s">
        <v>46</v>
      </c>
      <c r="J622" s="1" t="s">
        <v>47</v>
      </c>
      <c r="K622" s="1" t="s">
        <v>48</v>
      </c>
      <c r="L622" s="1" t="s">
        <v>49</v>
      </c>
      <c r="M622" s="1" t="s">
        <v>50</v>
      </c>
      <c r="N622" s="1" t="s">
        <v>41</v>
      </c>
      <c r="O622" s="1" t="s">
        <v>42</v>
      </c>
      <c r="P622" s="1" t="s">
        <v>43</v>
      </c>
      <c r="Q622" s="1" t="s">
        <v>44</v>
      </c>
      <c r="R622" s="1" t="s">
        <v>45</v>
      </c>
      <c r="S622" s="1">
        <v>1157</v>
      </c>
      <c r="T622" s="1">
        <v>0</v>
      </c>
      <c r="U622" s="4">
        <v>0.11180555555555555</v>
      </c>
      <c r="V622" s="1">
        <v>1420</v>
      </c>
      <c r="W622" s="1">
        <v>1980</v>
      </c>
      <c r="X622" s="1">
        <v>3400</v>
      </c>
      <c r="Y622" s="1" t="s">
        <v>51</v>
      </c>
      <c r="Z622" s="1">
        <v>1890</v>
      </c>
      <c r="AA622" s="1">
        <v>1510</v>
      </c>
      <c r="AB622" s="1">
        <v>0</v>
      </c>
      <c r="AC622" s="1">
        <v>0</v>
      </c>
      <c r="AD622" s="1">
        <v>0</v>
      </c>
      <c r="AE622" s="1">
        <v>0</v>
      </c>
      <c r="AF622" s="1"/>
      <c r="AG622" s="1">
        <v>0</v>
      </c>
      <c r="AH622" s="1">
        <v>0</v>
      </c>
      <c r="AI622" s="1">
        <v>0</v>
      </c>
      <c r="AJ622" s="1">
        <v>0</v>
      </c>
      <c r="AK622" s="1">
        <v>4.7716000000000003</v>
      </c>
      <c r="AL622" s="1">
        <v>4.7716000000000003</v>
      </c>
      <c r="AM622" s="1">
        <v>4.7716000000000003</v>
      </c>
    </row>
    <row r="623" spans="1:39" x14ac:dyDescent="0.3">
      <c r="A623" s="21" t="str">
        <f t="shared" si="9"/>
        <v>HFA951LLHA2026-02-18</v>
      </c>
      <c r="B623" t="str">
        <f>VLOOKUP(A623,Sheet1!A623:B1965,1,FALSE)</f>
        <v>HFA951LLHA2026-02-18</v>
      </c>
      <c r="C623" s="3">
        <v>46071</v>
      </c>
      <c r="D623" s="1" t="s">
        <v>74</v>
      </c>
      <c r="E623" s="1" t="s">
        <v>38</v>
      </c>
      <c r="F623" s="1"/>
      <c r="G623" s="1" t="s">
        <v>39</v>
      </c>
      <c r="H623" s="1" t="s">
        <v>176</v>
      </c>
      <c r="I623" s="1" t="s">
        <v>41</v>
      </c>
      <c r="J623" s="1" t="s">
        <v>42</v>
      </c>
      <c r="K623" s="1" t="s">
        <v>43</v>
      </c>
      <c r="L623" s="1" t="s">
        <v>44</v>
      </c>
      <c r="M623" s="1" t="s">
        <v>45</v>
      </c>
      <c r="N623" s="1" t="s">
        <v>75</v>
      </c>
      <c r="O623" s="1" t="s">
        <v>76</v>
      </c>
      <c r="P623" s="1" t="s">
        <v>77</v>
      </c>
      <c r="Q623" s="1" t="s">
        <v>78</v>
      </c>
      <c r="R623" s="1" t="s">
        <v>50</v>
      </c>
      <c r="S623" s="1">
        <v>1499</v>
      </c>
      <c r="T623" s="1">
        <v>0</v>
      </c>
      <c r="U623" s="4">
        <v>0.17013888888888887</v>
      </c>
      <c r="V623" s="1">
        <v>1890</v>
      </c>
      <c r="W623" s="1">
        <v>2210</v>
      </c>
      <c r="X623" s="1">
        <v>4100</v>
      </c>
      <c r="Y623" s="1" t="s">
        <v>51</v>
      </c>
      <c r="Z623" s="1">
        <v>1440</v>
      </c>
      <c r="AA623" s="1">
        <v>2660</v>
      </c>
      <c r="AB623" s="1">
        <v>0</v>
      </c>
      <c r="AC623" s="1">
        <v>0</v>
      </c>
      <c r="AD623" s="1">
        <v>0</v>
      </c>
      <c r="AE623" s="1">
        <v>0</v>
      </c>
      <c r="AF623" s="1"/>
      <c r="AG623" s="1">
        <v>0</v>
      </c>
      <c r="AH623" s="1">
        <v>0</v>
      </c>
      <c r="AI623" s="1">
        <v>0</v>
      </c>
      <c r="AJ623" s="1">
        <v>0</v>
      </c>
      <c r="AK623" s="1">
        <v>8.4055999999999997</v>
      </c>
      <c r="AL623" s="1">
        <v>8.4055999999999997</v>
      </c>
      <c r="AM623" s="1">
        <v>8.4055999999999997</v>
      </c>
    </row>
    <row r="624" spans="1:39" x14ac:dyDescent="0.3">
      <c r="A624" s="21" t="str">
        <f t="shared" si="9"/>
        <v>HFA952LBSF2026-02-18</v>
      </c>
      <c r="B624" t="str">
        <f>VLOOKUP(A624,Sheet1!A624:B1966,1,FALSE)</f>
        <v>HFA952LBSF2026-02-18</v>
      </c>
      <c r="C624" s="3">
        <v>46071</v>
      </c>
      <c r="D624" s="1" t="s">
        <v>79</v>
      </c>
      <c r="E624" s="1" t="s">
        <v>38</v>
      </c>
      <c r="F624" s="1"/>
      <c r="G624" s="1" t="s">
        <v>39</v>
      </c>
      <c r="H624" s="1" t="s">
        <v>176</v>
      </c>
      <c r="I624" s="1" t="s">
        <v>75</v>
      </c>
      <c r="J624" s="1" t="s">
        <v>76</v>
      </c>
      <c r="K624" s="1" t="s">
        <v>77</v>
      </c>
      <c r="L624" s="1" t="s">
        <v>78</v>
      </c>
      <c r="M624" s="1" t="s">
        <v>50</v>
      </c>
      <c r="N624" s="1" t="s">
        <v>41</v>
      </c>
      <c r="O624" s="1" t="s">
        <v>42</v>
      </c>
      <c r="P624" s="1" t="s">
        <v>43</v>
      </c>
      <c r="Q624" s="1" t="s">
        <v>44</v>
      </c>
      <c r="R624" s="1" t="s">
        <v>45</v>
      </c>
      <c r="S624" s="1">
        <v>1499</v>
      </c>
      <c r="T624" s="1">
        <v>0</v>
      </c>
      <c r="U624" s="4">
        <v>0.13472222222222222</v>
      </c>
      <c r="V624" s="1">
        <v>1440</v>
      </c>
      <c r="W624" s="1">
        <v>2360</v>
      </c>
      <c r="X624" s="1">
        <v>3800</v>
      </c>
      <c r="Y624" s="1" t="s">
        <v>51</v>
      </c>
      <c r="Z624" s="1">
        <v>2140</v>
      </c>
      <c r="AA624" s="1">
        <v>1660</v>
      </c>
      <c r="AB624" s="1">
        <v>0</v>
      </c>
      <c r="AC624" s="1">
        <v>0</v>
      </c>
      <c r="AD624" s="1">
        <v>0</v>
      </c>
      <c r="AE624" s="1">
        <v>0</v>
      </c>
      <c r="AF624" s="1"/>
      <c r="AG624" s="1">
        <v>0</v>
      </c>
      <c r="AH624" s="1">
        <v>0</v>
      </c>
      <c r="AI624" s="1">
        <v>0</v>
      </c>
      <c r="AJ624" s="1">
        <v>0</v>
      </c>
      <c r="AK624" s="1">
        <v>5.2455999999999996</v>
      </c>
      <c r="AL624" s="1">
        <v>5.2455999999999996</v>
      </c>
      <c r="AM624" s="1">
        <v>5.2455999999999996</v>
      </c>
    </row>
    <row r="625" spans="1:39" x14ac:dyDescent="0.3">
      <c r="A625" s="21" t="str">
        <f t="shared" si="9"/>
        <v>HFA701LLHA2026-02-19</v>
      </c>
      <c r="B625" t="e">
        <f>VLOOKUP(A625,Sheet1!A625:B1967,1,FALSE)</f>
        <v>#N/A</v>
      </c>
      <c r="C625" s="3">
        <v>46072</v>
      </c>
      <c r="D625" s="1" t="s">
        <v>53</v>
      </c>
      <c r="E625" s="1" t="s">
        <v>38</v>
      </c>
      <c r="F625" s="1"/>
      <c r="G625" s="1" t="s">
        <v>39</v>
      </c>
      <c r="H625" s="1" t="s">
        <v>176</v>
      </c>
      <c r="I625" s="1" t="s">
        <v>41</v>
      </c>
      <c r="J625" s="1" t="s">
        <v>42</v>
      </c>
      <c r="K625" s="1" t="s">
        <v>43</v>
      </c>
      <c r="L625" s="1" t="s">
        <v>44</v>
      </c>
      <c r="M625" s="1" t="s">
        <v>45</v>
      </c>
      <c r="N625" s="1" t="s">
        <v>46</v>
      </c>
      <c r="O625" s="1" t="s">
        <v>47</v>
      </c>
      <c r="P625" s="1" t="s">
        <v>48</v>
      </c>
      <c r="Q625" s="1" t="s">
        <v>49</v>
      </c>
      <c r="R625" s="1" t="s">
        <v>50</v>
      </c>
      <c r="S625" s="1">
        <v>1157</v>
      </c>
      <c r="T625" s="1">
        <v>0</v>
      </c>
      <c r="U625" s="4">
        <v>0.12430555555555556</v>
      </c>
      <c r="V625" s="1">
        <v>2140</v>
      </c>
      <c r="W625" s="1">
        <v>560</v>
      </c>
      <c r="X625" s="1">
        <v>2700</v>
      </c>
      <c r="Y625" s="1" t="s">
        <v>51</v>
      </c>
      <c r="Z625" s="1">
        <v>690</v>
      </c>
      <c r="AA625" s="1">
        <v>2010</v>
      </c>
      <c r="AB625" s="1">
        <v>0</v>
      </c>
      <c r="AC625" s="1">
        <v>0</v>
      </c>
      <c r="AD625" s="1">
        <v>0</v>
      </c>
      <c r="AE625" s="1">
        <v>0</v>
      </c>
      <c r="AF625" s="1"/>
      <c r="AG625" s="1">
        <v>0</v>
      </c>
      <c r="AH625" s="1">
        <v>0</v>
      </c>
      <c r="AI625" s="1">
        <v>0</v>
      </c>
      <c r="AJ625" s="1">
        <v>0</v>
      </c>
      <c r="AK625" s="1">
        <v>6.3516000000000004</v>
      </c>
      <c r="AL625" s="1">
        <v>6.3516000000000004</v>
      </c>
      <c r="AM625" s="1">
        <v>6.3516000000000004</v>
      </c>
    </row>
    <row r="626" spans="1:39" x14ac:dyDescent="0.3">
      <c r="A626" s="21" t="str">
        <f t="shared" si="9"/>
        <v>HFA702LGAV2026-02-19</v>
      </c>
      <c r="B626" t="e">
        <f>VLOOKUP(A626,Sheet1!A626:B1968,1,FALSE)</f>
        <v>#N/A</v>
      </c>
      <c r="C626" s="3">
        <v>46072</v>
      </c>
      <c r="D626" s="1" t="s">
        <v>56</v>
      </c>
      <c r="E626" s="1" t="s">
        <v>38</v>
      </c>
      <c r="F626" s="1"/>
      <c r="G626" s="1" t="s">
        <v>39</v>
      </c>
      <c r="H626" s="1" t="s">
        <v>176</v>
      </c>
      <c r="I626" s="1" t="s">
        <v>46</v>
      </c>
      <c r="J626" s="1" t="s">
        <v>47</v>
      </c>
      <c r="K626" s="1" t="s">
        <v>48</v>
      </c>
      <c r="L626" s="1" t="s">
        <v>49</v>
      </c>
      <c r="M626" s="1" t="s">
        <v>50</v>
      </c>
      <c r="N626" s="1" t="s">
        <v>41</v>
      </c>
      <c r="O626" s="1" t="s">
        <v>42</v>
      </c>
      <c r="P626" s="1" t="s">
        <v>43</v>
      </c>
      <c r="Q626" s="1" t="s">
        <v>44</v>
      </c>
      <c r="R626" s="1" t="s">
        <v>45</v>
      </c>
      <c r="S626" s="1">
        <v>1157</v>
      </c>
      <c r="T626" s="1">
        <v>0</v>
      </c>
      <c r="U626" s="4">
        <v>0.10347222222222222</v>
      </c>
      <c r="V626" s="1">
        <v>690</v>
      </c>
      <c r="W626" s="1">
        <v>2310</v>
      </c>
      <c r="X626" s="1">
        <v>3000</v>
      </c>
      <c r="Y626" s="1" t="s">
        <v>51</v>
      </c>
      <c r="Z626" s="1">
        <v>1560</v>
      </c>
      <c r="AA626" s="1">
        <v>1440</v>
      </c>
      <c r="AB626" s="1">
        <v>0</v>
      </c>
      <c r="AC626" s="1">
        <v>0</v>
      </c>
      <c r="AD626" s="1">
        <v>0</v>
      </c>
      <c r="AE626" s="1">
        <v>0</v>
      </c>
      <c r="AF626" s="1"/>
      <c r="AG626" s="1">
        <v>0</v>
      </c>
      <c r="AH626" s="1">
        <v>0</v>
      </c>
      <c r="AI626" s="1">
        <v>0</v>
      </c>
      <c r="AJ626" s="1">
        <v>0</v>
      </c>
      <c r="AK626" s="1">
        <v>4.5503999999999998</v>
      </c>
      <c r="AL626" s="1">
        <v>4.5503999999999998</v>
      </c>
      <c r="AM626" s="1">
        <v>4.5503999999999998</v>
      </c>
    </row>
    <row r="627" spans="1:39" x14ac:dyDescent="0.3">
      <c r="A627" s="21" t="str">
        <f t="shared" si="9"/>
        <v>HFA805LLHA2026-02-19</v>
      </c>
      <c r="B627" t="str">
        <f>VLOOKUP(A627,Sheet1!A627:B1969,1,FALSE)</f>
        <v>HFA805LLHA2026-02-19</v>
      </c>
      <c r="C627" s="3">
        <v>46072</v>
      </c>
      <c r="D627" s="1" t="s">
        <v>114</v>
      </c>
      <c r="E627" s="1" t="s">
        <v>38</v>
      </c>
      <c r="F627" s="1"/>
      <c r="G627" s="1" t="s">
        <v>39</v>
      </c>
      <c r="H627" s="1" t="s">
        <v>176</v>
      </c>
      <c r="I627" s="1" t="s">
        <v>41</v>
      </c>
      <c r="J627" s="1" t="s">
        <v>42</v>
      </c>
      <c r="K627" s="1" t="s">
        <v>43</v>
      </c>
      <c r="L627" s="1" t="s">
        <v>44</v>
      </c>
      <c r="M627" s="1" t="s">
        <v>45</v>
      </c>
      <c r="N627" s="1" t="s">
        <v>67</v>
      </c>
      <c r="O627" s="1" t="s">
        <v>86</v>
      </c>
      <c r="P627" s="1" t="s">
        <v>87</v>
      </c>
      <c r="Q627" s="1" t="s">
        <v>88</v>
      </c>
      <c r="R627" s="1" t="s">
        <v>50</v>
      </c>
      <c r="S627" s="1">
        <v>264</v>
      </c>
      <c r="T627" s="1">
        <v>0</v>
      </c>
      <c r="U627" s="4">
        <v>3.6805555555555557E-2</v>
      </c>
      <c r="V627" s="1">
        <v>1560</v>
      </c>
      <c r="W627" s="1">
        <v>0</v>
      </c>
      <c r="X627" s="1">
        <v>1560</v>
      </c>
      <c r="Y627" s="1" t="s">
        <v>51</v>
      </c>
      <c r="Z627" s="1">
        <v>990</v>
      </c>
      <c r="AA627" s="1">
        <v>570</v>
      </c>
      <c r="AB627" s="1">
        <v>0</v>
      </c>
      <c r="AC627" s="1">
        <v>0</v>
      </c>
      <c r="AD627" s="1">
        <v>0</v>
      </c>
      <c r="AE627" s="1">
        <v>0</v>
      </c>
      <c r="AF627" s="1"/>
      <c r="AG627" s="1">
        <v>0</v>
      </c>
      <c r="AH627" s="1">
        <v>0</v>
      </c>
      <c r="AI627" s="1">
        <v>0</v>
      </c>
      <c r="AJ627" s="1">
        <v>0</v>
      </c>
      <c r="AK627" s="1">
        <v>1.8011999999999999</v>
      </c>
      <c r="AL627" s="1">
        <v>1.8011999999999999</v>
      </c>
      <c r="AM627" s="1">
        <v>1.8011999999999999</v>
      </c>
    </row>
    <row r="628" spans="1:39" x14ac:dyDescent="0.3">
      <c r="A628" s="21" t="str">
        <f t="shared" si="9"/>
        <v>HFA806LCLK2026-02-19</v>
      </c>
      <c r="B628" t="str">
        <f>VLOOKUP(A628,Sheet1!A628:B1970,1,FALSE)</f>
        <v>HFA806LCLK2026-02-19</v>
      </c>
      <c r="C628" s="3">
        <v>46072</v>
      </c>
      <c r="D628" s="1" t="s">
        <v>115</v>
      </c>
      <c r="E628" s="1" t="s">
        <v>38</v>
      </c>
      <c r="F628" s="1"/>
      <c r="G628" s="1" t="s">
        <v>39</v>
      </c>
      <c r="H628" s="1" t="s">
        <v>176</v>
      </c>
      <c r="I628" s="1" t="s">
        <v>67</v>
      </c>
      <c r="J628" s="1" t="s">
        <v>86</v>
      </c>
      <c r="K628" s="1" t="s">
        <v>87</v>
      </c>
      <c r="L628" s="1" t="s">
        <v>88</v>
      </c>
      <c r="M628" s="1" t="s">
        <v>50</v>
      </c>
      <c r="N628" s="1" t="s">
        <v>41</v>
      </c>
      <c r="O628" s="1" t="s">
        <v>42</v>
      </c>
      <c r="P628" s="1" t="s">
        <v>43</v>
      </c>
      <c r="Q628" s="1" t="s">
        <v>44</v>
      </c>
      <c r="R628" s="1" t="s">
        <v>45</v>
      </c>
      <c r="S628" s="1">
        <v>264</v>
      </c>
      <c r="T628" s="1">
        <v>0</v>
      </c>
      <c r="U628" s="4">
        <v>3.7499999999999999E-2</v>
      </c>
      <c r="V628" s="1">
        <v>990</v>
      </c>
      <c r="W628" s="1">
        <v>1110</v>
      </c>
      <c r="X628" s="1">
        <v>2100</v>
      </c>
      <c r="Y628" s="1" t="s">
        <v>51</v>
      </c>
      <c r="Z628" s="1">
        <v>1610</v>
      </c>
      <c r="AA628" s="1">
        <v>490</v>
      </c>
      <c r="AB628" s="1">
        <v>0</v>
      </c>
      <c r="AC628" s="1">
        <v>0</v>
      </c>
      <c r="AD628" s="1">
        <v>0</v>
      </c>
      <c r="AE628" s="1">
        <v>0</v>
      </c>
      <c r="AF628" s="1"/>
      <c r="AG628" s="1">
        <v>0</v>
      </c>
      <c r="AH628" s="1">
        <v>0</v>
      </c>
      <c r="AI628" s="1">
        <v>0</v>
      </c>
      <c r="AJ628" s="1">
        <v>0</v>
      </c>
      <c r="AK628" s="1">
        <v>1.5484</v>
      </c>
      <c r="AL628" s="1">
        <v>1.5484</v>
      </c>
      <c r="AM628" s="1">
        <v>1.5484</v>
      </c>
    </row>
    <row r="629" spans="1:39" x14ac:dyDescent="0.3">
      <c r="A629" s="21" t="str">
        <f t="shared" si="9"/>
        <v>HFA951LLHA2026-02-20</v>
      </c>
      <c r="B629" t="str">
        <f>VLOOKUP(A629,Sheet1!A629:B1971,1,FALSE)</f>
        <v>HFA951LLHA2026-02-20</v>
      </c>
      <c r="C629" s="3">
        <v>46073</v>
      </c>
      <c r="D629" s="1" t="s">
        <v>74</v>
      </c>
      <c r="E629" s="1" t="s">
        <v>38</v>
      </c>
      <c r="F629" s="1"/>
      <c r="G629" s="1" t="s">
        <v>39</v>
      </c>
      <c r="H629" s="1" t="s">
        <v>176</v>
      </c>
      <c r="I629" s="1" t="s">
        <v>41</v>
      </c>
      <c r="J629" s="1" t="s">
        <v>42</v>
      </c>
      <c r="K629" s="1" t="s">
        <v>43</v>
      </c>
      <c r="L629" s="1" t="s">
        <v>44</v>
      </c>
      <c r="M629" s="1" t="s">
        <v>45</v>
      </c>
      <c r="N629" s="1" t="s">
        <v>75</v>
      </c>
      <c r="O629" s="1" t="s">
        <v>76</v>
      </c>
      <c r="P629" s="1" t="s">
        <v>77</v>
      </c>
      <c r="Q629" s="1" t="s">
        <v>78</v>
      </c>
      <c r="R629" s="1" t="s">
        <v>50</v>
      </c>
      <c r="S629" s="1">
        <v>1499</v>
      </c>
      <c r="T629" s="1">
        <v>0</v>
      </c>
      <c r="U629" s="4">
        <v>0.15555555555555556</v>
      </c>
      <c r="V629" s="1">
        <v>1610</v>
      </c>
      <c r="W629" s="1">
        <v>1990</v>
      </c>
      <c r="X629" s="1">
        <v>3600</v>
      </c>
      <c r="Y629" s="1" t="s">
        <v>51</v>
      </c>
      <c r="Z629" s="1">
        <v>1190</v>
      </c>
      <c r="AA629" s="1">
        <v>2410</v>
      </c>
      <c r="AB629" s="1">
        <v>0</v>
      </c>
      <c r="AC629" s="1">
        <v>0</v>
      </c>
      <c r="AD629" s="1">
        <v>0</v>
      </c>
      <c r="AE629" s="1">
        <v>0</v>
      </c>
      <c r="AF629" s="1"/>
      <c r="AG629" s="1">
        <v>0</v>
      </c>
      <c r="AH629" s="1">
        <v>0</v>
      </c>
      <c r="AI629" s="1">
        <v>0</v>
      </c>
      <c r="AJ629" s="1">
        <v>0</v>
      </c>
      <c r="AK629" s="1">
        <v>7.6155999999999997</v>
      </c>
      <c r="AL629" s="1">
        <v>7.6155999999999997</v>
      </c>
      <c r="AM629" s="1">
        <v>7.6155999999999997</v>
      </c>
    </row>
    <row r="630" spans="1:39" x14ac:dyDescent="0.3">
      <c r="A630" s="21" t="str">
        <f t="shared" si="9"/>
        <v>HFA952LBSF2026-02-20</v>
      </c>
      <c r="B630" t="str">
        <f>VLOOKUP(A630,Sheet1!A630:B1972,1,FALSE)</f>
        <v>HFA952LBSF2026-02-20</v>
      </c>
      <c r="C630" s="3">
        <v>46073</v>
      </c>
      <c r="D630" s="1" t="s">
        <v>79</v>
      </c>
      <c r="E630" s="1" t="s">
        <v>38</v>
      </c>
      <c r="F630" s="1"/>
      <c r="G630" s="1" t="s">
        <v>39</v>
      </c>
      <c r="H630" s="1" t="s">
        <v>176</v>
      </c>
      <c r="I630" s="1" t="s">
        <v>75</v>
      </c>
      <c r="J630" s="1" t="s">
        <v>76</v>
      </c>
      <c r="K630" s="1" t="s">
        <v>77</v>
      </c>
      <c r="L630" s="1" t="s">
        <v>78</v>
      </c>
      <c r="M630" s="1" t="s">
        <v>50</v>
      </c>
      <c r="N630" s="1" t="s">
        <v>41</v>
      </c>
      <c r="O630" s="1" t="s">
        <v>42</v>
      </c>
      <c r="P630" s="1" t="s">
        <v>43</v>
      </c>
      <c r="Q630" s="1" t="s">
        <v>44</v>
      </c>
      <c r="R630" s="1" t="s">
        <v>45</v>
      </c>
      <c r="S630" s="1">
        <v>1499</v>
      </c>
      <c r="T630" s="1">
        <v>0</v>
      </c>
      <c r="U630" s="4">
        <v>0.15972222222222221</v>
      </c>
      <c r="V630" s="1">
        <v>1190</v>
      </c>
      <c r="W630" s="1">
        <v>2810</v>
      </c>
      <c r="X630" s="1">
        <v>4000</v>
      </c>
      <c r="Y630" s="1" t="s">
        <v>51</v>
      </c>
      <c r="Z630" s="1">
        <v>1910</v>
      </c>
      <c r="AA630" s="1">
        <v>2090</v>
      </c>
      <c r="AB630" s="1">
        <v>0</v>
      </c>
      <c r="AC630" s="1">
        <v>0</v>
      </c>
      <c r="AD630" s="1">
        <v>0</v>
      </c>
      <c r="AE630" s="1">
        <v>0</v>
      </c>
      <c r="AF630" s="1"/>
      <c r="AG630" s="1">
        <v>0</v>
      </c>
      <c r="AH630" s="1">
        <v>0</v>
      </c>
      <c r="AI630" s="1">
        <v>0</v>
      </c>
      <c r="AJ630" s="1">
        <v>0</v>
      </c>
      <c r="AK630" s="1">
        <v>6.6044</v>
      </c>
      <c r="AL630" s="1">
        <v>6.6044</v>
      </c>
      <c r="AM630" s="1">
        <v>6.6044</v>
      </c>
    </row>
    <row r="631" spans="1:39" x14ac:dyDescent="0.3">
      <c r="A631" s="21" t="str">
        <f t="shared" si="9"/>
        <v>HFA703LLHA2026-02-21</v>
      </c>
      <c r="B631" t="e">
        <f>VLOOKUP(A631,Sheet1!A631:B1973,1,FALSE)</f>
        <v>#N/A</v>
      </c>
      <c r="C631" s="3">
        <v>46074</v>
      </c>
      <c r="D631" s="1" t="s">
        <v>37</v>
      </c>
      <c r="E631" s="1" t="s">
        <v>38</v>
      </c>
      <c r="F631" s="1"/>
      <c r="G631" s="1" t="s">
        <v>39</v>
      </c>
      <c r="H631" s="1" t="s">
        <v>176</v>
      </c>
      <c r="I631" s="1" t="s">
        <v>41</v>
      </c>
      <c r="J631" s="1" t="s">
        <v>42</v>
      </c>
      <c r="K631" s="1" t="s">
        <v>43</v>
      </c>
      <c r="L631" s="1" t="s">
        <v>44</v>
      </c>
      <c r="M631" s="1" t="s">
        <v>45</v>
      </c>
      <c r="N631" s="1" t="s">
        <v>46</v>
      </c>
      <c r="O631" s="1" t="s">
        <v>47</v>
      </c>
      <c r="P631" s="1" t="s">
        <v>48</v>
      </c>
      <c r="Q631" s="1" t="s">
        <v>49</v>
      </c>
      <c r="R631" s="1" t="s">
        <v>50</v>
      </c>
      <c r="S631" s="1">
        <v>1157</v>
      </c>
      <c r="T631" s="1">
        <v>0</v>
      </c>
      <c r="U631" s="4">
        <v>0.12569444444444444</v>
      </c>
      <c r="V631" s="1">
        <v>1910</v>
      </c>
      <c r="W631" s="1">
        <v>1090</v>
      </c>
      <c r="X631" s="1">
        <v>3000</v>
      </c>
      <c r="Y631" s="1" t="s">
        <v>51</v>
      </c>
      <c r="Z631" s="1">
        <v>1150</v>
      </c>
      <c r="AA631" s="1">
        <v>1850</v>
      </c>
      <c r="AB631" s="1">
        <v>0</v>
      </c>
      <c r="AC631" s="1">
        <v>0</v>
      </c>
      <c r="AD631" s="1">
        <v>0</v>
      </c>
      <c r="AE631" s="1">
        <v>0</v>
      </c>
      <c r="AF631" s="1"/>
      <c r="AG631" s="1">
        <v>0</v>
      </c>
      <c r="AH631" s="1">
        <v>0</v>
      </c>
      <c r="AI631" s="1">
        <v>0</v>
      </c>
      <c r="AJ631" s="1">
        <v>0</v>
      </c>
      <c r="AK631" s="1">
        <v>5.8460000000000001</v>
      </c>
      <c r="AL631" s="1">
        <v>5.8460000000000001</v>
      </c>
      <c r="AM631" s="1">
        <v>5.8460000000000001</v>
      </c>
    </row>
    <row r="632" spans="1:39" x14ac:dyDescent="0.3">
      <c r="A632" s="21" t="str">
        <f t="shared" si="9"/>
        <v>HFA704LGAV2026-02-21</v>
      </c>
      <c r="B632" t="e">
        <f>VLOOKUP(A632,Sheet1!A632:B1974,1,FALSE)</f>
        <v>#N/A</v>
      </c>
      <c r="C632" s="3">
        <v>46074</v>
      </c>
      <c r="D632" s="1" t="s">
        <v>52</v>
      </c>
      <c r="E632" s="1" t="s">
        <v>38</v>
      </c>
      <c r="F632" s="1"/>
      <c r="G632" s="1" t="s">
        <v>39</v>
      </c>
      <c r="H632" s="1" t="s">
        <v>176</v>
      </c>
      <c r="I632" s="1" t="s">
        <v>46</v>
      </c>
      <c r="J632" s="1" t="s">
        <v>47</v>
      </c>
      <c r="K632" s="1" t="s">
        <v>48</v>
      </c>
      <c r="L632" s="1" t="s">
        <v>49</v>
      </c>
      <c r="M632" s="1" t="s">
        <v>50</v>
      </c>
      <c r="N632" s="1" t="s">
        <v>41</v>
      </c>
      <c r="O632" s="1" t="s">
        <v>42</v>
      </c>
      <c r="P632" s="1" t="s">
        <v>43</v>
      </c>
      <c r="Q632" s="1" t="s">
        <v>44</v>
      </c>
      <c r="R632" s="1" t="s">
        <v>45</v>
      </c>
      <c r="S632" s="1">
        <v>1157</v>
      </c>
      <c r="T632" s="1">
        <v>0</v>
      </c>
      <c r="U632" s="4">
        <v>0.11388888888888889</v>
      </c>
      <c r="V632" s="1">
        <v>1150</v>
      </c>
      <c r="W632" s="1">
        <v>1650</v>
      </c>
      <c r="X632" s="1">
        <v>2800</v>
      </c>
      <c r="Y632" s="1" t="s">
        <v>51</v>
      </c>
      <c r="Z632" s="1">
        <v>1300</v>
      </c>
      <c r="AA632" s="1">
        <v>1500</v>
      </c>
      <c r="AB632" s="1">
        <v>0</v>
      </c>
      <c r="AC632" s="1">
        <v>0</v>
      </c>
      <c r="AD632" s="1">
        <v>0</v>
      </c>
      <c r="AE632" s="1">
        <v>0</v>
      </c>
      <c r="AF632" s="1"/>
      <c r="AG632" s="1">
        <v>0</v>
      </c>
      <c r="AH632" s="1">
        <v>0</v>
      </c>
      <c r="AI632" s="1">
        <v>0</v>
      </c>
      <c r="AJ632" s="1">
        <v>0</v>
      </c>
      <c r="AK632" s="1">
        <v>4.74</v>
      </c>
      <c r="AL632" s="1">
        <v>4.74</v>
      </c>
      <c r="AM632" s="1">
        <v>4.74</v>
      </c>
    </row>
    <row r="633" spans="1:39" x14ac:dyDescent="0.3">
      <c r="A633" s="21" t="str">
        <f t="shared" si="9"/>
        <v>HFA701LLHA2026-02-22</v>
      </c>
      <c r="B633" t="e">
        <f>VLOOKUP(A633,Sheet1!A633:B1975,1,FALSE)</f>
        <v>#N/A</v>
      </c>
      <c r="C633" s="3">
        <v>46075</v>
      </c>
      <c r="D633" s="1" t="s">
        <v>53</v>
      </c>
      <c r="E633" s="1" t="s">
        <v>38</v>
      </c>
      <c r="F633" s="1"/>
      <c r="G633" s="1" t="s">
        <v>39</v>
      </c>
      <c r="H633" s="1" t="s">
        <v>176</v>
      </c>
      <c r="I633" s="1" t="s">
        <v>41</v>
      </c>
      <c r="J633" s="1" t="s">
        <v>42</v>
      </c>
      <c r="K633" s="1" t="s">
        <v>43</v>
      </c>
      <c r="L633" s="1" t="s">
        <v>44</v>
      </c>
      <c r="M633" s="1" t="s">
        <v>45</v>
      </c>
      <c r="N633" s="1" t="s">
        <v>46</v>
      </c>
      <c r="O633" s="1" t="s">
        <v>47</v>
      </c>
      <c r="P633" s="1" t="s">
        <v>48</v>
      </c>
      <c r="Q633" s="1" t="s">
        <v>49</v>
      </c>
      <c r="R633" s="1" t="s">
        <v>50</v>
      </c>
      <c r="S633" s="1">
        <v>1157</v>
      </c>
      <c r="T633" s="1">
        <v>0</v>
      </c>
      <c r="U633" s="4">
        <v>0.11874999999999999</v>
      </c>
      <c r="V633" s="1">
        <v>1300</v>
      </c>
      <c r="W633" s="1">
        <v>1700</v>
      </c>
      <c r="X633" s="1">
        <v>3000</v>
      </c>
      <c r="Y633" s="1" t="s">
        <v>51</v>
      </c>
      <c r="Z633" s="1">
        <v>1080</v>
      </c>
      <c r="AA633" s="1">
        <v>1920</v>
      </c>
      <c r="AB633" s="1">
        <v>0</v>
      </c>
      <c r="AC633" s="1">
        <v>0</v>
      </c>
      <c r="AD633" s="1">
        <v>0</v>
      </c>
      <c r="AE633" s="1">
        <v>0</v>
      </c>
      <c r="AF633" s="1"/>
      <c r="AG633" s="1">
        <v>0</v>
      </c>
      <c r="AH633" s="1">
        <v>0</v>
      </c>
      <c r="AI633" s="1">
        <v>0</v>
      </c>
      <c r="AJ633" s="1">
        <v>0</v>
      </c>
      <c r="AK633" s="1">
        <v>6.0671999999999997</v>
      </c>
      <c r="AL633" s="1">
        <v>6.0671999999999997</v>
      </c>
      <c r="AM633" s="1">
        <v>6.0671999999999997</v>
      </c>
    </row>
    <row r="634" spans="1:39" x14ac:dyDescent="0.3">
      <c r="A634" s="21" t="str">
        <f t="shared" si="9"/>
        <v>HFA702LGAV2026-02-22</v>
      </c>
      <c r="B634" t="e">
        <f>VLOOKUP(A634,Sheet1!A634:B1976,1,FALSE)</f>
        <v>#N/A</v>
      </c>
      <c r="C634" s="3">
        <v>46075</v>
      </c>
      <c r="D634" s="1" t="s">
        <v>56</v>
      </c>
      <c r="E634" s="1" t="s">
        <v>38</v>
      </c>
      <c r="F634" s="1"/>
      <c r="G634" s="1" t="s">
        <v>39</v>
      </c>
      <c r="H634" s="1" t="s">
        <v>176</v>
      </c>
      <c r="I634" s="1" t="s">
        <v>46</v>
      </c>
      <c r="J634" s="1" t="s">
        <v>47</v>
      </c>
      <c r="K634" s="1" t="s">
        <v>48</v>
      </c>
      <c r="L634" s="1" t="s">
        <v>49</v>
      </c>
      <c r="M634" s="1" t="s">
        <v>50</v>
      </c>
      <c r="N634" s="1" t="s">
        <v>41</v>
      </c>
      <c r="O634" s="1" t="s">
        <v>42</v>
      </c>
      <c r="P634" s="1" t="s">
        <v>43</v>
      </c>
      <c r="Q634" s="1" t="s">
        <v>44</v>
      </c>
      <c r="R634" s="1" t="s">
        <v>45</v>
      </c>
      <c r="S634" s="1">
        <v>1157</v>
      </c>
      <c r="T634" s="1">
        <v>0</v>
      </c>
      <c r="U634" s="4">
        <v>0.10902777777777778</v>
      </c>
      <c r="V634" s="1">
        <v>1080</v>
      </c>
      <c r="W634" s="1">
        <v>1920</v>
      </c>
      <c r="X634" s="1">
        <v>3000</v>
      </c>
      <c r="Y634" s="1" t="s">
        <v>51</v>
      </c>
      <c r="Z634" s="1">
        <v>1450</v>
      </c>
      <c r="AA634" s="1">
        <v>1550</v>
      </c>
      <c r="AB634" s="1">
        <v>0</v>
      </c>
      <c r="AC634" s="1">
        <v>0</v>
      </c>
      <c r="AD634" s="1">
        <v>0</v>
      </c>
      <c r="AE634" s="1">
        <v>0</v>
      </c>
      <c r="AF634" s="1"/>
      <c r="AG634" s="1">
        <v>0</v>
      </c>
      <c r="AH634" s="1">
        <v>0</v>
      </c>
      <c r="AI634" s="1">
        <v>0</v>
      </c>
      <c r="AJ634" s="1">
        <v>0</v>
      </c>
      <c r="AK634" s="1">
        <v>4.8979999999999997</v>
      </c>
      <c r="AL634" s="1">
        <v>4.8979999999999997</v>
      </c>
      <c r="AM634" s="1">
        <v>4.8979999999999997</v>
      </c>
    </row>
    <row r="635" spans="1:39" x14ac:dyDescent="0.3">
      <c r="A635" s="21" t="str">
        <f t="shared" si="9"/>
        <v>HFA805LLHA2026-02-22</v>
      </c>
      <c r="B635" t="str">
        <f>VLOOKUP(A635,Sheet1!A635:B1977,1,FALSE)</f>
        <v>HFA805LLHA2026-02-22</v>
      </c>
      <c r="C635" s="3">
        <v>46075</v>
      </c>
      <c r="D635" s="1" t="s">
        <v>114</v>
      </c>
      <c r="E635" s="1" t="s">
        <v>38</v>
      </c>
      <c r="F635" s="1"/>
      <c r="G635" s="1" t="s">
        <v>39</v>
      </c>
      <c r="H635" s="1" t="s">
        <v>176</v>
      </c>
      <c r="I635" s="1" t="s">
        <v>41</v>
      </c>
      <c r="J635" s="1" t="s">
        <v>42</v>
      </c>
      <c r="K635" s="1" t="s">
        <v>43</v>
      </c>
      <c r="L635" s="1" t="s">
        <v>44</v>
      </c>
      <c r="M635" s="1" t="s">
        <v>45</v>
      </c>
      <c r="N635" s="1" t="s">
        <v>67</v>
      </c>
      <c r="O635" s="1" t="s">
        <v>86</v>
      </c>
      <c r="P635" s="1" t="s">
        <v>87</v>
      </c>
      <c r="Q635" s="1" t="s">
        <v>88</v>
      </c>
      <c r="R635" s="1" t="s">
        <v>50</v>
      </c>
      <c r="S635" s="1">
        <v>264</v>
      </c>
      <c r="T635" s="1">
        <v>0</v>
      </c>
      <c r="U635" s="4">
        <v>3.6111111111111108E-2</v>
      </c>
      <c r="V635" s="1">
        <v>1450</v>
      </c>
      <c r="W635" s="1">
        <v>-10</v>
      </c>
      <c r="X635" s="1">
        <v>1440</v>
      </c>
      <c r="Y635" s="1" t="s">
        <v>51</v>
      </c>
      <c r="Z635" s="1">
        <v>910</v>
      </c>
      <c r="AA635" s="1">
        <v>530</v>
      </c>
      <c r="AB635" s="1">
        <v>0</v>
      </c>
      <c r="AC635" s="1">
        <v>0</v>
      </c>
      <c r="AD635" s="1">
        <v>0</v>
      </c>
      <c r="AE635" s="1">
        <v>0</v>
      </c>
      <c r="AF635" s="1"/>
      <c r="AG635" s="1">
        <v>0</v>
      </c>
      <c r="AH635" s="1">
        <v>0</v>
      </c>
      <c r="AI635" s="1">
        <v>0</v>
      </c>
      <c r="AJ635" s="1">
        <v>0</v>
      </c>
      <c r="AK635" s="1">
        <v>1.6748000000000001</v>
      </c>
      <c r="AL635" s="1">
        <v>1.6748000000000001</v>
      </c>
      <c r="AM635" s="1">
        <v>1.6748000000000001</v>
      </c>
    </row>
    <row r="636" spans="1:39" x14ac:dyDescent="0.3">
      <c r="A636" s="21" t="str">
        <f t="shared" si="9"/>
        <v>HFA806LCLK2026-02-22</v>
      </c>
      <c r="B636" t="str">
        <f>VLOOKUP(A636,Sheet1!A636:B1978,1,FALSE)</f>
        <v>HFA806LCLK2026-02-22</v>
      </c>
      <c r="C636" s="3">
        <v>46075</v>
      </c>
      <c r="D636" s="1" t="s">
        <v>115</v>
      </c>
      <c r="E636" s="1" t="s">
        <v>38</v>
      </c>
      <c r="F636" s="1"/>
      <c r="G636" s="1" t="s">
        <v>39</v>
      </c>
      <c r="H636" s="1" t="s">
        <v>176</v>
      </c>
      <c r="I636" s="1" t="s">
        <v>67</v>
      </c>
      <c r="J636" s="1" t="s">
        <v>86</v>
      </c>
      <c r="K636" s="1" t="s">
        <v>87</v>
      </c>
      <c r="L636" s="1" t="s">
        <v>88</v>
      </c>
      <c r="M636" s="1" t="s">
        <v>50</v>
      </c>
      <c r="N636" s="1" t="s">
        <v>41</v>
      </c>
      <c r="O636" s="1" t="s">
        <v>42</v>
      </c>
      <c r="P636" s="1" t="s">
        <v>43</v>
      </c>
      <c r="Q636" s="1" t="s">
        <v>44</v>
      </c>
      <c r="R636" s="1" t="s">
        <v>45</v>
      </c>
      <c r="S636" s="1">
        <v>264</v>
      </c>
      <c r="T636" s="1">
        <v>0</v>
      </c>
      <c r="U636" s="4">
        <v>4.0972222222222222E-2</v>
      </c>
      <c r="V636" s="1">
        <v>910</v>
      </c>
      <c r="W636" s="1">
        <v>1090</v>
      </c>
      <c r="X636" s="1">
        <v>2000</v>
      </c>
      <c r="Y636" s="1" t="s">
        <v>51</v>
      </c>
      <c r="Z636" s="1">
        <v>1470</v>
      </c>
      <c r="AA636" s="1">
        <v>530</v>
      </c>
      <c r="AB636" s="1">
        <v>0</v>
      </c>
      <c r="AC636" s="1">
        <v>0</v>
      </c>
      <c r="AD636" s="1">
        <v>0</v>
      </c>
      <c r="AE636" s="1">
        <v>0</v>
      </c>
      <c r="AF636" s="1"/>
      <c r="AG636" s="1">
        <v>0</v>
      </c>
      <c r="AH636" s="1">
        <v>0</v>
      </c>
      <c r="AI636" s="1">
        <v>0</v>
      </c>
      <c r="AJ636" s="1">
        <v>0</v>
      </c>
      <c r="AK636" s="1">
        <v>1.6748000000000001</v>
      </c>
      <c r="AL636" s="1">
        <v>1.6748000000000001</v>
      </c>
      <c r="AM636" s="1">
        <v>1.6748000000000001</v>
      </c>
    </row>
    <row r="637" spans="1:39" x14ac:dyDescent="0.3">
      <c r="A637" s="21" t="str">
        <f t="shared" si="9"/>
        <v>HFA807LLHA2026-02-22</v>
      </c>
      <c r="B637" t="str">
        <f>VLOOKUP(A637,Sheet1!A637:B1979,1,FALSE)</f>
        <v>HFA807LLHA2026-02-22</v>
      </c>
      <c r="C637" s="3">
        <v>46075</v>
      </c>
      <c r="D637" s="1" t="s">
        <v>118</v>
      </c>
      <c r="E637" s="1" t="s">
        <v>38</v>
      </c>
      <c r="F637" s="1"/>
      <c r="G637" s="1" t="s">
        <v>39</v>
      </c>
      <c r="H637" s="1" t="s">
        <v>176</v>
      </c>
      <c r="I637" s="1" t="s">
        <v>41</v>
      </c>
      <c r="J637" s="1" t="s">
        <v>42</v>
      </c>
      <c r="K637" s="1" t="s">
        <v>43</v>
      </c>
      <c r="L637" s="1" t="s">
        <v>44</v>
      </c>
      <c r="M637" s="1" t="s">
        <v>45</v>
      </c>
      <c r="N637" s="1" t="s">
        <v>67</v>
      </c>
      <c r="O637" s="1" t="s">
        <v>86</v>
      </c>
      <c r="P637" s="1" t="s">
        <v>87</v>
      </c>
      <c r="Q637" s="1" t="s">
        <v>88</v>
      </c>
      <c r="R637" s="1" t="s">
        <v>50</v>
      </c>
      <c r="S637" s="1">
        <v>264</v>
      </c>
      <c r="T637" s="1">
        <v>0</v>
      </c>
      <c r="U637" s="4">
        <v>3.7499999999999999E-2</v>
      </c>
      <c r="V637" s="1">
        <v>1470</v>
      </c>
      <c r="W637" s="1">
        <v>0</v>
      </c>
      <c r="X637" s="1">
        <v>1470</v>
      </c>
      <c r="Y637" s="1" t="s">
        <v>51</v>
      </c>
      <c r="Z637" s="1">
        <v>910</v>
      </c>
      <c r="AA637" s="1">
        <v>560</v>
      </c>
      <c r="AB637" s="1">
        <v>0</v>
      </c>
      <c r="AC637" s="1">
        <v>0</v>
      </c>
      <c r="AD637" s="1">
        <v>0</v>
      </c>
      <c r="AE637" s="1">
        <v>0</v>
      </c>
      <c r="AF637" s="1"/>
      <c r="AG637" s="1">
        <v>0</v>
      </c>
      <c r="AH637" s="1">
        <v>0</v>
      </c>
      <c r="AI637" s="1">
        <v>0</v>
      </c>
      <c r="AJ637" s="1">
        <v>0</v>
      </c>
      <c r="AK637" s="1">
        <v>1.7696000000000001</v>
      </c>
      <c r="AL637" s="1">
        <v>1.7696000000000001</v>
      </c>
      <c r="AM637" s="1">
        <v>1.7696000000000001</v>
      </c>
    </row>
    <row r="638" spans="1:39" x14ac:dyDescent="0.3">
      <c r="A638" s="21" t="str">
        <f t="shared" si="9"/>
        <v>HFA808LCLK2026-02-22</v>
      </c>
      <c r="B638" t="str">
        <f>VLOOKUP(A638,Sheet1!A638:B1980,1,FALSE)</f>
        <v>HFA808LCLK2026-02-22</v>
      </c>
      <c r="C638" s="3">
        <v>46075</v>
      </c>
      <c r="D638" s="1" t="s">
        <v>119</v>
      </c>
      <c r="E638" s="1" t="s">
        <v>38</v>
      </c>
      <c r="F638" s="1"/>
      <c r="G638" s="1" t="s">
        <v>39</v>
      </c>
      <c r="H638" s="1" t="s">
        <v>176</v>
      </c>
      <c r="I638" s="1" t="s">
        <v>67</v>
      </c>
      <c r="J638" s="1" t="s">
        <v>86</v>
      </c>
      <c r="K638" s="1" t="s">
        <v>87</v>
      </c>
      <c r="L638" s="1" t="s">
        <v>88</v>
      </c>
      <c r="M638" s="1" t="s">
        <v>50</v>
      </c>
      <c r="N638" s="1" t="s">
        <v>41</v>
      </c>
      <c r="O638" s="1" t="s">
        <v>42</v>
      </c>
      <c r="P638" s="1" t="s">
        <v>43</v>
      </c>
      <c r="Q638" s="1" t="s">
        <v>44</v>
      </c>
      <c r="R638" s="1" t="s">
        <v>45</v>
      </c>
      <c r="S638" s="1">
        <v>264</v>
      </c>
      <c r="T638" s="1">
        <v>0</v>
      </c>
      <c r="U638" s="4">
        <v>3.888888888888889E-2</v>
      </c>
      <c r="V638" s="1">
        <v>910</v>
      </c>
      <c r="W638" s="1">
        <v>1290</v>
      </c>
      <c r="X638" s="1">
        <v>2200</v>
      </c>
      <c r="Y638" s="1" t="s">
        <v>51</v>
      </c>
      <c r="Z638" s="1">
        <v>1740</v>
      </c>
      <c r="AA638" s="1">
        <v>460</v>
      </c>
      <c r="AB638" s="1">
        <v>0</v>
      </c>
      <c r="AC638" s="1">
        <v>0</v>
      </c>
      <c r="AD638" s="1">
        <v>0</v>
      </c>
      <c r="AE638" s="1">
        <v>0</v>
      </c>
      <c r="AF638" s="1"/>
      <c r="AG638" s="1">
        <v>0</v>
      </c>
      <c r="AH638" s="1">
        <v>0</v>
      </c>
      <c r="AI638" s="1">
        <v>0</v>
      </c>
      <c r="AJ638" s="1">
        <v>0</v>
      </c>
      <c r="AK638" s="1">
        <v>1.4536</v>
      </c>
      <c r="AL638" s="1">
        <v>1.4536</v>
      </c>
      <c r="AM638" s="1">
        <v>1.4536</v>
      </c>
    </row>
    <row r="639" spans="1:39" x14ac:dyDescent="0.3">
      <c r="A639" s="21" t="str">
        <f t="shared" si="9"/>
        <v>HFA951LLHA2026-02-23</v>
      </c>
      <c r="B639" t="str">
        <f>VLOOKUP(A639,Sheet1!A639:B1981,1,FALSE)</f>
        <v>HFA951LLHA2026-02-23</v>
      </c>
      <c r="C639" s="3">
        <v>46076</v>
      </c>
      <c r="D639" s="1" t="s">
        <v>74</v>
      </c>
      <c r="E639" s="1" t="s">
        <v>38</v>
      </c>
      <c r="F639" s="1"/>
      <c r="G639" s="1" t="s">
        <v>39</v>
      </c>
      <c r="H639" s="1" t="s">
        <v>176</v>
      </c>
      <c r="I639" s="1" t="s">
        <v>41</v>
      </c>
      <c r="J639" s="1" t="s">
        <v>42</v>
      </c>
      <c r="K639" s="1" t="s">
        <v>43</v>
      </c>
      <c r="L639" s="1" t="s">
        <v>44</v>
      </c>
      <c r="M639" s="1" t="s">
        <v>45</v>
      </c>
      <c r="N639" s="1" t="s">
        <v>75</v>
      </c>
      <c r="O639" s="1" t="s">
        <v>76</v>
      </c>
      <c r="P639" s="1" t="s">
        <v>77</v>
      </c>
      <c r="Q639" s="1" t="s">
        <v>78</v>
      </c>
      <c r="R639" s="1" t="s">
        <v>50</v>
      </c>
      <c r="S639" s="1">
        <v>1499</v>
      </c>
      <c r="T639" s="1">
        <v>0</v>
      </c>
      <c r="U639" s="4">
        <v>0.15277777777777779</v>
      </c>
      <c r="V639" s="1">
        <v>1740</v>
      </c>
      <c r="W639" s="1">
        <v>1860</v>
      </c>
      <c r="X639" s="1">
        <v>3600</v>
      </c>
      <c r="Y639" s="1" t="s">
        <v>51</v>
      </c>
      <c r="Z639" s="1">
        <v>1420</v>
      </c>
      <c r="AA639" s="1">
        <v>2180</v>
      </c>
      <c r="AB639" s="1">
        <v>0</v>
      </c>
      <c r="AC639" s="1">
        <v>0</v>
      </c>
      <c r="AD639" s="1">
        <v>0</v>
      </c>
      <c r="AE639" s="1">
        <v>0</v>
      </c>
      <c r="AF639" s="1"/>
      <c r="AG639" s="1">
        <v>0</v>
      </c>
      <c r="AH639" s="1">
        <v>0</v>
      </c>
      <c r="AI639" s="1">
        <v>0</v>
      </c>
      <c r="AJ639" s="1">
        <v>0</v>
      </c>
      <c r="AK639" s="1">
        <v>6.8887999999999998</v>
      </c>
      <c r="AL639" s="1">
        <v>6.8887999999999998</v>
      </c>
      <c r="AM639" s="1">
        <v>6.8887999999999998</v>
      </c>
    </row>
    <row r="640" spans="1:39" x14ac:dyDescent="0.3">
      <c r="A640" s="21" t="str">
        <f t="shared" si="9"/>
        <v>HFA952LBSF2026-02-23</v>
      </c>
      <c r="B640" t="str">
        <f>VLOOKUP(A640,Sheet1!A640:B1982,1,FALSE)</f>
        <v>HFA952LBSF2026-02-23</v>
      </c>
      <c r="C640" s="3">
        <v>46076</v>
      </c>
      <c r="D640" s="1" t="s">
        <v>79</v>
      </c>
      <c r="E640" s="1" t="s">
        <v>38</v>
      </c>
      <c r="F640" s="1"/>
      <c r="G640" s="1" t="s">
        <v>39</v>
      </c>
      <c r="H640" s="1" t="s">
        <v>176</v>
      </c>
      <c r="I640" s="1" t="s">
        <v>75</v>
      </c>
      <c r="J640" s="1" t="s">
        <v>76</v>
      </c>
      <c r="K640" s="1" t="s">
        <v>77</v>
      </c>
      <c r="L640" s="1" t="s">
        <v>78</v>
      </c>
      <c r="M640" s="1" t="s">
        <v>50</v>
      </c>
      <c r="N640" s="1" t="s">
        <v>41</v>
      </c>
      <c r="O640" s="1" t="s">
        <v>42</v>
      </c>
      <c r="P640" s="1" t="s">
        <v>43</v>
      </c>
      <c r="Q640" s="1" t="s">
        <v>44</v>
      </c>
      <c r="R640" s="1" t="s">
        <v>45</v>
      </c>
      <c r="S640" s="1">
        <v>1499</v>
      </c>
      <c r="T640" s="1">
        <v>0</v>
      </c>
      <c r="U640" s="4">
        <v>0.14791666666666667</v>
      </c>
      <c r="V640" s="1">
        <v>1420</v>
      </c>
      <c r="W640" s="1">
        <v>1980</v>
      </c>
      <c r="X640" s="1">
        <v>3400</v>
      </c>
      <c r="Y640" s="1" t="s">
        <v>51</v>
      </c>
      <c r="Z640" s="1">
        <v>1390</v>
      </c>
      <c r="AA640" s="1">
        <v>2010</v>
      </c>
      <c r="AB640" s="1">
        <v>0</v>
      </c>
      <c r="AC640" s="1">
        <v>0</v>
      </c>
      <c r="AD640" s="1">
        <v>0</v>
      </c>
      <c r="AE640" s="1">
        <v>0</v>
      </c>
      <c r="AF640" s="1"/>
      <c r="AG640" s="1">
        <v>0</v>
      </c>
      <c r="AH640" s="1">
        <v>0</v>
      </c>
      <c r="AI640" s="1">
        <v>0</v>
      </c>
      <c r="AJ640" s="1">
        <v>0</v>
      </c>
      <c r="AK640" s="1">
        <v>6.3516000000000004</v>
      </c>
      <c r="AL640" s="1">
        <v>6.3516000000000004</v>
      </c>
      <c r="AM640" s="1">
        <v>6.3516000000000004</v>
      </c>
    </row>
    <row r="641" spans="1:39" x14ac:dyDescent="0.3">
      <c r="A641" s="21" t="str">
        <f t="shared" si="9"/>
        <v>HFA703LLHA2026-02-24</v>
      </c>
      <c r="B641" t="e">
        <f>VLOOKUP(A641,Sheet1!A641:B1983,1,FALSE)</f>
        <v>#N/A</v>
      </c>
      <c r="C641" s="3">
        <v>46077</v>
      </c>
      <c r="D641" s="1" t="s">
        <v>37</v>
      </c>
      <c r="E641" s="1" t="s">
        <v>38</v>
      </c>
      <c r="F641" s="1"/>
      <c r="G641" s="1" t="s">
        <v>39</v>
      </c>
      <c r="H641" s="1" t="s">
        <v>176</v>
      </c>
      <c r="I641" s="1" t="s">
        <v>41</v>
      </c>
      <c r="J641" s="1" t="s">
        <v>42</v>
      </c>
      <c r="K641" s="1" t="s">
        <v>43</v>
      </c>
      <c r="L641" s="1" t="s">
        <v>44</v>
      </c>
      <c r="M641" s="1" t="s">
        <v>45</v>
      </c>
      <c r="N641" s="1" t="s">
        <v>46</v>
      </c>
      <c r="O641" s="1" t="s">
        <v>47</v>
      </c>
      <c r="P641" s="1" t="s">
        <v>48</v>
      </c>
      <c r="Q641" s="1" t="s">
        <v>49</v>
      </c>
      <c r="R641" s="1" t="s">
        <v>50</v>
      </c>
      <c r="S641" s="1">
        <v>1157</v>
      </c>
      <c r="T641" s="1">
        <v>0</v>
      </c>
      <c r="U641" s="4">
        <v>0.12986111111111112</v>
      </c>
      <c r="V641" s="1">
        <v>1390</v>
      </c>
      <c r="W641" s="1">
        <v>1710</v>
      </c>
      <c r="X641" s="1">
        <v>3100</v>
      </c>
      <c r="Y641" s="1" t="s">
        <v>51</v>
      </c>
      <c r="Z641" s="1">
        <v>1120</v>
      </c>
      <c r="AA641" s="1">
        <v>1980</v>
      </c>
      <c r="AB641" s="1">
        <v>0</v>
      </c>
      <c r="AC641" s="1">
        <v>0</v>
      </c>
      <c r="AD641" s="1">
        <v>0</v>
      </c>
      <c r="AE641" s="1">
        <v>0</v>
      </c>
      <c r="AF641" s="1"/>
      <c r="AG641" s="1">
        <v>0</v>
      </c>
      <c r="AH641" s="1">
        <v>0</v>
      </c>
      <c r="AI641" s="1">
        <v>0</v>
      </c>
      <c r="AJ641" s="1">
        <v>0</v>
      </c>
      <c r="AK641" s="1">
        <v>6.2568000000000001</v>
      </c>
      <c r="AL641" s="1">
        <v>6.2568000000000001</v>
      </c>
      <c r="AM641" s="1">
        <v>6.2568000000000001</v>
      </c>
    </row>
    <row r="642" spans="1:39" x14ac:dyDescent="0.3">
      <c r="A642" s="21" t="str">
        <f t="shared" si="9"/>
        <v>HFA704LGAV2026-02-24</v>
      </c>
      <c r="B642" t="e">
        <f>VLOOKUP(A642,Sheet1!A642:B1984,1,FALSE)</f>
        <v>#N/A</v>
      </c>
      <c r="C642" s="3">
        <v>46077</v>
      </c>
      <c r="D642" s="1" t="s">
        <v>52</v>
      </c>
      <c r="E642" s="1" t="s">
        <v>38</v>
      </c>
      <c r="F642" s="1"/>
      <c r="G642" s="1" t="s">
        <v>39</v>
      </c>
      <c r="H642" s="1" t="s">
        <v>176</v>
      </c>
      <c r="I642" s="1" t="s">
        <v>46</v>
      </c>
      <c r="J642" s="1" t="s">
        <v>47</v>
      </c>
      <c r="K642" s="1" t="s">
        <v>48</v>
      </c>
      <c r="L642" s="1" t="s">
        <v>49</v>
      </c>
      <c r="M642" s="1" t="s">
        <v>50</v>
      </c>
      <c r="N642" s="1" t="s">
        <v>41</v>
      </c>
      <c r="O642" s="1" t="s">
        <v>42</v>
      </c>
      <c r="P642" s="1" t="s">
        <v>43</v>
      </c>
      <c r="Q642" s="1" t="s">
        <v>44</v>
      </c>
      <c r="R642" s="1" t="s">
        <v>45</v>
      </c>
      <c r="S642" s="1">
        <v>1157</v>
      </c>
      <c r="T642" s="1">
        <v>0</v>
      </c>
      <c r="U642" s="4">
        <v>0.10347222222222222</v>
      </c>
      <c r="V642" s="1">
        <v>1120</v>
      </c>
      <c r="W642" s="1">
        <v>2080</v>
      </c>
      <c r="X642" s="1">
        <v>3200</v>
      </c>
      <c r="Y642" s="1" t="s">
        <v>51</v>
      </c>
      <c r="Z642" s="1">
        <v>1740</v>
      </c>
      <c r="AA642" s="1">
        <v>1460</v>
      </c>
      <c r="AB642" s="1">
        <v>0</v>
      </c>
      <c r="AC642" s="1">
        <v>0</v>
      </c>
      <c r="AD642" s="1">
        <v>0</v>
      </c>
      <c r="AE642" s="1">
        <v>0</v>
      </c>
      <c r="AF642" s="1"/>
      <c r="AG642" s="1">
        <v>0</v>
      </c>
      <c r="AH642" s="1">
        <v>0</v>
      </c>
      <c r="AI642" s="1">
        <v>0</v>
      </c>
      <c r="AJ642" s="1">
        <v>0</v>
      </c>
      <c r="AK642" s="1">
        <v>4.6135999999999999</v>
      </c>
      <c r="AL642" s="1">
        <v>4.6135999999999999</v>
      </c>
      <c r="AM642" s="1">
        <v>4.6135999999999999</v>
      </c>
    </row>
    <row r="643" spans="1:39" x14ac:dyDescent="0.3">
      <c r="A643" s="21" t="str">
        <f t="shared" ref="A643:A706" si="10">CONCATENATE(D643,K643,TEXT(C643,"YYYY-MM-DD"))</f>
        <v>HFA951LLHA2026-02-25</v>
      </c>
      <c r="B643" t="str">
        <f>VLOOKUP(A643,Sheet1!A643:B1985,1,FALSE)</f>
        <v>HFA951LLHA2026-02-25</v>
      </c>
      <c r="C643" s="3">
        <v>46078</v>
      </c>
      <c r="D643" s="1" t="s">
        <v>74</v>
      </c>
      <c r="E643" s="1" t="s">
        <v>38</v>
      </c>
      <c r="F643" s="1"/>
      <c r="G643" s="1" t="s">
        <v>39</v>
      </c>
      <c r="H643" s="1" t="s">
        <v>176</v>
      </c>
      <c r="I643" s="1" t="s">
        <v>41</v>
      </c>
      <c r="J643" s="1" t="s">
        <v>42</v>
      </c>
      <c r="K643" s="1" t="s">
        <v>43</v>
      </c>
      <c r="L643" s="1" t="s">
        <v>44</v>
      </c>
      <c r="M643" s="1" t="s">
        <v>45</v>
      </c>
      <c r="N643" s="1" t="s">
        <v>75</v>
      </c>
      <c r="O643" s="1" t="s">
        <v>76</v>
      </c>
      <c r="P643" s="1" t="s">
        <v>77</v>
      </c>
      <c r="Q643" s="1" t="s">
        <v>78</v>
      </c>
      <c r="R643" s="1" t="s">
        <v>50</v>
      </c>
      <c r="S643" s="1">
        <v>1499</v>
      </c>
      <c r="T643" s="1">
        <v>0</v>
      </c>
      <c r="U643" s="4">
        <v>0.16458333333333333</v>
      </c>
      <c r="V643" s="1">
        <v>1740</v>
      </c>
      <c r="W643" s="1">
        <v>2060</v>
      </c>
      <c r="X643" s="1">
        <v>3800</v>
      </c>
      <c r="Y643" s="1" t="s">
        <v>51</v>
      </c>
      <c r="Z643" s="1">
        <v>980</v>
      </c>
      <c r="AA643" s="1">
        <v>2820</v>
      </c>
      <c r="AB643" s="1">
        <v>0</v>
      </c>
      <c r="AC643" s="1">
        <v>0</v>
      </c>
      <c r="AD643" s="1">
        <v>0</v>
      </c>
      <c r="AE643" s="1">
        <v>0</v>
      </c>
      <c r="AF643" s="1"/>
      <c r="AG643" s="1">
        <v>0</v>
      </c>
      <c r="AH643" s="1">
        <v>0</v>
      </c>
      <c r="AI643" s="1">
        <v>0</v>
      </c>
      <c r="AJ643" s="1">
        <v>0</v>
      </c>
      <c r="AK643" s="1">
        <v>8.9111999999999991</v>
      </c>
      <c r="AL643" s="1">
        <v>8.9111999999999991</v>
      </c>
      <c r="AM643" s="1">
        <v>8.9111999999999991</v>
      </c>
    </row>
    <row r="644" spans="1:39" x14ac:dyDescent="0.3">
      <c r="A644" s="21" t="str">
        <f t="shared" si="10"/>
        <v>HFA952LBSF2026-02-25</v>
      </c>
      <c r="B644" t="str">
        <f>VLOOKUP(A644,Sheet1!A644:B1986,1,FALSE)</f>
        <v>HFA952LBSF2026-02-25</v>
      </c>
      <c r="C644" s="3">
        <v>46078</v>
      </c>
      <c r="D644" s="1" t="s">
        <v>79</v>
      </c>
      <c r="E644" s="1" t="s">
        <v>38</v>
      </c>
      <c r="F644" s="1"/>
      <c r="G644" s="1" t="s">
        <v>39</v>
      </c>
      <c r="H644" s="1" t="s">
        <v>176</v>
      </c>
      <c r="I644" s="1" t="s">
        <v>75</v>
      </c>
      <c r="J644" s="1" t="s">
        <v>76</v>
      </c>
      <c r="K644" s="1" t="s">
        <v>77</v>
      </c>
      <c r="L644" s="1" t="s">
        <v>78</v>
      </c>
      <c r="M644" s="1" t="s">
        <v>50</v>
      </c>
      <c r="N644" s="1" t="s">
        <v>41</v>
      </c>
      <c r="O644" s="1" t="s">
        <v>42</v>
      </c>
      <c r="P644" s="1" t="s">
        <v>43</v>
      </c>
      <c r="Q644" s="1" t="s">
        <v>44</v>
      </c>
      <c r="R644" s="1" t="s">
        <v>45</v>
      </c>
      <c r="S644" s="1">
        <v>1499</v>
      </c>
      <c r="T644" s="1">
        <v>0</v>
      </c>
      <c r="U644" s="4">
        <v>0.12708333333333333</v>
      </c>
      <c r="V644" s="1">
        <v>980</v>
      </c>
      <c r="W644" s="1">
        <v>2520</v>
      </c>
      <c r="X644" s="1">
        <v>3500</v>
      </c>
      <c r="Y644" s="1" t="s">
        <v>51</v>
      </c>
      <c r="Z644" s="1">
        <v>1860</v>
      </c>
      <c r="AA644" s="1">
        <v>1640</v>
      </c>
      <c r="AB644" s="1">
        <v>0</v>
      </c>
      <c r="AC644" s="1">
        <v>0</v>
      </c>
      <c r="AD644" s="1">
        <v>0</v>
      </c>
      <c r="AE644" s="1">
        <v>0</v>
      </c>
      <c r="AF644" s="1"/>
      <c r="AG644" s="1">
        <v>0</v>
      </c>
      <c r="AH644" s="1">
        <v>0</v>
      </c>
      <c r="AI644" s="1">
        <v>0</v>
      </c>
      <c r="AJ644" s="1">
        <v>0</v>
      </c>
      <c r="AK644" s="1">
        <v>5.1824000000000003</v>
      </c>
      <c r="AL644" s="1">
        <v>5.1824000000000003</v>
      </c>
      <c r="AM644" s="1">
        <v>5.1824000000000003</v>
      </c>
    </row>
    <row r="645" spans="1:39" x14ac:dyDescent="0.3">
      <c r="A645" s="21" t="str">
        <f t="shared" si="10"/>
        <v>HFA851LLHA2026-02-26</v>
      </c>
      <c r="B645" t="str">
        <f>VLOOKUP(A645,Sheet1!A645:B1987,1,FALSE)</f>
        <v>HFA851LLHA2026-02-26</v>
      </c>
      <c r="C645" s="3">
        <v>46079</v>
      </c>
      <c r="D645" s="1" t="s">
        <v>66</v>
      </c>
      <c r="E645" s="1" t="s">
        <v>38</v>
      </c>
      <c r="F645" s="1"/>
      <c r="G645" s="1" t="s">
        <v>39</v>
      </c>
      <c r="H645" s="1" t="s">
        <v>176</v>
      </c>
      <c r="I645" s="1" t="s">
        <v>41</v>
      </c>
      <c r="J645" s="1" t="s">
        <v>42</v>
      </c>
      <c r="K645" s="1" t="s">
        <v>43</v>
      </c>
      <c r="L645" s="1" t="s">
        <v>44</v>
      </c>
      <c r="M645" s="1" t="s">
        <v>45</v>
      </c>
      <c r="N645" s="1" t="s">
        <v>67</v>
      </c>
      <c r="O645" s="1" t="s">
        <v>68</v>
      </c>
      <c r="P645" s="1" t="s">
        <v>69</v>
      </c>
      <c r="Q645" s="1" t="s">
        <v>70</v>
      </c>
      <c r="R645" s="1" t="s">
        <v>50</v>
      </c>
      <c r="S645" s="1">
        <v>318</v>
      </c>
      <c r="T645" s="1">
        <v>0</v>
      </c>
      <c r="U645" s="4">
        <v>4.6527777777777779E-2</v>
      </c>
      <c r="V645" s="1">
        <v>1860</v>
      </c>
      <c r="W645" s="1">
        <v>0</v>
      </c>
      <c r="X645" s="1">
        <v>1860</v>
      </c>
      <c r="Y645" s="1" t="s">
        <v>51</v>
      </c>
      <c r="Z645" s="1">
        <v>1060</v>
      </c>
      <c r="AA645" s="1">
        <v>800</v>
      </c>
      <c r="AB645" s="1">
        <v>0</v>
      </c>
      <c r="AC645" s="1">
        <v>0</v>
      </c>
      <c r="AD645" s="1">
        <v>0</v>
      </c>
      <c r="AE645" s="1">
        <v>0</v>
      </c>
      <c r="AF645" s="1"/>
      <c r="AG645" s="1">
        <v>0</v>
      </c>
      <c r="AH645" s="1">
        <v>0</v>
      </c>
      <c r="AI645" s="1">
        <v>0</v>
      </c>
      <c r="AJ645" s="1">
        <v>0</v>
      </c>
      <c r="AK645" s="1">
        <v>2.528</v>
      </c>
      <c r="AL645" s="1">
        <v>2.528</v>
      </c>
      <c r="AM645" s="1">
        <v>2.528</v>
      </c>
    </row>
    <row r="646" spans="1:39" x14ac:dyDescent="0.3">
      <c r="A646" s="21" t="str">
        <f t="shared" si="10"/>
        <v>HFA852LCPH2026-02-26</v>
      </c>
      <c r="B646" t="str">
        <f>VLOOKUP(A646,Sheet1!A646:B1988,1,FALSE)</f>
        <v>HFA852LCPH2026-02-26</v>
      </c>
      <c r="C646" s="3">
        <v>46079</v>
      </c>
      <c r="D646" s="1" t="s">
        <v>71</v>
      </c>
      <c r="E646" s="1" t="s">
        <v>38</v>
      </c>
      <c r="F646" s="1"/>
      <c r="G646" s="1" t="s">
        <v>39</v>
      </c>
      <c r="H646" s="1" t="s">
        <v>176</v>
      </c>
      <c r="I646" s="1" t="s">
        <v>67</v>
      </c>
      <c r="J646" s="1" t="s">
        <v>68</v>
      </c>
      <c r="K646" s="1" t="s">
        <v>69</v>
      </c>
      <c r="L646" s="1" t="s">
        <v>70</v>
      </c>
      <c r="M646" s="1" t="s">
        <v>50</v>
      </c>
      <c r="N646" s="1" t="s">
        <v>41</v>
      </c>
      <c r="O646" s="1" t="s">
        <v>42</v>
      </c>
      <c r="P646" s="1" t="s">
        <v>43</v>
      </c>
      <c r="Q646" s="1" t="s">
        <v>44</v>
      </c>
      <c r="R646" s="1" t="s">
        <v>45</v>
      </c>
      <c r="S646" s="1">
        <v>318</v>
      </c>
      <c r="T646" s="1">
        <v>0</v>
      </c>
      <c r="U646" s="4">
        <v>4.027777777777778E-2</v>
      </c>
      <c r="V646" s="1">
        <v>1060</v>
      </c>
      <c r="W646" s="1">
        <v>1650</v>
      </c>
      <c r="X646" s="1">
        <v>2710</v>
      </c>
      <c r="Y646" s="1" t="s">
        <v>51</v>
      </c>
      <c r="Z646" s="1">
        <v>2170</v>
      </c>
      <c r="AA646" s="1">
        <v>540</v>
      </c>
      <c r="AB646" s="1">
        <v>0</v>
      </c>
      <c r="AC646" s="1">
        <v>0</v>
      </c>
      <c r="AD646" s="1">
        <v>0</v>
      </c>
      <c r="AE646" s="1">
        <v>0</v>
      </c>
      <c r="AF646" s="1"/>
      <c r="AG646" s="1">
        <v>0</v>
      </c>
      <c r="AH646" s="1">
        <v>0</v>
      </c>
      <c r="AI646" s="1">
        <v>0</v>
      </c>
      <c r="AJ646" s="1">
        <v>0</v>
      </c>
      <c r="AK646" s="1">
        <v>1.7063999999999999</v>
      </c>
      <c r="AL646" s="1">
        <v>1.7063999999999999</v>
      </c>
      <c r="AM646" s="1">
        <v>1.7063999999999999</v>
      </c>
    </row>
    <row r="647" spans="1:39" x14ac:dyDescent="0.3">
      <c r="A647" s="21" t="str">
        <f t="shared" si="10"/>
        <v>HFA703LLHA2026-02-26</v>
      </c>
      <c r="B647" t="e">
        <f>VLOOKUP(A647,Sheet1!A647:B1989,1,FALSE)</f>
        <v>#N/A</v>
      </c>
      <c r="C647" s="3">
        <v>46079</v>
      </c>
      <c r="D647" s="1" t="s">
        <v>37</v>
      </c>
      <c r="E647" s="1" t="s">
        <v>38</v>
      </c>
      <c r="F647" s="1"/>
      <c r="G647" s="1" t="s">
        <v>39</v>
      </c>
      <c r="H647" s="1" t="s">
        <v>176</v>
      </c>
      <c r="I647" s="1" t="s">
        <v>41</v>
      </c>
      <c r="J647" s="1" t="s">
        <v>42</v>
      </c>
      <c r="K647" s="1" t="s">
        <v>43</v>
      </c>
      <c r="L647" s="1" t="s">
        <v>44</v>
      </c>
      <c r="M647" s="1" t="s">
        <v>45</v>
      </c>
      <c r="N647" s="1" t="s">
        <v>46</v>
      </c>
      <c r="O647" s="1" t="s">
        <v>47</v>
      </c>
      <c r="P647" s="1" t="s">
        <v>48</v>
      </c>
      <c r="Q647" s="1" t="s">
        <v>49</v>
      </c>
      <c r="R647" s="1" t="s">
        <v>50</v>
      </c>
      <c r="S647" s="1">
        <v>1157</v>
      </c>
      <c r="T647" s="1">
        <v>0</v>
      </c>
      <c r="U647" s="4">
        <v>0.13263888888888889</v>
      </c>
      <c r="V647" s="1">
        <v>2170</v>
      </c>
      <c r="W647" s="1">
        <v>1330</v>
      </c>
      <c r="X647" s="1">
        <v>3500</v>
      </c>
      <c r="Y647" s="1" t="s">
        <v>51</v>
      </c>
      <c r="Z647" s="1">
        <v>1350</v>
      </c>
      <c r="AA647" s="1">
        <v>2150</v>
      </c>
      <c r="AB647" s="1">
        <v>0</v>
      </c>
      <c r="AC647" s="1">
        <v>0</v>
      </c>
      <c r="AD647" s="1">
        <v>0</v>
      </c>
      <c r="AE647" s="1">
        <v>0</v>
      </c>
      <c r="AF647" s="1"/>
      <c r="AG647" s="1">
        <v>0</v>
      </c>
      <c r="AH647" s="1">
        <v>0</v>
      </c>
      <c r="AI647" s="1">
        <v>0</v>
      </c>
      <c r="AJ647" s="1">
        <v>0</v>
      </c>
      <c r="AK647" s="1">
        <v>6.7939999999999996</v>
      </c>
      <c r="AL647" s="1">
        <v>6.7939999999999996</v>
      </c>
      <c r="AM647" s="1">
        <v>6.7939999999999996</v>
      </c>
    </row>
    <row r="648" spans="1:39" x14ac:dyDescent="0.3">
      <c r="A648" s="21" t="str">
        <f t="shared" si="10"/>
        <v>HFA704LGAV2026-02-26</v>
      </c>
      <c r="B648" t="e">
        <f>VLOOKUP(A648,Sheet1!A648:B1990,1,FALSE)</f>
        <v>#N/A</v>
      </c>
      <c r="C648" s="3">
        <v>46079</v>
      </c>
      <c r="D648" s="1" t="s">
        <v>52</v>
      </c>
      <c r="E648" s="1" t="s">
        <v>38</v>
      </c>
      <c r="F648" s="1"/>
      <c r="G648" s="1" t="s">
        <v>39</v>
      </c>
      <c r="H648" s="1" t="s">
        <v>176</v>
      </c>
      <c r="I648" s="1" t="s">
        <v>46</v>
      </c>
      <c r="J648" s="1" t="s">
        <v>47</v>
      </c>
      <c r="K648" s="1" t="s">
        <v>48</v>
      </c>
      <c r="L648" s="1" t="s">
        <v>49</v>
      </c>
      <c r="M648" s="1" t="s">
        <v>50</v>
      </c>
      <c r="N648" s="1" t="s">
        <v>41</v>
      </c>
      <c r="O648" s="1" t="s">
        <v>42</v>
      </c>
      <c r="P648" s="1" t="s">
        <v>43</v>
      </c>
      <c r="Q648" s="1" t="s">
        <v>44</v>
      </c>
      <c r="R648" s="1" t="s">
        <v>45</v>
      </c>
      <c r="S648" s="1">
        <v>1157</v>
      </c>
      <c r="T648" s="1">
        <v>0</v>
      </c>
      <c r="U648" s="4">
        <v>0.10138888888888889</v>
      </c>
      <c r="V648" s="1">
        <v>1350</v>
      </c>
      <c r="W648" s="1">
        <v>1850</v>
      </c>
      <c r="X648" s="1">
        <v>3200</v>
      </c>
      <c r="Y648" s="1" t="s">
        <v>51</v>
      </c>
      <c r="Z648" s="1">
        <v>1830</v>
      </c>
      <c r="AA648" s="1">
        <v>1370</v>
      </c>
      <c r="AB648" s="1">
        <v>0</v>
      </c>
      <c r="AC648" s="1">
        <v>0</v>
      </c>
      <c r="AD648" s="1">
        <v>0</v>
      </c>
      <c r="AE648" s="1">
        <v>0</v>
      </c>
      <c r="AF648" s="1"/>
      <c r="AG648" s="1">
        <v>0</v>
      </c>
      <c r="AH648" s="1">
        <v>0</v>
      </c>
      <c r="AI648" s="1">
        <v>0</v>
      </c>
      <c r="AJ648" s="1">
        <v>0</v>
      </c>
      <c r="AK648" s="1">
        <v>4.3292000000000002</v>
      </c>
      <c r="AL648" s="1">
        <v>4.3292000000000002</v>
      </c>
      <c r="AM648" s="1">
        <v>4.3292000000000002</v>
      </c>
    </row>
    <row r="649" spans="1:39" x14ac:dyDescent="0.3">
      <c r="A649" s="21" t="str">
        <f t="shared" si="10"/>
        <v>HFA951LLHA2026-02-27</v>
      </c>
      <c r="B649" t="str">
        <f>VLOOKUP(A649,Sheet1!A649:B1991,1,FALSE)</f>
        <v>HFA951LLHA2026-02-27</v>
      </c>
      <c r="C649" s="3">
        <v>46080</v>
      </c>
      <c r="D649" s="1" t="s">
        <v>74</v>
      </c>
      <c r="E649" s="1" t="s">
        <v>38</v>
      </c>
      <c r="F649" s="1"/>
      <c r="G649" s="1" t="s">
        <v>39</v>
      </c>
      <c r="H649" s="1" t="s">
        <v>176</v>
      </c>
      <c r="I649" s="1" t="s">
        <v>41</v>
      </c>
      <c r="J649" s="1" t="s">
        <v>42</v>
      </c>
      <c r="K649" s="1" t="s">
        <v>43</v>
      </c>
      <c r="L649" s="1" t="s">
        <v>44</v>
      </c>
      <c r="M649" s="1" t="s">
        <v>45</v>
      </c>
      <c r="N649" s="1" t="s">
        <v>75</v>
      </c>
      <c r="O649" s="1" t="s">
        <v>76</v>
      </c>
      <c r="P649" s="1" t="s">
        <v>77</v>
      </c>
      <c r="Q649" s="1" t="s">
        <v>78</v>
      </c>
      <c r="R649" s="1" t="s">
        <v>50</v>
      </c>
      <c r="S649" s="1">
        <v>1499</v>
      </c>
      <c r="T649" s="1">
        <v>0</v>
      </c>
      <c r="U649" s="4">
        <v>0.16597222222222222</v>
      </c>
      <c r="V649" s="1">
        <v>1830</v>
      </c>
      <c r="W649" s="1">
        <v>2170</v>
      </c>
      <c r="X649" s="1">
        <v>4000</v>
      </c>
      <c r="Y649" s="1" t="s">
        <v>51</v>
      </c>
      <c r="Z649" s="1">
        <v>1150</v>
      </c>
      <c r="AA649" s="1">
        <v>2850</v>
      </c>
      <c r="AB649" s="1">
        <v>0</v>
      </c>
      <c r="AC649" s="1">
        <v>0</v>
      </c>
      <c r="AD649" s="1">
        <v>0</v>
      </c>
      <c r="AE649" s="1">
        <v>0</v>
      </c>
      <c r="AF649" s="1"/>
      <c r="AG649" s="1">
        <v>0</v>
      </c>
      <c r="AH649" s="1">
        <v>0</v>
      </c>
      <c r="AI649" s="1">
        <v>0</v>
      </c>
      <c r="AJ649" s="1">
        <v>0</v>
      </c>
      <c r="AK649" s="1">
        <v>9.0060000000000002</v>
      </c>
      <c r="AL649" s="1">
        <v>9.0060000000000002</v>
      </c>
      <c r="AM649" s="1">
        <v>9.0060000000000002</v>
      </c>
    </row>
    <row r="650" spans="1:39" x14ac:dyDescent="0.3">
      <c r="A650" s="21" t="str">
        <f t="shared" si="10"/>
        <v>HFA952LBSF2026-02-27</v>
      </c>
      <c r="B650" t="str">
        <f>VLOOKUP(A650,Sheet1!A650:B1992,1,FALSE)</f>
        <v>HFA952LBSF2026-02-27</v>
      </c>
      <c r="C650" s="3">
        <v>46080</v>
      </c>
      <c r="D650" s="1" t="s">
        <v>79</v>
      </c>
      <c r="E650" s="1" t="s">
        <v>38</v>
      </c>
      <c r="F650" s="1"/>
      <c r="G650" s="1" t="s">
        <v>39</v>
      </c>
      <c r="H650" s="1" t="s">
        <v>176</v>
      </c>
      <c r="I650" s="1" t="s">
        <v>75</v>
      </c>
      <c r="J650" s="1" t="s">
        <v>76</v>
      </c>
      <c r="K650" s="1" t="s">
        <v>77</v>
      </c>
      <c r="L650" s="1" t="s">
        <v>78</v>
      </c>
      <c r="M650" s="1" t="s">
        <v>50</v>
      </c>
      <c r="N650" s="1" t="s">
        <v>41</v>
      </c>
      <c r="O650" s="1" t="s">
        <v>42</v>
      </c>
      <c r="P650" s="1" t="s">
        <v>43</v>
      </c>
      <c r="Q650" s="1" t="s">
        <v>44</v>
      </c>
      <c r="R650" s="1" t="s">
        <v>45</v>
      </c>
      <c r="S650" s="1">
        <v>1499</v>
      </c>
      <c r="T650" s="1">
        <v>0</v>
      </c>
      <c r="U650" s="4">
        <v>0.13819444444444445</v>
      </c>
      <c r="V650" s="1">
        <v>1150</v>
      </c>
      <c r="W650" s="1">
        <v>2250</v>
      </c>
      <c r="X650" s="1">
        <v>3400</v>
      </c>
      <c r="Y650" s="1" t="s">
        <v>51</v>
      </c>
      <c r="Z650" s="1">
        <v>1740</v>
      </c>
      <c r="AA650" s="1">
        <v>1660</v>
      </c>
      <c r="AB650" s="1">
        <v>0</v>
      </c>
      <c r="AC650" s="1">
        <v>0</v>
      </c>
      <c r="AD650" s="1">
        <v>0</v>
      </c>
      <c r="AE650" s="1">
        <v>0</v>
      </c>
      <c r="AF650" s="1"/>
      <c r="AG650" s="1">
        <v>0</v>
      </c>
      <c r="AH650" s="1">
        <v>0</v>
      </c>
      <c r="AI650" s="1">
        <v>0</v>
      </c>
      <c r="AJ650" s="1">
        <v>0</v>
      </c>
      <c r="AK650" s="1">
        <v>5.2455999999999996</v>
      </c>
      <c r="AL650" s="1">
        <v>5.2455999999999996</v>
      </c>
      <c r="AM650" s="1">
        <v>5.2455999999999996</v>
      </c>
    </row>
    <row r="651" spans="1:39" x14ac:dyDescent="0.3">
      <c r="A651" s="21" t="str">
        <f t="shared" si="10"/>
        <v>HFA401LLHA2026-02-28</v>
      </c>
      <c r="B651" t="e">
        <f>VLOOKUP(A651,Sheet1!A651:B1993,1,FALSE)</f>
        <v>#N/A</v>
      </c>
      <c r="C651" s="3">
        <v>46081</v>
      </c>
      <c r="D651" s="1" t="s">
        <v>178</v>
      </c>
      <c r="E651" s="1" t="s">
        <v>38</v>
      </c>
      <c r="F651" s="1"/>
      <c r="G651" s="1" t="s">
        <v>39</v>
      </c>
      <c r="H651" s="1" t="s">
        <v>176</v>
      </c>
      <c r="I651" s="1" t="s">
        <v>41</v>
      </c>
      <c r="J651" s="1" t="s">
        <v>42</v>
      </c>
      <c r="K651" s="1" t="s">
        <v>43</v>
      </c>
      <c r="L651" s="1" t="s">
        <v>44</v>
      </c>
      <c r="M651" s="1" t="s">
        <v>45</v>
      </c>
      <c r="N651" s="1" t="s">
        <v>67</v>
      </c>
      <c r="O651" s="1" t="s">
        <v>86</v>
      </c>
      <c r="P651" s="1" t="s">
        <v>87</v>
      </c>
      <c r="Q651" s="1" t="s">
        <v>88</v>
      </c>
      <c r="R651" s="1" t="s">
        <v>50</v>
      </c>
      <c r="S651" s="1">
        <v>264</v>
      </c>
      <c r="T651" s="1">
        <v>265</v>
      </c>
      <c r="U651" s="4">
        <v>3.6111111111111108E-2</v>
      </c>
      <c r="V651" s="1">
        <v>1740</v>
      </c>
      <c r="W651" s="1">
        <v>20</v>
      </c>
      <c r="X651" s="1">
        <v>1760</v>
      </c>
      <c r="Y651" s="1" t="s">
        <v>51</v>
      </c>
      <c r="Z651" s="1">
        <v>1200</v>
      </c>
      <c r="AA651" s="1">
        <v>560</v>
      </c>
      <c r="AB651" s="1">
        <v>0</v>
      </c>
      <c r="AC651" s="1">
        <v>0</v>
      </c>
      <c r="AD651" s="1">
        <v>0</v>
      </c>
      <c r="AE651" s="1">
        <v>0</v>
      </c>
      <c r="AF651" s="1"/>
      <c r="AG651" s="1">
        <v>0</v>
      </c>
      <c r="AH651" s="1">
        <v>0</v>
      </c>
      <c r="AI651" s="1">
        <v>0</v>
      </c>
      <c r="AJ651" s="1">
        <v>0</v>
      </c>
      <c r="AK651" s="1">
        <v>1.7696000000000001</v>
      </c>
      <c r="AL651" s="1">
        <v>1.7696000000000001</v>
      </c>
      <c r="AM651" s="1">
        <v>1.7696000000000001</v>
      </c>
    </row>
    <row r="652" spans="1:39" x14ac:dyDescent="0.3">
      <c r="A652" s="21" t="str">
        <f t="shared" si="10"/>
        <v>HFA112ALCLK2026-03-06</v>
      </c>
      <c r="B652" t="e">
        <f>VLOOKUP(A652,Sheet1!A652:B1994,1,FALSE)</f>
        <v>#N/A</v>
      </c>
      <c r="C652" s="3">
        <v>46087</v>
      </c>
      <c r="D652" s="1" t="s">
        <v>179</v>
      </c>
      <c r="E652" s="1" t="s">
        <v>38</v>
      </c>
      <c r="F652" s="1"/>
      <c r="G652" s="1" t="s">
        <v>39</v>
      </c>
      <c r="H652" s="1" t="s">
        <v>176</v>
      </c>
      <c r="I652" s="1" t="s">
        <v>67</v>
      </c>
      <c r="J652" s="1" t="s">
        <v>86</v>
      </c>
      <c r="K652" s="1" t="s">
        <v>87</v>
      </c>
      <c r="L652" s="1" t="s">
        <v>88</v>
      </c>
      <c r="M652" s="1" t="s">
        <v>50</v>
      </c>
      <c r="N652" s="1" t="s">
        <v>75</v>
      </c>
      <c r="O652" s="1" t="s">
        <v>76</v>
      </c>
      <c r="P652" s="1" t="s">
        <v>77</v>
      </c>
      <c r="Q652" s="1" t="s">
        <v>78</v>
      </c>
      <c r="R652" s="1" t="s">
        <v>50</v>
      </c>
      <c r="S652" s="1">
        <v>1240</v>
      </c>
      <c r="T652" s="1">
        <v>1239</v>
      </c>
      <c r="U652" s="4">
        <v>0.13541666666666666</v>
      </c>
      <c r="V652" s="1">
        <v>1200</v>
      </c>
      <c r="W652" s="1">
        <v>2100</v>
      </c>
      <c r="X652" s="1">
        <v>3300</v>
      </c>
      <c r="Y652" s="1" t="s">
        <v>51</v>
      </c>
      <c r="Z652" s="1">
        <v>1130</v>
      </c>
      <c r="AA652" s="1">
        <v>2170</v>
      </c>
      <c r="AB652" s="1">
        <v>0</v>
      </c>
      <c r="AC652" s="1">
        <v>0</v>
      </c>
      <c r="AD652" s="1">
        <v>0</v>
      </c>
      <c r="AE652" s="1">
        <v>0</v>
      </c>
      <c r="AF652" s="1"/>
      <c r="AG652" s="1">
        <v>0</v>
      </c>
      <c r="AH652" s="1">
        <v>0</v>
      </c>
      <c r="AI652" s="1">
        <v>0</v>
      </c>
      <c r="AJ652" s="1">
        <v>0</v>
      </c>
      <c r="AK652" s="1">
        <v>6.8571999999999997</v>
      </c>
      <c r="AL652" s="1">
        <v>6.8571999999999997</v>
      </c>
      <c r="AM652" s="1">
        <v>6.8571999999999997</v>
      </c>
    </row>
    <row r="653" spans="1:39" x14ac:dyDescent="0.3">
      <c r="A653" s="21" t="str">
        <f t="shared" si="10"/>
        <v>HFA112LBSF2026-03-06</v>
      </c>
      <c r="B653" t="e">
        <f>VLOOKUP(A653,Sheet1!A653:B1995,1,FALSE)</f>
        <v>#N/A</v>
      </c>
      <c r="C653" s="3">
        <v>46087</v>
      </c>
      <c r="D653" s="1" t="s">
        <v>180</v>
      </c>
      <c r="E653" s="1" t="s">
        <v>38</v>
      </c>
      <c r="F653" s="1"/>
      <c r="G653" s="1" t="s">
        <v>39</v>
      </c>
      <c r="H653" s="1" t="s">
        <v>176</v>
      </c>
      <c r="I653" s="1" t="s">
        <v>75</v>
      </c>
      <c r="J653" s="1" t="s">
        <v>76</v>
      </c>
      <c r="K653" s="1" t="s">
        <v>77</v>
      </c>
      <c r="L653" s="1" t="s">
        <v>78</v>
      </c>
      <c r="M653" s="1" t="s">
        <v>50</v>
      </c>
      <c r="N653" s="1" t="s">
        <v>41</v>
      </c>
      <c r="O653" s="1" t="s">
        <v>82</v>
      </c>
      <c r="P653" s="1" t="s">
        <v>83</v>
      </c>
      <c r="Q653" s="1" t="s">
        <v>84</v>
      </c>
      <c r="R653" s="1" t="s">
        <v>45</v>
      </c>
      <c r="S653" s="1">
        <v>1559</v>
      </c>
      <c r="T653" s="1">
        <v>1559</v>
      </c>
      <c r="U653" s="4">
        <v>0.15625</v>
      </c>
      <c r="V653" s="1">
        <v>1130</v>
      </c>
      <c r="W653" s="1">
        <v>2270</v>
      </c>
      <c r="X653" s="1">
        <v>3400</v>
      </c>
      <c r="Y653" s="1" t="s">
        <v>51</v>
      </c>
      <c r="Z653" s="1">
        <v>1460</v>
      </c>
      <c r="AA653" s="1">
        <v>1940</v>
      </c>
      <c r="AB653" s="1">
        <v>0</v>
      </c>
      <c r="AC653" s="1">
        <v>0</v>
      </c>
      <c r="AD653" s="1">
        <v>0</v>
      </c>
      <c r="AE653" s="1">
        <v>0</v>
      </c>
      <c r="AF653" s="1"/>
      <c r="AG653" s="1">
        <v>0</v>
      </c>
      <c r="AH653" s="1">
        <v>0</v>
      </c>
      <c r="AI653" s="1">
        <v>0</v>
      </c>
      <c r="AJ653" s="1">
        <v>0</v>
      </c>
      <c r="AK653" s="1">
        <v>6.1303999999999998</v>
      </c>
      <c r="AL653" s="1">
        <v>6.1303999999999998</v>
      </c>
      <c r="AM653" s="1">
        <v>6.1303999999999998</v>
      </c>
    </row>
    <row r="654" spans="1:39" x14ac:dyDescent="0.3">
      <c r="A654" s="21" t="str">
        <f t="shared" si="10"/>
        <v>HFA111LLBG2026-03-06</v>
      </c>
      <c r="B654" t="e">
        <f>VLOOKUP(A654,Sheet1!A654:B1996,1,FALSE)</f>
        <v>#N/A</v>
      </c>
      <c r="C654" s="3">
        <v>46087</v>
      </c>
      <c r="D654" s="1" t="s">
        <v>181</v>
      </c>
      <c r="E654" s="1" t="s">
        <v>38</v>
      </c>
      <c r="F654" s="1"/>
      <c r="G654" s="1" t="s">
        <v>39</v>
      </c>
      <c r="H654" s="1" t="s">
        <v>176</v>
      </c>
      <c r="I654" s="1" t="s">
        <v>41</v>
      </c>
      <c r="J654" s="1" t="s">
        <v>82</v>
      </c>
      <c r="K654" s="1" t="s">
        <v>83</v>
      </c>
      <c r="L654" s="1" t="s">
        <v>84</v>
      </c>
      <c r="M654" s="1" t="s">
        <v>45</v>
      </c>
      <c r="N654" s="1" t="s">
        <v>67</v>
      </c>
      <c r="O654" s="1" t="s">
        <v>86</v>
      </c>
      <c r="P654" s="1" t="s">
        <v>87</v>
      </c>
      <c r="Q654" s="1" t="s">
        <v>88</v>
      </c>
      <c r="R654" s="1" t="s">
        <v>50</v>
      </c>
      <c r="S654" s="1">
        <v>339</v>
      </c>
      <c r="T654" s="1">
        <v>339</v>
      </c>
      <c r="U654" s="4">
        <v>5.1388888888888887E-2</v>
      </c>
      <c r="V654" s="1">
        <v>1460</v>
      </c>
      <c r="W654" s="1">
        <v>140</v>
      </c>
      <c r="X654" s="1">
        <v>1600</v>
      </c>
      <c r="Y654" s="1" t="s">
        <v>51</v>
      </c>
      <c r="Z654" s="1">
        <v>830</v>
      </c>
      <c r="AA654" s="1">
        <v>770</v>
      </c>
      <c r="AB654" s="1">
        <v>0</v>
      </c>
      <c r="AC654" s="1">
        <v>0</v>
      </c>
      <c r="AD654" s="1">
        <v>0</v>
      </c>
      <c r="AE654" s="1">
        <v>0</v>
      </c>
      <c r="AF654" s="1"/>
      <c r="AG654" s="1">
        <v>0</v>
      </c>
      <c r="AH654" s="1">
        <v>0</v>
      </c>
      <c r="AI654" s="1">
        <v>0</v>
      </c>
      <c r="AJ654" s="1">
        <v>0</v>
      </c>
      <c r="AK654" s="1">
        <v>2.4331999999999998</v>
      </c>
      <c r="AL654" s="1">
        <v>2.4331999999999998</v>
      </c>
      <c r="AM654" s="1">
        <v>2.4331999999999998</v>
      </c>
    </row>
    <row r="655" spans="1:39" x14ac:dyDescent="0.3">
      <c r="A655" s="21" t="str">
        <f t="shared" si="10"/>
        <v>HFA120ALCLK2026-03-07</v>
      </c>
      <c r="B655" t="e">
        <f>VLOOKUP(A655,Sheet1!A655:B1997,1,FALSE)</f>
        <v>#N/A</v>
      </c>
      <c r="C655" s="3">
        <v>46088</v>
      </c>
      <c r="D655" s="1" t="s">
        <v>182</v>
      </c>
      <c r="E655" s="1" t="s">
        <v>38</v>
      </c>
      <c r="F655" s="1"/>
      <c r="G655" s="1" t="s">
        <v>39</v>
      </c>
      <c r="H655" s="1" t="s">
        <v>176</v>
      </c>
      <c r="I655" s="1" t="s">
        <v>67</v>
      </c>
      <c r="J655" s="1" t="s">
        <v>86</v>
      </c>
      <c r="K655" s="1" t="s">
        <v>87</v>
      </c>
      <c r="L655" s="1" t="s">
        <v>88</v>
      </c>
      <c r="M655" s="1" t="s">
        <v>50</v>
      </c>
      <c r="N655" s="1" t="s">
        <v>46</v>
      </c>
      <c r="O655" s="1" t="s">
        <v>47</v>
      </c>
      <c r="P655" s="1" t="s">
        <v>48</v>
      </c>
      <c r="Q655" s="1" t="s">
        <v>49</v>
      </c>
      <c r="R655" s="1" t="s">
        <v>50</v>
      </c>
      <c r="S655" s="1">
        <v>932</v>
      </c>
      <c r="T655" s="1">
        <v>0</v>
      </c>
      <c r="U655" s="4">
        <v>0.11388888888888889</v>
      </c>
      <c r="V655" s="1">
        <v>830</v>
      </c>
      <c r="W655" s="1">
        <v>1970</v>
      </c>
      <c r="X655" s="1">
        <v>2800</v>
      </c>
      <c r="Y655" s="1" t="s">
        <v>51</v>
      </c>
      <c r="Z655" s="1">
        <v>1200</v>
      </c>
      <c r="AA655" s="1">
        <v>1600</v>
      </c>
      <c r="AB655" s="1">
        <v>0</v>
      </c>
      <c r="AC655" s="1">
        <v>0</v>
      </c>
      <c r="AD655" s="1">
        <v>0</v>
      </c>
      <c r="AE655" s="1">
        <v>0</v>
      </c>
      <c r="AF655" s="1"/>
      <c r="AG655" s="1">
        <v>0</v>
      </c>
      <c r="AH655" s="1">
        <v>0</v>
      </c>
      <c r="AI655" s="1">
        <v>0</v>
      </c>
      <c r="AJ655" s="1">
        <v>0</v>
      </c>
      <c r="AK655" s="1">
        <v>5.056</v>
      </c>
      <c r="AL655" s="1">
        <v>5.056</v>
      </c>
      <c r="AM655" s="1">
        <v>5.056</v>
      </c>
    </row>
    <row r="656" spans="1:39" x14ac:dyDescent="0.3">
      <c r="A656" s="21" t="str">
        <f t="shared" si="10"/>
        <v>HFA120LGAV2026-03-07</v>
      </c>
      <c r="B656" t="e">
        <f>VLOOKUP(A656,Sheet1!A656:B1998,1,FALSE)</f>
        <v>#N/A</v>
      </c>
      <c r="C656" s="3">
        <v>46088</v>
      </c>
      <c r="D656" s="1" t="s">
        <v>183</v>
      </c>
      <c r="E656" s="1" t="s">
        <v>38</v>
      </c>
      <c r="F656" s="1"/>
      <c r="G656" s="1" t="s">
        <v>39</v>
      </c>
      <c r="H656" s="1" t="s">
        <v>176</v>
      </c>
      <c r="I656" s="1" t="s">
        <v>46</v>
      </c>
      <c r="J656" s="1" t="s">
        <v>47</v>
      </c>
      <c r="K656" s="1" t="s">
        <v>48</v>
      </c>
      <c r="L656" s="1" t="s">
        <v>49</v>
      </c>
      <c r="M656" s="1" t="s">
        <v>50</v>
      </c>
      <c r="N656" s="1" t="s">
        <v>41</v>
      </c>
      <c r="O656" s="1" t="s">
        <v>82</v>
      </c>
      <c r="P656" s="1" t="s">
        <v>83</v>
      </c>
      <c r="Q656" s="1" t="s">
        <v>84</v>
      </c>
      <c r="R656" s="1" t="s">
        <v>45</v>
      </c>
      <c r="S656" s="1">
        <v>1195</v>
      </c>
      <c r="T656" s="1">
        <v>0</v>
      </c>
      <c r="U656" s="4">
        <v>0.10763888888888888</v>
      </c>
      <c r="V656" s="1">
        <v>1200</v>
      </c>
      <c r="W656" s="1">
        <v>1720</v>
      </c>
      <c r="X656" s="1">
        <v>2920</v>
      </c>
      <c r="Y656" s="1" t="s">
        <v>51</v>
      </c>
      <c r="Z656" s="1">
        <v>1190</v>
      </c>
      <c r="AA656" s="1">
        <v>1730</v>
      </c>
      <c r="AB656" s="1">
        <v>0</v>
      </c>
      <c r="AC656" s="1">
        <v>0</v>
      </c>
      <c r="AD656" s="1">
        <v>0</v>
      </c>
      <c r="AE656" s="1">
        <v>0</v>
      </c>
      <c r="AF656" s="1"/>
      <c r="AG656" s="1">
        <v>0</v>
      </c>
      <c r="AH656" s="1">
        <v>0</v>
      </c>
      <c r="AI656" s="1">
        <v>0</v>
      </c>
      <c r="AJ656" s="1">
        <v>0</v>
      </c>
      <c r="AK656" s="1">
        <v>5.4668000000000001</v>
      </c>
      <c r="AL656" s="1">
        <v>5.4668000000000001</v>
      </c>
      <c r="AM656" s="1">
        <v>5.4668000000000001</v>
      </c>
    </row>
    <row r="657" spans="1:39" x14ac:dyDescent="0.3">
      <c r="A657" s="21" t="str">
        <f t="shared" si="10"/>
        <v>HFA119LLBG2026-03-07</v>
      </c>
      <c r="B657" t="e">
        <f>VLOOKUP(A657,Sheet1!A657:B1999,1,FALSE)</f>
        <v>#N/A</v>
      </c>
      <c r="C657" s="3">
        <v>46088</v>
      </c>
      <c r="D657" s="1" t="s">
        <v>184</v>
      </c>
      <c r="E657" s="1" t="s">
        <v>38</v>
      </c>
      <c r="F657" s="1"/>
      <c r="G657" s="1" t="s">
        <v>39</v>
      </c>
      <c r="H657" s="1" t="s">
        <v>176</v>
      </c>
      <c r="I657" s="1" t="s">
        <v>41</v>
      </c>
      <c r="J657" s="1" t="s">
        <v>82</v>
      </c>
      <c r="K657" s="1" t="s">
        <v>83</v>
      </c>
      <c r="L657" s="1" t="s">
        <v>84</v>
      </c>
      <c r="M657" s="1" t="s">
        <v>45</v>
      </c>
      <c r="N657" s="1" t="s">
        <v>67</v>
      </c>
      <c r="O657" s="1" t="s">
        <v>86</v>
      </c>
      <c r="P657" s="1" t="s">
        <v>87</v>
      </c>
      <c r="Q657" s="1" t="s">
        <v>88</v>
      </c>
      <c r="R657" s="1" t="s">
        <v>50</v>
      </c>
      <c r="S657" s="1">
        <v>339</v>
      </c>
      <c r="T657" s="1">
        <v>0</v>
      </c>
      <c r="U657" s="4">
        <v>6.7361111111111108E-2</v>
      </c>
      <c r="V657" s="1">
        <v>1190</v>
      </c>
      <c r="W657" s="1">
        <v>410</v>
      </c>
      <c r="X657" s="1">
        <v>1600</v>
      </c>
      <c r="Y657" s="1" t="s">
        <v>51</v>
      </c>
      <c r="Z657" s="1">
        <v>560</v>
      </c>
      <c r="AA657" s="1">
        <v>1040</v>
      </c>
      <c r="AB657" s="1">
        <v>0</v>
      </c>
      <c r="AC657" s="1">
        <v>0</v>
      </c>
      <c r="AD657" s="1">
        <v>0</v>
      </c>
      <c r="AE657" s="1">
        <v>0</v>
      </c>
      <c r="AF657" s="1"/>
      <c r="AG657" s="1">
        <v>0</v>
      </c>
      <c r="AH657" s="1">
        <v>0</v>
      </c>
      <c r="AI657" s="1">
        <v>0</v>
      </c>
      <c r="AJ657" s="1">
        <v>0</v>
      </c>
      <c r="AK657" s="1">
        <v>3.2864</v>
      </c>
      <c r="AL657" s="1">
        <v>3.2864</v>
      </c>
      <c r="AM657" s="1">
        <v>3.2864</v>
      </c>
    </row>
    <row r="658" spans="1:39" x14ac:dyDescent="0.3">
      <c r="A658" s="21" t="str">
        <f t="shared" si="10"/>
        <v>HFA130LCLK2026-03-08</v>
      </c>
      <c r="B658" t="e">
        <f>VLOOKUP(A658,Sheet1!A658:B2000,1,FALSE)</f>
        <v>#N/A</v>
      </c>
      <c r="C658" s="3">
        <v>46089</v>
      </c>
      <c r="D658" s="1" t="s">
        <v>185</v>
      </c>
      <c r="E658" s="1" t="s">
        <v>38</v>
      </c>
      <c r="F658" s="1"/>
      <c r="G658" s="1" t="s">
        <v>39</v>
      </c>
      <c r="H658" s="1" t="s">
        <v>176</v>
      </c>
      <c r="I658" s="1" t="s">
        <v>67</v>
      </c>
      <c r="J658" s="1" t="s">
        <v>86</v>
      </c>
      <c r="K658" s="1" t="s">
        <v>87</v>
      </c>
      <c r="L658" s="1" t="s">
        <v>88</v>
      </c>
      <c r="M658" s="1" t="s">
        <v>50</v>
      </c>
      <c r="N658" s="1" t="s">
        <v>41</v>
      </c>
      <c r="O658" s="1" t="s">
        <v>82</v>
      </c>
      <c r="P658" s="1" t="s">
        <v>83</v>
      </c>
      <c r="Q658" s="1" t="s">
        <v>84</v>
      </c>
      <c r="R658" s="1" t="s">
        <v>45</v>
      </c>
      <c r="S658" s="1">
        <v>339</v>
      </c>
      <c r="T658" s="1">
        <v>339</v>
      </c>
      <c r="U658" s="4">
        <v>4.3749999999999997E-2</v>
      </c>
      <c r="V658" s="1">
        <v>560</v>
      </c>
      <c r="W658" s="1">
        <v>2040</v>
      </c>
      <c r="X658" s="1">
        <v>2600</v>
      </c>
      <c r="Y658" s="1" t="s">
        <v>51</v>
      </c>
      <c r="Z658" s="1">
        <v>1970</v>
      </c>
      <c r="AA658" s="1">
        <v>630</v>
      </c>
      <c r="AB658" s="1">
        <v>0</v>
      </c>
      <c r="AC658" s="1">
        <v>0</v>
      </c>
      <c r="AD658" s="1">
        <v>0</v>
      </c>
      <c r="AE658" s="1">
        <v>0</v>
      </c>
      <c r="AF658" s="1"/>
      <c r="AG658" s="1">
        <v>0</v>
      </c>
      <c r="AH658" s="1">
        <v>0</v>
      </c>
      <c r="AI658" s="1">
        <v>0</v>
      </c>
      <c r="AJ658" s="1">
        <v>0</v>
      </c>
      <c r="AK658" s="1">
        <v>1.9907999999999999</v>
      </c>
      <c r="AL658" s="1">
        <v>1.9907999999999999</v>
      </c>
      <c r="AM658" s="1">
        <v>1.9907999999999999</v>
      </c>
    </row>
    <row r="659" spans="1:39" x14ac:dyDescent="0.3">
      <c r="A659" s="21" t="str">
        <f t="shared" si="10"/>
        <v>HFA137LLBG2026-03-08</v>
      </c>
      <c r="B659" t="e">
        <f>VLOOKUP(A659,Sheet1!A659:B2001,1,FALSE)</f>
        <v>#N/A</v>
      </c>
      <c r="C659" s="3">
        <v>46089</v>
      </c>
      <c r="D659" s="1" t="s">
        <v>186</v>
      </c>
      <c r="E659" s="1" t="s">
        <v>38</v>
      </c>
      <c r="F659" s="1"/>
      <c r="G659" s="1" t="s">
        <v>39</v>
      </c>
      <c r="H659" s="1" t="s">
        <v>176</v>
      </c>
      <c r="I659" s="1" t="s">
        <v>41</v>
      </c>
      <c r="J659" s="1" t="s">
        <v>82</v>
      </c>
      <c r="K659" s="1" t="s">
        <v>83</v>
      </c>
      <c r="L659" s="1" t="s">
        <v>84</v>
      </c>
      <c r="M659" s="1" t="s">
        <v>45</v>
      </c>
      <c r="N659" s="1" t="s">
        <v>46</v>
      </c>
      <c r="O659" s="1" t="s">
        <v>47</v>
      </c>
      <c r="P659" s="1" t="s">
        <v>48</v>
      </c>
      <c r="Q659" s="1" t="s">
        <v>49</v>
      </c>
      <c r="R659" s="1" t="s">
        <v>50</v>
      </c>
      <c r="S659" s="1">
        <v>1195</v>
      </c>
      <c r="T659" s="1">
        <v>1195</v>
      </c>
      <c r="U659" s="4">
        <v>0.1388888888888889</v>
      </c>
      <c r="V659" s="1">
        <v>1970</v>
      </c>
      <c r="W659" s="1">
        <v>1230</v>
      </c>
      <c r="X659" s="1">
        <v>3200</v>
      </c>
      <c r="Y659" s="1" t="s">
        <v>51</v>
      </c>
      <c r="Z659" s="1">
        <v>1220</v>
      </c>
      <c r="AA659" s="1">
        <v>1980</v>
      </c>
      <c r="AB659" s="1">
        <v>0</v>
      </c>
      <c r="AC659" s="1">
        <v>0</v>
      </c>
      <c r="AD659" s="1">
        <v>0</v>
      </c>
      <c r="AE659" s="1">
        <v>0</v>
      </c>
      <c r="AF659" s="1"/>
      <c r="AG659" s="1">
        <v>0</v>
      </c>
      <c r="AH659" s="1">
        <v>0</v>
      </c>
      <c r="AI659" s="1">
        <v>0</v>
      </c>
      <c r="AJ659" s="1">
        <v>0</v>
      </c>
      <c r="AK659" s="1">
        <v>6.2568000000000001</v>
      </c>
      <c r="AL659" s="1">
        <v>6.2568000000000001</v>
      </c>
      <c r="AM659" s="1">
        <v>6.2568000000000001</v>
      </c>
    </row>
    <row r="660" spans="1:39" x14ac:dyDescent="0.3">
      <c r="A660" s="21" t="str">
        <f t="shared" si="10"/>
        <v>HFA136LGAV2026-03-08</v>
      </c>
      <c r="B660" t="e">
        <f>VLOOKUP(A660,Sheet1!A660:B2002,1,FALSE)</f>
        <v>#N/A</v>
      </c>
      <c r="C660" s="3">
        <v>46089</v>
      </c>
      <c r="D660" s="1" t="s">
        <v>187</v>
      </c>
      <c r="E660" s="1" t="s">
        <v>38</v>
      </c>
      <c r="F660" s="1"/>
      <c r="G660" s="1" t="s">
        <v>39</v>
      </c>
      <c r="H660" s="1" t="s">
        <v>176</v>
      </c>
      <c r="I660" s="1" t="s">
        <v>46</v>
      </c>
      <c r="J660" s="1" t="s">
        <v>47</v>
      </c>
      <c r="K660" s="1" t="s">
        <v>48</v>
      </c>
      <c r="L660" s="1" t="s">
        <v>49</v>
      </c>
      <c r="M660" s="1" t="s">
        <v>50</v>
      </c>
      <c r="N660" s="1" t="s">
        <v>41</v>
      </c>
      <c r="O660" s="1" t="s">
        <v>82</v>
      </c>
      <c r="P660" s="1" t="s">
        <v>83</v>
      </c>
      <c r="Q660" s="1" t="s">
        <v>84</v>
      </c>
      <c r="R660" s="1" t="s">
        <v>45</v>
      </c>
      <c r="S660" s="1">
        <v>1195</v>
      </c>
      <c r="T660" s="1">
        <v>1195</v>
      </c>
      <c r="U660" s="4">
        <v>0.11319444444444444</v>
      </c>
      <c r="V660" s="1">
        <v>1220</v>
      </c>
      <c r="W660" s="1">
        <v>1680</v>
      </c>
      <c r="X660" s="1">
        <v>2900</v>
      </c>
      <c r="Y660" s="1" t="s">
        <v>51</v>
      </c>
      <c r="Z660" s="1">
        <v>1480</v>
      </c>
      <c r="AA660" s="1">
        <v>1420</v>
      </c>
      <c r="AB660" s="1">
        <v>0</v>
      </c>
      <c r="AC660" s="1">
        <v>0</v>
      </c>
      <c r="AD660" s="1">
        <v>0</v>
      </c>
      <c r="AE660" s="1">
        <v>0</v>
      </c>
      <c r="AF660" s="1"/>
      <c r="AG660" s="1">
        <v>0</v>
      </c>
      <c r="AH660" s="1">
        <v>0</v>
      </c>
      <c r="AI660" s="1">
        <v>0</v>
      </c>
      <c r="AJ660" s="1">
        <v>0</v>
      </c>
      <c r="AK660" s="1">
        <v>4.4871999999999996</v>
      </c>
      <c r="AL660" s="1">
        <v>4.4871999999999996</v>
      </c>
      <c r="AM660" s="1">
        <v>4.4871999999999996</v>
      </c>
    </row>
    <row r="661" spans="1:39" x14ac:dyDescent="0.3">
      <c r="A661" s="21" t="str">
        <f t="shared" si="10"/>
        <v>HFA139LLBG2026-03-08</v>
      </c>
      <c r="B661" t="e">
        <f>VLOOKUP(A661,Sheet1!A661:B2003,1,FALSE)</f>
        <v>#N/A</v>
      </c>
      <c r="C661" s="3">
        <v>46089</v>
      </c>
      <c r="D661" s="1" t="s">
        <v>188</v>
      </c>
      <c r="E661" s="1" t="s">
        <v>38</v>
      </c>
      <c r="F661" s="1"/>
      <c r="G661" s="1" t="s">
        <v>39</v>
      </c>
      <c r="H661" s="1" t="s">
        <v>176</v>
      </c>
      <c r="I661" s="1" t="s">
        <v>41</v>
      </c>
      <c r="J661" s="1" t="s">
        <v>82</v>
      </c>
      <c r="K661" s="1" t="s">
        <v>83</v>
      </c>
      <c r="L661" s="1" t="s">
        <v>84</v>
      </c>
      <c r="M661" s="1" t="s">
        <v>45</v>
      </c>
      <c r="N661" s="1" t="s">
        <v>67</v>
      </c>
      <c r="O661" s="1" t="s">
        <v>86</v>
      </c>
      <c r="P661" s="1" t="s">
        <v>87</v>
      </c>
      <c r="Q661" s="1" t="s">
        <v>88</v>
      </c>
      <c r="R661" s="1" t="s">
        <v>50</v>
      </c>
      <c r="S661" s="1">
        <v>339</v>
      </c>
      <c r="T661" s="1">
        <v>339</v>
      </c>
      <c r="U661" s="4">
        <v>6.9444444444444448E-2</v>
      </c>
      <c r="V661" s="1">
        <v>1480</v>
      </c>
      <c r="W661" s="1">
        <v>520</v>
      </c>
      <c r="X661" s="1">
        <v>2000</v>
      </c>
      <c r="Y661" s="1" t="s">
        <v>51</v>
      </c>
      <c r="Z661" s="1">
        <v>980</v>
      </c>
      <c r="AA661" s="1">
        <v>1020</v>
      </c>
      <c r="AB661" s="1">
        <v>0</v>
      </c>
      <c r="AC661" s="1">
        <v>0</v>
      </c>
      <c r="AD661" s="1">
        <v>0</v>
      </c>
      <c r="AE661" s="1">
        <v>0</v>
      </c>
      <c r="AF661" s="1"/>
      <c r="AG661" s="1">
        <v>0</v>
      </c>
      <c r="AH661" s="1">
        <v>0</v>
      </c>
      <c r="AI661" s="1">
        <v>0</v>
      </c>
      <c r="AJ661" s="1">
        <v>0</v>
      </c>
      <c r="AK661" s="1">
        <v>3.2231999999999998</v>
      </c>
      <c r="AL661" s="1">
        <v>3.2231999999999998</v>
      </c>
      <c r="AM661" s="1">
        <v>3.2231999999999998</v>
      </c>
    </row>
    <row r="662" spans="1:39" x14ac:dyDescent="0.3">
      <c r="A662" s="21" t="str">
        <f t="shared" si="10"/>
        <v>HFA144LCLK2026-03-09</v>
      </c>
      <c r="B662" t="e">
        <f>VLOOKUP(A662,Sheet1!A662:B2004,1,FALSE)</f>
        <v>#N/A</v>
      </c>
      <c r="C662" s="3">
        <v>46090</v>
      </c>
      <c r="D662" s="1" t="s">
        <v>189</v>
      </c>
      <c r="E662" s="1" t="s">
        <v>38</v>
      </c>
      <c r="F662" s="1"/>
      <c r="G662" s="1" t="s">
        <v>39</v>
      </c>
      <c r="H662" s="1" t="s">
        <v>176</v>
      </c>
      <c r="I662" s="1" t="s">
        <v>67</v>
      </c>
      <c r="J662" s="1" t="s">
        <v>86</v>
      </c>
      <c r="K662" s="1" t="s">
        <v>87</v>
      </c>
      <c r="L662" s="1" t="s">
        <v>88</v>
      </c>
      <c r="M662" s="1" t="s">
        <v>50</v>
      </c>
      <c r="N662" s="1" t="s">
        <v>41</v>
      </c>
      <c r="O662" s="1" t="s">
        <v>82</v>
      </c>
      <c r="P662" s="1" t="s">
        <v>83</v>
      </c>
      <c r="Q662" s="1" t="s">
        <v>84</v>
      </c>
      <c r="R662" s="1" t="s">
        <v>45</v>
      </c>
      <c r="S662" s="1">
        <v>339</v>
      </c>
      <c r="T662" s="1">
        <v>0</v>
      </c>
      <c r="U662" s="4">
        <v>4.5138888888888888E-2</v>
      </c>
      <c r="V662" s="1">
        <v>980</v>
      </c>
      <c r="W662" s="1">
        <v>1520</v>
      </c>
      <c r="X662" s="1">
        <v>2500</v>
      </c>
      <c r="Y662" s="1" t="s">
        <v>51</v>
      </c>
      <c r="Z662" s="1">
        <v>1860</v>
      </c>
      <c r="AA662" s="1">
        <v>640</v>
      </c>
      <c r="AB662" s="1">
        <v>0</v>
      </c>
      <c r="AC662" s="1">
        <v>0</v>
      </c>
      <c r="AD662" s="1">
        <v>0</v>
      </c>
      <c r="AE662" s="1">
        <v>0</v>
      </c>
      <c r="AF662" s="1"/>
      <c r="AG662" s="1">
        <v>0</v>
      </c>
      <c r="AH662" s="1">
        <v>0</v>
      </c>
      <c r="AI662" s="1">
        <v>0</v>
      </c>
      <c r="AJ662" s="1">
        <v>0</v>
      </c>
      <c r="AK662" s="1">
        <v>2.0224000000000002</v>
      </c>
      <c r="AL662" s="1">
        <v>2.0224000000000002</v>
      </c>
      <c r="AM662" s="1">
        <v>2.0224000000000002</v>
      </c>
    </row>
    <row r="663" spans="1:39" x14ac:dyDescent="0.3">
      <c r="A663" s="21" t="str">
        <f t="shared" si="10"/>
        <v>HFA145LLBG2026-03-09</v>
      </c>
      <c r="B663" t="e">
        <f>VLOOKUP(A663,Sheet1!A663:B2005,1,FALSE)</f>
        <v>#N/A</v>
      </c>
      <c r="C663" s="3">
        <v>46090</v>
      </c>
      <c r="D663" s="1" t="s">
        <v>190</v>
      </c>
      <c r="E663" s="1" t="s">
        <v>38</v>
      </c>
      <c r="F663" s="1"/>
      <c r="G663" s="1" t="s">
        <v>39</v>
      </c>
      <c r="H663" s="1" t="s">
        <v>176</v>
      </c>
      <c r="I663" s="1" t="s">
        <v>41</v>
      </c>
      <c r="J663" s="1" t="s">
        <v>82</v>
      </c>
      <c r="K663" s="1" t="s">
        <v>83</v>
      </c>
      <c r="L663" s="1" t="s">
        <v>84</v>
      </c>
      <c r="M663" s="1" t="s">
        <v>45</v>
      </c>
      <c r="N663" s="1" t="s">
        <v>46</v>
      </c>
      <c r="O663" s="1" t="s">
        <v>47</v>
      </c>
      <c r="P663" s="1" t="s">
        <v>48</v>
      </c>
      <c r="Q663" s="1" t="s">
        <v>49</v>
      </c>
      <c r="R663" s="1" t="s">
        <v>50</v>
      </c>
      <c r="S663" s="1">
        <v>1195</v>
      </c>
      <c r="T663" s="1">
        <v>0</v>
      </c>
      <c r="U663" s="4">
        <v>0.13263888888888889</v>
      </c>
      <c r="V663" s="1">
        <v>1860</v>
      </c>
      <c r="W663" s="1">
        <v>1240</v>
      </c>
      <c r="X663" s="1">
        <v>3100</v>
      </c>
      <c r="Y663" s="1" t="s">
        <v>51</v>
      </c>
      <c r="Z663" s="1">
        <v>1160</v>
      </c>
      <c r="AA663" s="1">
        <v>1940</v>
      </c>
      <c r="AB663" s="1">
        <v>0</v>
      </c>
      <c r="AC663" s="1">
        <v>0</v>
      </c>
      <c r="AD663" s="1">
        <v>0</v>
      </c>
      <c r="AE663" s="1">
        <v>0</v>
      </c>
      <c r="AF663" s="1"/>
      <c r="AG663" s="1">
        <v>0</v>
      </c>
      <c r="AH663" s="1">
        <v>0</v>
      </c>
      <c r="AI663" s="1">
        <v>0</v>
      </c>
      <c r="AJ663" s="1">
        <v>0</v>
      </c>
      <c r="AK663" s="1">
        <v>6.1303999999999998</v>
      </c>
      <c r="AL663" s="1">
        <v>6.1303999999999998</v>
      </c>
      <c r="AM663" s="1">
        <v>6.1303999999999998</v>
      </c>
    </row>
    <row r="664" spans="1:39" x14ac:dyDescent="0.3">
      <c r="A664" s="21" t="str">
        <f t="shared" si="10"/>
        <v>HFA154LGAV2026-03-10</v>
      </c>
      <c r="B664" t="e">
        <f>VLOOKUP(A664,Sheet1!A664:B2006,1,FALSE)</f>
        <v>#N/A</v>
      </c>
      <c r="C664" s="3">
        <v>46091</v>
      </c>
      <c r="D664" s="1" t="s">
        <v>191</v>
      </c>
      <c r="E664" s="1" t="s">
        <v>38</v>
      </c>
      <c r="F664" s="1"/>
      <c r="G664" s="1" t="s">
        <v>39</v>
      </c>
      <c r="H664" s="1" t="s">
        <v>176</v>
      </c>
      <c r="I664" s="1" t="s">
        <v>46</v>
      </c>
      <c r="J664" s="1" t="s">
        <v>47</v>
      </c>
      <c r="K664" s="1" t="s">
        <v>48</v>
      </c>
      <c r="L664" s="1" t="s">
        <v>49</v>
      </c>
      <c r="M664" s="1" t="s">
        <v>50</v>
      </c>
      <c r="N664" s="1" t="s">
        <v>41</v>
      </c>
      <c r="O664" s="1" t="s">
        <v>82</v>
      </c>
      <c r="P664" s="1" t="s">
        <v>83</v>
      </c>
      <c r="Q664" s="1" t="s">
        <v>84</v>
      </c>
      <c r="R664" s="1" t="s">
        <v>45</v>
      </c>
      <c r="S664" s="1">
        <v>1195</v>
      </c>
      <c r="T664" s="1">
        <v>0</v>
      </c>
      <c r="U664" s="4">
        <v>0.11527777777777777</v>
      </c>
      <c r="V664" s="1">
        <v>1160</v>
      </c>
      <c r="W664" s="1">
        <v>1840</v>
      </c>
      <c r="X664" s="1">
        <v>3000</v>
      </c>
      <c r="Y664" s="1" t="s">
        <v>51</v>
      </c>
      <c r="Z664" s="1">
        <v>1440</v>
      </c>
      <c r="AA664" s="1">
        <v>1560</v>
      </c>
      <c r="AB664" s="1">
        <v>0</v>
      </c>
      <c r="AC664" s="1">
        <v>0</v>
      </c>
      <c r="AD664" s="1">
        <v>0</v>
      </c>
      <c r="AE664" s="1">
        <v>0</v>
      </c>
      <c r="AF664" s="1"/>
      <c r="AG664" s="1">
        <v>0</v>
      </c>
      <c r="AH664" s="1">
        <v>0</v>
      </c>
      <c r="AI664" s="1">
        <v>0</v>
      </c>
      <c r="AJ664" s="1">
        <v>0</v>
      </c>
      <c r="AK664" s="1">
        <v>4.9295999999999998</v>
      </c>
      <c r="AL664" s="1">
        <v>4.9295999999999998</v>
      </c>
      <c r="AM664" s="1">
        <v>4.9295999999999998</v>
      </c>
    </row>
    <row r="665" spans="1:39" x14ac:dyDescent="0.3">
      <c r="A665" s="21" t="str">
        <f t="shared" si="10"/>
        <v>HFA155LLBG2026-03-10</v>
      </c>
      <c r="B665" t="e">
        <f>VLOOKUP(A665,Sheet1!A665:B2007,1,FALSE)</f>
        <v>#N/A</v>
      </c>
      <c r="C665" s="3">
        <v>46091</v>
      </c>
      <c r="D665" s="1" t="s">
        <v>192</v>
      </c>
      <c r="E665" s="1" t="s">
        <v>38</v>
      </c>
      <c r="F665" s="1"/>
      <c r="G665" s="1" t="s">
        <v>39</v>
      </c>
      <c r="H665" s="1" t="s">
        <v>176</v>
      </c>
      <c r="I665" s="1" t="s">
        <v>41</v>
      </c>
      <c r="J665" s="1" t="s">
        <v>82</v>
      </c>
      <c r="K665" s="1" t="s">
        <v>83</v>
      </c>
      <c r="L665" s="1" t="s">
        <v>84</v>
      </c>
      <c r="M665" s="1" t="s">
        <v>45</v>
      </c>
      <c r="N665" s="1" t="s">
        <v>46</v>
      </c>
      <c r="O665" s="1" t="s">
        <v>47</v>
      </c>
      <c r="P665" s="1" t="s">
        <v>48</v>
      </c>
      <c r="Q665" s="1" t="s">
        <v>49</v>
      </c>
      <c r="R665" s="1" t="s">
        <v>50</v>
      </c>
      <c r="S665" s="1">
        <v>1195</v>
      </c>
      <c r="T665" s="1">
        <v>0</v>
      </c>
      <c r="U665" s="4">
        <v>0.12777777777777777</v>
      </c>
      <c r="V665" s="1">
        <v>1440</v>
      </c>
      <c r="W665" s="1">
        <v>1760</v>
      </c>
      <c r="X665" s="1">
        <v>3200</v>
      </c>
      <c r="Y665" s="1" t="s">
        <v>51</v>
      </c>
      <c r="Z665" s="1">
        <v>1240</v>
      </c>
      <c r="AA665" s="1">
        <v>1960</v>
      </c>
      <c r="AB665" s="1">
        <v>0</v>
      </c>
      <c r="AC665" s="1">
        <v>0</v>
      </c>
      <c r="AD665" s="1">
        <v>0</v>
      </c>
      <c r="AE665" s="1">
        <v>0</v>
      </c>
      <c r="AF665" s="1"/>
      <c r="AG665" s="1">
        <v>0</v>
      </c>
      <c r="AH665" s="1">
        <v>0</v>
      </c>
      <c r="AI665" s="1">
        <v>0</v>
      </c>
      <c r="AJ665" s="1">
        <v>0</v>
      </c>
      <c r="AK665" s="1">
        <v>6.1936</v>
      </c>
      <c r="AL665" s="1">
        <v>6.1936</v>
      </c>
      <c r="AM665" s="1">
        <v>6.1936</v>
      </c>
    </row>
    <row r="666" spans="1:39" x14ac:dyDescent="0.3">
      <c r="A666" s="21" t="str">
        <f t="shared" si="10"/>
        <v>HFA164LGAV2026-03-11</v>
      </c>
      <c r="B666" t="e">
        <f>VLOOKUP(A666,Sheet1!A666:B2008,1,FALSE)</f>
        <v>#N/A</v>
      </c>
      <c r="C666" s="3">
        <v>46092</v>
      </c>
      <c r="D666" s="1" t="s">
        <v>193</v>
      </c>
      <c r="E666" s="1" t="s">
        <v>38</v>
      </c>
      <c r="F666" s="1"/>
      <c r="G666" s="1" t="s">
        <v>39</v>
      </c>
      <c r="H666" s="1" t="s">
        <v>176</v>
      </c>
      <c r="I666" s="1" t="s">
        <v>46</v>
      </c>
      <c r="J666" s="1" t="s">
        <v>47</v>
      </c>
      <c r="K666" s="1" t="s">
        <v>48</v>
      </c>
      <c r="L666" s="1" t="s">
        <v>49</v>
      </c>
      <c r="M666" s="1" t="s">
        <v>50</v>
      </c>
      <c r="N666" s="1" t="s">
        <v>41</v>
      </c>
      <c r="O666" s="1" t="s">
        <v>82</v>
      </c>
      <c r="P666" s="1" t="s">
        <v>83</v>
      </c>
      <c r="Q666" s="1" t="s">
        <v>84</v>
      </c>
      <c r="R666" s="1" t="s">
        <v>45</v>
      </c>
      <c r="S666" s="1">
        <v>1195</v>
      </c>
      <c r="T666" s="1">
        <v>0</v>
      </c>
      <c r="U666" s="4">
        <v>0.11388888888888889</v>
      </c>
      <c r="V666" s="1">
        <v>1240</v>
      </c>
      <c r="W666" s="1">
        <v>1760</v>
      </c>
      <c r="X666" s="1">
        <v>3000</v>
      </c>
      <c r="Y666" s="1" t="s">
        <v>51</v>
      </c>
      <c r="Z666" s="1">
        <v>1320</v>
      </c>
      <c r="AA666" s="1">
        <v>1680</v>
      </c>
      <c r="AB666" s="1">
        <v>0</v>
      </c>
      <c r="AC666" s="1">
        <v>0</v>
      </c>
      <c r="AD666" s="1">
        <v>0</v>
      </c>
      <c r="AE666" s="1">
        <v>0</v>
      </c>
      <c r="AF666" s="1"/>
      <c r="AG666" s="1">
        <v>0</v>
      </c>
      <c r="AH666" s="1">
        <v>0</v>
      </c>
      <c r="AI666" s="1">
        <v>0</v>
      </c>
      <c r="AJ666" s="1">
        <v>0</v>
      </c>
      <c r="AK666" s="1">
        <v>5.3087999999999997</v>
      </c>
      <c r="AL666" s="1">
        <v>5.3087999999999997</v>
      </c>
      <c r="AM666" s="1">
        <v>5.3087999999999997</v>
      </c>
    </row>
    <row r="667" spans="1:39" x14ac:dyDescent="0.3">
      <c r="A667" s="21" t="str">
        <f t="shared" si="10"/>
        <v>HFA165LLBG2026-03-11</v>
      </c>
      <c r="B667" t="e">
        <f>VLOOKUP(A667,Sheet1!A667:B2009,1,FALSE)</f>
        <v>#N/A</v>
      </c>
      <c r="C667" s="3">
        <v>46092</v>
      </c>
      <c r="D667" s="1" t="s">
        <v>194</v>
      </c>
      <c r="E667" s="1" t="s">
        <v>38</v>
      </c>
      <c r="F667" s="1"/>
      <c r="G667" s="1" t="s">
        <v>39</v>
      </c>
      <c r="H667" s="1" t="s">
        <v>176</v>
      </c>
      <c r="I667" s="1" t="s">
        <v>41</v>
      </c>
      <c r="J667" s="1" t="s">
        <v>82</v>
      </c>
      <c r="K667" s="1" t="s">
        <v>83</v>
      </c>
      <c r="L667" s="1" t="s">
        <v>84</v>
      </c>
      <c r="M667" s="1" t="s">
        <v>45</v>
      </c>
      <c r="N667" s="1" t="s">
        <v>67</v>
      </c>
      <c r="O667" s="1" t="s">
        <v>86</v>
      </c>
      <c r="P667" s="1" t="s">
        <v>87</v>
      </c>
      <c r="Q667" s="1" t="s">
        <v>88</v>
      </c>
      <c r="R667" s="1" t="s">
        <v>50</v>
      </c>
      <c r="S667" s="1">
        <v>339</v>
      </c>
      <c r="T667" s="1">
        <v>0</v>
      </c>
      <c r="U667" s="4">
        <v>5.9027777777777776E-2</v>
      </c>
      <c r="V667" s="1">
        <v>1320</v>
      </c>
      <c r="W667" s="1">
        <v>580</v>
      </c>
      <c r="X667" s="1">
        <v>1900</v>
      </c>
      <c r="Y667" s="1" t="s">
        <v>51</v>
      </c>
      <c r="Z667" s="1">
        <v>1110</v>
      </c>
      <c r="AA667" s="1">
        <v>790</v>
      </c>
      <c r="AB667" s="1">
        <v>0</v>
      </c>
      <c r="AC667" s="1">
        <v>0</v>
      </c>
      <c r="AD667" s="1">
        <v>0</v>
      </c>
      <c r="AE667" s="1">
        <v>0</v>
      </c>
      <c r="AF667" s="1"/>
      <c r="AG667" s="1">
        <v>0</v>
      </c>
      <c r="AH667" s="1">
        <v>0</v>
      </c>
      <c r="AI667" s="1">
        <v>0</v>
      </c>
      <c r="AJ667" s="1">
        <v>0</v>
      </c>
      <c r="AK667" s="1">
        <v>2.4964</v>
      </c>
      <c r="AL667" s="1">
        <v>2.4964</v>
      </c>
      <c r="AM667" s="1">
        <v>2.4964</v>
      </c>
    </row>
    <row r="668" spans="1:39" x14ac:dyDescent="0.3">
      <c r="A668" s="21" t="str">
        <f t="shared" si="10"/>
        <v>HFA184LCLK2026-03-14</v>
      </c>
      <c r="B668" t="e">
        <f>VLOOKUP(A668,Sheet1!A668:B2010,1,FALSE)</f>
        <v>#N/A</v>
      </c>
      <c r="C668" s="3">
        <v>46095</v>
      </c>
      <c r="D668" s="1" t="s">
        <v>195</v>
      </c>
      <c r="E668" s="1" t="s">
        <v>38</v>
      </c>
      <c r="F668" s="1"/>
      <c r="G668" s="1" t="s">
        <v>39</v>
      </c>
      <c r="H668" s="1" t="s">
        <v>176</v>
      </c>
      <c r="I668" s="1" t="s">
        <v>67</v>
      </c>
      <c r="J668" s="1" t="s">
        <v>86</v>
      </c>
      <c r="K668" s="1" t="s">
        <v>87</v>
      </c>
      <c r="L668" s="1" t="s">
        <v>88</v>
      </c>
      <c r="M668" s="1" t="s">
        <v>50</v>
      </c>
      <c r="N668" s="1" t="s">
        <v>41</v>
      </c>
      <c r="O668" s="1" t="s">
        <v>82</v>
      </c>
      <c r="P668" s="1" t="s">
        <v>83</v>
      </c>
      <c r="Q668" s="1" t="s">
        <v>84</v>
      </c>
      <c r="R668" s="1" t="s">
        <v>45</v>
      </c>
      <c r="S668" s="1">
        <v>339</v>
      </c>
      <c r="T668" s="1">
        <v>0</v>
      </c>
      <c r="U668" s="4">
        <v>5.2777777777777778E-2</v>
      </c>
      <c r="V668" s="1">
        <v>1110</v>
      </c>
      <c r="W668" s="1">
        <v>1190</v>
      </c>
      <c r="X668" s="1">
        <v>2300</v>
      </c>
      <c r="Y668" s="1" t="s">
        <v>51</v>
      </c>
      <c r="Z668" s="1">
        <v>1660</v>
      </c>
      <c r="AA668" s="1">
        <v>640</v>
      </c>
      <c r="AB668" s="1">
        <v>0</v>
      </c>
      <c r="AC668" s="1">
        <v>0</v>
      </c>
      <c r="AD668" s="1">
        <v>0</v>
      </c>
      <c r="AE668" s="1">
        <v>0</v>
      </c>
      <c r="AF668" s="1"/>
      <c r="AG668" s="1">
        <v>0</v>
      </c>
      <c r="AH668" s="1">
        <v>0</v>
      </c>
      <c r="AI668" s="1">
        <v>0</v>
      </c>
      <c r="AJ668" s="1">
        <v>0</v>
      </c>
      <c r="AK668" s="1">
        <v>2.0224000000000002</v>
      </c>
      <c r="AL668" s="1">
        <v>2.0224000000000002</v>
      </c>
      <c r="AM668" s="1">
        <v>2.0224000000000002</v>
      </c>
    </row>
    <row r="669" spans="1:39" x14ac:dyDescent="0.3">
      <c r="A669" s="21" t="str">
        <f t="shared" si="10"/>
        <v>HFA185LLBG2026-03-14</v>
      </c>
      <c r="B669" t="e">
        <f>VLOOKUP(A669,Sheet1!A669:B2011,1,FALSE)</f>
        <v>#N/A</v>
      </c>
      <c r="C669" s="3">
        <v>46095</v>
      </c>
      <c r="D669" s="1" t="s">
        <v>196</v>
      </c>
      <c r="E669" s="1" t="s">
        <v>38</v>
      </c>
      <c r="F669" s="1"/>
      <c r="G669" s="1" t="s">
        <v>39</v>
      </c>
      <c r="H669" s="1" t="s">
        <v>176</v>
      </c>
      <c r="I669" s="1" t="s">
        <v>41</v>
      </c>
      <c r="J669" s="1" t="s">
        <v>82</v>
      </c>
      <c r="K669" s="1" t="s">
        <v>83</v>
      </c>
      <c r="L669" s="1" t="s">
        <v>84</v>
      </c>
      <c r="M669" s="1" t="s">
        <v>45</v>
      </c>
      <c r="N669" s="1" t="s">
        <v>46</v>
      </c>
      <c r="O669" s="1" t="s">
        <v>47</v>
      </c>
      <c r="P669" s="1" t="s">
        <v>48</v>
      </c>
      <c r="Q669" s="1" t="s">
        <v>49</v>
      </c>
      <c r="R669" s="1" t="s">
        <v>50</v>
      </c>
      <c r="S669" s="1">
        <v>1195</v>
      </c>
      <c r="T669" s="1">
        <v>0</v>
      </c>
      <c r="U669" s="4">
        <v>0.1361111111111111</v>
      </c>
      <c r="V669" s="1">
        <v>1660</v>
      </c>
      <c r="W669" s="1">
        <v>1240</v>
      </c>
      <c r="X669" s="1">
        <v>2900</v>
      </c>
      <c r="Y669" s="1" t="s">
        <v>51</v>
      </c>
      <c r="Z669" s="1">
        <v>1080</v>
      </c>
      <c r="AA669" s="1">
        <v>1820</v>
      </c>
      <c r="AB669" s="1">
        <v>0</v>
      </c>
      <c r="AC669" s="1">
        <v>0</v>
      </c>
      <c r="AD669" s="1">
        <v>0</v>
      </c>
      <c r="AE669" s="1">
        <v>0</v>
      </c>
      <c r="AF669" s="1"/>
      <c r="AG669" s="1">
        <v>0</v>
      </c>
      <c r="AH669" s="1">
        <v>0</v>
      </c>
      <c r="AI669" s="1">
        <v>0</v>
      </c>
      <c r="AJ669" s="1">
        <v>0</v>
      </c>
      <c r="AK669" s="1">
        <v>5.7511999999999999</v>
      </c>
      <c r="AL669" s="1">
        <v>5.7511999999999999</v>
      </c>
      <c r="AM669" s="1">
        <v>5.7511999999999999</v>
      </c>
    </row>
    <row r="670" spans="1:39" x14ac:dyDescent="0.3">
      <c r="A670" s="21" t="str">
        <f t="shared" si="10"/>
        <v>HFA192LGAV2026-03-14</v>
      </c>
      <c r="B670" t="e">
        <f>VLOOKUP(A670,Sheet1!A670:B2012,1,FALSE)</f>
        <v>#N/A</v>
      </c>
      <c r="C670" s="3">
        <v>46095</v>
      </c>
      <c r="D670" s="1" t="s">
        <v>197</v>
      </c>
      <c r="E670" s="1" t="s">
        <v>38</v>
      </c>
      <c r="F670" s="1"/>
      <c r="G670" s="1" t="s">
        <v>39</v>
      </c>
      <c r="H670" s="1" t="s">
        <v>176</v>
      </c>
      <c r="I670" s="1" t="s">
        <v>46</v>
      </c>
      <c r="J670" s="1" t="s">
        <v>47</v>
      </c>
      <c r="K670" s="1" t="s">
        <v>48</v>
      </c>
      <c r="L670" s="1" t="s">
        <v>49</v>
      </c>
      <c r="M670" s="1" t="s">
        <v>50</v>
      </c>
      <c r="N670" s="1" t="s">
        <v>41</v>
      </c>
      <c r="O670" s="1" t="s">
        <v>82</v>
      </c>
      <c r="P670" s="1" t="s">
        <v>83</v>
      </c>
      <c r="Q670" s="1" t="s">
        <v>84</v>
      </c>
      <c r="R670" s="1" t="s">
        <v>45</v>
      </c>
      <c r="S670" s="1">
        <v>1195</v>
      </c>
      <c r="T670" s="1">
        <v>0</v>
      </c>
      <c r="U670" s="4">
        <v>0.11527777777777777</v>
      </c>
      <c r="V670" s="1">
        <v>1080</v>
      </c>
      <c r="W670" s="1">
        <v>2120</v>
      </c>
      <c r="X670" s="1">
        <v>3200</v>
      </c>
      <c r="Y670" s="1" t="s">
        <v>51</v>
      </c>
      <c r="Z670" s="1">
        <v>1680</v>
      </c>
      <c r="AA670" s="1">
        <v>1520</v>
      </c>
      <c r="AB670" s="1">
        <v>0</v>
      </c>
      <c r="AC670" s="1">
        <v>0</v>
      </c>
      <c r="AD670" s="1">
        <v>0</v>
      </c>
      <c r="AE670" s="1">
        <v>0</v>
      </c>
      <c r="AF670" s="1"/>
      <c r="AG670" s="1">
        <v>0</v>
      </c>
      <c r="AH670" s="1">
        <v>0</v>
      </c>
      <c r="AI670" s="1">
        <v>0</v>
      </c>
      <c r="AJ670" s="1">
        <v>0</v>
      </c>
      <c r="AK670" s="1">
        <v>4.8032000000000004</v>
      </c>
      <c r="AL670" s="1">
        <v>4.8032000000000004</v>
      </c>
      <c r="AM670" s="1">
        <v>4.8032000000000004</v>
      </c>
    </row>
    <row r="671" spans="1:39" x14ac:dyDescent="0.3">
      <c r="A671" s="21" t="str">
        <f t="shared" si="10"/>
        <v>HFA193LLBG2026-03-14</v>
      </c>
      <c r="B671" t="e">
        <f>VLOOKUP(A671,Sheet1!A671:B2013,1,FALSE)</f>
        <v>#N/A</v>
      </c>
      <c r="C671" s="3">
        <v>46095</v>
      </c>
      <c r="D671" s="1" t="s">
        <v>198</v>
      </c>
      <c r="E671" s="1" t="s">
        <v>38</v>
      </c>
      <c r="F671" s="1"/>
      <c r="G671" s="1" t="s">
        <v>39</v>
      </c>
      <c r="H671" s="1" t="s">
        <v>176</v>
      </c>
      <c r="I671" s="1" t="s">
        <v>41</v>
      </c>
      <c r="J671" s="1" t="s">
        <v>82</v>
      </c>
      <c r="K671" s="1" t="s">
        <v>83</v>
      </c>
      <c r="L671" s="1" t="s">
        <v>84</v>
      </c>
      <c r="M671" s="1" t="s">
        <v>45</v>
      </c>
      <c r="N671" s="1" t="s">
        <v>46</v>
      </c>
      <c r="O671" s="1" t="s">
        <v>47</v>
      </c>
      <c r="P671" s="1" t="s">
        <v>48</v>
      </c>
      <c r="Q671" s="1" t="s">
        <v>49</v>
      </c>
      <c r="R671" s="1" t="s">
        <v>50</v>
      </c>
      <c r="S671" s="1">
        <v>1195</v>
      </c>
      <c r="T671" s="1">
        <v>0</v>
      </c>
      <c r="U671" s="4">
        <v>0.13055555555555556</v>
      </c>
      <c r="V671" s="1">
        <v>1680</v>
      </c>
      <c r="W671" s="1">
        <v>920</v>
      </c>
      <c r="X671" s="1">
        <v>2600</v>
      </c>
      <c r="Y671" s="1" t="s">
        <v>51</v>
      </c>
      <c r="Z671" s="1">
        <v>750</v>
      </c>
      <c r="AA671" s="1">
        <v>1850</v>
      </c>
      <c r="AB671" s="1">
        <v>0</v>
      </c>
      <c r="AC671" s="1">
        <v>0</v>
      </c>
      <c r="AD671" s="1">
        <v>0</v>
      </c>
      <c r="AE671" s="1">
        <v>0</v>
      </c>
      <c r="AF671" s="1"/>
      <c r="AG671" s="1">
        <v>0</v>
      </c>
      <c r="AH671" s="1">
        <v>0</v>
      </c>
      <c r="AI671" s="1">
        <v>0</v>
      </c>
      <c r="AJ671" s="1">
        <v>0</v>
      </c>
      <c r="AK671" s="1">
        <v>5.8460000000000001</v>
      </c>
      <c r="AL671" s="1">
        <v>5.8460000000000001</v>
      </c>
      <c r="AM671" s="1">
        <v>5.8460000000000001</v>
      </c>
    </row>
    <row r="672" spans="1:39" x14ac:dyDescent="0.3">
      <c r="A672" s="21" t="str">
        <f t="shared" si="10"/>
        <v>HFA193ALGAV2026-03-14</v>
      </c>
      <c r="B672" t="e">
        <f>VLOOKUP(A672,Sheet1!A672:B2014,1,FALSE)</f>
        <v>#N/A</v>
      </c>
      <c r="C672" s="3">
        <v>46095</v>
      </c>
      <c r="D672" s="1" t="s">
        <v>199</v>
      </c>
      <c r="E672" s="1" t="s">
        <v>38</v>
      </c>
      <c r="F672" s="1"/>
      <c r="G672" s="1" t="s">
        <v>39</v>
      </c>
      <c r="H672" s="1" t="s">
        <v>176</v>
      </c>
      <c r="I672" s="1" t="s">
        <v>46</v>
      </c>
      <c r="J672" s="1" t="s">
        <v>47</v>
      </c>
      <c r="K672" s="1" t="s">
        <v>48</v>
      </c>
      <c r="L672" s="1" t="s">
        <v>49</v>
      </c>
      <c r="M672" s="1" t="s">
        <v>50</v>
      </c>
      <c r="N672" s="1" t="s">
        <v>67</v>
      </c>
      <c r="O672" s="1" t="s">
        <v>86</v>
      </c>
      <c r="P672" s="1" t="s">
        <v>87</v>
      </c>
      <c r="Q672" s="1" t="s">
        <v>88</v>
      </c>
      <c r="R672" s="1" t="s">
        <v>50</v>
      </c>
      <c r="S672" s="1">
        <v>932</v>
      </c>
      <c r="T672" s="1">
        <v>0</v>
      </c>
      <c r="U672" s="4">
        <v>9.2361111111111102E-2</v>
      </c>
      <c r="V672" s="1">
        <v>750</v>
      </c>
      <c r="W672" s="1">
        <v>2250</v>
      </c>
      <c r="X672" s="1">
        <v>3000</v>
      </c>
      <c r="Y672" s="1" t="s">
        <v>51</v>
      </c>
      <c r="Z672" s="1">
        <v>1770</v>
      </c>
      <c r="AA672" s="1">
        <v>1230</v>
      </c>
      <c r="AB672" s="1">
        <v>0</v>
      </c>
      <c r="AC672" s="1">
        <v>0</v>
      </c>
      <c r="AD672" s="1">
        <v>0</v>
      </c>
      <c r="AE672" s="1">
        <v>0</v>
      </c>
      <c r="AF672" s="1"/>
      <c r="AG672" s="1">
        <v>0</v>
      </c>
      <c r="AH672" s="1">
        <v>0</v>
      </c>
      <c r="AI672" s="1">
        <v>0</v>
      </c>
      <c r="AJ672" s="1">
        <v>0</v>
      </c>
      <c r="AK672" s="1">
        <v>3.8868</v>
      </c>
      <c r="AL672" s="1">
        <v>3.8868</v>
      </c>
      <c r="AM672" s="1">
        <v>3.8868</v>
      </c>
    </row>
    <row r="673" spans="1:39" x14ac:dyDescent="0.3">
      <c r="A673" s="21" t="str">
        <f t="shared" si="10"/>
        <v>HFA212LCLK2026-03-17</v>
      </c>
      <c r="B673" t="e">
        <f>VLOOKUP(A673,Sheet1!A673:B2015,1,FALSE)</f>
        <v>#N/A</v>
      </c>
      <c r="C673" s="3">
        <v>46098</v>
      </c>
      <c r="D673" s="1" t="s">
        <v>200</v>
      </c>
      <c r="E673" s="1" t="s">
        <v>38</v>
      </c>
      <c r="F673" s="1"/>
      <c r="G673" s="1" t="s">
        <v>39</v>
      </c>
      <c r="H673" s="1" t="s">
        <v>176</v>
      </c>
      <c r="I673" s="1" t="s">
        <v>67</v>
      </c>
      <c r="J673" s="1" t="s">
        <v>86</v>
      </c>
      <c r="K673" s="1" t="s">
        <v>87</v>
      </c>
      <c r="L673" s="1" t="s">
        <v>88</v>
      </c>
      <c r="M673" s="1" t="s">
        <v>50</v>
      </c>
      <c r="N673" s="1" t="s">
        <v>41</v>
      </c>
      <c r="O673" s="1" t="s">
        <v>82</v>
      </c>
      <c r="P673" s="1" t="s">
        <v>83</v>
      </c>
      <c r="Q673" s="1" t="s">
        <v>84</v>
      </c>
      <c r="R673" s="1" t="s">
        <v>45</v>
      </c>
      <c r="S673" s="1">
        <v>339</v>
      </c>
      <c r="T673" s="1">
        <v>339</v>
      </c>
      <c r="U673" s="4">
        <v>4.6527777777777779E-2</v>
      </c>
      <c r="V673" s="1">
        <v>1770</v>
      </c>
      <c r="W673" s="1">
        <v>830</v>
      </c>
      <c r="X673" s="1">
        <v>2600</v>
      </c>
      <c r="Y673" s="1" t="s">
        <v>51</v>
      </c>
      <c r="Z673" s="1">
        <v>2000</v>
      </c>
      <c r="AA673" s="1">
        <v>600</v>
      </c>
      <c r="AB673" s="1">
        <v>0</v>
      </c>
      <c r="AC673" s="1">
        <v>0</v>
      </c>
      <c r="AD673" s="1">
        <v>0</v>
      </c>
      <c r="AE673" s="1">
        <v>0</v>
      </c>
      <c r="AF673" s="1"/>
      <c r="AG673" s="1">
        <v>0</v>
      </c>
      <c r="AH673" s="1">
        <v>0</v>
      </c>
      <c r="AI673" s="1">
        <v>0</v>
      </c>
      <c r="AJ673" s="1">
        <v>0</v>
      </c>
      <c r="AK673" s="1">
        <v>1.8959999999999999</v>
      </c>
      <c r="AL673" s="1">
        <v>1.8959999999999999</v>
      </c>
      <c r="AM673" s="1">
        <v>1.8959999999999999</v>
      </c>
    </row>
    <row r="674" spans="1:39" x14ac:dyDescent="0.3">
      <c r="A674" s="21" t="str">
        <f t="shared" si="10"/>
        <v>HFA213LLBG2026-03-17</v>
      </c>
      <c r="B674" t="e">
        <f>VLOOKUP(A674,Sheet1!A674:B2016,1,FALSE)</f>
        <v>#N/A</v>
      </c>
      <c r="C674" s="3">
        <v>46098</v>
      </c>
      <c r="D674" s="1" t="s">
        <v>201</v>
      </c>
      <c r="E674" s="1" t="s">
        <v>38</v>
      </c>
      <c r="F674" s="1"/>
      <c r="G674" s="1" t="s">
        <v>39</v>
      </c>
      <c r="H674" s="1" t="s">
        <v>176</v>
      </c>
      <c r="I674" s="1" t="s">
        <v>41</v>
      </c>
      <c r="J674" s="1" t="s">
        <v>82</v>
      </c>
      <c r="K674" s="1" t="s">
        <v>83</v>
      </c>
      <c r="L674" s="1" t="s">
        <v>84</v>
      </c>
      <c r="M674" s="1" t="s">
        <v>45</v>
      </c>
      <c r="N674" s="1" t="s">
        <v>46</v>
      </c>
      <c r="O674" s="1" t="s">
        <v>47</v>
      </c>
      <c r="P674" s="1" t="s">
        <v>48</v>
      </c>
      <c r="Q674" s="1" t="s">
        <v>49</v>
      </c>
      <c r="R674" s="1" t="s">
        <v>50</v>
      </c>
      <c r="S674" s="1">
        <v>1195</v>
      </c>
      <c r="T674" s="1">
        <v>1195</v>
      </c>
      <c r="U674" s="4">
        <v>0.12986111111111112</v>
      </c>
      <c r="V674" s="1">
        <v>2000</v>
      </c>
      <c r="W674" s="1">
        <v>700</v>
      </c>
      <c r="X674" s="1">
        <v>2700</v>
      </c>
      <c r="Y674" s="1" t="s">
        <v>51</v>
      </c>
      <c r="Z674" s="1">
        <v>880</v>
      </c>
      <c r="AA674" s="1">
        <v>1820</v>
      </c>
      <c r="AB674" s="1">
        <v>0</v>
      </c>
      <c r="AC674" s="1">
        <v>0</v>
      </c>
      <c r="AD674" s="1">
        <v>0</v>
      </c>
      <c r="AE674" s="1">
        <v>0</v>
      </c>
      <c r="AF674" s="1"/>
      <c r="AG674" s="1">
        <v>0</v>
      </c>
      <c r="AH674" s="1">
        <v>0</v>
      </c>
      <c r="AI674" s="1">
        <v>0</v>
      </c>
      <c r="AJ674" s="1">
        <v>0</v>
      </c>
      <c r="AK674" s="1">
        <v>5.7511999999999999</v>
      </c>
      <c r="AL674" s="1">
        <v>5.7511999999999999</v>
      </c>
      <c r="AM674" s="1">
        <v>5.7511999999999999</v>
      </c>
    </row>
    <row r="675" spans="1:39" x14ac:dyDescent="0.3">
      <c r="A675" s="21" t="str">
        <f t="shared" si="10"/>
        <v>HFA216LGAV2026-03-17</v>
      </c>
      <c r="B675" t="e">
        <f>VLOOKUP(A675,Sheet1!A675:B2017,1,FALSE)</f>
        <v>#N/A</v>
      </c>
      <c r="C675" s="3">
        <v>46098</v>
      </c>
      <c r="D675" s="1" t="s">
        <v>202</v>
      </c>
      <c r="E675" s="1" t="s">
        <v>38</v>
      </c>
      <c r="F675" s="1"/>
      <c r="G675" s="1" t="s">
        <v>39</v>
      </c>
      <c r="H675" s="1" t="s">
        <v>176</v>
      </c>
      <c r="I675" s="1" t="s">
        <v>46</v>
      </c>
      <c r="J675" s="1" t="s">
        <v>47</v>
      </c>
      <c r="K675" s="1" t="s">
        <v>48</v>
      </c>
      <c r="L675" s="1" t="s">
        <v>49</v>
      </c>
      <c r="M675" s="1" t="s">
        <v>50</v>
      </c>
      <c r="N675" s="1" t="s">
        <v>41</v>
      </c>
      <c r="O675" s="1" t="s">
        <v>82</v>
      </c>
      <c r="P675" s="1" t="s">
        <v>83</v>
      </c>
      <c r="Q675" s="1" t="s">
        <v>84</v>
      </c>
      <c r="R675" s="1" t="s">
        <v>45</v>
      </c>
      <c r="S675" s="1">
        <v>1195</v>
      </c>
      <c r="T675" s="1">
        <v>1195</v>
      </c>
      <c r="U675" s="4">
        <v>0.11458333333333333</v>
      </c>
      <c r="V675" s="1">
        <v>880</v>
      </c>
      <c r="W675" s="1">
        <v>2820</v>
      </c>
      <c r="X675" s="1">
        <v>3700</v>
      </c>
      <c r="Y675" s="1" t="s">
        <v>51</v>
      </c>
      <c r="Z675" s="1">
        <v>2140</v>
      </c>
      <c r="AA675" s="1">
        <v>1560</v>
      </c>
      <c r="AB675" s="1">
        <v>0</v>
      </c>
      <c r="AC675" s="1">
        <v>0</v>
      </c>
      <c r="AD675" s="1">
        <v>0</v>
      </c>
      <c r="AE675" s="1">
        <v>0</v>
      </c>
      <c r="AF675" s="1"/>
      <c r="AG675" s="1">
        <v>0</v>
      </c>
      <c r="AH675" s="1">
        <v>0</v>
      </c>
      <c r="AI675" s="1">
        <v>0</v>
      </c>
      <c r="AJ675" s="1">
        <v>0</v>
      </c>
      <c r="AK675" s="1">
        <v>4.9295999999999998</v>
      </c>
      <c r="AL675" s="1">
        <v>4.9295999999999998</v>
      </c>
      <c r="AM675" s="1">
        <v>4.9295999999999998</v>
      </c>
    </row>
    <row r="676" spans="1:39" x14ac:dyDescent="0.3">
      <c r="A676" s="21" t="str">
        <f t="shared" si="10"/>
        <v>HFA217LLBG2026-03-17</v>
      </c>
      <c r="B676" t="e">
        <f>VLOOKUP(A676,Sheet1!A676:B2018,1,FALSE)</f>
        <v>#N/A</v>
      </c>
      <c r="C676" s="3">
        <v>46098</v>
      </c>
      <c r="D676" s="1" t="s">
        <v>203</v>
      </c>
      <c r="E676" s="1" t="s">
        <v>38</v>
      </c>
      <c r="F676" s="1"/>
      <c r="G676" s="1" t="s">
        <v>39</v>
      </c>
      <c r="H676" s="1" t="s">
        <v>176</v>
      </c>
      <c r="I676" s="1" t="s">
        <v>41</v>
      </c>
      <c r="J676" s="1" t="s">
        <v>82</v>
      </c>
      <c r="K676" s="1" t="s">
        <v>83</v>
      </c>
      <c r="L676" s="1" t="s">
        <v>84</v>
      </c>
      <c r="M676" s="1" t="s">
        <v>45</v>
      </c>
      <c r="N676" s="1" t="s">
        <v>67</v>
      </c>
      <c r="O676" s="1" t="s">
        <v>86</v>
      </c>
      <c r="P676" s="1" t="s">
        <v>87</v>
      </c>
      <c r="Q676" s="1" t="s">
        <v>88</v>
      </c>
      <c r="R676" s="1" t="s">
        <v>50</v>
      </c>
      <c r="S676" s="1">
        <v>339</v>
      </c>
      <c r="T676" s="1">
        <v>339</v>
      </c>
      <c r="U676" s="4">
        <v>6.7361111111111108E-2</v>
      </c>
      <c r="V676" s="1">
        <v>2140</v>
      </c>
      <c r="W676" s="1">
        <v>0</v>
      </c>
      <c r="X676" s="1">
        <v>2140</v>
      </c>
      <c r="Y676" s="1" t="s">
        <v>51</v>
      </c>
      <c r="Z676" s="1">
        <v>1180</v>
      </c>
      <c r="AA676" s="1">
        <v>960</v>
      </c>
      <c r="AB676" s="1">
        <v>0</v>
      </c>
      <c r="AC676" s="1">
        <v>0</v>
      </c>
      <c r="AD676" s="1">
        <v>0</v>
      </c>
      <c r="AE676" s="1">
        <v>0</v>
      </c>
      <c r="AF676" s="1"/>
      <c r="AG676" s="1">
        <v>0</v>
      </c>
      <c r="AH676" s="1">
        <v>0</v>
      </c>
      <c r="AI676" s="1">
        <v>0</v>
      </c>
      <c r="AJ676" s="1">
        <v>0</v>
      </c>
      <c r="AK676" s="1">
        <v>3.0335999999999999</v>
      </c>
      <c r="AL676" s="1">
        <v>3.0335999999999999</v>
      </c>
      <c r="AM676" s="1">
        <v>3.0335999999999999</v>
      </c>
    </row>
    <row r="677" spans="1:39" x14ac:dyDescent="0.3">
      <c r="A677" s="21" t="str">
        <f t="shared" si="10"/>
        <v>HFA220LCLK2026-03-18</v>
      </c>
      <c r="B677" t="e">
        <f>VLOOKUP(A677,Sheet1!A677:B2019,1,FALSE)</f>
        <v>#N/A</v>
      </c>
      <c r="C677" s="3">
        <v>46099</v>
      </c>
      <c r="D677" s="1" t="s">
        <v>204</v>
      </c>
      <c r="E677" s="1" t="s">
        <v>38</v>
      </c>
      <c r="F677" s="1"/>
      <c r="G677" s="1" t="s">
        <v>39</v>
      </c>
      <c r="H677" s="1" t="s">
        <v>176</v>
      </c>
      <c r="I677" s="1" t="s">
        <v>67</v>
      </c>
      <c r="J677" s="1" t="s">
        <v>86</v>
      </c>
      <c r="K677" s="1" t="s">
        <v>87</v>
      </c>
      <c r="L677" s="1" t="s">
        <v>88</v>
      </c>
      <c r="M677" s="1" t="s">
        <v>50</v>
      </c>
      <c r="N677" s="1" t="s">
        <v>41</v>
      </c>
      <c r="O677" s="1" t="s">
        <v>82</v>
      </c>
      <c r="P677" s="1" t="s">
        <v>83</v>
      </c>
      <c r="Q677" s="1" t="s">
        <v>84</v>
      </c>
      <c r="R677" s="1" t="s">
        <v>45</v>
      </c>
      <c r="S677" s="1">
        <v>339</v>
      </c>
      <c r="T677" s="1">
        <v>0</v>
      </c>
      <c r="U677" s="4">
        <v>5.486111111111111E-2</v>
      </c>
      <c r="V677" s="1">
        <v>1180</v>
      </c>
      <c r="W677" s="1">
        <v>2820</v>
      </c>
      <c r="X677" s="1">
        <v>4000</v>
      </c>
      <c r="Y677" s="1" t="s">
        <v>51</v>
      </c>
      <c r="Z677" s="1">
        <v>3260</v>
      </c>
      <c r="AA677" s="1">
        <v>740</v>
      </c>
      <c r="AB677" s="1">
        <v>0</v>
      </c>
      <c r="AC677" s="1">
        <v>0</v>
      </c>
      <c r="AD677" s="1">
        <v>0</v>
      </c>
      <c r="AE677" s="1">
        <v>0</v>
      </c>
      <c r="AF677" s="1"/>
      <c r="AG677" s="1">
        <v>0</v>
      </c>
      <c r="AH677" s="1">
        <v>0</v>
      </c>
      <c r="AI677" s="1">
        <v>0</v>
      </c>
      <c r="AJ677" s="1">
        <v>0</v>
      </c>
      <c r="AK677" s="1">
        <v>2.3384</v>
      </c>
      <c r="AL677" s="1">
        <v>2.3384</v>
      </c>
      <c r="AM677" s="1">
        <v>2.3384</v>
      </c>
    </row>
    <row r="678" spans="1:39" x14ac:dyDescent="0.3">
      <c r="A678" s="21" t="str">
        <f t="shared" si="10"/>
        <v>HFA221LLBG2026-03-18</v>
      </c>
      <c r="B678" t="e">
        <f>VLOOKUP(A678,Sheet1!A678:B2020,1,FALSE)</f>
        <v>#N/A</v>
      </c>
      <c r="C678" s="3">
        <v>46099</v>
      </c>
      <c r="D678" s="1" t="s">
        <v>205</v>
      </c>
      <c r="E678" s="1" t="s">
        <v>38</v>
      </c>
      <c r="F678" s="1"/>
      <c r="G678" s="1" t="s">
        <v>39</v>
      </c>
      <c r="H678" s="1" t="s">
        <v>176</v>
      </c>
      <c r="I678" s="1" t="s">
        <v>41</v>
      </c>
      <c r="J678" s="1" t="s">
        <v>82</v>
      </c>
      <c r="K678" s="1" t="s">
        <v>83</v>
      </c>
      <c r="L678" s="1" t="s">
        <v>84</v>
      </c>
      <c r="M678" s="1" t="s">
        <v>45</v>
      </c>
      <c r="N678" s="1" t="s">
        <v>46</v>
      </c>
      <c r="O678" s="1" t="s">
        <v>47</v>
      </c>
      <c r="P678" s="1" t="s">
        <v>48</v>
      </c>
      <c r="Q678" s="1" t="s">
        <v>49</v>
      </c>
      <c r="R678" s="1" t="s">
        <v>50</v>
      </c>
      <c r="S678" s="1">
        <v>1195</v>
      </c>
      <c r="T678" s="1">
        <v>0</v>
      </c>
      <c r="U678" s="4">
        <v>0.12291666666666666</v>
      </c>
      <c r="V678" s="1">
        <v>3260</v>
      </c>
      <c r="W678" s="1">
        <v>0</v>
      </c>
      <c r="X678" s="1">
        <v>3260</v>
      </c>
      <c r="Y678" s="1" t="s">
        <v>51</v>
      </c>
      <c r="Z678" s="1">
        <v>1530</v>
      </c>
      <c r="AA678" s="1">
        <v>1730</v>
      </c>
      <c r="AB678" s="1">
        <v>0</v>
      </c>
      <c r="AC678" s="1">
        <v>0</v>
      </c>
      <c r="AD678" s="1">
        <v>0</v>
      </c>
      <c r="AE678" s="1">
        <v>0</v>
      </c>
      <c r="AF678" s="1"/>
      <c r="AG678" s="1">
        <v>0</v>
      </c>
      <c r="AH678" s="1">
        <v>0</v>
      </c>
      <c r="AI678" s="1">
        <v>0</v>
      </c>
      <c r="AJ678" s="1">
        <v>0</v>
      </c>
      <c r="AK678" s="1">
        <v>5.4668000000000001</v>
      </c>
      <c r="AL678" s="1">
        <v>5.4668000000000001</v>
      </c>
      <c r="AM678" s="1">
        <v>5.4668000000000001</v>
      </c>
    </row>
    <row r="679" spans="1:39" x14ac:dyDescent="0.3">
      <c r="A679" s="21" t="str">
        <f t="shared" si="10"/>
        <v>HFA224LGAV2026-03-18</v>
      </c>
      <c r="B679" t="e">
        <f>VLOOKUP(A679,Sheet1!A679:B2021,1,FALSE)</f>
        <v>#N/A</v>
      </c>
      <c r="C679" s="3">
        <v>46099</v>
      </c>
      <c r="D679" s="1" t="s">
        <v>206</v>
      </c>
      <c r="E679" s="1" t="s">
        <v>38</v>
      </c>
      <c r="F679" s="1"/>
      <c r="G679" s="1" t="s">
        <v>39</v>
      </c>
      <c r="H679" s="1" t="s">
        <v>176</v>
      </c>
      <c r="I679" s="1" t="s">
        <v>46</v>
      </c>
      <c r="J679" s="1" t="s">
        <v>47</v>
      </c>
      <c r="K679" s="1" t="s">
        <v>48</v>
      </c>
      <c r="L679" s="1" t="s">
        <v>49</v>
      </c>
      <c r="M679" s="1" t="s">
        <v>50</v>
      </c>
      <c r="N679" s="1" t="s">
        <v>41</v>
      </c>
      <c r="O679" s="1" t="s">
        <v>82</v>
      </c>
      <c r="P679" s="1" t="s">
        <v>83</v>
      </c>
      <c r="Q679" s="1" t="s">
        <v>84</v>
      </c>
      <c r="R679" s="1" t="s">
        <v>45</v>
      </c>
      <c r="S679" s="1">
        <v>1195</v>
      </c>
      <c r="T679" s="1">
        <v>0</v>
      </c>
      <c r="U679" s="4">
        <v>0.125</v>
      </c>
      <c r="V679" s="1">
        <v>1530</v>
      </c>
      <c r="W679" s="1">
        <v>2170</v>
      </c>
      <c r="X679" s="1">
        <v>3700</v>
      </c>
      <c r="Y679" s="1" t="s">
        <v>51</v>
      </c>
      <c r="Z679" s="1">
        <v>2190</v>
      </c>
      <c r="AA679" s="1">
        <v>1510</v>
      </c>
      <c r="AB679" s="1">
        <v>0</v>
      </c>
      <c r="AC679" s="1">
        <v>0</v>
      </c>
      <c r="AD679" s="1">
        <v>0</v>
      </c>
      <c r="AE679" s="1">
        <v>0</v>
      </c>
      <c r="AF679" s="1"/>
      <c r="AG679" s="1">
        <v>0</v>
      </c>
      <c r="AH679" s="1">
        <v>0</v>
      </c>
      <c r="AI679" s="1">
        <v>0</v>
      </c>
      <c r="AJ679" s="1">
        <v>0</v>
      </c>
      <c r="AK679" s="1">
        <v>4.7716000000000003</v>
      </c>
      <c r="AL679" s="1">
        <v>4.7716000000000003</v>
      </c>
      <c r="AM679" s="1">
        <v>4.7716000000000003</v>
      </c>
    </row>
    <row r="680" spans="1:39" x14ac:dyDescent="0.3">
      <c r="A680" s="21" t="str">
        <f t="shared" si="10"/>
        <v>HFA225LLBG2026-03-18</v>
      </c>
      <c r="B680" t="e">
        <f>VLOOKUP(A680,Sheet1!A680:B2022,1,FALSE)</f>
        <v>#N/A</v>
      </c>
      <c r="C680" s="3">
        <v>46099</v>
      </c>
      <c r="D680" s="1" t="s">
        <v>207</v>
      </c>
      <c r="E680" s="1" t="s">
        <v>38</v>
      </c>
      <c r="F680" s="1"/>
      <c r="G680" s="1" t="s">
        <v>39</v>
      </c>
      <c r="H680" s="1" t="s">
        <v>176</v>
      </c>
      <c r="I680" s="1" t="s">
        <v>41</v>
      </c>
      <c r="J680" s="1" t="s">
        <v>82</v>
      </c>
      <c r="K680" s="1" t="s">
        <v>83</v>
      </c>
      <c r="L680" s="1" t="s">
        <v>84</v>
      </c>
      <c r="M680" s="1" t="s">
        <v>45</v>
      </c>
      <c r="N680" s="1" t="s">
        <v>67</v>
      </c>
      <c r="O680" s="1" t="s">
        <v>86</v>
      </c>
      <c r="P680" s="1" t="s">
        <v>87</v>
      </c>
      <c r="Q680" s="1" t="s">
        <v>88</v>
      </c>
      <c r="R680" s="1" t="s">
        <v>50</v>
      </c>
      <c r="S680" s="1">
        <v>339</v>
      </c>
      <c r="T680" s="1">
        <v>0</v>
      </c>
      <c r="U680" s="4">
        <v>6.041666666666666E-2</v>
      </c>
      <c r="V680" s="1">
        <v>2190</v>
      </c>
      <c r="W680" s="1">
        <v>10</v>
      </c>
      <c r="X680" s="1">
        <v>2200</v>
      </c>
      <c r="Y680" s="1" t="s">
        <v>51</v>
      </c>
      <c r="Z680" s="1">
        <v>1450</v>
      </c>
      <c r="AA680" s="1">
        <v>750</v>
      </c>
      <c r="AB680" s="1">
        <v>0</v>
      </c>
      <c r="AC680" s="1">
        <v>0</v>
      </c>
      <c r="AD680" s="1">
        <v>0</v>
      </c>
      <c r="AE680" s="1">
        <v>0</v>
      </c>
      <c r="AF680" s="1"/>
      <c r="AG680" s="1">
        <v>0</v>
      </c>
      <c r="AH680" s="1">
        <v>0</v>
      </c>
      <c r="AI680" s="1">
        <v>0</v>
      </c>
      <c r="AJ680" s="1">
        <v>0</v>
      </c>
      <c r="AK680" s="1">
        <v>2.37</v>
      </c>
      <c r="AL680" s="1">
        <v>2.37</v>
      </c>
      <c r="AM680" s="1">
        <v>2.37</v>
      </c>
    </row>
    <row r="681" spans="1:39" x14ac:dyDescent="0.3">
      <c r="A681" s="21" t="str">
        <f t="shared" si="10"/>
        <v>HFA228LCLK2026-03-19</v>
      </c>
      <c r="B681" t="e">
        <f>VLOOKUP(A681,Sheet1!A681:B2023,1,FALSE)</f>
        <v>#N/A</v>
      </c>
      <c r="C681" s="3">
        <v>46100</v>
      </c>
      <c r="D681" s="1" t="s">
        <v>208</v>
      </c>
      <c r="E681" s="1" t="s">
        <v>38</v>
      </c>
      <c r="F681" s="1"/>
      <c r="G681" s="1" t="s">
        <v>39</v>
      </c>
      <c r="H681" s="1" t="s">
        <v>176</v>
      </c>
      <c r="I681" s="1" t="s">
        <v>67</v>
      </c>
      <c r="J681" s="1" t="s">
        <v>86</v>
      </c>
      <c r="K681" s="1" t="s">
        <v>87</v>
      </c>
      <c r="L681" s="1" t="s">
        <v>88</v>
      </c>
      <c r="M681" s="1" t="s">
        <v>50</v>
      </c>
      <c r="N681" s="1" t="s">
        <v>41</v>
      </c>
      <c r="O681" s="1" t="s">
        <v>82</v>
      </c>
      <c r="P681" s="1" t="s">
        <v>83</v>
      </c>
      <c r="Q681" s="1" t="s">
        <v>84</v>
      </c>
      <c r="R681" s="1" t="s">
        <v>45</v>
      </c>
      <c r="S681" s="1">
        <v>339</v>
      </c>
      <c r="T681" s="1">
        <v>339</v>
      </c>
      <c r="U681" s="4">
        <v>5.4166666666666669E-2</v>
      </c>
      <c r="V681" s="1">
        <v>1450</v>
      </c>
      <c r="W681" s="1">
        <v>2450</v>
      </c>
      <c r="X681" s="1">
        <v>3900</v>
      </c>
      <c r="Y681" s="1" t="s">
        <v>51</v>
      </c>
      <c r="Z681" s="1">
        <v>3170</v>
      </c>
      <c r="AA681" s="1">
        <v>730</v>
      </c>
      <c r="AB681" s="1">
        <v>0</v>
      </c>
      <c r="AC681" s="1">
        <v>0</v>
      </c>
      <c r="AD681" s="1">
        <v>0</v>
      </c>
      <c r="AE681" s="1">
        <v>0</v>
      </c>
      <c r="AF681" s="1"/>
      <c r="AG681" s="1">
        <v>0</v>
      </c>
      <c r="AH681" s="1">
        <v>0</v>
      </c>
      <c r="AI681" s="1">
        <v>0</v>
      </c>
      <c r="AJ681" s="1">
        <v>0</v>
      </c>
      <c r="AK681" s="1">
        <v>2.3068</v>
      </c>
      <c r="AL681" s="1">
        <v>2.3068</v>
      </c>
      <c r="AM681" s="1">
        <v>2.3068</v>
      </c>
    </row>
    <row r="682" spans="1:39" x14ac:dyDescent="0.3">
      <c r="A682" s="21" t="str">
        <f t="shared" si="10"/>
        <v>HFA229LLBG2026-03-19</v>
      </c>
      <c r="B682" t="e">
        <f>VLOOKUP(A682,Sheet1!A682:B2024,1,FALSE)</f>
        <v>#N/A</v>
      </c>
      <c r="C682" s="3">
        <v>46100</v>
      </c>
      <c r="D682" s="1" t="s">
        <v>209</v>
      </c>
      <c r="E682" s="1" t="s">
        <v>38</v>
      </c>
      <c r="F682" s="1"/>
      <c r="G682" s="1" t="s">
        <v>39</v>
      </c>
      <c r="H682" s="1" t="s">
        <v>176</v>
      </c>
      <c r="I682" s="1" t="s">
        <v>41</v>
      </c>
      <c r="J682" s="1" t="s">
        <v>82</v>
      </c>
      <c r="K682" s="1" t="s">
        <v>83</v>
      </c>
      <c r="L682" s="1" t="s">
        <v>84</v>
      </c>
      <c r="M682" s="1" t="s">
        <v>45</v>
      </c>
      <c r="N682" s="1" t="s">
        <v>46</v>
      </c>
      <c r="O682" s="1" t="s">
        <v>47</v>
      </c>
      <c r="P682" s="1" t="s">
        <v>48</v>
      </c>
      <c r="Q682" s="1" t="s">
        <v>49</v>
      </c>
      <c r="R682" s="1" t="s">
        <v>50</v>
      </c>
      <c r="S682" s="1">
        <v>1195</v>
      </c>
      <c r="T682" s="1">
        <v>1195</v>
      </c>
      <c r="U682" s="4">
        <v>0.12916666666666668</v>
      </c>
      <c r="V682" s="1">
        <v>3170</v>
      </c>
      <c r="W682" s="1">
        <v>0</v>
      </c>
      <c r="X682" s="1">
        <v>3170</v>
      </c>
      <c r="Y682" s="1" t="s">
        <v>51</v>
      </c>
      <c r="Z682" s="1">
        <v>1180</v>
      </c>
      <c r="AA682" s="1">
        <v>1990</v>
      </c>
      <c r="AB682" s="1">
        <v>0</v>
      </c>
      <c r="AC682" s="1">
        <v>0</v>
      </c>
      <c r="AD682" s="1">
        <v>0</v>
      </c>
      <c r="AE682" s="1">
        <v>0</v>
      </c>
      <c r="AF682" s="1"/>
      <c r="AG682" s="1">
        <v>0</v>
      </c>
      <c r="AH682" s="1">
        <v>0</v>
      </c>
      <c r="AI682" s="1">
        <v>0</v>
      </c>
      <c r="AJ682" s="1">
        <v>0</v>
      </c>
      <c r="AK682" s="1">
        <v>6.2884000000000002</v>
      </c>
      <c r="AL682" s="1">
        <v>6.2884000000000002</v>
      </c>
      <c r="AM682" s="1">
        <v>6.2884000000000002</v>
      </c>
    </row>
    <row r="683" spans="1:39" x14ac:dyDescent="0.3">
      <c r="A683" s="21" t="str">
        <f t="shared" si="10"/>
        <v>HFA234LGAV2026-03-19</v>
      </c>
      <c r="B683" t="e">
        <f>VLOOKUP(A683,Sheet1!A683:B2025,1,FALSE)</f>
        <v>#N/A</v>
      </c>
      <c r="C683" s="3">
        <v>46100</v>
      </c>
      <c r="D683" s="1" t="s">
        <v>210</v>
      </c>
      <c r="E683" s="1" t="s">
        <v>38</v>
      </c>
      <c r="F683" s="1"/>
      <c r="G683" s="1" t="s">
        <v>39</v>
      </c>
      <c r="H683" s="1" t="s">
        <v>176</v>
      </c>
      <c r="I683" s="1" t="s">
        <v>46</v>
      </c>
      <c r="J683" s="1" t="s">
        <v>47</v>
      </c>
      <c r="K683" s="1" t="s">
        <v>48</v>
      </c>
      <c r="L683" s="1" t="s">
        <v>49</v>
      </c>
      <c r="M683" s="1" t="s">
        <v>50</v>
      </c>
      <c r="N683" s="1" t="s">
        <v>41</v>
      </c>
      <c r="O683" s="1" t="s">
        <v>82</v>
      </c>
      <c r="P683" s="1" t="s">
        <v>83</v>
      </c>
      <c r="Q683" s="1" t="s">
        <v>84</v>
      </c>
      <c r="R683" s="1" t="s">
        <v>45</v>
      </c>
      <c r="S683" s="1">
        <v>1195</v>
      </c>
      <c r="T683" s="1">
        <v>1195</v>
      </c>
      <c r="U683" s="4">
        <v>0.10833333333333334</v>
      </c>
      <c r="V683" s="1">
        <v>1180</v>
      </c>
      <c r="W683" s="1">
        <v>2220</v>
      </c>
      <c r="X683" s="1">
        <v>3400</v>
      </c>
      <c r="Y683" s="1" t="s">
        <v>51</v>
      </c>
      <c r="Z683" s="1">
        <v>1990</v>
      </c>
      <c r="AA683" s="1">
        <v>1410</v>
      </c>
      <c r="AB683" s="1">
        <v>0</v>
      </c>
      <c r="AC683" s="1">
        <v>0</v>
      </c>
      <c r="AD683" s="1">
        <v>0</v>
      </c>
      <c r="AE683" s="1">
        <v>0</v>
      </c>
      <c r="AF683" s="1"/>
      <c r="AG683" s="1">
        <v>0</v>
      </c>
      <c r="AH683" s="1">
        <v>0</v>
      </c>
      <c r="AI683" s="1">
        <v>0</v>
      </c>
      <c r="AJ683" s="1">
        <v>0</v>
      </c>
      <c r="AK683" s="1">
        <v>4.4555999999999996</v>
      </c>
      <c r="AL683" s="1">
        <v>4.4555999999999996</v>
      </c>
      <c r="AM683" s="1">
        <v>4.4555999999999996</v>
      </c>
    </row>
    <row r="684" spans="1:39" x14ac:dyDescent="0.3">
      <c r="A684" s="21" t="str">
        <f t="shared" si="10"/>
        <v>HFA235LLBG2026-03-19</v>
      </c>
      <c r="B684" t="e">
        <f>VLOOKUP(A684,Sheet1!A684:B2026,1,FALSE)</f>
        <v>#N/A</v>
      </c>
      <c r="C684" s="3">
        <v>46100</v>
      </c>
      <c r="D684" s="1" t="s">
        <v>211</v>
      </c>
      <c r="E684" s="1" t="s">
        <v>38</v>
      </c>
      <c r="F684" s="1"/>
      <c r="G684" s="1" t="s">
        <v>39</v>
      </c>
      <c r="H684" s="1" t="s">
        <v>176</v>
      </c>
      <c r="I684" s="1" t="s">
        <v>41</v>
      </c>
      <c r="J684" s="1" t="s">
        <v>82</v>
      </c>
      <c r="K684" s="1" t="s">
        <v>83</v>
      </c>
      <c r="L684" s="1" t="s">
        <v>84</v>
      </c>
      <c r="M684" s="1" t="s">
        <v>45</v>
      </c>
      <c r="N684" s="1" t="s">
        <v>67</v>
      </c>
      <c r="O684" s="1" t="s">
        <v>86</v>
      </c>
      <c r="P684" s="1" t="s">
        <v>87</v>
      </c>
      <c r="Q684" s="1" t="s">
        <v>88</v>
      </c>
      <c r="R684" s="1" t="s">
        <v>50</v>
      </c>
      <c r="S684" s="1">
        <v>339</v>
      </c>
      <c r="T684" s="1">
        <v>339</v>
      </c>
      <c r="U684" s="4">
        <v>5.9027777777777776E-2</v>
      </c>
      <c r="V684" s="1">
        <v>1990</v>
      </c>
      <c r="W684" s="1">
        <v>0</v>
      </c>
      <c r="X684" s="1">
        <v>1990</v>
      </c>
      <c r="Y684" s="1" t="s">
        <v>51</v>
      </c>
      <c r="Z684" s="1">
        <v>1150</v>
      </c>
      <c r="AA684" s="1">
        <v>840</v>
      </c>
      <c r="AB684" s="1">
        <v>0</v>
      </c>
      <c r="AC684" s="1">
        <v>0</v>
      </c>
      <c r="AD684" s="1">
        <v>0</v>
      </c>
      <c r="AE684" s="1">
        <v>0</v>
      </c>
      <c r="AF684" s="1"/>
      <c r="AG684" s="1">
        <v>0</v>
      </c>
      <c r="AH684" s="1">
        <v>0</v>
      </c>
      <c r="AI684" s="1">
        <v>0</v>
      </c>
      <c r="AJ684" s="1">
        <v>0</v>
      </c>
      <c r="AK684" s="1">
        <v>2.6543999999999999</v>
      </c>
      <c r="AL684" s="1">
        <v>2.6543999999999999</v>
      </c>
      <c r="AM684" s="1">
        <v>2.6543999999999999</v>
      </c>
    </row>
    <row r="685" spans="1:39" x14ac:dyDescent="0.3">
      <c r="A685" s="21" t="str">
        <f t="shared" si="10"/>
        <v>HFA244LCLK2026-03-21</v>
      </c>
      <c r="B685" t="e">
        <f>VLOOKUP(A685,Sheet1!A685:B2027,1,FALSE)</f>
        <v>#N/A</v>
      </c>
      <c r="C685" s="3">
        <v>46102</v>
      </c>
      <c r="D685" s="1" t="s">
        <v>212</v>
      </c>
      <c r="E685" s="1" t="s">
        <v>38</v>
      </c>
      <c r="F685" s="1"/>
      <c r="G685" s="1" t="s">
        <v>39</v>
      </c>
      <c r="H685" s="1" t="s">
        <v>176</v>
      </c>
      <c r="I685" s="1" t="s">
        <v>67</v>
      </c>
      <c r="J685" s="1" t="s">
        <v>86</v>
      </c>
      <c r="K685" s="1" t="s">
        <v>87</v>
      </c>
      <c r="L685" s="1" t="s">
        <v>88</v>
      </c>
      <c r="M685" s="1" t="s">
        <v>50</v>
      </c>
      <c r="N685" s="1" t="s">
        <v>41</v>
      </c>
      <c r="O685" s="1" t="s">
        <v>82</v>
      </c>
      <c r="P685" s="1" t="s">
        <v>83</v>
      </c>
      <c r="Q685" s="1" t="s">
        <v>84</v>
      </c>
      <c r="R685" s="1" t="s">
        <v>45</v>
      </c>
      <c r="S685" s="1">
        <v>339</v>
      </c>
      <c r="T685" s="1">
        <v>339</v>
      </c>
      <c r="U685" s="4">
        <v>5.8333333333333334E-2</v>
      </c>
      <c r="V685" s="1">
        <v>1150</v>
      </c>
      <c r="W685" s="1">
        <v>2350</v>
      </c>
      <c r="X685" s="1">
        <v>3500</v>
      </c>
      <c r="Y685" s="1" t="s">
        <v>51</v>
      </c>
      <c r="Z685" s="1">
        <v>2850</v>
      </c>
      <c r="AA685" s="1">
        <v>650</v>
      </c>
      <c r="AB685" s="1">
        <v>0</v>
      </c>
      <c r="AC685" s="1">
        <v>0</v>
      </c>
      <c r="AD685" s="1">
        <v>0</v>
      </c>
      <c r="AE685" s="1">
        <v>0</v>
      </c>
      <c r="AF685" s="1"/>
      <c r="AG685" s="1">
        <v>0</v>
      </c>
      <c r="AH685" s="1">
        <v>0</v>
      </c>
      <c r="AI685" s="1">
        <v>0</v>
      </c>
      <c r="AJ685" s="1">
        <v>0</v>
      </c>
      <c r="AK685" s="1">
        <v>2.0539999999999998</v>
      </c>
      <c r="AL685" s="1">
        <v>2.0539999999999998</v>
      </c>
      <c r="AM685" s="1">
        <v>2.0539999999999998</v>
      </c>
    </row>
    <row r="686" spans="1:39" x14ac:dyDescent="0.3">
      <c r="A686" s="21" t="str">
        <f t="shared" si="10"/>
        <v>HFA245LLBG2026-03-21</v>
      </c>
      <c r="B686" t="e">
        <f>VLOOKUP(A686,Sheet1!A686:B2028,1,FALSE)</f>
        <v>#N/A</v>
      </c>
      <c r="C686" s="3">
        <v>46102</v>
      </c>
      <c r="D686" s="1" t="s">
        <v>213</v>
      </c>
      <c r="E686" s="1" t="s">
        <v>38</v>
      </c>
      <c r="F686" s="1"/>
      <c r="G686" s="1" t="s">
        <v>39</v>
      </c>
      <c r="H686" s="1" t="s">
        <v>176</v>
      </c>
      <c r="I686" s="1" t="s">
        <v>41</v>
      </c>
      <c r="J686" s="1" t="s">
        <v>82</v>
      </c>
      <c r="K686" s="1" t="s">
        <v>83</v>
      </c>
      <c r="L686" s="1" t="s">
        <v>84</v>
      </c>
      <c r="M686" s="1" t="s">
        <v>45</v>
      </c>
      <c r="N686" s="1" t="s">
        <v>46</v>
      </c>
      <c r="O686" s="1" t="s">
        <v>47</v>
      </c>
      <c r="P686" s="1" t="s">
        <v>48</v>
      </c>
      <c r="Q686" s="1" t="s">
        <v>49</v>
      </c>
      <c r="R686" s="1" t="s">
        <v>50</v>
      </c>
      <c r="S686" s="1">
        <v>1195</v>
      </c>
      <c r="T686" s="1">
        <v>1195</v>
      </c>
      <c r="U686" s="4">
        <v>0.13263888888888889</v>
      </c>
      <c r="V686" s="1">
        <v>2850</v>
      </c>
      <c r="W686" s="1">
        <v>450</v>
      </c>
      <c r="X686" s="1">
        <v>3300</v>
      </c>
      <c r="Y686" s="1" t="s">
        <v>51</v>
      </c>
      <c r="Z686" s="1">
        <v>1450</v>
      </c>
      <c r="AA686" s="1">
        <v>1850</v>
      </c>
      <c r="AB686" s="1">
        <v>0</v>
      </c>
      <c r="AC686" s="1">
        <v>0</v>
      </c>
      <c r="AD686" s="1">
        <v>0</v>
      </c>
      <c r="AE686" s="1">
        <v>0</v>
      </c>
      <c r="AF686" s="1"/>
      <c r="AG686" s="1">
        <v>0</v>
      </c>
      <c r="AH686" s="1">
        <v>0</v>
      </c>
      <c r="AI686" s="1">
        <v>0</v>
      </c>
      <c r="AJ686" s="1">
        <v>0</v>
      </c>
      <c r="AK686" s="1">
        <v>5.8460000000000001</v>
      </c>
      <c r="AL686" s="1">
        <v>5.8460000000000001</v>
      </c>
      <c r="AM686" s="1">
        <v>5.8460000000000001</v>
      </c>
    </row>
    <row r="687" spans="1:39" x14ac:dyDescent="0.3">
      <c r="A687" s="21" t="str">
        <f t="shared" si="10"/>
        <v>HFA246LGAV2026-03-21</v>
      </c>
      <c r="B687" t="e">
        <f>VLOOKUP(A687,Sheet1!A687:B2029,1,FALSE)</f>
        <v>#N/A</v>
      </c>
      <c r="C687" s="3">
        <v>46102</v>
      </c>
      <c r="D687" s="1" t="s">
        <v>214</v>
      </c>
      <c r="E687" s="1" t="s">
        <v>38</v>
      </c>
      <c r="F687" s="1"/>
      <c r="G687" s="1" t="s">
        <v>39</v>
      </c>
      <c r="H687" s="1" t="s">
        <v>176</v>
      </c>
      <c r="I687" s="1" t="s">
        <v>46</v>
      </c>
      <c r="J687" s="1" t="s">
        <v>47</v>
      </c>
      <c r="K687" s="1" t="s">
        <v>48</v>
      </c>
      <c r="L687" s="1" t="s">
        <v>49</v>
      </c>
      <c r="M687" s="1" t="s">
        <v>50</v>
      </c>
      <c r="N687" s="1" t="s">
        <v>41</v>
      </c>
      <c r="O687" s="1" t="s">
        <v>82</v>
      </c>
      <c r="P687" s="1" t="s">
        <v>83</v>
      </c>
      <c r="Q687" s="1" t="s">
        <v>84</v>
      </c>
      <c r="R687" s="1" t="s">
        <v>45</v>
      </c>
      <c r="S687" s="1">
        <v>1195</v>
      </c>
      <c r="T687" s="1">
        <v>1195</v>
      </c>
      <c r="U687" s="4">
        <v>0.11388888888888889</v>
      </c>
      <c r="V687" s="1">
        <v>1450</v>
      </c>
      <c r="W687" s="1">
        <v>2250</v>
      </c>
      <c r="X687" s="1">
        <v>3700</v>
      </c>
      <c r="Y687" s="1" t="s">
        <v>51</v>
      </c>
      <c r="Z687" s="1">
        <v>2210</v>
      </c>
      <c r="AA687" s="1">
        <v>1490</v>
      </c>
      <c r="AB687" s="1">
        <v>0</v>
      </c>
      <c r="AC687" s="1">
        <v>0</v>
      </c>
      <c r="AD687" s="1">
        <v>0</v>
      </c>
      <c r="AE687" s="1">
        <v>0</v>
      </c>
      <c r="AF687" s="1"/>
      <c r="AG687" s="1">
        <v>0</v>
      </c>
      <c r="AH687" s="1">
        <v>0</v>
      </c>
      <c r="AI687" s="1">
        <v>0</v>
      </c>
      <c r="AJ687" s="1">
        <v>0</v>
      </c>
      <c r="AK687" s="1">
        <v>4.7084000000000001</v>
      </c>
      <c r="AL687" s="1">
        <v>4.7084000000000001</v>
      </c>
      <c r="AM687" s="1">
        <v>4.7084000000000001</v>
      </c>
    </row>
    <row r="688" spans="1:39" x14ac:dyDescent="0.3">
      <c r="A688" s="21" t="str">
        <f t="shared" si="10"/>
        <v>HFA251LLBG2026-03-21</v>
      </c>
      <c r="B688" t="e">
        <f>VLOOKUP(A688,Sheet1!A688:B2030,1,FALSE)</f>
        <v>#N/A</v>
      </c>
      <c r="C688" s="3">
        <v>46102</v>
      </c>
      <c r="D688" s="1" t="s">
        <v>215</v>
      </c>
      <c r="E688" s="1" t="s">
        <v>38</v>
      </c>
      <c r="F688" s="1"/>
      <c r="G688" s="1" t="s">
        <v>39</v>
      </c>
      <c r="H688" s="1" t="s">
        <v>176</v>
      </c>
      <c r="I688" s="1" t="s">
        <v>41</v>
      </c>
      <c r="J688" s="1" t="s">
        <v>82</v>
      </c>
      <c r="K688" s="1" t="s">
        <v>83</v>
      </c>
      <c r="L688" s="1" t="s">
        <v>84</v>
      </c>
      <c r="M688" s="1" t="s">
        <v>45</v>
      </c>
      <c r="N688" s="1" t="s">
        <v>67</v>
      </c>
      <c r="O688" s="1" t="s">
        <v>86</v>
      </c>
      <c r="P688" s="1" t="s">
        <v>87</v>
      </c>
      <c r="Q688" s="1" t="s">
        <v>88</v>
      </c>
      <c r="R688" s="1" t="s">
        <v>50</v>
      </c>
      <c r="S688" s="1">
        <v>339</v>
      </c>
      <c r="T688" s="1">
        <v>339</v>
      </c>
      <c r="U688" s="4">
        <v>6.7361111111111108E-2</v>
      </c>
      <c r="V688" s="1">
        <v>2210</v>
      </c>
      <c r="W688" s="1">
        <v>0</v>
      </c>
      <c r="X688" s="1">
        <v>2210</v>
      </c>
      <c r="Y688" s="1" t="s">
        <v>51</v>
      </c>
      <c r="Z688" s="1">
        <v>1310</v>
      </c>
      <c r="AA688" s="1">
        <v>900</v>
      </c>
      <c r="AB688" s="1">
        <v>0</v>
      </c>
      <c r="AC688" s="1">
        <v>0</v>
      </c>
      <c r="AD688" s="1">
        <v>0</v>
      </c>
      <c r="AE688" s="1">
        <v>0</v>
      </c>
      <c r="AF688" s="1"/>
      <c r="AG688" s="1">
        <v>0</v>
      </c>
      <c r="AH688" s="1">
        <v>0</v>
      </c>
      <c r="AI688" s="1">
        <v>0</v>
      </c>
      <c r="AJ688" s="1">
        <v>0</v>
      </c>
      <c r="AK688" s="1">
        <v>2.8439999999999999</v>
      </c>
      <c r="AL688" s="1">
        <v>2.8439999999999999</v>
      </c>
      <c r="AM688" s="1">
        <v>2.8439999999999999</v>
      </c>
    </row>
    <row r="689" spans="1:39" x14ac:dyDescent="0.3">
      <c r="A689" s="21" t="str">
        <f t="shared" si="10"/>
        <v>HFA260LCLK2026-03-23</v>
      </c>
      <c r="B689" t="e">
        <f>VLOOKUP(A689,Sheet1!A689:B2031,1,FALSE)</f>
        <v>#N/A</v>
      </c>
      <c r="C689" s="3">
        <v>46104</v>
      </c>
      <c r="D689" s="1" t="s">
        <v>216</v>
      </c>
      <c r="E689" s="1" t="s">
        <v>38</v>
      </c>
      <c r="F689" s="1"/>
      <c r="G689" s="1" t="s">
        <v>39</v>
      </c>
      <c r="H689" s="1" t="s">
        <v>176</v>
      </c>
      <c r="I689" s="1" t="s">
        <v>67</v>
      </c>
      <c r="J689" s="1" t="s">
        <v>86</v>
      </c>
      <c r="K689" s="1" t="s">
        <v>87</v>
      </c>
      <c r="L689" s="1" t="s">
        <v>88</v>
      </c>
      <c r="M689" s="1" t="s">
        <v>50</v>
      </c>
      <c r="N689" s="1" t="s">
        <v>41</v>
      </c>
      <c r="O689" s="1" t="s">
        <v>82</v>
      </c>
      <c r="P689" s="1" t="s">
        <v>83</v>
      </c>
      <c r="Q689" s="1" t="s">
        <v>84</v>
      </c>
      <c r="R689" s="1" t="s">
        <v>45</v>
      </c>
      <c r="S689" s="1">
        <v>339</v>
      </c>
      <c r="T689" s="1">
        <v>0</v>
      </c>
      <c r="U689" s="4">
        <v>4.9305555555555554E-2</v>
      </c>
      <c r="V689" s="1">
        <v>1310</v>
      </c>
      <c r="W689" s="1">
        <v>1190</v>
      </c>
      <c r="X689" s="1">
        <v>2500</v>
      </c>
      <c r="Y689" s="1" t="s">
        <v>51</v>
      </c>
      <c r="Z689" s="1">
        <v>1870</v>
      </c>
      <c r="AA689" s="1">
        <v>630</v>
      </c>
      <c r="AB689" s="1">
        <v>0</v>
      </c>
      <c r="AC689" s="1">
        <v>0</v>
      </c>
      <c r="AD689" s="1">
        <v>0</v>
      </c>
      <c r="AE689" s="1">
        <v>0</v>
      </c>
      <c r="AF689" s="1"/>
      <c r="AG689" s="1">
        <v>0</v>
      </c>
      <c r="AH689" s="1">
        <v>0</v>
      </c>
      <c r="AI689" s="1">
        <v>0</v>
      </c>
      <c r="AJ689" s="1">
        <v>0</v>
      </c>
      <c r="AK689" s="1">
        <v>1.9907999999999999</v>
      </c>
      <c r="AL689" s="1">
        <v>1.9907999999999999</v>
      </c>
      <c r="AM689" s="1">
        <v>1.9907999999999999</v>
      </c>
    </row>
    <row r="690" spans="1:39" x14ac:dyDescent="0.3">
      <c r="A690" s="21" t="str">
        <f t="shared" si="10"/>
        <v>HFA261LLBG2026-03-23</v>
      </c>
      <c r="B690" t="e">
        <f>VLOOKUP(A690,Sheet1!A690:B2032,1,FALSE)</f>
        <v>#N/A</v>
      </c>
      <c r="C690" s="3">
        <v>46104</v>
      </c>
      <c r="D690" s="1" t="s">
        <v>217</v>
      </c>
      <c r="E690" s="1" t="s">
        <v>38</v>
      </c>
      <c r="F690" s="1"/>
      <c r="G690" s="1" t="s">
        <v>39</v>
      </c>
      <c r="H690" s="1" t="s">
        <v>176</v>
      </c>
      <c r="I690" s="1" t="s">
        <v>41</v>
      </c>
      <c r="J690" s="1" t="s">
        <v>82</v>
      </c>
      <c r="K690" s="1" t="s">
        <v>83</v>
      </c>
      <c r="L690" s="1" t="s">
        <v>84</v>
      </c>
      <c r="M690" s="1" t="s">
        <v>45</v>
      </c>
      <c r="N690" s="1" t="s">
        <v>46</v>
      </c>
      <c r="O690" s="1" t="s">
        <v>47</v>
      </c>
      <c r="P690" s="1" t="s">
        <v>48</v>
      </c>
      <c r="Q690" s="1" t="s">
        <v>49</v>
      </c>
      <c r="R690" s="1" t="s">
        <v>50</v>
      </c>
      <c r="S690" s="1">
        <v>1195</v>
      </c>
      <c r="T690" s="1">
        <v>0</v>
      </c>
      <c r="U690" s="4">
        <v>0.125</v>
      </c>
      <c r="V690" s="1">
        <v>1870</v>
      </c>
      <c r="W690" s="1">
        <v>1230</v>
      </c>
      <c r="X690" s="1">
        <v>3100</v>
      </c>
      <c r="Y690" s="1" t="s">
        <v>51</v>
      </c>
      <c r="Z690" s="1">
        <v>1200</v>
      </c>
      <c r="AA690" s="1">
        <v>1900</v>
      </c>
      <c r="AB690" s="1">
        <v>0</v>
      </c>
      <c r="AC690" s="1">
        <v>0</v>
      </c>
      <c r="AD690" s="1">
        <v>0</v>
      </c>
      <c r="AE690" s="1">
        <v>0</v>
      </c>
      <c r="AF690" s="1"/>
      <c r="AG690" s="1">
        <v>0</v>
      </c>
      <c r="AH690" s="1">
        <v>0</v>
      </c>
      <c r="AI690" s="1">
        <v>0</v>
      </c>
      <c r="AJ690" s="1">
        <v>0</v>
      </c>
      <c r="AK690" s="1">
        <v>6.0039999999999996</v>
      </c>
      <c r="AL690" s="1">
        <v>6.0039999999999996</v>
      </c>
      <c r="AM690" s="1">
        <v>6.0039999999999996</v>
      </c>
    </row>
    <row r="691" spans="1:39" x14ac:dyDescent="0.3">
      <c r="A691" s="21" t="str">
        <f t="shared" si="10"/>
        <v>HFA262LGAV2026-03-23</v>
      </c>
      <c r="B691" t="e">
        <f>VLOOKUP(A691,Sheet1!A691:B2033,1,FALSE)</f>
        <v>#N/A</v>
      </c>
      <c r="C691" s="3">
        <v>46104</v>
      </c>
      <c r="D691" s="1" t="s">
        <v>218</v>
      </c>
      <c r="E691" s="1" t="s">
        <v>38</v>
      </c>
      <c r="F691" s="1"/>
      <c r="G691" s="1" t="s">
        <v>39</v>
      </c>
      <c r="H691" s="1" t="s">
        <v>176</v>
      </c>
      <c r="I691" s="1" t="s">
        <v>46</v>
      </c>
      <c r="J691" s="1" t="s">
        <v>47</v>
      </c>
      <c r="K691" s="1" t="s">
        <v>48</v>
      </c>
      <c r="L691" s="1" t="s">
        <v>49</v>
      </c>
      <c r="M691" s="1" t="s">
        <v>50</v>
      </c>
      <c r="N691" s="1" t="s">
        <v>41</v>
      </c>
      <c r="O691" s="1" t="s">
        <v>82</v>
      </c>
      <c r="P691" s="1" t="s">
        <v>83</v>
      </c>
      <c r="Q691" s="1" t="s">
        <v>84</v>
      </c>
      <c r="R691" s="1" t="s">
        <v>45</v>
      </c>
      <c r="S691" s="1">
        <v>1195</v>
      </c>
      <c r="T691" s="1">
        <v>1195</v>
      </c>
      <c r="U691" s="4">
        <v>0.11666666666666667</v>
      </c>
      <c r="V691" s="1">
        <v>1200</v>
      </c>
      <c r="W691" s="1">
        <v>2500</v>
      </c>
      <c r="X691" s="1">
        <v>3700</v>
      </c>
      <c r="Y691" s="1" t="s">
        <v>51</v>
      </c>
      <c r="Z691" s="1">
        <v>2210</v>
      </c>
      <c r="AA691" s="1">
        <v>1490</v>
      </c>
      <c r="AB691" s="1">
        <v>0</v>
      </c>
      <c r="AC691" s="1">
        <v>0</v>
      </c>
      <c r="AD691" s="1">
        <v>0</v>
      </c>
      <c r="AE691" s="1">
        <v>0</v>
      </c>
      <c r="AF691" s="1"/>
      <c r="AG691" s="1">
        <v>0</v>
      </c>
      <c r="AH691" s="1">
        <v>0</v>
      </c>
      <c r="AI691" s="1">
        <v>0</v>
      </c>
      <c r="AJ691" s="1">
        <v>0</v>
      </c>
      <c r="AK691" s="1">
        <v>4.7084000000000001</v>
      </c>
      <c r="AL691" s="1">
        <v>4.7084000000000001</v>
      </c>
      <c r="AM691" s="1">
        <v>4.7084000000000001</v>
      </c>
    </row>
    <row r="692" spans="1:39" x14ac:dyDescent="0.3">
      <c r="A692" s="21" t="str">
        <f t="shared" si="10"/>
        <v>HFA263LLBG2026-03-23</v>
      </c>
      <c r="B692" t="e">
        <f>VLOOKUP(A692,Sheet1!A692:B2034,1,FALSE)</f>
        <v>#N/A</v>
      </c>
      <c r="C692" s="3">
        <v>46104</v>
      </c>
      <c r="D692" s="1" t="s">
        <v>219</v>
      </c>
      <c r="E692" s="1" t="s">
        <v>38</v>
      </c>
      <c r="F692" s="1"/>
      <c r="G692" s="1" t="s">
        <v>39</v>
      </c>
      <c r="H692" s="1" t="s">
        <v>176</v>
      </c>
      <c r="I692" s="1" t="s">
        <v>41</v>
      </c>
      <c r="J692" s="1" t="s">
        <v>82</v>
      </c>
      <c r="K692" s="1" t="s">
        <v>83</v>
      </c>
      <c r="L692" s="1" t="s">
        <v>84</v>
      </c>
      <c r="M692" s="1" t="s">
        <v>45</v>
      </c>
      <c r="N692" s="1" t="s">
        <v>67</v>
      </c>
      <c r="O692" s="1" t="s">
        <v>86</v>
      </c>
      <c r="P692" s="1" t="s">
        <v>87</v>
      </c>
      <c r="Q692" s="1" t="s">
        <v>88</v>
      </c>
      <c r="R692" s="1" t="s">
        <v>50</v>
      </c>
      <c r="S692" s="1">
        <v>339</v>
      </c>
      <c r="T692" s="1">
        <v>339</v>
      </c>
      <c r="U692" s="4">
        <v>5.486111111111111E-2</v>
      </c>
      <c r="V692" s="1">
        <v>2210</v>
      </c>
      <c r="W692" s="1">
        <v>-10</v>
      </c>
      <c r="X692" s="1">
        <v>2200</v>
      </c>
      <c r="Y692" s="1" t="s">
        <v>51</v>
      </c>
      <c r="Z692" s="1">
        <v>1550</v>
      </c>
      <c r="AA692" s="1">
        <v>650</v>
      </c>
      <c r="AB692" s="1">
        <v>0</v>
      </c>
      <c r="AC692" s="1">
        <v>0</v>
      </c>
      <c r="AD692" s="1">
        <v>0</v>
      </c>
      <c r="AE692" s="1">
        <v>0</v>
      </c>
      <c r="AF692" s="1"/>
      <c r="AG692" s="1">
        <v>0</v>
      </c>
      <c r="AH692" s="1">
        <v>0</v>
      </c>
      <c r="AI692" s="1">
        <v>0</v>
      </c>
      <c r="AJ692" s="1">
        <v>0</v>
      </c>
      <c r="AK692" s="1">
        <v>2.0539999999999998</v>
      </c>
      <c r="AL692" s="1">
        <v>2.0539999999999998</v>
      </c>
      <c r="AM692" s="1">
        <v>2.0539999999999998</v>
      </c>
    </row>
    <row r="693" spans="1:39" x14ac:dyDescent="0.3">
      <c r="A693" s="21" t="str">
        <f t="shared" si="10"/>
        <v>HFA280LCLK2026-03-28</v>
      </c>
      <c r="B693" t="e">
        <f>VLOOKUP(A693,Sheet1!A693:B2035,1,FALSE)</f>
        <v>#N/A</v>
      </c>
      <c r="C693" s="3">
        <v>46109</v>
      </c>
      <c r="D693" s="1" t="s">
        <v>220</v>
      </c>
      <c r="E693" s="1" t="s">
        <v>38</v>
      </c>
      <c r="F693" s="1"/>
      <c r="G693" s="1" t="s">
        <v>39</v>
      </c>
      <c r="H693" s="1" t="s">
        <v>176</v>
      </c>
      <c r="I693" s="1" t="s">
        <v>67</v>
      </c>
      <c r="J693" s="1" t="s">
        <v>86</v>
      </c>
      <c r="K693" s="1" t="s">
        <v>87</v>
      </c>
      <c r="L693" s="1" t="s">
        <v>88</v>
      </c>
      <c r="M693" s="1" t="s">
        <v>50</v>
      </c>
      <c r="N693" s="1" t="s">
        <v>41</v>
      </c>
      <c r="O693" s="1" t="s">
        <v>82</v>
      </c>
      <c r="P693" s="1" t="s">
        <v>83</v>
      </c>
      <c r="Q693" s="1" t="s">
        <v>84</v>
      </c>
      <c r="R693" s="1" t="s">
        <v>45</v>
      </c>
      <c r="S693" s="1">
        <v>339</v>
      </c>
      <c r="T693" s="1">
        <v>339</v>
      </c>
      <c r="U693" s="4">
        <v>4.9305555555555554E-2</v>
      </c>
      <c r="V693" s="1">
        <v>1550</v>
      </c>
      <c r="W693" s="1">
        <v>1250</v>
      </c>
      <c r="X693" s="1">
        <v>2800</v>
      </c>
      <c r="Y693" s="1" t="s">
        <v>51</v>
      </c>
      <c r="Z693" s="1">
        <v>2180</v>
      </c>
      <c r="AA693" s="1">
        <v>620</v>
      </c>
      <c r="AB693" s="1">
        <v>0</v>
      </c>
      <c r="AC693" s="1">
        <v>0</v>
      </c>
      <c r="AD693" s="1">
        <v>0</v>
      </c>
      <c r="AE693" s="1">
        <v>0</v>
      </c>
      <c r="AF693" s="1"/>
      <c r="AG693" s="1">
        <v>0</v>
      </c>
      <c r="AH693" s="1">
        <v>0</v>
      </c>
      <c r="AI693" s="1">
        <v>0</v>
      </c>
      <c r="AJ693" s="1">
        <v>0</v>
      </c>
      <c r="AK693" s="1">
        <v>1.9592000000000001</v>
      </c>
      <c r="AL693" s="1">
        <v>1.9592000000000001</v>
      </c>
      <c r="AM693" s="1">
        <v>1.9592000000000001</v>
      </c>
    </row>
    <row r="694" spans="1:39" x14ac:dyDescent="0.3">
      <c r="A694" s="21" t="str">
        <f t="shared" si="10"/>
        <v>HFA283LLBG2026-03-28</v>
      </c>
      <c r="B694" t="e">
        <f>VLOOKUP(A694,Sheet1!A694:B2036,1,FALSE)</f>
        <v>#N/A</v>
      </c>
      <c r="C694" s="3">
        <v>46109</v>
      </c>
      <c r="D694" s="1" t="s">
        <v>221</v>
      </c>
      <c r="E694" s="1" t="s">
        <v>38</v>
      </c>
      <c r="F694" s="1"/>
      <c r="G694" s="1" t="s">
        <v>39</v>
      </c>
      <c r="H694" s="1" t="s">
        <v>176</v>
      </c>
      <c r="I694" s="1" t="s">
        <v>41</v>
      </c>
      <c r="J694" s="1" t="s">
        <v>82</v>
      </c>
      <c r="K694" s="1" t="s">
        <v>83</v>
      </c>
      <c r="L694" s="1" t="s">
        <v>84</v>
      </c>
      <c r="M694" s="1" t="s">
        <v>45</v>
      </c>
      <c r="N694" s="1" t="s">
        <v>67</v>
      </c>
      <c r="O694" s="1" t="s">
        <v>86</v>
      </c>
      <c r="P694" s="1" t="s">
        <v>87</v>
      </c>
      <c r="Q694" s="1" t="s">
        <v>88</v>
      </c>
      <c r="R694" s="1" t="s">
        <v>50</v>
      </c>
      <c r="S694" s="1">
        <v>339</v>
      </c>
      <c r="T694" s="1">
        <v>339</v>
      </c>
      <c r="U694" s="4">
        <v>5.4166666666666669E-2</v>
      </c>
      <c r="V694" s="1">
        <v>2180</v>
      </c>
      <c r="W694" s="1">
        <v>0</v>
      </c>
      <c r="X694" s="1">
        <v>2180</v>
      </c>
      <c r="Y694" s="1" t="s">
        <v>51</v>
      </c>
      <c r="Z694" s="1">
        <v>1420</v>
      </c>
      <c r="AA694" s="1">
        <v>760</v>
      </c>
      <c r="AB694" s="1">
        <v>0</v>
      </c>
      <c r="AC694" s="1">
        <v>0</v>
      </c>
      <c r="AD694" s="1">
        <v>0</v>
      </c>
      <c r="AE694" s="1">
        <v>0</v>
      </c>
      <c r="AF694" s="1"/>
      <c r="AG694" s="1">
        <v>0</v>
      </c>
      <c r="AH694" s="1">
        <v>0</v>
      </c>
      <c r="AI694" s="1">
        <v>0</v>
      </c>
      <c r="AJ694" s="1">
        <v>0</v>
      </c>
      <c r="AK694" s="1">
        <v>2.4016000000000002</v>
      </c>
      <c r="AL694" s="1">
        <v>2.4016000000000002</v>
      </c>
      <c r="AM694" s="1">
        <v>2.4016000000000002</v>
      </c>
    </row>
    <row r="695" spans="1:39" x14ac:dyDescent="0.3">
      <c r="A695" s="21" t="str">
        <f t="shared" si="10"/>
        <v>HFA701LLHA2026-01-01</v>
      </c>
      <c r="B695" t="e">
        <f>VLOOKUP(A695,Sheet1!A695:B2037,1,FALSE)</f>
        <v>#N/A</v>
      </c>
      <c r="C695" s="3">
        <v>46023</v>
      </c>
      <c r="D695" s="1" t="s">
        <v>53</v>
      </c>
      <c r="E695" s="1" t="s">
        <v>38</v>
      </c>
      <c r="F695" s="1"/>
      <c r="G695" s="1" t="s">
        <v>39</v>
      </c>
      <c r="H695" s="1" t="s">
        <v>222</v>
      </c>
      <c r="I695" s="1" t="s">
        <v>41</v>
      </c>
      <c r="J695" s="1" t="s">
        <v>42</v>
      </c>
      <c r="K695" s="1" t="s">
        <v>43</v>
      </c>
      <c r="L695" s="1" t="s">
        <v>44</v>
      </c>
      <c r="M695" s="1" t="s">
        <v>45</v>
      </c>
      <c r="N695" s="1" t="s">
        <v>46</v>
      </c>
      <c r="O695" s="1" t="s">
        <v>47</v>
      </c>
      <c r="P695" s="1" t="s">
        <v>48</v>
      </c>
      <c r="Q695" s="1" t="s">
        <v>49</v>
      </c>
      <c r="R695" s="1" t="s">
        <v>50</v>
      </c>
      <c r="S695" s="1">
        <v>1157</v>
      </c>
      <c r="T695" s="1">
        <v>0</v>
      </c>
      <c r="U695" s="13">
        <v>0.13055555555555556</v>
      </c>
      <c r="V695" s="11">
        <v>1830</v>
      </c>
      <c r="W695" s="11">
        <v>1570</v>
      </c>
      <c r="X695" s="8">
        <v>3400</v>
      </c>
      <c r="Y695" s="1" t="s">
        <v>51</v>
      </c>
      <c r="Z695" s="11">
        <v>1450</v>
      </c>
      <c r="AA695" s="11">
        <v>1950</v>
      </c>
      <c r="AB695" s="1">
        <v>0</v>
      </c>
      <c r="AC695" s="1">
        <v>0</v>
      </c>
      <c r="AD695" s="1">
        <v>0</v>
      </c>
      <c r="AE695" s="1">
        <v>0</v>
      </c>
      <c r="AF695" s="1"/>
      <c r="AG695" s="1">
        <v>0</v>
      </c>
      <c r="AH695" s="1">
        <v>0</v>
      </c>
      <c r="AI695" s="1">
        <v>0</v>
      </c>
      <c r="AJ695" s="1">
        <v>0</v>
      </c>
      <c r="AK695" s="1">
        <v>6.1619999999999999</v>
      </c>
      <c r="AL695" s="1">
        <v>6.1619999999999999</v>
      </c>
      <c r="AM695" s="1">
        <v>6.1619999999999999</v>
      </c>
    </row>
    <row r="696" spans="1:39" x14ac:dyDescent="0.3">
      <c r="A696" s="21" t="str">
        <f t="shared" si="10"/>
        <v>HFA702LGAV2026-01-01</v>
      </c>
      <c r="B696" t="e">
        <f>VLOOKUP(A696,Sheet1!A696:B2038,1,FALSE)</f>
        <v>#N/A</v>
      </c>
      <c r="C696" s="3">
        <v>46023</v>
      </c>
      <c r="D696" s="1" t="s">
        <v>56</v>
      </c>
      <c r="E696" s="1" t="s">
        <v>38</v>
      </c>
      <c r="F696" s="1"/>
      <c r="G696" s="1" t="s">
        <v>39</v>
      </c>
      <c r="H696" s="1" t="s">
        <v>222</v>
      </c>
      <c r="I696" s="1" t="s">
        <v>46</v>
      </c>
      <c r="J696" s="1" t="s">
        <v>47</v>
      </c>
      <c r="K696" s="1" t="s">
        <v>48</v>
      </c>
      <c r="L696" s="1" t="s">
        <v>49</v>
      </c>
      <c r="M696" s="1" t="s">
        <v>50</v>
      </c>
      <c r="N696" s="1" t="s">
        <v>41</v>
      </c>
      <c r="O696" s="1" t="s">
        <v>42</v>
      </c>
      <c r="P696" s="1" t="s">
        <v>43</v>
      </c>
      <c r="Q696" s="1" t="s">
        <v>44</v>
      </c>
      <c r="R696" s="1" t="s">
        <v>45</v>
      </c>
      <c r="S696" s="1">
        <v>1157</v>
      </c>
      <c r="T696" s="1">
        <v>0</v>
      </c>
      <c r="U696" s="13">
        <v>0.1048611111111111</v>
      </c>
      <c r="V696" s="11">
        <v>1450</v>
      </c>
      <c r="W696" s="11">
        <v>2050</v>
      </c>
      <c r="X696" s="8">
        <v>3500</v>
      </c>
      <c r="Y696" s="1" t="s">
        <v>51</v>
      </c>
      <c r="Z696" s="11">
        <v>2240</v>
      </c>
      <c r="AA696" s="11">
        <v>1260</v>
      </c>
      <c r="AB696" s="1">
        <v>0</v>
      </c>
      <c r="AC696" s="1">
        <v>0</v>
      </c>
      <c r="AD696" s="1">
        <v>0</v>
      </c>
      <c r="AE696" s="1">
        <v>0</v>
      </c>
      <c r="AF696" s="1"/>
      <c r="AG696" s="1">
        <v>0</v>
      </c>
      <c r="AH696" s="1">
        <v>0</v>
      </c>
      <c r="AI696" s="1">
        <v>0</v>
      </c>
      <c r="AJ696" s="1">
        <v>0</v>
      </c>
      <c r="AK696" s="1">
        <v>3.9815999999999998</v>
      </c>
      <c r="AL696" s="1">
        <v>3.9815999999999998</v>
      </c>
      <c r="AM696" s="1">
        <v>3.9815999999999998</v>
      </c>
    </row>
    <row r="697" spans="1:39" x14ac:dyDescent="0.3">
      <c r="A697" s="21" t="str">
        <f t="shared" si="10"/>
        <v>HFA605LLHA2026-01-01</v>
      </c>
      <c r="B697" t="e">
        <f>VLOOKUP(A697,Sheet1!A697:B2039,1,FALSE)</f>
        <v>#N/A</v>
      </c>
      <c r="C697" s="3">
        <v>46023</v>
      </c>
      <c r="D697" s="1" t="s">
        <v>62</v>
      </c>
      <c r="E697" s="1" t="s">
        <v>38</v>
      </c>
      <c r="F697" s="1" t="s">
        <v>54</v>
      </c>
      <c r="G697" s="1" t="s">
        <v>39</v>
      </c>
      <c r="H697" s="1" t="s">
        <v>222</v>
      </c>
      <c r="I697" s="1" t="s">
        <v>41</v>
      </c>
      <c r="J697" s="1" t="s">
        <v>42</v>
      </c>
      <c r="K697" s="1" t="s">
        <v>43</v>
      </c>
      <c r="L697" s="1" t="s">
        <v>44</v>
      </c>
      <c r="M697" s="1" t="s">
        <v>45</v>
      </c>
      <c r="N697" s="1" t="s">
        <v>41</v>
      </c>
      <c r="O697" s="1" t="s">
        <v>58</v>
      </c>
      <c r="P697" s="1" t="s">
        <v>59</v>
      </c>
      <c r="Q697" s="1" t="s">
        <v>60</v>
      </c>
      <c r="R697" s="1" t="s">
        <v>45</v>
      </c>
      <c r="S697" s="1">
        <v>342</v>
      </c>
      <c r="T697" s="1">
        <v>0</v>
      </c>
      <c r="U697" s="13">
        <v>4.6527777777777779E-2</v>
      </c>
      <c r="V697" s="11">
        <v>2240</v>
      </c>
      <c r="W697" s="11">
        <v>10</v>
      </c>
      <c r="X697" s="8">
        <v>2250</v>
      </c>
      <c r="Y697" s="1" t="s">
        <v>51</v>
      </c>
      <c r="Z697" s="11">
        <v>1620</v>
      </c>
      <c r="AA697" s="11">
        <v>630</v>
      </c>
      <c r="AB697" s="1">
        <v>0</v>
      </c>
      <c r="AC697" s="1">
        <v>0</v>
      </c>
      <c r="AD697" s="1">
        <v>0</v>
      </c>
      <c r="AE697" s="1">
        <v>0</v>
      </c>
      <c r="AF697" s="1"/>
      <c r="AG697" s="1">
        <v>0</v>
      </c>
      <c r="AH697" s="1">
        <v>0</v>
      </c>
      <c r="AI697" s="1">
        <v>0</v>
      </c>
      <c r="AJ697" s="1">
        <v>0</v>
      </c>
      <c r="AK697" s="1">
        <v>1.9907999999999999</v>
      </c>
      <c r="AL697" s="1">
        <v>1.9907999999999999</v>
      </c>
      <c r="AM697" s="1">
        <v>1.9907999999999999</v>
      </c>
    </row>
    <row r="698" spans="1:39" x14ac:dyDescent="0.3">
      <c r="A698" s="21" t="str">
        <f t="shared" si="10"/>
        <v>HFA606LLER2026-01-01</v>
      </c>
      <c r="B698" t="e">
        <f>VLOOKUP(A698,Sheet1!A698:B2040,1,FALSE)</f>
        <v>#N/A</v>
      </c>
      <c r="C698" s="3">
        <v>46023</v>
      </c>
      <c r="D698" s="1" t="s">
        <v>63</v>
      </c>
      <c r="E698" s="1" t="s">
        <v>38</v>
      </c>
      <c r="F698" s="1" t="s">
        <v>54</v>
      </c>
      <c r="G698" s="1" t="s">
        <v>39</v>
      </c>
      <c r="H698" s="1" t="s">
        <v>222</v>
      </c>
      <c r="I698" s="1" t="s">
        <v>41</v>
      </c>
      <c r="J698" s="1" t="s">
        <v>58</v>
      </c>
      <c r="K698" s="1" t="s">
        <v>59</v>
      </c>
      <c r="L698" s="1" t="s">
        <v>60</v>
      </c>
      <c r="M698" s="1" t="s">
        <v>45</v>
      </c>
      <c r="N698" s="1" t="s">
        <v>41</v>
      </c>
      <c r="O698" s="1" t="s">
        <v>42</v>
      </c>
      <c r="P698" s="1" t="s">
        <v>43</v>
      </c>
      <c r="Q698" s="1" t="s">
        <v>44</v>
      </c>
      <c r="R698" s="1" t="s">
        <v>45</v>
      </c>
      <c r="S698" s="1">
        <v>342</v>
      </c>
      <c r="T698" s="1">
        <v>0</v>
      </c>
      <c r="U698" s="13">
        <v>4.583333333333333E-2</v>
      </c>
      <c r="V698" s="11">
        <v>1620</v>
      </c>
      <c r="W698" s="11">
        <v>980</v>
      </c>
      <c r="X698" s="8">
        <v>2600</v>
      </c>
      <c r="Y698" s="1" t="s">
        <v>51</v>
      </c>
      <c r="Z698" s="11">
        <v>2000</v>
      </c>
      <c r="AA698" s="11">
        <v>600</v>
      </c>
      <c r="AB698" s="1">
        <v>0</v>
      </c>
      <c r="AC698" s="1">
        <v>0</v>
      </c>
      <c r="AD698" s="1">
        <v>0</v>
      </c>
      <c r="AE698" s="1">
        <v>0</v>
      </c>
      <c r="AF698" s="1"/>
      <c r="AG698" s="1">
        <v>0</v>
      </c>
      <c r="AH698" s="1">
        <v>0</v>
      </c>
      <c r="AI698" s="1">
        <v>0</v>
      </c>
      <c r="AJ698" s="1">
        <v>0</v>
      </c>
      <c r="AK698" s="1">
        <v>1.8959999999999999</v>
      </c>
      <c r="AL698" s="1">
        <v>1.8959999999999999</v>
      </c>
      <c r="AM698" s="1">
        <v>1.8959999999999999</v>
      </c>
    </row>
    <row r="699" spans="1:39" x14ac:dyDescent="0.3">
      <c r="A699" s="21" t="str">
        <f t="shared" si="10"/>
        <v>HFA601LLHA2026-01-02</v>
      </c>
      <c r="B699" t="e">
        <f>VLOOKUP(A699,Sheet1!A699:B2041,1,FALSE)</f>
        <v>#N/A</v>
      </c>
      <c r="C699" s="3">
        <v>46024</v>
      </c>
      <c r="D699" s="1" t="s">
        <v>57</v>
      </c>
      <c r="E699" s="1" t="s">
        <v>38</v>
      </c>
      <c r="F699" s="1" t="s">
        <v>54</v>
      </c>
      <c r="G699" s="1" t="s">
        <v>39</v>
      </c>
      <c r="H699" s="1" t="s">
        <v>222</v>
      </c>
      <c r="I699" s="1" t="s">
        <v>41</v>
      </c>
      <c r="J699" s="1" t="s">
        <v>42</v>
      </c>
      <c r="K699" s="1" t="s">
        <v>43</v>
      </c>
      <c r="L699" s="1" t="s">
        <v>44</v>
      </c>
      <c r="M699" s="1" t="s">
        <v>45</v>
      </c>
      <c r="N699" s="1" t="s">
        <v>41</v>
      </c>
      <c r="O699" s="1" t="s">
        <v>58</v>
      </c>
      <c r="P699" s="1" t="s">
        <v>59</v>
      </c>
      <c r="Q699" s="1" t="s">
        <v>60</v>
      </c>
      <c r="R699" s="1" t="s">
        <v>45</v>
      </c>
      <c r="S699" s="1">
        <v>342</v>
      </c>
      <c r="T699" s="1">
        <v>0</v>
      </c>
      <c r="U699" s="13">
        <v>4.027777777777778E-2</v>
      </c>
      <c r="V699" s="11">
        <v>2000</v>
      </c>
      <c r="W699" s="11">
        <v>-30</v>
      </c>
      <c r="X699" s="8">
        <v>1970</v>
      </c>
      <c r="Y699" s="1" t="s">
        <v>51</v>
      </c>
      <c r="Z699" s="11">
        <v>1320</v>
      </c>
      <c r="AA699" s="11">
        <v>650</v>
      </c>
      <c r="AB699" s="1">
        <v>0</v>
      </c>
      <c r="AC699" s="1">
        <v>0</v>
      </c>
      <c r="AD699" s="1">
        <v>0</v>
      </c>
      <c r="AE699" s="1">
        <v>0</v>
      </c>
      <c r="AF699" s="1"/>
      <c r="AG699" s="1">
        <v>0</v>
      </c>
      <c r="AH699" s="1">
        <v>0</v>
      </c>
      <c r="AI699" s="1">
        <v>0</v>
      </c>
      <c r="AJ699" s="1">
        <v>0</v>
      </c>
      <c r="AK699" s="1">
        <v>2.0539999999999998</v>
      </c>
      <c r="AL699" s="1">
        <v>2.0539999999999998</v>
      </c>
      <c r="AM699" s="1">
        <v>2.0539999999999998</v>
      </c>
    </row>
    <row r="700" spans="1:39" x14ac:dyDescent="0.3">
      <c r="A700" s="21" t="str">
        <f t="shared" si="10"/>
        <v>HFA602LLER2026-01-02</v>
      </c>
      <c r="B700" t="e">
        <f>VLOOKUP(A700,Sheet1!A700:B2042,1,FALSE)</f>
        <v>#N/A</v>
      </c>
      <c r="C700" s="3">
        <v>46024</v>
      </c>
      <c r="D700" s="1" t="s">
        <v>61</v>
      </c>
      <c r="E700" s="1" t="s">
        <v>38</v>
      </c>
      <c r="F700" s="1" t="s">
        <v>54</v>
      </c>
      <c r="G700" s="1" t="s">
        <v>39</v>
      </c>
      <c r="H700" s="1" t="s">
        <v>222</v>
      </c>
      <c r="I700" s="1" t="s">
        <v>41</v>
      </c>
      <c r="J700" s="1" t="s">
        <v>58</v>
      </c>
      <c r="K700" s="1" t="s">
        <v>59</v>
      </c>
      <c r="L700" s="1" t="s">
        <v>60</v>
      </c>
      <c r="M700" s="1" t="s">
        <v>45</v>
      </c>
      <c r="N700" s="1" t="s">
        <v>41</v>
      </c>
      <c r="O700" s="1" t="s">
        <v>42</v>
      </c>
      <c r="P700" s="1" t="s">
        <v>43</v>
      </c>
      <c r="Q700" s="1" t="s">
        <v>44</v>
      </c>
      <c r="R700" s="1" t="s">
        <v>45</v>
      </c>
      <c r="S700" s="1">
        <v>342</v>
      </c>
      <c r="T700" s="1">
        <v>0</v>
      </c>
      <c r="U700" s="13">
        <v>4.5138888888888888E-2</v>
      </c>
      <c r="V700" s="11">
        <v>1320</v>
      </c>
      <c r="W700" s="11">
        <v>980</v>
      </c>
      <c r="X700" s="8">
        <v>2300</v>
      </c>
      <c r="Y700" s="1" t="s">
        <v>51</v>
      </c>
      <c r="Z700" s="11">
        <v>1660</v>
      </c>
      <c r="AA700" s="11">
        <v>640</v>
      </c>
      <c r="AB700" s="1">
        <v>0</v>
      </c>
      <c r="AC700" s="1">
        <v>0</v>
      </c>
      <c r="AD700" s="1">
        <v>0</v>
      </c>
      <c r="AE700" s="1">
        <v>0</v>
      </c>
      <c r="AF700" s="1"/>
      <c r="AG700" s="1">
        <v>0</v>
      </c>
      <c r="AH700" s="1">
        <v>0</v>
      </c>
      <c r="AI700" s="1">
        <v>0</v>
      </c>
      <c r="AJ700" s="1">
        <v>0</v>
      </c>
      <c r="AK700" s="1">
        <v>2.0224000000000002</v>
      </c>
      <c r="AL700" s="1">
        <v>2.0224000000000002</v>
      </c>
      <c r="AM700" s="1">
        <v>2.0224000000000002</v>
      </c>
    </row>
    <row r="701" spans="1:39" x14ac:dyDescent="0.3">
      <c r="A701" s="21" t="str">
        <f t="shared" si="10"/>
        <v>HFA851LLHA2026-01-02</v>
      </c>
      <c r="B701" t="str">
        <f>VLOOKUP(A701,Sheet1!A701:B2043,1,FALSE)</f>
        <v>HFA851LLHA2026-01-02</v>
      </c>
      <c r="C701" s="3">
        <v>46024</v>
      </c>
      <c r="D701" s="1" t="s">
        <v>66</v>
      </c>
      <c r="E701" s="1" t="s">
        <v>38</v>
      </c>
      <c r="F701" s="1"/>
      <c r="G701" s="1" t="s">
        <v>39</v>
      </c>
      <c r="H701" s="1" t="s">
        <v>222</v>
      </c>
      <c r="I701" s="1" t="s">
        <v>41</v>
      </c>
      <c r="J701" s="1" t="s">
        <v>42</v>
      </c>
      <c r="K701" s="1" t="s">
        <v>43</v>
      </c>
      <c r="L701" s="1" t="s">
        <v>44</v>
      </c>
      <c r="M701" s="1" t="s">
        <v>45</v>
      </c>
      <c r="N701" s="1" t="s">
        <v>67</v>
      </c>
      <c r="O701" s="1" t="s">
        <v>68</v>
      </c>
      <c r="P701" s="1" t="s">
        <v>69</v>
      </c>
      <c r="Q701" s="1" t="s">
        <v>70</v>
      </c>
      <c r="R701" s="1" t="s">
        <v>50</v>
      </c>
      <c r="S701" s="1">
        <v>318</v>
      </c>
      <c r="T701" s="1">
        <v>0</v>
      </c>
      <c r="U701" s="13">
        <v>4.0972222222222222E-2</v>
      </c>
      <c r="V701" s="11">
        <v>1660</v>
      </c>
      <c r="W701" s="11">
        <v>0</v>
      </c>
      <c r="X701" s="8">
        <v>1660</v>
      </c>
      <c r="Y701" s="1" t="s">
        <v>51</v>
      </c>
      <c r="Z701" s="11">
        <v>960</v>
      </c>
      <c r="AA701" s="11">
        <v>700</v>
      </c>
      <c r="AB701" s="1">
        <v>0</v>
      </c>
      <c r="AC701" s="1">
        <v>0</v>
      </c>
      <c r="AD701" s="1">
        <v>0</v>
      </c>
      <c r="AE701" s="1">
        <v>0</v>
      </c>
      <c r="AF701" s="1"/>
      <c r="AG701" s="1">
        <v>0</v>
      </c>
      <c r="AH701" s="1">
        <v>0</v>
      </c>
      <c r="AI701" s="1">
        <v>0</v>
      </c>
      <c r="AJ701" s="1">
        <v>0</v>
      </c>
      <c r="AK701" s="1">
        <v>2.2120000000000002</v>
      </c>
      <c r="AL701" s="1">
        <v>2.2120000000000002</v>
      </c>
      <c r="AM701" s="1">
        <v>2.2120000000000002</v>
      </c>
    </row>
    <row r="702" spans="1:39" x14ac:dyDescent="0.3">
      <c r="A702" s="21" t="str">
        <f t="shared" si="10"/>
        <v>HFA852LCPH2026-01-02</v>
      </c>
      <c r="B702" t="str">
        <f>VLOOKUP(A702,Sheet1!A702:B2044,1,FALSE)</f>
        <v>HFA852LCPH2026-01-02</v>
      </c>
      <c r="C702" s="3">
        <v>46024</v>
      </c>
      <c r="D702" s="1" t="s">
        <v>71</v>
      </c>
      <c r="E702" s="1" t="s">
        <v>38</v>
      </c>
      <c r="F702" s="1"/>
      <c r="G702" s="1" t="s">
        <v>39</v>
      </c>
      <c r="H702" s="1" t="s">
        <v>222</v>
      </c>
      <c r="I702" s="1" t="s">
        <v>67</v>
      </c>
      <c r="J702" s="1" t="s">
        <v>68</v>
      </c>
      <c r="K702" s="1" t="s">
        <v>69</v>
      </c>
      <c r="L702" s="1" t="s">
        <v>70</v>
      </c>
      <c r="M702" s="1" t="s">
        <v>50</v>
      </c>
      <c r="N702" s="1" t="s">
        <v>41</v>
      </c>
      <c r="O702" s="1" t="s">
        <v>42</v>
      </c>
      <c r="P702" s="1" t="s">
        <v>43</v>
      </c>
      <c r="Q702" s="1" t="s">
        <v>44</v>
      </c>
      <c r="R702" s="1" t="s">
        <v>45</v>
      </c>
      <c r="S702" s="1">
        <v>318</v>
      </c>
      <c r="T702" s="1">
        <v>0</v>
      </c>
      <c r="U702" s="13">
        <v>4.6527777777777779E-2</v>
      </c>
      <c r="V702" s="11">
        <v>960</v>
      </c>
      <c r="W702" s="11">
        <v>1240</v>
      </c>
      <c r="X702" s="8">
        <v>2200</v>
      </c>
      <c r="Y702" s="1" t="s">
        <v>51</v>
      </c>
      <c r="Z702" s="11">
        <v>1570</v>
      </c>
      <c r="AA702" s="11">
        <v>630</v>
      </c>
      <c r="AB702" s="1">
        <v>0</v>
      </c>
      <c r="AC702" s="1">
        <v>0</v>
      </c>
      <c r="AD702" s="1">
        <v>0</v>
      </c>
      <c r="AE702" s="1">
        <v>0</v>
      </c>
      <c r="AF702" s="1"/>
      <c r="AG702" s="1">
        <v>0</v>
      </c>
      <c r="AH702" s="1">
        <v>0</v>
      </c>
      <c r="AI702" s="1">
        <v>0</v>
      </c>
      <c r="AJ702" s="1">
        <v>0</v>
      </c>
      <c r="AK702" s="1">
        <v>1.9907999999999999</v>
      </c>
      <c r="AL702" s="1">
        <v>1.9907999999999999</v>
      </c>
      <c r="AM702" s="1">
        <v>1.9907999999999999</v>
      </c>
    </row>
    <row r="703" spans="1:39" x14ac:dyDescent="0.3">
      <c r="A703" s="21" t="str">
        <f t="shared" si="10"/>
        <v>HFA853LLHA2026-01-03</v>
      </c>
      <c r="B703" t="str">
        <f>VLOOKUP(A703,Sheet1!A703:B2045,1,FALSE)</f>
        <v>HFA853LLHA2026-01-03</v>
      </c>
      <c r="C703" s="3">
        <v>46025</v>
      </c>
      <c r="D703" s="1" t="s">
        <v>223</v>
      </c>
      <c r="E703" s="1" t="s">
        <v>38</v>
      </c>
      <c r="F703" s="1"/>
      <c r="G703" s="1" t="s">
        <v>39</v>
      </c>
      <c r="H703" s="1" t="s">
        <v>222</v>
      </c>
      <c r="I703" s="1" t="s">
        <v>41</v>
      </c>
      <c r="J703" s="1" t="s">
        <v>42</v>
      </c>
      <c r="K703" s="1" t="s">
        <v>43</v>
      </c>
      <c r="L703" s="1" t="s">
        <v>44</v>
      </c>
      <c r="M703" s="1" t="s">
        <v>45</v>
      </c>
      <c r="N703" s="1" t="s">
        <v>67</v>
      </c>
      <c r="O703" s="1" t="s">
        <v>68</v>
      </c>
      <c r="P703" s="1" t="s">
        <v>69</v>
      </c>
      <c r="Q703" s="1" t="s">
        <v>70</v>
      </c>
      <c r="R703" s="1" t="s">
        <v>50</v>
      </c>
      <c r="S703" s="1">
        <v>318</v>
      </c>
      <c r="T703" s="1">
        <v>0</v>
      </c>
      <c r="U703" s="13">
        <v>4.3749999999999997E-2</v>
      </c>
      <c r="V703" s="11">
        <v>1570</v>
      </c>
      <c r="W703" s="11">
        <v>0</v>
      </c>
      <c r="X703" s="8">
        <v>1570</v>
      </c>
      <c r="Y703" s="1" t="s">
        <v>51</v>
      </c>
      <c r="Z703" s="11">
        <v>850</v>
      </c>
      <c r="AA703" s="11">
        <v>720</v>
      </c>
      <c r="AB703" s="1">
        <v>0</v>
      </c>
      <c r="AC703" s="1">
        <v>0</v>
      </c>
      <c r="AD703" s="1">
        <v>0</v>
      </c>
      <c r="AE703" s="1">
        <v>0</v>
      </c>
      <c r="AF703" s="1"/>
      <c r="AG703" s="1">
        <v>0</v>
      </c>
      <c r="AH703" s="1">
        <v>0</v>
      </c>
      <c r="AI703" s="1">
        <v>0</v>
      </c>
      <c r="AJ703" s="1">
        <v>0</v>
      </c>
      <c r="AK703" s="1">
        <v>2.2751999999999999</v>
      </c>
      <c r="AL703" s="1">
        <v>2.2751999999999999</v>
      </c>
      <c r="AM703" s="1">
        <v>2.2751999999999999</v>
      </c>
    </row>
    <row r="704" spans="1:39" x14ac:dyDescent="0.3">
      <c r="A704" s="21" t="str">
        <f t="shared" si="10"/>
        <v>HFA854LCPH2026-01-03</v>
      </c>
      <c r="B704" t="str">
        <f>VLOOKUP(A704,Sheet1!A704:B2046,1,FALSE)</f>
        <v>HFA854LCPH2026-01-03</v>
      </c>
      <c r="C704" s="3">
        <v>46025</v>
      </c>
      <c r="D704" s="1" t="s">
        <v>224</v>
      </c>
      <c r="E704" s="1" t="s">
        <v>38</v>
      </c>
      <c r="F704" s="1"/>
      <c r="G704" s="1" t="s">
        <v>39</v>
      </c>
      <c r="H704" s="1" t="s">
        <v>222</v>
      </c>
      <c r="I704" s="1" t="s">
        <v>67</v>
      </c>
      <c r="J704" s="1" t="s">
        <v>68</v>
      </c>
      <c r="K704" s="1" t="s">
        <v>69</v>
      </c>
      <c r="L704" s="1" t="s">
        <v>70</v>
      </c>
      <c r="M704" s="1" t="s">
        <v>50</v>
      </c>
      <c r="N704" s="1" t="s">
        <v>41</v>
      </c>
      <c r="O704" s="1" t="s">
        <v>42</v>
      </c>
      <c r="P704" s="1" t="s">
        <v>43</v>
      </c>
      <c r="Q704" s="1" t="s">
        <v>44</v>
      </c>
      <c r="R704" s="1" t="s">
        <v>45</v>
      </c>
      <c r="S704" s="1">
        <v>318</v>
      </c>
      <c r="T704" s="1">
        <v>0</v>
      </c>
      <c r="U704" s="13">
        <v>4.3749999999999997E-2</v>
      </c>
      <c r="V704" s="11">
        <v>850</v>
      </c>
      <c r="W704" s="11">
        <v>1550</v>
      </c>
      <c r="X704" s="8">
        <v>2400</v>
      </c>
      <c r="Y704" s="1" t="s">
        <v>51</v>
      </c>
      <c r="Z704" s="11">
        <v>1790</v>
      </c>
      <c r="AA704" s="11">
        <v>610</v>
      </c>
      <c r="AB704" s="1">
        <v>0</v>
      </c>
      <c r="AC704" s="1">
        <v>0</v>
      </c>
      <c r="AD704" s="1">
        <v>0</v>
      </c>
      <c r="AE704" s="1">
        <v>0</v>
      </c>
      <c r="AF704" s="1"/>
      <c r="AG704" s="1">
        <v>0</v>
      </c>
      <c r="AH704" s="1">
        <v>0</v>
      </c>
      <c r="AI704" s="1">
        <v>0</v>
      </c>
      <c r="AJ704" s="1">
        <v>0</v>
      </c>
      <c r="AK704" s="1">
        <v>1.9276</v>
      </c>
      <c r="AL704" s="1">
        <v>1.9276</v>
      </c>
      <c r="AM704" s="1">
        <v>1.9276</v>
      </c>
    </row>
    <row r="705" spans="1:39" x14ac:dyDescent="0.3">
      <c r="A705" s="21" t="str">
        <f t="shared" si="10"/>
        <v>HFA603LLHA2026-01-03</v>
      </c>
      <c r="B705" t="e">
        <f>VLOOKUP(A705,Sheet1!A705:B2047,1,FALSE)</f>
        <v>#N/A</v>
      </c>
      <c r="C705" s="3">
        <v>46025</v>
      </c>
      <c r="D705" s="1" t="s">
        <v>72</v>
      </c>
      <c r="E705" s="1" t="s">
        <v>38</v>
      </c>
      <c r="F705" s="1" t="s">
        <v>54</v>
      </c>
      <c r="G705" s="1" t="s">
        <v>39</v>
      </c>
      <c r="H705" s="1" t="s">
        <v>222</v>
      </c>
      <c r="I705" s="1" t="s">
        <v>41</v>
      </c>
      <c r="J705" s="1" t="s">
        <v>42</v>
      </c>
      <c r="K705" s="1" t="s">
        <v>43</v>
      </c>
      <c r="L705" s="1" t="s">
        <v>44</v>
      </c>
      <c r="M705" s="1" t="s">
        <v>45</v>
      </c>
      <c r="N705" s="1" t="s">
        <v>41</v>
      </c>
      <c r="O705" s="1" t="s">
        <v>58</v>
      </c>
      <c r="P705" s="1" t="s">
        <v>59</v>
      </c>
      <c r="Q705" s="1" t="s">
        <v>60</v>
      </c>
      <c r="R705" s="1" t="s">
        <v>45</v>
      </c>
      <c r="S705" s="1">
        <v>342</v>
      </c>
      <c r="T705" s="1">
        <v>0</v>
      </c>
      <c r="U705" s="13">
        <v>4.2361111111111106E-2</v>
      </c>
      <c r="V705" s="11">
        <v>1790</v>
      </c>
      <c r="W705" s="11">
        <v>0</v>
      </c>
      <c r="X705" s="8">
        <v>1790</v>
      </c>
      <c r="Y705" s="1" t="s">
        <v>51</v>
      </c>
      <c r="Z705" s="11">
        <v>1050</v>
      </c>
      <c r="AA705" s="11">
        <v>740</v>
      </c>
      <c r="AB705" s="1">
        <v>0</v>
      </c>
      <c r="AC705" s="1">
        <v>0</v>
      </c>
      <c r="AD705" s="1">
        <v>0</v>
      </c>
      <c r="AE705" s="1">
        <v>0</v>
      </c>
      <c r="AF705" s="1"/>
      <c r="AG705" s="1">
        <v>0</v>
      </c>
      <c r="AH705" s="1">
        <v>0</v>
      </c>
      <c r="AI705" s="1">
        <v>0</v>
      </c>
      <c r="AJ705" s="1">
        <v>0</v>
      </c>
      <c r="AK705" s="1">
        <v>2.3384</v>
      </c>
      <c r="AL705" s="1">
        <v>2.3384</v>
      </c>
      <c r="AM705" s="1">
        <v>2.3384</v>
      </c>
    </row>
    <row r="706" spans="1:39" x14ac:dyDescent="0.3">
      <c r="A706" s="21" t="str">
        <f t="shared" si="10"/>
        <v>HFA604LLER2026-01-03</v>
      </c>
      <c r="B706" t="e">
        <f>VLOOKUP(A706,Sheet1!A706:B2048,1,FALSE)</f>
        <v>#N/A</v>
      </c>
      <c r="C706" s="3">
        <v>46025</v>
      </c>
      <c r="D706" s="1" t="s">
        <v>73</v>
      </c>
      <c r="E706" s="1" t="s">
        <v>38</v>
      </c>
      <c r="F706" s="1" t="s">
        <v>54</v>
      </c>
      <c r="G706" s="1" t="s">
        <v>39</v>
      </c>
      <c r="H706" s="1" t="s">
        <v>222</v>
      </c>
      <c r="I706" s="1" t="s">
        <v>41</v>
      </c>
      <c r="J706" s="1" t="s">
        <v>58</v>
      </c>
      <c r="K706" s="1" t="s">
        <v>59</v>
      </c>
      <c r="L706" s="1" t="s">
        <v>60</v>
      </c>
      <c r="M706" s="1" t="s">
        <v>45</v>
      </c>
      <c r="N706" s="1" t="s">
        <v>41</v>
      </c>
      <c r="O706" s="1" t="s">
        <v>42</v>
      </c>
      <c r="P706" s="1" t="s">
        <v>43</v>
      </c>
      <c r="Q706" s="1" t="s">
        <v>44</v>
      </c>
      <c r="R706" s="1" t="s">
        <v>45</v>
      </c>
      <c r="S706" s="1">
        <v>342</v>
      </c>
      <c r="T706" s="1">
        <v>0</v>
      </c>
      <c r="U706" s="13">
        <v>4.6527777777777779E-2</v>
      </c>
      <c r="V706" s="11">
        <v>1050</v>
      </c>
      <c r="W706" s="11">
        <v>1450</v>
      </c>
      <c r="X706" s="8">
        <v>2500</v>
      </c>
      <c r="Y706" s="1" t="s">
        <v>51</v>
      </c>
      <c r="Z706" s="11">
        <v>1850</v>
      </c>
      <c r="AA706" s="11">
        <v>650</v>
      </c>
      <c r="AB706" s="1">
        <v>0</v>
      </c>
      <c r="AC706" s="1">
        <v>0</v>
      </c>
      <c r="AD706" s="1">
        <v>0</v>
      </c>
      <c r="AE706" s="1">
        <v>0</v>
      </c>
      <c r="AF706" s="1"/>
      <c r="AG706" s="1">
        <v>0</v>
      </c>
      <c r="AH706" s="1">
        <v>0</v>
      </c>
      <c r="AI706" s="1">
        <v>0</v>
      </c>
      <c r="AJ706" s="1">
        <v>0</v>
      </c>
      <c r="AK706" s="1">
        <v>2.0539999999999998</v>
      </c>
      <c r="AL706" s="1">
        <v>2.0539999999999998</v>
      </c>
      <c r="AM706" s="1">
        <v>2.0539999999999998</v>
      </c>
    </row>
    <row r="707" spans="1:39" x14ac:dyDescent="0.3">
      <c r="A707" s="21" t="str">
        <f t="shared" ref="A707:A770" si="11">CONCATENATE(D707,K707,TEXT(C707,"YYYY-MM-DD"))</f>
        <v>HFA601LLHA2026-01-04</v>
      </c>
      <c r="B707" t="e">
        <f>VLOOKUP(A707,Sheet1!A707:B2049,1,FALSE)</f>
        <v>#N/A</v>
      </c>
      <c r="C707" s="3">
        <v>46026</v>
      </c>
      <c r="D707" s="1" t="s">
        <v>57</v>
      </c>
      <c r="E707" s="1" t="s">
        <v>38</v>
      </c>
      <c r="F707" s="1" t="s">
        <v>54</v>
      </c>
      <c r="G707" s="1" t="s">
        <v>39</v>
      </c>
      <c r="H707" s="1" t="s">
        <v>222</v>
      </c>
      <c r="I707" s="1" t="s">
        <v>41</v>
      </c>
      <c r="J707" s="1" t="s">
        <v>42</v>
      </c>
      <c r="K707" s="1" t="s">
        <v>43</v>
      </c>
      <c r="L707" s="1" t="s">
        <v>44</v>
      </c>
      <c r="M707" s="1" t="s">
        <v>45</v>
      </c>
      <c r="N707" s="1" t="s">
        <v>41</v>
      </c>
      <c r="O707" s="1" t="s">
        <v>58</v>
      </c>
      <c r="P707" s="1" t="s">
        <v>59</v>
      </c>
      <c r="Q707" s="1" t="s">
        <v>60</v>
      </c>
      <c r="R707" s="1" t="s">
        <v>45</v>
      </c>
      <c r="S707" s="1">
        <v>342</v>
      </c>
      <c r="T707" s="1">
        <v>0</v>
      </c>
      <c r="U707" s="13">
        <v>4.4444444444444439E-2</v>
      </c>
      <c r="V707" s="11">
        <v>1850</v>
      </c>
      <c r="W707" s="11">
        <v>-50</v>
      </c>
      <c r="X707" s="8">
        <v>1800</v>
      </c>
      <c r="Y707" s="1" t="s">
        <v>51</v>
      </c>
      <c r="Z707" s="11">
        <v>1100</v>
      </c>
      <c r="AA707" s="11">
        <v>700</v>
      </c>
      <c r="AB707" s="1">
        <v>0</v>
      </c>
      <c r="AC707" s="1">
        <v>0</v>
      </c>
      <c r="AD707" s="1">
        <v>0</v>
      </c>
      <c r="AE707" s="1">
        <v>0</v>
      </c>
      <c r="AF707" s="1"/>
      <c r="AG707" s="1">
        <v>0</v>
      </c>
      <c r="AH707" s="1">
        <v>0</v>
      </c>
      <c r="AI707" s="1">
        <v>0</v>
      </c>
      <c r="AJ707" s="1">
        <v>0</v>
      </c>
      <c r="AK707" s="1">
        <v>2.2120000000000002</v>
      </c>
      <c r="AL707" s="1">
        <v>2.2120000000000002</v>
      </c>
      <c r="AM707" s="1">
        <v>2.2120000000000002</v>
      </c>
    </row>
    <row r="708" spans="1:39" x14ac:dyDescent="0.3">
      <c r="A708" s="21" t="str">
        <f t="shared" si="11"/>
        <v>HFA602LLER2026-01-04</v>
      </c>
      <c r="B708" t="e">
        <f>VLOOKUP(A708,Sheet1!A708:B2050,1,FALSE)</f>
        <v>#N/A</v>
      </c>
      <c r="C708" s="3">
        <v>46026</v>
      </c>
      <c r="D708" s="1" t="s">
        <v>61</v>
      </c>
      <c r="E708" s="1" t="s">
        <v>38</v>
      </c>
      <c r="F708" s="1" t="s">
        <v>54</v>
      </c>
      <c r="G708" s="1" t="s">
        <v>39</v>
      </c>
      <c r="H708" s="1" t="s">
        <v>222</v>
      </c>
      <c r="I708" s="1" t="s">
        <v>41</v>
      </c>
      <c r="J708" s="1" t="s">
        <v>58</v>
      </c>
      <c r="K708" s="1" t="s">
        <v>59</v>
      </c>
      <c r="L708" s="1" t="s">
        <v>60</v>
      </c>
      <c r="M708" s="1" t="s">
        <v>45</v>
      </c>
      <c r="N708" s="1" t="s">
        <v>41</v>
      </c>
      <c r="O708" s="1" t="s">
        <v>42</v>
      </c>
      <c r="P708" s="1" t="s">
        <v>43</v>
      </c>
      <c r="Q708" s="1" t="s">
        <v>44</v>
      </c>
      <c r="R708" s="1" t="s">
        <v>45</v>
      </c>
      <c r="S708" s="1">
        <v>342</v>
      </c>
      <c r="T708" s="1">
        <v>0</v>
      </c>
      <c r="U708" s="13">
        <v>4.2361111111111106E-2</v>
      </c>
      <c r="V708" s="11">
        <v>1100</v>
      </c>
      <c r="W708" s="11">
        <v>1390</v>
      </c>
      <c r="X708" s="8">
        <v>2490</v>
      </c>
      <c r="Y708" s="1" t="s">
        <v>51</v>
      </c>
      <c r="Z708" s="11">
        <v>1890</v>
      </c>
      <c r="AA708" s="11">
        <v>600</v>
      </c>
      <c r="AB708" s="1">
        <v>0</v>
      </c>
      <c r="AC708" s="1">
        <v>0</v>
      </c>
      <c r="AD708" s="1">
        <v>0</v>
      </c>
      <c r="AE708" s="1">
        <v>0</v>
      </c>
      <c r="AF708" s="1"/>
      <c r="AG708" s="1">
        <v>0</v>
      </c>
      <c r="AH708" s="1">
        <v>0</v>
      </c>
      <c r="AI708" s="1">
        <v>0</v>
      </c>
      <c r="AJ708" s="1">
        <v>0</v>
      </c>
      <c r="AK708" s="1">
        <v>1.8959999999999999</v>
      </c>
      <c r="AL708" s="1">
        <v>1.8959999999999999</v>
      </c>
      <c r="AM708" s="1">
        <v>1.8959999999999999</v>
      </c>
    </row>
    <row r="709" spans="1:39" x14ac:dyDescent="0.3">
      <c r="A709" s="21" t="str">
        <f t="shared" si="11"/>
        <v>HFA605LLHA2026-01-04</v>
      </c>
      <c r="B709" t="e">
        <f>VLOOKUP(A709,Sheet1!A709:B2051,1,FALSE)</f>
        <v>#N/A</v>
      </c>
      <c r="C709" s="3">
        <v>46026</v>
      </c>
      <c r="D709" s="1" t="s">
        <v>62</v>
      </c>
      <c r="E709" s="1" t="s">
        <v>38</v>
      </c>
      <c r="F709" s="1" t="s">
        <v>54</v>
      </c>
      <c r="G709" s="1" t="s">
        <v>39</v>
      </c>
      <c r="H709" s="1" t="s">
        <v>222</v>
      </c>
      <c r="I709" s="1" t="s">
        <v>41</v>
      </c>
      <c r="J709" s="1" t="s">
        <v>42</v>
      </c>
      <c r="K709" s="1" t="s">
        <v>43</v>
      </c>
      <c r="L709" s="1" t="s">
        <v>44</v>
      </c>
      <c r="M709" s="1" t="s">
        <v>45</v>
      </c>
      <c r="N709" s="1" t="s">
        <v>41</v>
      </c>
      <c r="O709" s="1" t="s">
        <v>58</v>
      </c>
      <c r="P709" s="1" t="s">
        <v>59</v>
      </c>
      <c r="Q709" s="1" t="s">
        <v>60</v>
      </c>
      <c r="R709" s="1" t="s">
        <v>45</v>
      </c>
      <c r="S709" s="1">
        <v>342</v>
      </c>
      <c r="T709" s="1">
        <v>0</v>
      </c>
      <c r="U709" s="13">
        <v>4.6527777777777779E-2</v>
      </c>
      <c r="V709" s="11">
        <v>1890</v>
      </c>
      <c r="W709" s="11">
        <v>-30</v>
      </c>
      <c r="X709" s="8">
        <v>1860</v>
      </c>
      <c r="Y709" s="1" t="s">
        <v>51</v>
      </c>
      <c r="Z709" s="11">
        <v>1140</v>
      </c>
      <c r="AA709" s="11">
        <v>720</v>
      </c>
      <c r="AB709" s="1">
        <v>0</v>
      </c>
      <c r="AC709" s="1">
        <v>0</v>
      </c>
      <c r="AD709" s="1">
        <v>0</v>
      </c>
      <c r="AE709" s="1">
        <v>0</v>
      </c>
      <c r="AF709" s="1"/>
      <c r="AG709" s="1">
        <v>0</v>
      </c>
      <c r="AH709" s="1">
        <v>0</v>
      </c>
      <c r="AI709" s="1">
        <v>0</v>
      </c>
      <c r="AJ709" s="1">
        <v>0</v>
      </c>
      <c r="AK709" s="1">
        <v>2.2751999999999999</v>
      </c>
      <c r="AL709" s="1">
        <v>2.2751999999999999</v>
      </c>
      <c r="AM709" s="1">
        <v>2.2751999999999999</v>
      </c>
    </row>
    <row r="710" spans="1:39" x14ac:dyDescent="0.3">
      <c r="A710" s="21" t="str">
        <f t="shared" si="11"/>
        <v>HFA606LLER2026-01-04</v>
      </c>
      <c r="B710" t="e">
        <f>VLOOKUP(A710,Sheet1!A710:B2052,1,FALSE)</f>
        <v>#N/A</v>
      </c>
      <c r="C710" s="3">
        <v>46026</v>
      </c>
      <c r="D710" s="1" t="s">
        <v>63</v>
      </c>
      <c r="E710" s="1" t="s">
        <v>38</v>
      </c>
      <c r="F710" s="1" t="s">
        <v>54</v>
      </c>
      <c r="G710" s="1" t="s">
        <v>39</v>
      </c>
      <c r="H710" s="1" t="s">
        <v>222</v>
      </c>
      <c r="I710" s="1" t="s">
        <v>41</v>
      </c>
      <c r="J710" s="1" t="s">
        <v>58</v>
      </c>
      <c r="K710" s="1" t="s">
        <v>59</v>
      </c>
      <c r="L710" s="1" t="s">
        <v>60</v>
      </c>
      <c r="M710" s="1" t="s">
        <v>45</v>
      </c>
      <c r="N710" s="1" t="s">
        <v>41</v>
      </c>
      <c r="O710" s="1" t="s">
        <v>42</v>
      </c>
      <c r="P710" s="1" t="s">
        <v>43</v>
      </c>
      <c r="Q710" s="1" t="s">
        <v>44</v>
      </c>
      <c r="R710" s="1" t="s">
        <v>45</v>
      </c>
      <c r="S710" s="1">
        <v>342</v>
      </c>
      <c r="T710" s="1">
        <v>0</v>
      </c>
      <c r="U710" s="13">
        <v>5.1388888888888887E-2</v>
      </c>
      <c r="V710" s="11">
        <v>1140</v>
      </c>
      <c r="W710" s="11">
        <v>1360</v>
      </c>
      <c r="X710" s="8">
        <v>2500</v>
      </c>
      <c r="Y710" s="1" t="s">
        <v>51</v>
      </c>
      <c r="Z710" s="11">
        <v>1850</v>
      </c>
      <c r="AA710" s="11">
        <v>650</v>
      </c>
      <c r="AB710" s="1">
        <v>0</v>
      </c>
      <c r="AC710" s="1">
        <v>0</v>
      </c>
      <c r="AD710" s="1">
        <v>0</v>
      </c>
      <c r="AE710" s="1">
        <v>0</v>
      </c>
      <c r="AF710" s="1"/>
      <c r="AG710" s="1">
        <v>0</v>
      </c>
      <c r="AH710" s="1">
        <v>0</v>
      </c>
      <c r="AI710" s="1">
        <v>0</v>
      </c>
      <c r="AJ710" s="1">
        <v>0</v>
      </c>
      <c r="AK710" s="1">
        <v>2.0539999999999998</v>
      </c>
      <c r="AL710" s="1">
        <v>2.0539999999999998</v>
      </c>
      <c r="AM710" s="1">
        <v>2.0539999999999998</v>
      </c>
    </row>
    <row r="711" spans="1:39" x14ac:dyDescent="0.3">
      <c r="A711" s="21" t="str">
        <f t="shared" si="11"/>
        <v>HFA601LLHA2026-01-05</v>
      </c>
      <c r="B711" t="e">
        <f>VLOOKUP(A711,Sheet1!A711:B2053,1,FALSE)</f>
        <v>#N/A</v>
      </c>
      <c r="C711" s="3">
        <v>46027</v>
      </c>
      <c r="D711" s="1" t="s">
        <v>57</v>
      </c>
      <c r="E711" s="1" t="s">
        <v>38</v>
      </c>
      <c r="F711" s="1" t="s">
        <v>54</v>
      </c>
      <c r="G711" s="1" t="s">
        <v>39</v>
      </c>
      <c r="H711" s="1" t="s">
        <v>222</v>
      </c>
      <c r="I711" s="1" t="s">
        <v>41</v>
      </c>
      <c r="J711" s="1" t="s">
        <v>42</v>
      </c>
      <c r="K711" s="1" t="s">
        <v>43</v>
      </c>
      <c r="L711" s="1" t="s">
        <v>44</v>
      </c>
      <c r="M711" s="1" t="s">
        <v>45</v>
      </c>
      <c r="N711" s="1" t="s">
        <v>41</v>
      </c>
      <c r="O711" s="1" t="s">
        <v>58</v>
      </c>
      <c r="P711" s="1" t="s">
        <v>59</v>
      </c>
      <c r="Q711" s="1" t="s">
        <v>60</v>
      </c>
      <c r="R711" s="1" t="s">
        <v>45</v>
      </c>
      <c r="S711" s="1">
        <v>342</v>
      </c>
      <c r="T711" s="1">
        <v>0</v>
      </c>
      <c r="U711" s="13">
        <v>4.7222222222222221E-2</v>
      </c>
      <c r="V711" s="11">
        <v>1850</v>
      </c>
      <c r="W711" s="11">
        <v>-50</v>
      </c>
      <c r="X711" s="8">
        <v>1800</v>
      </c>
      <c r="Y711" s="1" t="s">
        <v>51</v>
      </c>
      <c r="Z711" s="11">
        <v>1080</v>
      </c>
      <c r="AA711" s="11">
        <v>720</v>
      </c>
      <c r="AB711" s="1">
        <v>0</v>
      </c>
      <c r="AC711" s="1">
        <v>0</v>
      </c>
      <c r="AD711" s="1">
        <v>0</v>
      </c>
      <c r="AE711" s="1">
        <v>0</v>
      </c>
      <c r="AF711" s="1"/>
      <c r="AG711" s="1">
        <v>0</v>
      </c>
      <c r="AH711" s="1">
        <v>0</v>
      </c>
      <c r="AI711" s="1">
        <v>0</v>
      </c>
      <c r="AJ711" s="1">
        <v>0</v>
      </c>
      <c r="AK711" s="1">
        <v>2.2751999999999999</v>
      </c>
      <c r="AL711" s="1">
        <v>2.2751999999999999</v>
      </c>
      <c r="AM711" s="1">
        <v>2.2751999999999999</v>
      </c>
    </row>
    <row r="712" spans="1:39" x14ac:dyDescent="0.3">
      <c r="A712" s="21" t="str">
        <f t="shared" si="11"/>
        <v>HFA602LLER2026-01-05</v>
      </c>
      <c r="B712" t="e">
        <f>VLOOKUP(A712,Sheet1!A712:B2054,1,FALSE)</f>
        <v>#N/A</v>
      </c>
      <c r="C712" s="3">
        <v>46027</v>
      </c>
      <c r="D712" s="1" t="s">
        <v>61</v>
      </c>
      <c r="E712" s="1" t="s">
        <v>38</v>
      </c>
      <c r="F712" s="1" t="s">
        <v>54</v>
      </c>
      <c r="G712" s="1" t="s">
        <v>39</v>
      </c>
      <c r="H712" s="1" t="s">
        <v>222</v>
      </c>
      <c r="I712" s="1" t="s">
        <v>41</v>
      </c>
      <c r="J712" s="1" t="s">
        <v>58</v>
      </c>
      <c r="K712" s="1" t="s">
        <v>59</v>
      </c>
      <c r="L712" s="1" t="s">
        <v>60</v>
      </c>
      <c r="M712" s="1" t="s">
        <v>45</v>
      </c>
      <c r="N712" s="1" t="s">
        <v>41</v>
      </c>
      <c r="O712" s="1" t="s">
        <v>42</v>
      </c>
      <c r="P712" s="1" t="s">
        <v>43</v>
      </c>
      <c r="Q712" s="1" t="s">
        <v>44</v>
      </c>
      <c r="R712" s="1" t="s">
        <v>45</v>
      </c>
      <c r="S712" s="1">
        <v>342</v>
      </c>
      <c r="T712" s="1">
        <v>0</v>
      </c>
      <c r="U712" s="13">
        <v>4.7222222222222221E-2</v>
      </c>
      <c r="V712" s="11">
        <v>1080</v>
      </c>
      <c r="W712" s="11">
        <v>1020</v>
      </c>
      <c r="X712" s="8">
        <v>2100</v>
      </c>
      <c r="Y712" s="1" t="s">
        <v>51</v>
      </c>
      <c r="Z712" s="11">
        <v>1400</v>
      </c>
      <c r="AA712" s="11">
        <v>700</v>
      </c>
      <c r="AB712" s="1">
        <v>0</v>
      </c>
      <c r="AC712" s="1">
        <v>0</v>
      </c>
      <c r="AD712" s="1">
        <v>0</v>
      </c>
      <c r="AE712" s="1">
        <v>0</v>
      </c>
      <c r="AF712" s="1"/>
      <c r="AG712" s="1">
        <v>0</v>
      </c>
      <c r="AH712" s="1">
        <v>0</v>
      </c>
      <c r="AI712" s="1">
        <v>0</v>
      </c>
      <c r="AJ712" s="1">
        <v>0</v>
      </c>
      <c r="AK712" s="1">
        <v>2.2120000000000002</v>
      </c>
      <c r="AL712" s="1">
        <v>2.2120000000000002</v>
      </c>
      <c r="AM712" s="1">
        <v>2.2120000000000002</v>
      </c>
    </row>
    <row r="713" spans="1:39" x14ac:dyDescent="0.3">
      <c r="A713" s="21" t="str">
        <f t="shared" si="11"/>
        <v>HFA851LLHA2026-01-05</v>
      </c>
      <c r="B713" t="str">
        <f>VLOOKUP(A713,Sheet1!A713:B2055,1,FALSE)</f>
        <v>HFA851LLHA2026-01-05</v>
      </c>
      <c r="C713" s="3">
        <v>46027</v>
      </c>
      <c r="D713" s="1" t="s">
        <v>66</v>
      </c>
      <c r="E713" s="1" t="s">
        <v>38</v>
      </c>
      <c r="F713" s="1"/>
      <c r="G713" s="1" t="s">
        <v>39</v>
      </c>
      <c r="H713" s="1" t="s">
        <v>222</v>
      </c>
      <c r="I713" s="1" t="s">
        <v>41</v>
      </c>
      <c r="J713" s="1" t="s">
        <v>42</v>
      </c>
      <c r="K713" s="1" t="s">
        <v>43</v>
      </c>
      <c r="L713" s="1" t="s">
        <v>44</v>
      </c>
      <c r="M713" s="1" t="s">
        <v>45</v>
      </c>
      <c r="N713" s="1" t="s">
        <v>67</v>
      </c>
      <c r="O713" s="1" t="s">
        <v>68</v>
      </c>
      <c r="P713" s="1" t="s">
        <v>69</v>
      </c>
      <c r="Q713" s="1" t="s">
        <v>70</v>
      </c>
      <c r="R713" s="1" t="s">
        <v>50</v>
      </c>
      <c r="S713" s="1">
        <v>318</v>
      </c>
      <c r="T713" s="1">
        <v>0</v>
      </c>
      <c r="U713" s="13">
        <v>4.1666666666666664E-2</v>
      </c>
      <c r="V713" s="11">
        <v>1400</v>
      </c>
      <c r="W713" s="11">
        <v>0</v>
      </c>
      <c r="X713" s="8">
        <v>1400</v>
      </c>
      <c r="Y713" s="1" t="s">
        <v>51</v>
      </c>
      <c r="Z713" s="11">
        <v>750</v>
      </c>
      <c r="AA713" s="11">
        <v>650</v>
      </c>
      <c r="AB713" s="1">
        <v>0</v>
      </c>
      <c r="AC713" s="1">
        <v>0</v>
      </c>
      <c r="AD713" s="1">
        <v>0</v>
      </c>
      <c r="AE713" s="1">
        <v>0</v>
      </c>
      <c r="AF713" s="1"/>
      <c r="AG713" s="1">
        <v>0</v>
      </c>
      <c r="AH713" s="1">
        <v>0</v>
      </c>
      <c r="AI713" s="1">
        <v>0</v>
      </c>
      <c r="AJ713" s="1">
        <v>0</v>
      </c>
      <c r="AK713" s="1">
        <v>2.0539999999999998</v>
      </c>
      <c r="AL713" s="1">
        <v>2.0539999999999998</v>
      </c>
      <c r="AM713" s="1">
        <v>2.0539999999999998</v>
      </c>
    </row>
    <row r="714" spans="1:39" x14ac:dyDescent="0.3">
      <c r="A714" s="21" t="str">
        <f t="shared" si="11"/>
        <v>HFA852LCPH2026-01-05</v>
      </c>
      <c r="B714" t="str">
        <f>VLOOKUP(A714,Sheet1!A714:B2056,1,FALSE)</f>
        <v>HFA852LCPH2026-01-05</v>
      </c>
      <c r="C714" s="3">
        <v>46027</v>
      </c>
      <c r="D714" s="1" t="s">
        <v>71</v>
      </c>
      <c r="E714" s="1" t="s">
        <v>38</v>
      </c>
      <c r="F714" s="1"/>
      <c r="G714" s="1" t="s">
        <v>39</v>
      </c>
      <c r="H714" s="1" t="s">
        <v>222</v>
      </c>
      <c r="I714" s="1" t="s">
        <v>67</v>
      </c>
      <c r="J714" s="1" t="s">
        <v>68</v>
      </c>
      <c r="K714" s="1" t="s">
        <v>69</v>
      </c>
      <c r="L714" s="1" t="s">
        <v>70</v>
      </c>
      <c r="M714" s="1" t="s">
        <v>50</v>
      </c>
      <c r="N714" s="1" t="s">
        <v>41</v>
      </c>
      <c r="O714" s="1" t="s">
        <v>42</v>
      </c>
      <c r="P714" s="1" t="s">
        <v>43</v>
      </c>
      <c r="Q714" s="1" t="s">
        <v>44</v>
      </c>
      <c r="R714" s="1" t="s">
        <v>45</v>
      </c>
      <c r="S714" s="1">
        <v>318</v>
      </c>
      <c r="T714" s="1">
        <v>0</v>
      </c>
      <c r="U714" s="13">
        <v>4.7222222222222221E-2</v>
      </c>
      <c r="V714" s="11">
        <v>750</v>
      </c>
      <c r="W714" s="11">
        <v>1350</v>
      </c>
      <c r="X714" s="8">
        <v>2100</v>
      </c>
      <c r="Y714" s="1" t="s">
        <v>51</v>
      </c>
      <c r="Z714" s="11">
        <v>1460</v>
      </c>
      <c r="AA714" s="11">
        <v>640</v>
      </c>
      <c r="AB714" s="1">
        <v>0</v>
      </c>
      <c r="AC714" s="1">
        <v>0</v>
      </c>
      <c r="AD714" s="1">
        <v>0</v>
      </c>
      <c r="AE714" s="1">
        <v>0</v>
      </c>
      <c r="AF714" s="1"/>
      <c r="AG714" s="1">
        <v>0</v>
      </c>
      <c r="AH714" s="1">
        <v>0</v>
      </c>
      <c r="AI714" s="1">
        <v>0</v>
      </c>
      <c r="AJ714" s="1">
        <v>0</v>
      </c>
      <c r="AK714" s="1">
        <v>2.0224000000000002</v>
      </c>
      <c r="AL714" s="1">
        <v>2.0224000000000002</v>
      </c>
      <c r="AM714" s="1">
        <v>2.0224000000000002</v>
      </c>
    </row>
    <row r="715" spans="1:39" x14ac:dyDescent="0.3">
      <c r="A715" s="21" t="str">
        <f t="shared" si="11"/>
        <v>HFA801LLHA2026-01-06</v>
      </c>
      <c r="B715" t="e">
        <f>VLOOKUP(A715,Sheet1!A715:B2057,1,FALSE)</f>
        <v>#N/A</v>
      </c>
      <c r="C715" s="3">
        <v>46028</v>
      </c>
      <c r="D715" s="1" t="s">
        <v>133</v>
      </c>
      <c r="E715" s="1" t="s">
        <v>38</v>
      </c>
      <c r="F715" s="1"/>
      <c r="G715" s="1" t="s">
        <v>39</v>
      </c>
      <c r="H715" s="1" t="s">
        <v>222</v>
      </c>
      <c r="I715" s="1" t="s">
        <v>41</v>
      </c>
      <c r="J715" s="1" t="s">
        <v>42</v>
      </c>
      <c r="K715" s="1" t="s">
        <v>43</v>
      </c>
      <c r="L715" s="1" t="s">
        <v>44</v>
      </c>
      <c r="M715" s="1" t="s">
        <v>45</v>
      </c>
      <c r="N715" s="1" t="s">
        <v>67</v>
      </c>
      <c r="O715" s="1" t="s">
        <v>86</v>
      </c>
      <c r="P715" s="1" t="s">
        <v>87</v>
      </c>
      <c r="Q715" s="1" t="s">
        <v>88</v>
      </c>
      <c r="R715" s="1" t="s">
        <v>50</v>
      </c>
      <c r="S715" s="1">
        <v>264</v>
      </c>
      <c r="T715" s="1">
        <v>0</v>
      </c>
      <c r="U715" s="13">
        <v>3.7499999999999999E-2</v>
      </c>
      <c r="V715" s="11">
        <v>1460</v>
      </c>
      <c r="W715" s="11">
        <v>-10</v>
      </c>
      <c r="X715" s="8">
        <v>1450</v>
      </c>
      <c r="Y715" s="1" t="s">
        <v>51</v>
      </c>
      <c r="Z715" s="11">
        <v>890</v>
      </c>
      <c r="AA715" s="11">
        <v>560</v>
      </c>
      <c r="AB715" s="1">
        <v>0</v>
      </c>
      <c r="AC715" s="1">
        <v>0</v>
      </c>
      <c r="AD715" s="1">
        <v>0</v>
      </c>
      <c r="AE715" s="1">
        <v>0</v>
      </c>
      <c r="AF715" s="1"/>
      <c r="AG715" s="1">
        <v>0</v>
      </c>
      <c r="AH715" s="1">
        <v>0</v>
      </c>
      <c r="AI715" s="1">
        <v>0</v>
      </c>
      <c r="AJ715" s="1">
        <v>0</v>
      </c>
      <c r="AK715" s="1">
        <v>1.7696000000000001</v>
      </c>
      <c r="AL715" s="1">
        <v>1.7696000000000001</v>
      </c>
      <c r="AM715" s="1">
        <v>1.7696000000000001</v>
      </c>
    </row>
    <row r="716" spans="1:39" x14ac:dyDescent="0.3">
      <c r="A716" s="21" t="str">
        <f t="shared" si="11"/>
        <v>HFA802LCLK2026-01-06</v>
      </c>
      <c r="B716" t="e">
        <f>VLOOKUP(A716,Sheet1!A716:B2058,1,FALSE)</f>
        <v>#N/A</v>
      </c>
      <c r="C716" s="3">
        <v>46028</v>
      </c>
      <c r="D716" s="1" t="s">
        <v>135</v>
      </c>
      <c r="E716" s="1" t="s">
        <v>38</v>
      </c>
      <c r="F716" s="1"/>
      <c r="G716" s="1" t="s">
        <v>39</v>
      </c>
      <c r="H716" s="1" t="s">
        <v>222</v>
      </c>
      <c r="I716" s="1" t="s">
        <v>67</v>
      </c>
      <c r="J716" s="1" t="s">
        <v>86</v>
      </c>
      <c r="K716" s="1" t="s">
        <v>87</v>
      </c>
      <c r="L716" s="1" t="s">
        <v>88</v>
      </c>
      <c r="M716" s="1" t="s">
        <v>50</v>
      </c>
      <c r="N716" s="1" t="s">
        <v>41</v>
      </c>
      <c r="O716" s="1" t="s">
        <v>42</v>
      </c>
      <c r="P716" s="1" t="s">
        <v>43</v>
      </c>
      <c r="Q716" s="1" t="s">
        <v>44</v>
      </c>
      <c r="R716" s="1" t="s">
        <v>45</v>
      </c>
      <c r="S716" s="1">
        <v>264</v>
      </c>
      <c r="T716" s="1">
        <v>0</v>
      </c>
      <c r="U716" s="13">
        <v>3.888888888888889E-2</v>
      </c>
      <c r="V716" s="11">
        <v>890</v>
      </c>
      <c r="W716" s="11">
        <v>1110</v>
      </c>
      <c r="X716" s="8">
        <v>2000</v>
      </c>
      <c r="Y716" s="1" t="s">
        <v>51</v>
      </c>
      <c r="Z716" s="11">
        <v>1450</v>
      </c>
      <c r="AA716" s="11">
        <v>550</v>
      </c>
      <c r="AB716" s="1">
        <v>0</v>
      </c>
      <c r="AC716" s="1">
        <v>0</v>
      </c>
      <c r="AD716" s="1">
        <v>0</v>
      </c>
      <c r="AE716" s="1">
        <v>0</v>
      </c>
      <c r="AF716" s="1"/>
      <c r="AG716" s="1">
        <v>0</v>
      </c>
      <c r="AH716" s="1">
        <v>0</v>
      </c>
      <c r="AI716" s="1">
        <v>0</v>
      </c>
      <c r="AJ716" s="1">
        <v>0</v>
      </c>
      <c r="AK716" s="1">
        <v>1.738</v>
      </c>
      <c r="AL716" s="1">
        <v>1.738</v>
      </c>
      <c r="AM716" s="1">
        <v>1.738</v>
      </c>
    </row>
    <row r="717" spans="1:39" x14ac:dyDescent="0.3">
      <c r="A717" s="21" t="str">
        <f t="shared" si="11"/>
        <v>HFA803LLHA2026-01-06</v>
      </c>
      <c r="B717" t="e">
        <f>VLOOKUP(A717,Sheet1!A717:B2059,1,FALSE)</f>
        <v>#N/A</v>
      </c>
      <c r="C717" s="3">
        <v>46028</v>
      </c>
      <c r="D717" s="1" t="s">
        <v>116</v>
      </c>
      <c r="E717" s="1" t="s">
        <v>38</v>
      </c>
      <c r="F717" s="1"/>
      <c r="G717" s="1" t="s">
        <v>39</v>
      </c>
      <c r="H717" s="1" t="s">
        <v>222</v>
      </c>
      <c r="I717" s="1" t="s">
        <v>41</v>
      </c>
      <c r="J717" s="1" t="s">
        <v>42</v>
      </c>
      <c r="K717" s="1" t="s">
        <v>43</v>
      </c>
      <c r="L717" s="1" t="s">
        <v>44</v>
      </c>
      <c r="M717" s="1" t="s">
        <v>45</v>
      </c>
      <c r="N717" s="1" t="s">
        <v>67</v>
      </c>
      <c r="O717" s="1" t="s">
        <v>86</v>
      </c>
      <c r="P717" s="1" t="s">
        <v>87</v>
      </c>
      <c r="Q717" s="1" t="s">
        <v>88</v>
      </c>
      <c r="R717" s="1" t="s">
        <v>50</v>
      </c>
      <c r="S717" s="1">
        <v>264</v>
      </c>
      <c r="T717" s="1">
        <v>0</v>
      </c>
      <c r="U717" s="13">
        <v>3.6805555555555557E-2</v>
      </c>
      <c r="V717" s="11">
        <v>1450</v>
      </c>
      <c r="W717" s="11">
        <v>-20</v>
      </c>
      <c r="X717" s="8">
        <v>1430</v>
      </c>
      <c r="Y717" s="1" t="s">
        <v>51</v>
      </c>
      <c r="Z717" s="11">
        <v>870</v>
      </c>
      <c r="AA717" s="11">
        <v>560</v>
      </c>
      <c r="AB717" s="1">
        <v>0</v>
      </c>
      <c r="AC717" s="1">
        <v>0</v>
      </c>
      <c r="AD717" s="1">
        <v>0</v>
      </c>
      <c r="AE717" s="1">
        <v>0</v>
      </c>
      <c r="AF717" s="1"/>
      <c r="AG717" s="1">
        <v>0</v>
      </c>
      <c r="AH717" s="1">
        <v>0</v>
      </c>
      <c r="AI717" s="1">
        <v>0</v>
      </c>
      <c r="AJ717" s="1">
        <v>0</v>
      </c>
      <c r="AK717" s="1">
        <v>1.7696000000000001</v>
      </c>
      <c r="AL717" s="1">
        <v>1.7696000000000001</v>
      </c>
      <c r="AM717" s="1">
        <v>1.7696000000000001</v>
      </c>
    </row>
    <row r="718" spans="1:39" x14ac:dyDescent="0.3">
      <c r="A718" s="21" t="str">
        <f t="shared" si="11"/>
        <v>HFA804LCLK2026-01-06</v>
      </c>
      <c r="B718" t="e">
        <f>VLOOKUP(A718,Sheet1!A718:B2060,1,FALSE)</f>
        <v>#N/A</v>
      </c>
      <c r="C718" s="3">
        <v>46028</v>
      </c>
      <c r="D718" s="1" t="s">
        <v>117</v>
      </c>
      <c r="E718" s="1" t="s">
        <v>38</v>
      </c>
      <c r="F718" s="1"/>
      <c r="G718" s="1" t="s">
        <v>39</v>
      </c>
      <c r="H718" s="1" t="s">
        <v>222</v>
      </c>
      <c r="I718" s="1" t="s">
        <v>67</v>
      </c>
      <c r="J718" s="1" t="s">
        <v>86</v>
      </c>
      <c r="K718" s="1" t="s">
        <v>87</v>
      </c>
      <c r="L718" s="1" t="s">
        <v>88</v>
      </c>
      <c r="M718" s="1" t="s">
        <v>50</v>
      </c>
      <c r="N718" s="1" t="s">
        <v>41</v>
      </c>
      <c r="O718" s="1" t="s">
        <v>42</v>
      </c>
      <c r="P718" s="1" t="s">
        <v>43</v>
      </c>
      <c r="Q718" s="1" t="s">
        <v>44</v>
      </c>
      <c r="R718" s="1" t="s">
        <v>45</v>
      </c>
      <c r="S718" s="1">
        <v>264</v>
      </c>
      <c r="T718" s="1">
        <v>0</v>
      </c>
      <c r="U718" s="13">
        <v>4.1666666666666664E-2</v>
      </c>
      <c r="V718" s="11">
        <v>870</v>
      </c>
      <c r="W718" s="11">
        <v>1530</v>
      </c>
      <c r="X718" s="8">
        <v>2400</v>
      </c>
      <c r="Y718" s="1" t="s">
        <v>51</v>
      </c>
      <c r="Z718" s="11">
        <v>1860</v>
      </c>
      <c r="AA718" s="11">
        <v>540</v>
      </c>
      <c r="AB718" s="1">
        <v>0</v>
      </c>
      <c r="AC718" s="1">
        <v>0</v>
      </c>
      <c r="AD718" s="1">
        <v>0</v>
      </c>
      <c r="AE718" s="1">
        <v>0</v>
      </c>
      <c r="AF718" s="1"/>
      <c r="AG718" s="1">
        <v>0</v>
      </c>
      <c r="AH718" s="1">
        <v>0</v>
      </c>
      <c r="AI718" s="1">
        <v>0</v>
      </c>
      <c r="AJ718" s="1">
        <v>0</v>
      </c>
      <c r="AK718" s="1">
        <v>1.7063999999999999</v>
      </c>
      <c r="AL718" s="1">
        <v>1.7063999999999999</v>
      </c>
      <c r="AM718" s="1">
        <v>1.7063999999999999</v>
      </c>
    </row>
    <row r="719" spans="1:39" x14ac:dyDescent="0.3">
      <c r="A719" s="21" t="str">
        <f t="shared" si="11"/>
        <v>HFA601LLHA2026-01-07</v>
      </c>
      <c r="B719" t="e">
        <f>VLOOKUP(A719,Sheet1!A719:B2061,1,FALSE)</f>
        <v>#N/A</v>
      </c>
      <c r="C719" s="3">
        <v>46029</v>
      </c>
      <c r="D719" s="1" t="s">
        <v>57</v>
      </c>
      <c r="E719" s="1" t="s">
        <v>38</v>
      </c>
      <c r="F719" s="1" t="s">
        <v>54</v>
      </c>
      <c r="G719" s="1" t="s">
        <v>39</v>
      </c>
      <c r="H719" s="1" t="s">
        <v>222</v>
      </c>
      <c r="I719" s="1" t="s">
        <v>41</v>
      </c>
      <c r="J719" s="1" t="s">
        <v>42</v>
      </c>
      <c r="K719" s="1" t="s">
        <v>43</v>
      </c>
      <c r="L719" s="1" t="s">
        <v>44</v>
      </c>
      <c r="M719" s="1" t="s">
        <v>45</v>
      </c>
      <c r="N719" s="1" t="s">
        <v>41</v>
      </c>
      <c r="O719" s="1" t="s">
        <v>58</v>
      </c>
      <c r="P719" s="1" t="s">
        <v>59</v>
      </c>
      <c r="Q719" s="1" t="s">
        <v>60</v>
      </c>
      <c r="R719" s="1" t="s">
        <v>45</v>
      </c>
      <c r="S719" s="1">
        <v>342</v>
      </c>
      <c r="T719" s="1">
        <v>0</v>
      </c>
      <c r="U719" s="13">
        <v>4.027777777777778E-2</v>
      </c>
      <c r="V719" s="11">
        <v>1860</v>
      </c>
      <c r="W719" s="11">
        <v>-40</v>
      </c>
      <c r="X719" s="8">
        <v>1820</v>
      </c>
      <c r="Y719" s="1" t="s">
        <v>51</v>
      </c>
      <c r="Z719" s="11">
        <v>1160</v>
      </c>
      <c r="AA719" s="11">
        <v>660</v>
      </c>
      <c r="AB719" s="1">
        <v>0</v>
      </c>
      <c r="AC719" s="1">
        <v>0</v>
      </c>
      <c r="AD719" s="1">
        <v>0</v>
      </c>
      <c r="AE719" s="1">
        <v>0</v>
      </c>
      <c r="AF719" s="1"/>
      <c r="AG719" s="1">
        <v>0</v>
      </c>
      <c r="AH719" s="1">
        <v>0</v>
      </c>
      <c r="AI719" s="1">
        <v>0</v>
      </c>
      <c r="AJ719" s="1">
        <v>0</v>
      </c>
      <c r="AK719" s="1">
        <v>2.0855999999999999</v>
      </c>
      <c r="AL719" s="1">
        <v>2.0855999999999999</v>
      </c>
      <c r="AM719" s="1">
        <v>2.0855999999999999</v>
      </c>
    </row>
    <row r="720" spans="1:39" x14ac:dyDescent="0.3">
      <c r="A720" s="21" t="str">
        <f t="shared" si="11"/>
        <v>HFA602LLER2026-01-07</v>
      </c>
      <c r="B720" t="e">
        <f>VLOOKUP(A720,Sheet1!A720:B2062,1,FALSE)</f>
        <v>#N/A</v>
      </c>
      <c r="C720" s="3">
        <v>46029</v>
      </c>
      <c r="D720" s="1" t="s">
        <v>61</v>
      </c>
      <c r="E720" s="1" t="s">
        <v>38</v>
      </c>
      <c r="F720" s="1" t="s">
        <v>54</v>
      </c>
      <c r="G720" s="1" t="s">
        <v>39</v>
      </c>
      <c r="H720" s="1" t="s">
        <v>222</v>
      </c>
      <c r="I720" s="1" t="s">
        <v>41</v>
      </c>
      <c r="J720" s="1" t="s">
        <v>58</v>
      </c>
      <c r="K720" s="1" t="s">
        <v>59</v>
      </c>
      <c r="L720" s="1" t="s">
        <v>60</v>
      </c>
      <c r="M720" s="1" t="s">
        <v>45</v>
      </c>
      <c r="N720" s="1" t="s">
        <v>41</v>
      </c>
      <c r="O720" s="1" t="s">
        <v>42</v>
      </c>
      <c r="P720" s="1" t="s">
        <v>43</v>
      </c>
      <c r="Q720" s="1" t="s">
        <v>44</v>
      </c>
      <c r="R720" s="1" t="s">
        <v>45</v>
      </c>
      <c r="S720" s="1">
        <v>342</v>
      </c>
      <c r="T720" s="1">
        <v>0</v>
      </c>
      <c r="U720" s="13">
        <v>4.3749999999999997E-2</v>
      </c>
      <c r="V720" s="11">
        <v>1160</v>
      </c>
      <c r="W720" s="11">
        <v>1040</v>
      </c>
      <c r="X720" s="8">
        <v>2200</v>
      </c>
      <c r="Y720" s="1" t="s">
        <v>51</v>
      </c>
      <c r="Z720" s="11">
        <v>1510</v>
      </c>
      <c r="AA720" s="11">
        <v>690</v>
      </c>
      <c r="AB720" s="1">
        <v>0</v>
      </c>
      <c r="AC720" s="1">
        <v>0</v>
      </c>
      <c r="AD720" s="1">
        <v>0</v>
      </c>
      <c r="AE720" s="1">
        <v>0</v>
      </c>
      <c r="AF720" s="1"/>
      <c r="AG720" s="1">
        <v>0</v>
      </c>
      <c r="AH720" s="1">
        <v>0</v>
      </c>
      <c r="AI720" s="1">
        <v>0</v>
      </c>
      <c r="AJ720" s="1">
        <v>0</v>
      </c>
      <c r="AK720" s="1">
        <v>2.1804000000000001</v>
      </c>
      <c r="AL720" s="1">
        <v>2.1804000000000001</v>
      </c>
      <c r="AM720" s="1">
        <v>2.1804000000000001</v>
      </c>
    </row>
    <row r="721" spans="1:39" x14ac:dyDescent="0.3">
      <c r="A721" s="21" t="str">
        <f t="shared" si="11"/>
        <v>HFA851LLHA2026-01-07</v>
      </c>
      <c r="B721" t="str">
        <f>VLOOKUP(A721,Sheet1!A721:B2063,1,FALSE)</f>
        <v>HFA851LLHA2026-01-07</v>
      </c>
      <c r="C721" s="3">
        <v>46029</v>
      </c>
      <c r="D721" s="1" t="s">
        <v>66</v>
      </c>
      <c r="E721" s="1" t="s">
        <v>38</v>
      </c>
      <c r="F721" s="1"/>
      <c r="G721" s="1" t="s">
        <v>39</v>
      </c>
      <c r="H721" s="1" t="s">
        <v>222</v>
      </c>
      <c r="I721" s="1" t="s">
        <v>41</v>
      </c>
      <c r="J721" s="1" t="s">
        <v>42</v>
      </c>
      <c r="K721" s="1" t="s">
        <v>43</v>
      </c>
      <c r="L721" s="1" t="s">
        <v>44</v>
      </c>
      <c r="M721" s="1" t="s">
        <v>45</v>
      </c>
      <c r="N721" s="1" t="s">
        <v>67</v>
      </c>
      <c r="O721" s="1" t="s">
        <v>68</v>
      </c>
      <c r="P721" s="1" t="s">
        <v>69</v>
      </c>
      <c r="Q721" s="1" t="s">
        <v>70</v>
      </c>
      <c r="R721" s="1" t="s">
        <v>50</v>
      </c>
      <c r="S721" s="1">
        <v>318</v>
      </c>
      <c r="T721" s="1">
        <v>0</v>
      </c>
      <c r="U721" s="13">
        <v>4.027777777777778E-2</v>
      </c>
      <c r="V721" s="11">
        <v>1510</v>
      </c>
      <c r="W721" s="11">
        <v>-10</v>
      </c>
      <c r="X721" s="8">
        <v>1500</v>
      </c>
      <c r="Y721" s="1" t="s">
        <v>51</v>
      </c>
      <c r="Z721" s="11">
        <v>790</v>
      </c>
      <c r="AA721" s="11">
        <v>710</v>
      </c>
      <c r="AB721" s="1">
        <v>0</v>
      </c>
      <c r="AC721" s="1">
        <v>0</v>
      </c>
      <c r="AD721" s="1">
        <v>0</v>
      </c>
      <c r="AE721" s="1">
        <v>0</v>
      </c>
      <c r="AF721" s="1"/>
      <c r="AG721" s="1">
        <v>0</v>
      </c>
      <c r="AH721" s="1">
        <v>0</v>
      </c>
      <c r="AI721" s="1">
        <v>0</v>
      </c>
      <c r="AJ721" s="1">
        <v>0</v>
      </c>
      <c r="AK721" s="1">
        <v>2.2435999999999998</v>
      </c>
      <c r="AL721" s="1">
        <v>2.2435999999999998</v>
      </c>
      <c r="AM721" s="1">
        <v>2.2435999999999998</v>
      </c>
    </row>
    <row r="722" spans="1:39" x14ac:dyDescent="0.3">
      <c r="A722" s="21" t="str">
        <f t="shared" si="11"/>
        <v>HFA852LCPH2026-01-07</v>
      </c>
      <c r="B722" t="str">
        <f>VLOOKUP(A722,Sheet1!A722:B2064,1,FALSE)</f>
        <v>HFA852LCPH2026-01-07</v>
      </c>
      <c r="C722" s="3">
        <v>46029</v>
      </c>
      <c r="D722" s="1" t="s">
        <v>71</v>
      </c>
      <c r="E722" s="1" t="s">
        <v>38</v>
      </c>
      <c r="F722" s="1"/>
      <c r="G722" s="1" t="s">
        <v>39</v>
      </c>
      <c r="H722" s="1" t="s">
        <v>222</v>
      </c>
      <c r="I722" s="1" t="s">
        <v>67</v>
      </c>
      <c r="J722" s="1" t="s">
        <v>68</v>
      </c>
      <c r="K722" s="1" t="s">
        <v>69</v>
      </c>
      <c r="L722" s="1" t="s">
        <v>70</v>
      </c>
      <c r="M722" s="1" t="s">
        <v>50</v>
      </c>
      <c r="N722" s="1" t="s">
        <v>41</v>
      </c>
      <c r="O722" s="1" t="s">
        <v>42</v>
      </c>
      <c r="P722" s="1" t="s">
        <v>43</v>
      </c>
      <c r="Q722" s="1" t="s">
        <v>44</v>
      </c>
      <c r="R722" s="1" t="s">
        <v>45</v>
      </c>
      <c r="S722" s="1">
        <v>318</v>
      </c>
      <c r="T722" s="1">
        <v>0</v>
      </c>
      <c r="U722" s="13">
        <v>4.027777777777778E-2</v>
      </c>
      <c r="V722" s="11">
        <v>790</v>
      </c>
      <c r="W722" s="11">
        <v>1410</v>
      </c>
      <c r="X722" s="8">
        <v>2200</v>
      </c>
      <c r="Y722" s="1" t="s">
        <v>51</v>
      </c>
      <c r="Z722" s="11">
        <v>1620</v>
      </c>
      <c r="AA722" s="11">
        <v>580</v>
      </c>
      <c r="AB722" s="1">
        <v>0</v>
      </c>
      <c r="AC722" s="1">
        <v>0</v>
      </c>
      <c r="AD722" s="1">
        <v>0</v>
      </c>
      <c r="AE722" s="1">
        <v>0</v>
      </c>
      <c r="AF722" s="1"/>
      <c r="AG722" s="1">
        <v>0</v>
      </c>
      <c r="AH722" s="1">
        <v>0</v>
      </c>
      <c r="AI722" s="1">
        <v>0</v>
      </c>
      <c r="AJ722" s="1">
        <v>0</v>
      </c>
      <c r="AK722" s="1">
        <v>1.8328</v>
      </c>
      <c r="AL722" s="1">
        <v>1.8328</v>
      </c>
      <c r="AM722" s="1">
        <v>1.8328</v>
      </c>
    </row>
    <row r="723" spans="1:39" x14ac:dyDescent="0.3">
      <c r="A723" s="21" t="str">
        <f t="shared" si="11"/>
        <v>HFA851LLHA2026-01-08</v>
      </c>
      <c r="B723" t="str">
        <f>VLOOKUP(A723,Sheet1!A723:B2065,1,FALSE)</f>
        <v>HFA851LLHA2026-01-08</v>
      </c>
      <c r="C723" s="3">
        <v>46030</v>
      </c>
      <c r="D723" s="1" t="s">
        <v>66</v>
      </c>
      <c r="E723" s="1" t="s">
        <v>38</v>
      </c>
      <c r="F723" s="1"/>
      <c r="G723" s="1" t="s">
        <v>39</v>
      </c>
      <c r="H723" s="1" t="s">
        <v>222</v>
      </c>
      <c r="I723" s="1" t="s">
        <v>41</v>
      </c>
      <c r="J723" s="1" t="s">
        <v>42</v>
      </c>
      <c r="K723" s="1" t="s">
        <v>43</v>
      </c>
      <c r="L723" s="1" t="s">
        <v>44</v>
      </c>
      <c r="M723" s="1" t="s">
        <v>45</v>
      </c>
      <c r="N723" s="1" t="s">
        <v>67</v>
      </c>
      <c r="O723" s="1" t="s">
        <v>68</v>
      </c>
      <c r="P723" s="1" t="s">
        <v>69</v>
      </c>
      <c r="Q723" s="1" t="s">
        <v>70</v>
      </c>
      <c r="R723" s="1" t="s">
        <v>50</v>
      </c>
      <c r="S723" s="1">
        <v>318</v>
      </c>
      <c r="T723" s="1">
        <v>0</v>
      </c>
      <c r="U723" s="13">
        <v>4.2361111111111106E-2</v>
      </c>
      <c r="V723" s="11">
        <v>1620</v>
      </c>
      <c r="W723" s="11">
        <v>-40</v>
      </c>
      <c r="X723" s="8">
        <v>1580</v>
      </c>
      <c r="Y723" s="1" t="s">
        <v>51</v>
      </c>
      <c r="Z723" s="11">
        <v>890</v>
      </c>
      <c r="AA723" s="11">
        <v>690</v>
      </c>
      <c r="AB723" s="1">
        <v>0</v>
      </c>
      <c r="AC723" s="1">
        <v>0</v>
      </c>
      <c r="AD723" s="1">
        <v>0</v>
      </c>
      <c r="AE723" s="1">
        <v>0</v>
      </c>
      <c r="AF723" s="1"/>
      <c r="AG723" s="1">
        <v>0</v>
      </c>
      <c r="AH723" s="1">
        <v>0</v>
      </c>
      <c r="AI723" s="1">
        <v>0</v>
      </c>
      <c r="AJ723" s="1">
        <v>0</v>
      </c>
      <c r="AK723" s="1">
        <v>2.1804000000000001</v>
      </c>
      <c r="AL723" s="1">
        <v>2.1804000000000001</v>
      </c>
      <c r="AM723" s="1">
        <v>2.1804000000000001</v>
      </c>
    </row>
    <row r="724" spans="1:39" x14ac:dyDescent="0.3">
      <c r="A724" s="21" t="str">
        <f t="shared" si="11"/>
        <v>HFA852LCPH2026-01-08</v>
      </c>
      <c r="B724" t="str">
        <f>VLOOKUP(A724,Sheet1!A724:B2066,1,FALSE)</f>
        <v>HFA852LCPH2026-01-08</v>
      </c>
      <c r="C724" s="3">
        <v>46030</v>
      </c>
      <c r="D724" s="1" t="s">
        <v>71</v>
      </c>
      <c r="E724" s="1" t="s">
        <v>38</v>
      </c>
      <c r="F724" s="1"/>
      <c r="G724" s="1" t="s">
        <v>39</v>
      </c>
      <c r="H724" s="1" t="s">
        <v>222</v>
      </c>
      <c r="I724" s="1" t="s">
        <v>67</v>
      </c>
      <c r="J724" s="1" t="s">
        <v>68</v>
      </c>
      <c r="K724" s="1" t="s">
        <v>69</v>
      </c>
      <c r="L724" s="1" t="s">
        <v>70</v>
      </c>
      <c r="M724" s="1" t="s">
        <v>50</v>
      </c>
      <c r="N724" s="1" t="s">
        <v>41</v>
      </c>
      <c r="O724" s="1" t="s">
        <v>42</v>
      </c>
      <c r="P724" s="1" t="s">
        <v>43</v>
      </c>
      <c r="Q724" s="1" t="s">
        <v>44</v>
      </c>
      <c r="R724" s="1" t="s">
        <v>45</v>
      </c>
      <c r="S724" s="1">
        <v>318</v>
      </c>
      <c r="T724" s="1">
        <v>0</v>
      </c>
      <c r="U724" s="13">
        <v>4.583333333333333E-2</v>
      </c>
      <c r="V724" s="11">
        <v>890</v>
      </c>
      <c r="W724" s="11">
        <v>1210</v>
      </c>
      <c r="X724" s="8">
        <v>2100</v>
      </c>
      <c r="Y724" s="1" t="s">
        <v>51</v>
      </c>
      <c r="Z724" s="11">
        <v>1400</v>
      </c>
      <c r="AA724" s="11">
        <v>700</v>
      </c>
      <c r="AB724" s="1">
        <v>0</v>
      </c>
      <c r="AC724" s="1">
        <v>0</v>
      </c>
      <c r="AD724" s="1">
        <v>0</v>
      </c>
      <c r="AE724" s="1">
        <v>0</v>
      </c>
      <c r="AF724" s="1"/>
      <c r="AG724" s="1">
        <v>0</v>
      </c>
      <c r="AH724" s="1">
        <v>0</v>
      </c>
      <c r="AI724" s="1">
        <v>0</v>
      </c>
      <c r="AJ724" s="1">
        <v>0</v>
      </c>
      <c r="AK724" s="1">
        <v>2.2120000000000002</v>
      </c>
      <c r="AL724" s="1">
        <v>2.2120000000000002</v>
      </c>
      <c r="AM724" s="1">
        <v>2.2120000000000002</v>
      </c>
    </row>
    <row r="725" spans="1:39" x14ac:dyDescent="0.3">
      <c r="A725" s="21" t="str">
        <f t="shared" si="11"/>
        <v>HFA805LLHA2026-01-08</v>
      </c>
      <c r="B725" t="str">
        <f>VLOOKUP(A725,Sheet1!A725:B2067,1,FALSE)</f>
        <v>HFA805LLHA2026-01-08</v>
      </c>
      <c r="C725" s="3">
        <v>46030</v>
      </c>
      <c r="D725" s="1" t="s">
        <v>114</v>
      </c>
      <c r="E725" s="1" t="s">
        <v>38</v>
      </c>
      <c r="F725" s="1"/>
      <c r="G725" s="1" t="s">
        <v>39</v>
      </c>
      <c r="H725" s="1" t="s">
        <v>222</v>
      </c>
      <c r="I725" s="1" t="s">
        <v>41</v>
      </c>
      <c r="J725" s="1" t="s">
        <v>42</v>
      </c>
      <c r="K725" s="1" t="s">
        <v>43</v>
      </c>
      <c r="L725" s="1" t="s">
        <v>44</v>
      </c>
      <c r="M725" s="1" t="s">
        <v>45</v>
      </c>
      <c r="N725" s="1" t="s">
        <v>67</v>
      </c>
      <c r="O725" s="1" t="s">
        <v>86</v>
      </c>
      <c r="P725" s="1" t="s">
        <v>87</v>
      </c>
      <c r="Q725" s="1" t="s">
        <v>88</v>
      </c>
      <c r="R725" s="1" t="s">
        <v>50</v>
      </c>
      <c r="S725" s="1">
        <v>264</v>
      </c>
      <c r="T725" s="1">
        <v>0</v>
      </c>
      <c r="U725" s="13">
        <v>3.4027777777777775E-2</v>
      </c>
      <c r="V725" s="11">
        <v>1400</v>
      </c>
      <c r="W725" s="11">
        <v>-10</v>
      </c>
      <c r="X725" s="8">
        <v>1390</v>
      </c>
      <c r="Y725" s="1" t="s">
        <v>51</v>
      </c>
      <c r="Z725" s="11">
        <v>860</v>
      </c>
      <c r="AA725" s="11">
        <v>530</v>
      </c>
      <c r="AB725" s="1">
        <v>0</v>
      </c>
      <c r="AC725" s="1">
        <v>0</v>
      </c>
      <c r="AD725" s="1">
        <v>0</v>
      </c>
      <c r="AE725" s="1">
        <v>0</v>
      </c>
      <c r="AF725" s="1"/>
      <c r="AG725" s="1">
        <v>0</v>
      </c>
      <c r="AH725" s="1">
        <v>0</v>
      </c>
      <c r="AI725" s="1">
        <v>0</v>
      </c>
      <c r="AJ725" s="1">
        <v>0</v>
      </c>
      <c r="AK725" s="1">
        <v>1.6748000000000001</v>
      </c>
      <c r="AL725" s="1">
        <v>1.6748000000000001</v>
      </c>
      <c r="AM725" s="1">
        <v>1.6748000000000001</v>
      </c>
    </row>
    <row r="726" spans="1:39" x14ac:dyDescent="0.3">
      <c r="A726" s="21" t="str">
        <f t="shared" si="11"/>
        <v>HFA806LCLK2026-01-08</v>
      </c>
      <c r="B726" t="str">
        <f>VLOOKUP(A726,Sheet1!A726:B2068,1,FALSE)</f>
        <v>HFA806LCLK2026-01-08</v>
      </c>
      <c r="C726" s="3">
        <v>46030</v>
      </c>
      <c r="D726" s="1" t="s">
        <v>115</v>
      </c>
      <c r="E726" s="1" t="s">
        <v>38</v>
      </c>
      <c r="F726" s="1"/>
      <c r="G726" s="1" t="s">
        <v>39</v>
      </c>
      <c r="H726" s="1" t="s">
        <v>222</v>
      </c>
      <c r="I726" s="1" t="s">
        <v>67</v>
      </c>
      <c r="J726" s="1" t="s">
        <v>86</v>
      </c>
      <c r="K726" s="1" t="s">
        <v>87</v>
      </c>
      <c r="L726" s="1" t="s">
        <v>88</v>
      </c>
      <c r="M726" s="1" t="s">
        <v>50</v>
      </c>
      <c r="N726" s="1" t="s">
        <v>41</v>
      </c>
      <c r="O726" s="1" t="s">
        <v>42</v>
      </c>
      <c r="P726" s="1" t="s">
        <v>43</v>
      </c>
      <c r="Q726" s="1" t="s">
        <v>44</v>
      </c>
      <c r="R726" s="1" t="s">
        <v>45</v>
      </c>
      <c r="S726" s="1">
        <v>264</v>
      </c>
      <c r="T726" s="1">
        <v>0</v>
      </c>
      <c r="U726" s="13">
        <v>3.6805555555555557E-2</v>
      </c>
      <c r="V726" s="11">
        <v>860</v>
      </c>
      <c r="W726" s="11">
        <v>1140</v>
      </c>
      <c r="X726" s="8">
        <v>2000</v>
      </c>
      <c r="Y726" s="1" t="s">
        <v>51</v>
      </c>
      <c r="Z726" s="11">
        <v>1420</v>
      </c>
      <c r="AA726" s="11">
        <v>580</v>
      </c>
      <c r="AB726" s="1">
        <v>0</v>
      </c>
      <c r="AC726" s="1">
        <v>0</v>
      </c>
      <c r="AD726" s="1">
        <v>0</v>
      </c>
      <c r="AE726" s="1">
        <v>0</v>
      </c>
      <c r="AF726" s="1"/>
      <c r="AG726" s="1">
        <v>0</v>
      </c>
      <c r="AH726" s="1">
        <v>0</v>
      </c>
      <c r="AI726" s="1">
        <v>0</v>
      </c>
      <c r="AJ726" s="1">
        <v>0</v>
      </c>
      <c r="AK726" s="1">
        <v>1.8328</v>
      </c>
      <c r="AL726" s="1">
        <v>1.8328</v>
      </c>
      <c r="AM726" s="1">
        <v>1.8328</v>
      </c>
    </row>
    <row r="727" spans="1:39" x14ac:dyDescent="0.3">
      <c r="A727" s="21" t="str">
        <f t="shared" si="11"/>
        <v>HFA807LLHA2026-01-08</v>
      </c>
      <c r="B727" t="str">
        <f>VLOOKUP(A727,Sheet1!A727:B2069,1,FALSE)</f>
        <v>HFA807LLHA2026-01-08</v>
      </c>
      <c r="C727" s="3">
        <v>46030</v>
      </c>
      <c r="D727" s="1" t="s">
        <v>118</v>
      </c>
      <c r="E727" s="1" t="s">
        <v>38</v>
      </c>
      <c r="F727" s="1"/>
      <c r="G727" s="1" t="s">
        <v>39</v>
      </c>
      <c r="H727" s="1" t="s">
        <v>222</v>
      </c>
      <c r="I727" s="1" t="s">
        <v>41</v>
      </c>
      <c r="J727" s="1" t="s">
        <v>42</v>
      </c>
      <c r="K727" s="1" t="s">
        <v>43</v>
      </c>
      <c r="L727" s="1" t="s">
        <v>44</v>
      </c>
      <c r="M727" s="1" t="s">
        <v>45</v>
      </c>
      <c r="N727" s="1" t="s">
        <v>67</v>
      </c>
      <c r="O727" s="1" t="s">
        <v>86</v>
      </c>
      <c r="P727" s="1" t="s">
        <v>87</v>
      </c>
      <c r="Q727" s="1" t="s">
        <v>88</v>
      </c>
      <c r="R727" s="1" t="s">
        <v>50</v>
      </c>
      <c r="S727" s="1">
        <v>264</v>
      </c>
      <c r="T727" s="1">
        <v>0</v>
      </c>
      <c r="U727" s="13">
        <v>3.4722222222222224E-2</v>
      </c>
      <c r="V727" s="11">
        <v>1420</v>
      </c>
      <c r="W727" s="11">
        <v>20</v>
      </c>
      <c r="X727" s="8">
        <v>1440</v>
      </c>
      <c r="Y727" s="1" t="s">
        <v>51</v>
      </c>
      <c r="Z727" s="11">
        <v>870</v>
      </c>
      <c r="AA727" s="11">
        <v>570</v>
      </c>
      <c r="AB727" s="1">
        <v>0</v>
      </c>
      <c r="AC727" s="1">
        <v>0</v>
      </c>
      <c r="AD727" s="1">
        <v>0</v>
      </c>
      <c r="AE727" s="1">
        <v>0</v>
      </c>
      <c r="AF727" s="1"/>
      <c r="AG727" s="1">
        <v>0</v>
      </c>
      <c r="AH727" s="1">
        <v>0</v>
      </c>
      <c r="AI727" s="1">
        <v>0</v>
      </c>
      <c r="AJ727" s="1">
        <v>0</v>
      </c>
      <c r="AK727" s="1">
        <v>1.8011999999999999</v>
      </c>
      <c r="AL727" s="1">
        <v>1.8011999999999999</v>
      </c>
      <c r="AM727" s="1">
        <v>1.8011999999999999</v>
      </c>
    </row>
    <row r="728" spans="1:39" x14ac:dyDescent="0.3">
      <c r="A728" s="21" t="str">
        <f t="shared" si="11"/>
        <v>HFA808LCLK2026-01-08</v>
      </c>
      <c r="B728" t="str">
        <f>VLOOKUP(A728,Sheet1!A728:B2070,1,FALSE)</f>
        <v>HFA808LCLK2026-01-08</v>
      </c>
      <c r="C728" s="3">
        <v>46030</v>
      </c>
      <c r="D728" s="1" t="s">
        <v>119</v>
      </c>
      <c r="E728" s="1" t="s">
        <v>38</v>
      </c>
      <c r="F728" s="1"/>
      <c r="G728" s="1" t="s">
        <v>39</v>
      </c>
      <c r="H728" s="1" t="s">
        <v>222</v>
      </c>
      <c r="I728" s="1" t="s">
        <v>67</v>
      </c>
      <c r="J728" s="1" t="s">
        <v>86</v>
      </c>
      <c r="K728" s="1" t="s">
        <v>87</v>
      </c>
      <c r="L728" s="1" t="s">
        <v>88</v>
      </c>
      <c r="M728" s="1" t="s">
        <v>50</v>
      </c>
      <c r="N728" s="1" t="s">
        <v>41</v>
      </c>
      <c r="O728" s="1" t="s">
        <v>42</v>
      </c>
      <c r="P728" s="1" t="s">
        <v>43</v>
      </c>
      <c r="Q728" s="1" t="s">
        <v>44</v>
      </c>
      <c r="R728" s="1" t="s">
        <v>45</v>
      </c>
      <c r="S728" s="1">
        <v>264</v>
      </c>
      <c r="T728" s="1">
        <v>0</v>
      </c>
      <c r="U728" s="13">
        <v>3.888888888888889E-2</v>
      </c>
      <c r="V728" s="11">
        <v>870</v>
      </c>
      <c r="W728" s="11">
        <v>1730</v>
      </c>
      <c r="X728" s="8">
        <v>2600</v>
      </c>
      <c r="Y728" s="1" t="s">
        <v>51</v>
      </c>
      <c r="Z728" s="11">
        <v>2100</v>
      </c>
      <c r="AA728" s="11">
        <v>500</v>
      </c>
      <c r="AB728" s="1">
        <v>0</v>
      </c>
      <c r="AC728" s="1">
        <v>0</v>
      </c>
      <c r="AD728" s="1">
        <v>0</v>
      </c>
      <c r="AE728" s="1">
        <v>0</v>
      </c>
      <c r="AF728" s="1"/>
      <c r="AG728" s="1">
        <v>0</v>
      </c>
      <c r="AH728" s="1">
        <v>0</v>
      </c>
      <c r="AI728" s="1">
        <v>0</v>
      </c>
      <c r="AJ728" s="1">
        <v>0</v>
      </c>
      <c r="AK728" s="1">
        <v>1.58</v>
      </c>
      <c r="AL728" s="1">
        <v>1.58</v>
      </c>
      <c r="AM728" s="1">
        <v>1.58</v>
      </c>
    </row>
    <row r="729" spans="1:39" x14ac:dyDescent="0.3">
      <c r="A729" s="21" t="str">
        <f t="shared" si="11"/>
        <v>HFA601LLHA2026-01-09</v>
      </c>
      <c r="B729" t="e">
        <f>VLOOKUP(A729,Sheet1!A729:B2071,1,FALSE)</f>
        <v>#N/A</v>
      </c>
      <c r="C729" s="3">
        <v>46031</v>
      </c>
      <c r="D729" s="1" t="s">
        <v>57</v>
      </c>
      <c r="E729" s="1" t="s">
        <v>38</v>
      </c>
      <c r="F729" s="1" t="s">
        <v>54</v>
      </c>
      <c r="G729" s="1" t="s">
        <v>39</v>
      </c>
      <c r="H729" s="1" t="s">
        <v>222</v>
      </c>
      <c r="I729" s="1" t="s">
        <v>41</v>
      </c>
      <c r="J729" s="1" t="s">
        <v>42</v>
      </c>
      <c r="K729" s="1" t="s">
        <v>43</v>
      </c>
      <c r="L729" s="1" t="s">
        <v>44</v>
      </c>
      <c r="M729" s="1" t="s">
        <v>45</v>
      </c>
      <c r="N729" s="1" t="s">
        <v>41</v>
      </c>
      <c r="O729" s="1" t="s">
        <v>58</v>
      </c>
      <c r="P729" s="1" t="s">
        <v>59</v>
      </c>
      <c r="Q729" s="1" t="s">
        <v>60</v>
      </c>
      <c r="R729" s="1" t="s">
        <v>45</v>
      </c>
      <c r="S729" s="1">
        <v>342</v>
      </c>
      <c r="T729" s="1">
        <v>0</v>
      </c>
      <c r="U729" s="13">
        <v>4.7916666666666663E-2</v>
      </c>
      <c r="V729" s="11">
        <v>2100</v>
      </c>
      <c r="W729" s="11">
        <v>-50</v>
      </c>
      <c r="X729" s="8">
        <v>2050</v>
      </c>
      <c r="Y729" s="1" t="s">
        <v>51</v>
      </c>
      <c r="Z729" s="11">
        <v>1360</v>
      </c>
      <c r="AA729" s="11">
        <v>690</v>
      </c>
      <c r="AB729" s="1">
        <v>0</v>
      </c>
      <c r="AC729" s="1">
        <v>0</v>
      </c>
      <c r="AD729" s="1">
        <v>0</v>
      </c>
      <c r="AE729" s="1">
        <v>0</v>
      </c>
      <c r="AF729" s="1"/>
      <c r="AG729" s="1">
        <v>0</v>
      </c>
      <c r="AH729" s="1">
        <v>0</v>
      </c>
      <c r="AI729" s="1">
        <v>0</v>
      </c>
      <c r="AJ729" s="1">
        <v>0</v>
      </c>
      <c r="AK729" s="1">
        <v>2.1804000000000001</v>
      </c>
      <c r="AL729" s="1">
        <v>2.1804000000000001</v>
      </c>
      <c r="AM729" s="1">
        <v>2.1804000000000001</v>
      </c>
    </row>
    <row r="730" spans="1:39" x14ac:dyDescent="0.3">
      <c r="A730" s="21" t="str">
        <f t="shared" si="11"/>
        <v>HFA602LLER2026-01-09</v>
      </c>
      <c r="B730" t="e">
        <f>VLOOKUP(A730,Sheet1!A730:B2072,1,FALSE)</f>
        <v>#N/A</v>
      </c>
      <c r="C730" s="3">
        <v>46031</v>
      </c>
      <c r="D730" s="1" t="s">
        <v>61</v>
      </c>
      <c r="E730" s="1" t="s">
        <v>38</v>
      </c>
      <c r="F730" s="1" t="s">
        <v>54</v>
      </c>
      <c r="G730" s="1" t="s">
        <v>39</v>
      </c>
      <c r="H730" s="1" t="s">
        <v>222</v>
      </c>
      <c r="I730" s="1" t="s">
        <v>41</v>
      </c>
      <c r="J730" s="1" t="s">
        <v>58</v>
      </c>
      <c r="K730" s="1" t="s">
        <v>59</v>
      </c>
      <c r="L730" s="1" t="s">
        <v>60</v>
      </c>
      <c r="M730" s="1" t="s">
        <v>45</v>
      </c>
      <c r="N730" s="1" t="s">
        <v>41</v>
      </c>
      <c r="O730" s="1" t="s">
        <v>42</v>
      </c>
      <c r="P730" s="1" t="s">
        <v>43</v>
      </c>
      <c r="Q730" s="1" t="s">
        <v>44</v>
      </c>
      <c r="R730" s="1" t="s">
        <v>45</v>
      </c>
      <c r="S730" s="1">
        <v>342</v>
      </c>
      <c r="T730" s="1">
        <v>0</v>
      </c>
      <c r="U730" s="13">
        <v>4.027777777777778E-2</v>
      </c>
      <c r="V730" s="11">
        <v>1360</v>
      </c>
      <c r="W730" s="11">
        <v>1040</v>
      </c>
      <c r="X730" s="8">
        <v>2400</v>
      </c>
      <c r="Y730" s="1" t="s">
        <v>51</v>
      </c>
      <c r="Z730" s="11">
        <v>1820</v>
      </c>
      <c r="AA730" s="11">
        <v>580</v>
      </c>
      <c r="AB730" s="1">
        <v>0</v>
      </c>
      <c r="AC730" s="1">
        <v>0</v>
      </c>
      <c r="AD730" s="1">
        <v>0</v>
      </c>
      <c r="AE730" s="1">
        <v>0</v>
      </c>
      <c r="AF730" s="1"/>
      <c r="AG730" s="1">
        <v>0</v>
      </c>
      <c r="AH730" s="1">
        <v>0</v>
      </c>
      <c r="AI730" s="1">
        <v>0</v>
      </c>
      <c r="AJ730" s="1">
        <v>0</v>
      </c>
      <c r="AK730" s="1">
        <v>1.8328</v>
      </c>
      <c r="AL730" s="1">
        <v>1.8328</v>
      </c>
      <c r="AM730" s="1">
        <v>1.8328</v>
      </c>
    </row>
    <row r="731" spans="1:39" x14ac:dyDescent="0.3">
      <c r="A731" s="21" t="str">
        <f t="shared" si="11"/>
        <v>HFA853LLHA2026-01-10</v>
      </c>
      <c r="B731" t="str">
        <f>VLOOKUP(A731,Sheet1!A731:B2073,1,FALSE)</f>
        <v>HFA853LLHA2026-01-10</v>
      </c>
      <c r="C731" s="3">
        <v>46032</v>
      </c>
      <c r="D731" s="1" t="s">
        <v>223</v>
      </c>
      <c r="E731" s="1" t="s">
        <v>38</v>
      </c>
      <c r="F731" s="1"/>
      <c r="G731" s="1" t="s">
        <v>39</v>
      </c>
      <c r="H731" s="1" t="s">
        <v>222</v>
      </c>
      <c r="I731" s="1" t="s">
        <v>41</v>
      </c>
      <c r="J731" s="1" t="s">
        <v>42</v>
      </c>
      <c r="K731" s="1" t="s">
        <v>43</v>
      </c>
      <c r="L731" s="1" t="s">
        <v>44</v>
      </c>
      <c r="M731" s="1" t="s">
        <v>45</v>
      </c>
      <c r="N731" s="1" t="s">
        <v>67</v>
      </c>
      <c r="O731" s="1" t="s">
        <v>68</v>
      </c>
      <c r="P731" s="1" t="s">
        <v>69</v>
      </c>
      <c r="Q731" s="1" t="s">
        <v>70</v>
      </c>
      <c r="R731" s="1" t="s">
        <v>50</v>
      </c>
      <c r="S731" s="1">
        <v>318</v>
      </c>
      <c r="T731" s="1">
        <v>0</v>
      </c>
      <c r="U731" s="13">
        <v>4.0972222222222222E-2</v>
      </c>
      <c r="V731" s="11">
        <v>1820</v>
      </c>
      <c r="W731" s="11">
        <v>-10</v>
      </c>
      <c r="X731" s="8">
        <v>1810</v>
      </c>
      <c r="Y731" s="1" t="s">
        <v>51</v>
      </c>
      <c r="Z731" s="11">
        <v>1200</v>
      </c>
      <c r="AA731" s="11">
        <v>610</v>
      </c>
      <c r="AB731" s="1">
        <v>0</v>
      </c>
      <c r="AC731" s="1">
        <v>0</v>
      </c>
      <c r="AD731" s="1">
        <v>0</v>
      </c>
      <c r="AE731" s="1">
        <v>0</v>
      </c>
      <c r="AF731" s="1"/>
      <c r="AG731" s="1">
        <v>0</v>
      </c>
      <c r="AH731" s="1">
        <v>0</v>
      </c>
      <c r="AI731" s="1">
        <v>0</v>
      </c>
      <c r="AJ731" s="1">
        <v>0</v>
      </c>
      <c r="AK731" s="1">
        <v>1.9276</v>
      </c>
      <c r="AL731" s="1">
        <v>1.9276</v>
      </c>
      <c r="AM731" s="1">
        <v>1.9276</v>
      </c>
    </row>
    <row r="732" spans="1:39" x14ac:dyDescent="0.3">
      <c r="A732" s="21" t="str">
        <f t="shared" si="11"/>
        <v>HFA854LCPH2026-01-10</v>
      </c>
      <c r="B732" t="str">
        <f>VLOOKUP(A732,Sheet1!A732:B2074,1,FALSE)</f>
        <v>HFA854LCPH2026-01-10</v>
      </c>
      <c r="C732" s="3">
        <v>46032</v>
      </c>
      <c r="D732" s="1" t="s">
        <v>224</v>
      </c>
      <c r="E732" s="1" t="s">
        <v>38</v>
      </c>
      <c r="F732" s="1"/>
      <c r="G732" s="1" t="s">
        <v>39</v>
      </c>
      <c r="H732" s="1" t="s">
        <v>222</v>
      </c>
      <c r="I732" s="1" t="s">
        <v>67</v>
      </c>
      <c r="J732" s="1" t="s">
        <v>68</v>
      </c>
      <c r="K732" s="1" t="s">
        <v>69</v>
      </c>
      <c r="L732" s="1" t="s">
        <v>70</v>
      </c>
      <c r="M732" s="1" t="s">
        <v>50</v>
      </c>
      <c r="N732" s="1" t="s">
        <v>41</v>
      </c>
      <c r="O732" s="1" t="s">
        <v>42</v>
      </c>
      <c r="P732" s="1" t="s">
        <v>43</v>
      </c>
      <c r="Q732" s="1" t="s">
        <v>44</v>
      </c>
      <c r="R732" s="1" t="s">
        <v>45</v>
      </c>
      <c r="S732" s="1">
        <v>318</v>
      </c>
      <c r="T732" s="1">
        <v>0</v>
      </c>
      <c r="U732" s="13">
        <v>4.4444444444444439E-2</v>
      </c>
      <c r="V732" s="11">
        <v>1200</v>
      </c>
      <c r="W732" s="11">
        <v>1200</v>
      </c>
      <c r="X732" s="8">
        <v>2400</v>
      </c>
      <c r="Y732" s="1" t="s">
        <v>51</v>
      </c>
      <c r="Z732" s="11">
        <v>1810</v>
      </c>
      <c r="AA732" s="11">
        <v>590</v>
      </c>
      <c r="AB732" s="1">
        <v>0</v>
      </c>
      <c r="AC732" s="1">
        <v>0</v>
      </c>
      <c r="AD732" s="1">
        <v>0</v>
      </c>
      <c r="AE732" s="1">
        <v>0</v>
      </c>
      <c r="AF732" s="1"/>
      <c r="AG732" s="1">
        <v>0</v>
      </c>
      <c r="AH732" s="1">
        <v>0</v>
      </c>
      <c r="AI732" s="1">
        <v>0</v>
      </c>
      <c r="AJ732" s="1">
        <v>0</v>
      </c>
      <c r="AK732" s="1">
        <v>1.8644000000000001</v>
      </c>
      <c r="AL732" s="1">
        <v>1.8644000000000001</v>
      </c>
      <c r="AM732" s="1">
        <v>1.8644000000000001</v>
      </c>
    </row>
    <row r="733" spans="1:39" x14ac:dyDescent="0.3">
      <c r="A733" s="21" t="str">
        <f t="shared" si="11"/>
        <v>HFA603LLHA2026-01-10</v>
      </c>
      <c r="B733" t="e">
        <f>VLOOKUP(A733,Sheet1!A733:B2075,1,FALSE)</f>
        <v>#N/A</v>
      </c>
      <c r="C733" s="3">
        <v>46032</v>
      </c>
      <c r="D733" s="1" t="s">
        <v>72</v>
      </c>
      <c r="E733" s="1" t="s">
        <v>38</v>
      </c>
      <c r="F733" s="1" t="s">
        <v>54</v>
      </c>
      <c r="G733" s="1" t="s">
        <v>39</v>
      </c>
      <c r="H733" s="1" t="s">
        <v>222</v>
      </c>
      <c r="I733" s="1" t="s">
        <v>41</v>
      </c>
      <c r="J733" s="1" t="s">
        <v>42</v>
      </c>
      <c r="K733" s="1" t="s">
        <v>43</v>
      </c>
      <c r="L733" s="1" t="s">
        <v>44</v>
      </c>
      <c r="M733" s="1" t="s">
        <v>45</v>
      </c>
      <c r="N733" s="1" t="s">
        <v>41</v>
      </c>
      <c r="O733" s="1" t="s">
        <v>58</v>
      </c>
      <c r="P733" s="1" t="s">
        <v>59</v>
      </c>
      <c r="Q733" s="1" t="s">
        <v>60</v>
      </c>
      <c r="R733" s="1" t="s">
        <v>45</v>
      </c>
      <c r="S733" s="1">
        <v>342</v>
      </c>
      <c r="T733" s="1">
        <v>0</v>
      </c>
      <c r="U733" s="13">
        <v>4.5138888888888888E-2</v>
      </c>
      <c r="V733" s="11">
        <v>1810</v>
      </c>
      <c r="W733" s="11">
        <v>0</v>
      </c>
      <c r="X733" s="8">
        <v>1810</v>
      </c>
      <c r="Y733" s="1" t="s">
        <v>51</v>
      </c>
      <c r="Z733" s="11">
        <v>1080</v>
      </c>
      <c r="AA733" s="11">
        <v>730</v>
      </c>
      <c r="AB733" s="1">
        <v>0</v>
      </c>
      <c r="AC733" s="1">
        <v>0</v>
      </c>
      <c r="AD733" s="1">
        <v>0</v>
      </c>
      <c r="AE733" s="1">
        <v>0</v>
      </c>
      <c r="AF733" s="1"/>
      <c r="AG733" s="1">
        <v>0</v>
      </c>
      <c r="AH733" s="1">
        <v>0</v>
      </c>
      <c r="AI733" s="1">
        <v>0</v>
      </c>
      <c r="AJ733" s="1">
        <v>0</v>
      </c>
      <c r="AK733" s="1">
        <v>2.3068</v>
      </c>
      <c r="AL733" s="1">
        <v>2.3068</v>
      </c>
      <c r="AM733" s="1">
        <v>2.3068</v>
      </c>
    </row>
    <row r="734" spans="1:39" x14ac:dyDescent="0.3">
      <c r="A734" s="21" t="str">
        <f t="shared" si="11"/>
        <v>HFA604LLER2026-01-10</v>
      </c>
      <c r="B734" t="e">
        <f>VLOOKUP(A734,Sheet1!A734:B2076,1,FALSE)</f>
        <v>#N/A</v>
      </c>
      <c r="C734" s="3">
        <v>46032</v>
      </c>
      <c r="D734" s="1" t="s">
        <v>73</v>
      </c>
      <c r="E734" s="1" t="s">
        <v>38</v>
      </c>
      <c r="F734" s="1" t="s">
        <v>54</v>
      </c>
      <c r="G734" s="1" t="s">
        <v>39</v>
      </c>
      <c r="H734" s="1" t="s">
        <v>222</v>
      </c>
      <c r="I734" s="1" t="s">
        <v>41</v>
      </c>
      <c r="J734" s="1" t="s">
        <v>58</v>
      </c>
      <c r="K734" s="1" t="s">
        <v>59</v>
      </c>
      <c r="L734" s="1" t="s">
        <v>60</v>
      </c>
      <c r="M734" s="1" t="s">
        <v>45</v>
      </c>
      <c r="N734" s="1" t="s">
        <v>41</v>
      </c>
      <c r="O734" s="1" t="s">
        <v>42</v>
      </c>
      <c r="P734" s="1" t="s">
        <v>43</v>
      </c>
      <c r="Q734" s="1" t="s">
        <v>44</v>
      </c>
      <c r="R734" s="1" t="s">
        <v>45</v>
      </c>
      <c r="S734" s="1">
        <v>342</v>
      </c>
      <c r="T734" s="1">
        <v>0</v>
      </c>
      <c r="U734" s="13">
        <v>4.1666666666666664E-2</v>
      </c>
      <c r="V734" s="11">
        <v>1080</v>
      </c>
      <c r="W734" s="11">
        <v>1120</v>
      </c>
      <c r="X734" s="8">
        <v>2200</v>
      </c>
      <c r="Y734" s="1" t="s">
        <v>51</v>
      </c>
      <c r="Z734" s="11">
        <v>1570</v>
      </c>
      <c r="AA734" s="11">
        <v>630</v>
      </c>
      <c r="AB734" s="1">
        <v>0</v>
      </c>
      <c r="AC734" s="1">
        <v>0</v>
      </c>
      <c r="AD734" s="1">
        <v>0</v>
      </c>
      <c r="AE734" s="1">
        <v>0</v>
      </c>
      <c r="AF734" s="1"/>
      <c r="AG734" s="1">
        <v>0</v>
      </c>
      <c r="AH734" s="1">
        <v>0</v>
      </c>
      <c r="AI734" s="1">
        <v>0</v>
      </c>
      <c r="AJ734" s="1">
        <v>0</v>
      </c>
      <c r="AK734" s="1">
        <v>1.9907999999999999</v>
      </c>
      <c r="AL734" s="1">
        <v>1.9907999999999999</v>
      </c>
      <c r="AM734" s="1">
        <v>1.9907999999999999</v>
      </c>
    </row>
    <row r="735" spans="1:39" x14ac:dyDescent="0.3">
      <c r="A735" s="21" t="str">
        <f t="shared" si="11"/>
        <v>HFA801LLHA2026-01-11</v>
      </c>
      <c r="B735" t="e">
        <f>VLOOKUP(A735,Sheet1!A735:B2077,1,FALSE)</f>
        <v>#N/A</v>
      </c>
      <c r="C735" s="3">
        <v>46033</v>
      </c>
      <c r="D735" s="1" t="s">
        <v>133</v>
      </c>
      <c r="E735" s="1" t="s">
        <v>38</v>
      </c>
      <c r="F735" s="1"/>
      <c r="G735" s="1" t="s">
        <v>39</v>
      </c>
      <c r="H735" s="1" t="s">
        <v>222</v>
      </c>
      <c r="I735" s="1" t="s">
        <v>41</v>
      </c>
      <c r="J735" s="1" t="s">
        <v>42</v>
      </c>
      <c r="K735" s="1" t="s">
        <v>43</v>
      </c>
      <c r="L735" s="1" t="s">
        <v>44</v>
      </c>
      <c r="M735" s="1" t="s">
        <v>45</v>
      </c>
      <c r="N735" s="1" t="s">
        <v>67</v>
      </c>
      <c r="O735" s="1" t="s">
        <v>86</v>
      </c>
      <c r="P735" s="1" t="s">
        <v>87</v>
      </c>
      <c r="Q735" s="1" t="s">
        <v>88</v>
      </c>
      <c r="R735" s="1" t="s">
        <v>50</v>
      </c>
      <c r="S735" s="1">
        <v>264</v>
      </c>
      <c r="T735" s="1">
        <v>0</v>
      </c>
      <c r="U735" s="13">
        <v>3.3333333333333333E-2</v>
      </c>
      <c r="V735" s="11">
        <v>1570</v>
      </c>
      <c r="W735" s="11">
        <v>-30</v>
      </c>
      <c r="X735" s="8">
        <v>1540</v>
      </c>
      <c r="Y735" s="1" t="s">
        <v>51</v>
      </c>
      <c r="Z735" s="11">
        <v>1020</v>
      </c>
      <c r="AA735" s="11">
        <v>520</v>
      </c>
      <c r="AB735" s="1">
        <v>0</v>
      </c>
      <c r="AC735" s="1">
        <v>0</v>
      </c>
      <c r="AD735" s="1">
        <v>0</v>
      </c>
      <c r="AE735" s="1">
        <v>0</v>
      </c>
      <c r="AF735" s="1"/>
      <c r="AG735" s="1">
        <v>0</v>
      </c>
      <c r="AH735" s="1">
        <v>0</v>
      </c>
      <c r="AI735" s="1">
        <v>0</v>
      </c>
      <c r="AJ735" s="1">
        <v>0</v>
      </c>
      <c r="AK735" s="1">
        <v>1.6432</v>
      </c>
      <c r="AL735" s="1">
        <v>1.6432</v>
      </c>
      <c r="AM735" s="1">
        <v>1.6432</v>
      </c>
    </row>
    <row r="736" spans="1:39" x14ac:dyDescent="0.3">
      <c r="A736" s="21" t="str">
        <f t="shared" si="11"/>
        <v>HFA802LCLK2026-01-11</v>
      </c>
      <c r="B736" t="e">
        <f>VLOOKUP(A736,Sheet1!A736:B2078,1,FALSE)</f>
        <v>#N/A</v>
      </c>
      <c r="C736" s="3">
        <v>46033</v>
      </c>
      <c r="D736" s="1" t="s">
        <v>135</v>
      </c>
      <c r="E736" s="1" t="s">
        <v>38</v>
      </c>
      <c r="F736" s="1"/>
      <c r="G736" s="1" t="s">
        <v>39</v>
      </c>
      <c r="H736" s="1" t="s">
        <v>222</v>
      </c>
      <c r="I736" s="1" t="s">
        <v>67</v>
      </c>
      <c r="J736" s="1" t="s">
        <v>86</v>
      </c>
      <c r="K736" s="1" t="s">
        <v>87</v>
      </c>
      <c r="L736" s="1" t="s">
        <v>88</v>
      </c>
      <c r="M736" s="1" t="s">
        <v>50</v>
      </c>
      <c r="N736" s="1" t="s">
        <v>41</v>
      </c>
      <c r="O736" s="1" t="s">
        <v>42</v>
      </c>
      <c r="P736" s="1" t="s">
        <v>43</v>
      </c>
      <c r="Q736" s="1" t="s">
        <v>44</v>
      </c>
      <c r="R736" s="1" t="s">
        <v>45</v>
      </c>
      <c r="S736" s="1">
        <v>264</v>
      </c>
      <c r="T736" s="1">
        <v>0</v>
      </c>
      <c r="U736" s="13">
        <v>4.3749999999999997E-2</v>
      </c>
      <c r="V736" s="11">
        <v>1020</v>
      </c>
      <c r="W736" s="11">
        <v>1380</v>
      </c>
      <c r="X736" s="8">
        <v>2400</v>
      </c>
      <c r="Y736" s="1" t="s">
        <v>51</v>
      </c>
      <c r="Z736" s="11">
        <v>1850</v>
      </c>
      <c r="AA736" s="11">
        <v>550</v>
      </c>
      <c r="AB736" s="1">
        <v>0</v>
      </c>
      <c r="AC736" s="1">
        <v>0</v>
      </c>
      <c r="AD736" s="1">
        <v>0</v>
      </c>
      <c r="AE736" s="1">
        <v>0</v>
      </c>
      <c r="AF736" s="1"/>
      <c r="AG736" s="1">
        <v>0</v>
      </c>
      <c r="AH736" s="1">
        <v>0</v>
      </c>
      <c r="AI736" s="1">
        <v>0</v>
      </c>
      <c r="AJ736" s="1">
        <v>0</v>
      </c>
      <c r="AK736" s="1">
        <v>1.738</v>
      </c>
      <c r="AL736" s="1">
        <v>1.738</v>
      </c>
      <c r="AM736" s="1">
        <v>1.738</v>
      </c>
    </row>
    <row r="737" spans="1:39" x14ac:dyDescent="0.3">
      <c r="A737" s="21" t="str">
        <f t="shared" si="11"/>
        <v>HFA605LLHA2026-01-12</v>
      </c>
      <c r="B737" t="e">
        <f>VLOOKUP(A737,Sheet1!A737:B2079,1,FALSE)</f>
        <v>#N/A</v>
      </c>
      <c r="C737" s="3">
        <v>46034</v>
      </c>
      <c r="D737" s="1" t="s">
        <v>62</v>
      </c>
      <c r="E737" s="1" t="s">
        <v>38</v>
      </c>
      <c r="F737" s="1" t="s">
        <v>54</v>
      </c>
      <c r="G737" s="1" t="s">
        <v>39</v>
      </c>
      <c r="H737" s="1" t="s">
        <v>222</v>
      </c>
      <c r="I737" s="1" t="s">
        <v>41</v>
      </c>
      <c r="J737" s="1" t="s">
        <v>42</v>
      </c>
      <c r="K737" s="1" t="s">
        <v>43</v>
      </c>
      <c r="L737" s="1" t="s">
        <v>44</v>
      </c>
      <c r="M737" s="1" t="s">
        <v>45</v>
      </c>
      <c r="N737" s="1" t="s">
        <v>41</v>
      </c>
      <c r="O737" s="1" t="s">
        <v>58</v>
      </c>
      <c r="P737" s="1" t="s">
        <v>59</v>
      </c>
      <c r="Q737" s="1" t="s">
        <v>60</v>
      </c>
      <c r="R737" s="1" t="s">
        <v>45</v>
      </c>
      <c r="S737" s="1">
        <v>342</v>
      </c>
      <c r="T737" s="1">
        <v>0</v>
      </c>
      <c r="U737" s="13">
        <v>4.4444444444444439E-2</v>
      </c>
      <c r="V737" s="11">
        <v>1850</v>
      </c>
      <c r="W737" s="11">
        <v>-20</v>
      </c>
      <c r="X737" s="8">
        <v>1830</v>
      </c>
      <c r="Y737" s="1" t="s">
        <v>51</v>
      </c>
      <c r="Z737" s="11">
        <v>1110</v>
      </c>
      <c r="AA737" s="11">
        <v>720</v>
      </c>
      <c r="AB737" s="1">
        <v>0</v>
      </c>
      <c r="AC737" s="1">
        <v>0</v>
      </c>
      <c r="AD737" s="1">
        <v>0</v>
      </c>
      <c r="AE737" s="1">
        <v>0</v>
      </c>
      <c r="AF737" s="1"/>
      <c r="AG737" s="1">
        <v>0</v>
      </c>
      <c r="AH737" s="1">
        <v>0</v>
      </c>
      <c r="AI737" s="1">
        <v>0</v>
      </c>
      <c r="AJ737" s="1">
        <v>0</v>
      </c>
      <c r="AK737" s="1">
        <v>2.2751999999999999</v>
      </c>
      <c r="AL737" s="1">
        <v>2.2751999999999999</v>
      </c>
      <c r="AM737" s="1">
        <v>2.2751999999999999</v>
      </c>
    </row>
    <row r="738" spans="1:39" x14ac:dyDescent="0.3">
      <c r="A738" s="21" t="str">
        <f t="shared" si="11"/>
        <v>HFA606LLER2026-01-12</v>
      </c>
      <c r="B738" t="e">
        <f>VLOOKUP(A738,Sheet1!A738:B2080,1,FALSE)</f>
        <v>#N/A</v>
      </c>
      <c r="C738" s="3">
        <v>46034</v>
      </c>
      <c r="D738" s="1" t="s">
        <v>63</v>
      </c>
      <c r="E738" s="1" t="s">
        <v>38</v>
      </c>
      <c r="F738" s="1" t="s">
        <v>54</v>
      </c>
      <c r="G738" s="1" t="s">
        <v>39</v>
      </c>
      <c r="H738" s="1" t="s">
        <v>222</v>
      </c>
      <c r="I738" s="1" t="s">
        <v>41</v>
      </c>
      <c r="J738" s="1" t="s">
        <v>58</v>
      </c>
      <c r="K738" s="1" t="s">
        <v>59</v>
      </c>
      <c r="L738" s="1" t="s">
        <v>60</v>
      </c>
      <c r="M738" s="1" t="s">
        <v>45</v>
      </c>
      <c r="N738" s="1" t="s">
        <v>41</v>
      </c>
      <c r="O738" s="1" t="s">
        <v>82</v>
      </c>
      <c r="P738" s="1" t="s">
        <v>83</v>
      </c>
      <c r="Q738" s="1" t="s">
        <v>84</v>
      </c>
      <c r="R738" s="1" t="s">
        <v>45</v>
      </c>
      <c r="S738" s="1">
        <v>253</v>
      </c>
      <c r="T738" s="1">
        <v>343</v>
      </c>
      <c r="U738" s="13">
        <v>5.9722222222222218E-2</v>
      </c>
      <c r="V738" s="11">
        <v>1110</v>
      </c>
      <c r="W738" s="11">
        <v>1190</v>
      </c>
      <c r="X738" s="8">
        <v>2300</v>
      </c>
      <c r="Y738" s="1" t="s">
        <v>51</v>
      </c>
      <c r="Z738" s="11">
        <v>1410</v>
      </c>
      <c r="AA738" s="11">
        <v>890</v>
      </c>
      <c r="AB738" s="1">
        <v>0</v>
      </c>
      <c r="AC738" s="1">
        <v>0</v>
      </c>
      <c r="AD738" s="1">
        <v>0</v>
      </c>
      <c r="AE738" s="1">
        <v>0</v>
      </c>
      <c r="AF738" s="1"/>
      <c r="AG738" s="1">
        <v>0</v>
      </c>
      <c r="AH738" s="1">
        <v>0</v>
      </c>
      <c r="AI738" s="1">
        <v>0</v>
      </c>
      <c r="AJ738" s="1">
        <v>0</v>
      </c>
      <c r="AK738" s="1">
        <v>2.8123999999999998</v>
      </c>
      <c r="AL738" s="1">
        <v>2.8123999999999998</v>
      </c>
      <c r="AM738" s="1">
        <v>2.8123999999999998</v>
      </c>
    </row>
    <row r="739" spans="1:39" x14ac:dyDescent="0.3">
      <c r="A739" s="21" t="str">
        <f t="shared" si="11"/>
        <v>HFA206LLBG2026-01-14</v>
      </c>
      <c r="B739" t="e">
        <f>VLOOKUP(A739,Sheet1!A739:B2081,1,FALSE)</f>
        <v>#N/A</v>
      </c>
      <c r="C739" s="3">
        <v>46036</v>
      </c>
      <c r="D739" s="1" t="s">
        <v>163</v>
      </c>
      <c r="E739" s="1" t="s">
        <v>38</v>
      </c>
      <c r="F739" s="1" t="s">
        <v>54</v>
      </c>
      <c r="G739" s="1" t="s">
        <v>39</v>
      </c>
      <c r="H739" s="1" t="s">
        <v>222</v>
      </c>
      <c r="I739" s="1" t="s">
        <v>41</v>
      </c>
      <c r="J739" s="1" t="s">
        <v>82</v>
      </c>
      <c r="K739" s="1" t="s">
        <v>83</v>
      </c>
      <c r="L739" s="1" t="s">
        <v>84</v>
      </c>
      <c r="M739" s="1" t="s">
        <v>45</v>
      </c>
      <c r="N739" s="1" t="s">
        <v>41</v>
      </c>
      <c r="O739" s="1" t="s">
        <v>42</v>
      </c>
      <c r="P739" s="1" t="s">
        <v>43</v>
      </c>
      <c r="Q739" s="1" t="s">
        <v>44</v>
      </c>
      <c r="R739" s="1" t="s">
        <v>45</v>
      </c>
      <c r="S739" s="1">
        <v>90</v>
      </c>
      <c r="T739" s="1">
        <v>91</v>
      </c>
      <c r="U739" s="13">
        <v>2.8472222222222222E-2</v>
      </c>
      <c r="V739" s="11">
        <v>1410</v>
      </c>
      <c r="W739" s="11">
        <v>-10</v>
      </c>
      <c r="X739" s="8">
        <v>1400</v>
      </c>
      <c r="Y739" s="1" t="s">
        <v>51</v>
      </c>
      <c r="Z739" s="11">
        <v>1050</v>
      </c>
      <c r="AA739" s="11">
        <v>350</v>
      </c>
      <c r="AB739" s="1">
        <v>0</v>
      </c>
      <c r="AC739" s="1">
        <v>0</v>
      </c>
      <c r="AD739" s="1">
        <v>0</v>
      </c>
      <c r="AE739" s="1">
        <v>0</v>
      </c>
      <c r="AF739" s="1"/>
      <c r="AG739" s="1">
        <v>0</v>
      </c>
      <c r="AH739" s="1">
        <v>0</v>
      </c>
      <c r="AI739" s="1">
        <v>0</v>
      </c>
      <c r="AJ739" s="1">
        <v>0</v>
      </c>
      <c r="AK739" s="1">
        <v>1.1060000000000001</v>
      </c>
      <c r="AL739" s="1">
        <v>1.1060000000000001</v>
      </c>
      <c r="AM739" s="1">
        <v>1.1060000000000001</v>
      </c>
    </row>
    <row r="740" spans="1:39" x14ac:dyDescent="0.3">
      <c r="A740" s="21" t="str">
        <f t="shared" si="11"/>
        <v>HFA601LLHA2026-01-14</v>
      </c>
      <c r="B740" t="e">
        <f>VLOOKUP(A740,Sheet1!A740:B2082,1,FALSE)</f>
        <v>#N/A</v>
      </c>
      <c r="C740" s="3">
        <v>46036</v>
      </c>
      <c r="D740" s="1" t="s">
        <v>57</v>
      </c>
      <c r="E740" s="1" t="s">
        <v>38</v>
      </c>
      <c r="F740" s="1" t="s">
        <v>54</v>
      </c>
      <c r="G740" s="1" t="s">
        <v>39</v>
      </c>
      <c r="H740" s="1" t="s">
        <v>222</v>
      </c>
      <c r="I740" s="1" t="s">
        <v>41</v>
      </c>
      <c r="J740" s="1" t="s">
        <v>42</v>
      </c>
      <c r="K740" s="1" t="s">
        <v>43</v>
      </c>
      <c r="L740" s="1" t="s">
        <v>44</v>
      </c>
      <c r="M740" s="1" t="s">
        <v>45</v>
      </c>
      <c r="N740" s="1" t="s">
        <v>41</v>
      </c>
      <c r="O740" s="1" t="s">
        <v>58</v>
      </c>
      <c r="P740" s="1" t="s">
        <v>59</v>
      </c>
      <c r="Q740" s="1" t="s">
        <v>60</v>
      </c>
      <c r="R740" s="1" t="s">
        <v>45</v>
      </c>
      <c r="S740" s="1">
        <v>342</v>
      </c>
      <c r="T740" s="1">
        <v>0</v>
      </c>
      <c r="U740" s="13">
        <v>3.8194444444444448E-2</v>
      </c>
      <c r="V740" s="11">
        <v>1050</v>
      </c>
      <c r="W740" s="11">
        <v>750</v>
      </c>
      <c r="X740" s="8">
        <v>1800</v>
      </c>
      <c r="Y740" s="1" t="s">
        <v>51</v>
      </c>
      <c r="Z740" s="11">
        <v>1117</v>
      </c>
      <c r="AA740" s="11">
        <v>683</v>
      </c>
      <c r="AB740" s="1">
        <v>0</v>
      </c>
      <c r="AC740" s="1">
        <v>0</v>
      </c>
      <c r="AD740" s="1">
        <v>0</v>
      </c>
      <c r="AE740" s="1">
        <v>0</v>
      </c>
      <c r="AF740" s="1"/>
      <c r="AG740" s="1">
        <v>0</v>
      </c>
      <c r="AH740" s="1">
        <v>0</v>
      </c>
      <c r="AI740" s="1">
        <v>0</v>
      </c>
      <c r="AJ740" s="1">
        <v>0</v>
      </c>
      <c r="AK740" s="1">
        <v>2.1583000000000001</v>
      </c>
      <c r="AL740" s="1">
        <v>2.1583000000000001</v>
      </c>
      <c r="AM740" s="1">
        <v>2.1583000000000001</v>
      </c>
    </row>
    <row r="741" spans="1:39" x14ac:dyDescent="0.3">
      <c r="A741" s="21" t="str">
        <f t="shared" si="11"/>
        <v>HFA602LLER2026-01-14</v>
      </c>
      <c r="B741" t="e">
        <f>VLOOKUP(A741,Sheet1!A741:B2083,1,FALSE)</f>
        <v>#N/A</v>
      </c>
      <c r="C741" s="3">
        <v>46036</v>
      </c>
      <c r="D741" s="1" t="s">
        <v>61</v>
      </c>
      <c r="E741" s="1" t="s">
        <v>38</v>
      </c>
      <c r="F741" s="1" t="s">
        <v>54</v>
      </c>
      <c r="G741" s="1" t="s">
        <v>39</v>
      </c>
      <c r="H741" s="1" t="s">
        <v>222</v>
      </c>
      <c r="I741" s="1" t="s">
        <v>41</v>
      </c>
      <c r="J741" s="1" t="s">
        <v>58</v>
      </c>
      <c r="K741" s="1" t="s">
        <v>59</v>
      </c>
      <c r="L741" s="1" t="s">
        <v>60</v>
      </c>
      <c r="M741" s="1" t="s">
        <v>45</v>
      </c>
      <c r="N741" s="1" t="s">
        <v>41</v>
      </c>
      <c r="O741" s="1" t="s">
        <v>42</v>
      </c>
      <c r="P741" s="1" t="s">
        <v>43</v>
      </c>
      <c r="Q741" s="1" t="s">
        <v>44</v>
      </c>
      <c r="R741" s="1" t="s">
        <v>45</v>
      </c>
      <c r="S741" s="1">
        <v>342</v>
      </c>
      <c r="T741" s="1">
        <v>0</v>
      </c>
      <c r="U741" s="13">
        <v>4.3749999999999997E-2</v>
      </c>
      <c r="V741" s="11">
        <v>1117</v>
      </c>
      <c r="W741" s="11">
        <v>1283</v>
      </c>
      <c r="X741" s="8">
        <v>2400</v>
      </c>
      <c r="Y741" s="1" t="s">
        <v>51</v>
      </c>
      <c r="Z741" s="11">
        <v>1700</v>
      </c>
      <c r="AA741" s="11">
        <v>700</v>
      </c>
      <c r="AB741" s="1">
        <v>0</v>
      </c>
      <c r="AC741" s="1">
        <v>0</v>
      </c>
      <c r="AD741" s="1">
        <v>0</v>
      </c>
      <c r="AE741" s="1">
        <v>0</v>
      </c>
      <c r="AF741" s="1"/>
      <c r="AG741" s="1">
        <v>0</v>
      </c>
      <c r="AH741" s="1">
        <v>0</v>
      </c>
      <c r="AI741" s="1">
        <v>0</v>
      </c>
      <c r="AJ741" s="1">
        <v>0</v>
      </c>
      <c r="AK741" s="1">
        <v>2.2120000000000002</v>
      </c>
      <c r="AL741" s="1">
        <v>2.2120000000000002</v>
      </c>
      <c r="AM741" s="1">
        <v>2.2120000000000002</v>
      </c>
    </row>
    <row r="742" spans="1:39" x14ac:dyDescent="0.3">
      <c r="A742" s="21" t="str">
        <f t="shared" si="11"/>
        <v>HFA851LLHA2026-01-14</v>
      </c>
      <c r="B742" t="str">
        <f>VLOOKUP(A742,Sheet1!A742:B2084,1,FALSE)</f>
        <v>HFA851LLHA2026-01-14</v>
      </c>
      <c r="C742" s="3">
        <v>46036</v>
      </c>
      <c r="D742" s="1" t="s">
        <v>66</v>
      </c>
      <c r="E742" s="1" t="s">
        <v>38</v>
      </c>
      <c r="F742" s="1"/>
      <c r="G742" s="1" t="s">
        <v>39</v>
      </c>
      <c r="H742" s="1" t="s">
        <v>222</v>
      </c>
      <c r="I742" s="1" t="s">
        <v>41</v>
      </c>
      <c r="J742" s="1" t="s">
        <v>42</v>
      </c>
      <c r="K742" s="1" t="s">
        <v>43</v>
      </c>
      <c r="L742" s="1" t="s">
        <v>44</v>
      </c>
      <c r="M742" s="1" t="s">
        <v>45</v>
      </c>
      <c r="N742" s="1" t="s">
        <v>67</v>
      </c>
      <c r="O742" s="1" t="s">
        <v>68</v>
      </c>
      <c r="P742" s="1" t="s">
        <v>69</v>
      </c>
      <c r="Q742" s="1" t="s">
        <v>70</v>
      </c>
      <c r="R742" s="1" t="s">
        <v>50</v>
      </c>
      <c r="S742" s="1">
        <v>318</v>
      </c>
      <c r="T742" s="1">
        <v>0</v>
      </c>
      <c r="U742" s="13">
        <v>4.0972222222222222E-2</v>
      </c>
      <c r="V742" s="11">
        <v>1700</v>
      </c>
      <c r="W742" s="11">
        <v>-10</v>
      </c>
      <c r="X742" s="8">
        <v>1690</v>
      </c>
      <c r="Y742" s="1" t="s">
        <v>51</v>
      </c>
      <c r="Z742" s="11">
        <v>940</v>
      </c>
      <c r="AA742" s="11">
        <v>750</v>
      </c>
      <c r="AB742" s="1">
        <v>0</v>
      </c>
      <c r="AC742" s="1">
        <v>0</v>
      </c>
      <c r="AD742" s="1">
        <v>0</v>
      </c>
      <c r="AE742" s="1">
        <v>0</v>
      </c>
      <c r="AF742" s="1"/>
      <c r="AG742" s="1">
        <v>0</v>
      </c>
      <c r="AH742" s="1">
        <v>0</v>
      </c>
      <c r="AI742" s="1">
        <v>0</v>
      </c>
      <c r="AJ742" s="1">
        <v>0</v>
      </c>
      <c r="AK742" s="1">
        <v>2.37</v>
      </c>
      <c r="AL742" s="1">
        <v>2.37</v>
      </c>
      <c r="AM742" s="1">
        <v>2.37</v>
      </c>
    </row>
    <row r="743" spans="1:39" x14ac:dyDescent="0.3">
      <c r="A743" s="21" t="str">
        <f t="shared" si="11"/>
        <v>HFA852LCPH2026-01-14</v>
      </c>
      <c r="B743" t="str">
        <f>VLOOKUP(A743,Sheet1!A743:B2085,1,FALSE)</f>
        <v>HFA852LCPH2026-01-14</v>
      </c>
      <c r="C743" s="3">
        <v>46036</v>
      </c>
      <c r="D743" s="1" t="s">
        <v>71</v>
      </c>
      <c r="E743" s="1" t="s">
        <v>38</v>
      </c>
      <c r="F743" s="1"/>
      <c r="G743" s="1" t="s">
        <v>39</v>
      </c>
      <c r="H743" s="1" t="s">
        <v>222</v>
      </c>
      <c r="I743" s="1" t="s">
        <v>67</v>
      </c>
      <c r="J743" s="1" t="s">
        <v>68</v>
      </c>
      <c r="K743" s="1" t="s">
        <v>69</v>
      </c>
      <c r="L743" s="1" t="s">
        <v>70</v>
      </c>
      <c r="M743" s="1" t="s">
        <v>50</v>
      </c>
      <c r="N743" s="1" t="s">
        <v>41</v>
      </c>
      <c r="O743" s="1" t="s">
        <v>42</v>
      </c>
      <c r="P743" s="1" t="s">
        <v>43</v>
      </c>
      <c r="Q743" s="1" t="s">
        <v>44</v>
      </c>
      <c r="R743" s="1" t="s">
        <v>45</v>
      </c>
      <c r="S743" s="1">
        <v>318</v>
      </c>
      <c r="T743" s="1">
        <v>0</v>
      </c>
      <c r="U743" s="13">
        <v>3.6805555555555557E-2</v>
      </c>
      <c r="V743" s="11">
        <v>940</v>
      </c>
      <c r="W743" s="11">
        <v>1260</v>
      </c>
      <c r="X743" s="8">
        <v>2200</v>
      </c>
      <c r="Y743" s="1" t="s">
        <v>51</v>
      </c>
      <c r="Z743" s="11">
        <v>1680</v>
      </c>
      <c r="AA743" s="11">
        <v>520</v>
      </c>
      <c r="AB743" s="1">
        <v>0</v>
      </c>
      <c r="AC743" s="1">
        <v>0</v>
      </c>
      <c r="AD743" s="1">
        <v>0</v>
      </c>
      <c r="AE743" s="1">
        <v>0</v>
      </c>
      <c r="AF743" s="1"/>
      <c r="AG743" s="1">
        <v>0</v>
      </c>
      <c r="AH743" s="1">
        <v>0</v>
      </c>
      <c r="AI743" s="1">
        <v>0</v>
      </c>
      <c r="AJ743" s="1">
        <v>0</v>
      </c>
      <c r="AK743" s="1">
        <v>1.6432</v>
      </c>
      <c r="AL743" s="1">
        <v>1.6432</v>
      </c>
      <c r="AM743" s="1">
        <v>1.6432</v>
      </c>
    </row>
    <row r="744" spans="1:39" x14ac:dyDescent="0.3">
      <c r="A744" s="21" t="str">
        <f t="shared" si="11"/>
        <v>HFA601LLHA2026-01-15</v>
      </c>
      <c r="B744" t="e">
        <f>VLOOKUP(A744,Sheet1!A744:B2086,1,FALSE)</f>
        <v>#N/A</v>
      </c>
      <c r="C744" s="3">
        <v>46037</v>
      </c>
      <c r="D744" s="1" t="s">
        <v>57</v>
      </c>
      <c r="E744" s="1" t="s">
        <v>38</v>
      </c>
      <c r="F744" s="1" t="s">
        <v>54</v>
      </c>
      <c r="G744" s="1" t="s">
        <v>39</v>
      </c>
      <c r="H744" s="1" t="s">
        <v>222</v>
      </c>
      <c r="I744" s="1" t="s">
        <v>41</v>
      </c>
      <c r="J744" s="1" t="s">
        <v>42</v>
      </c>
      <c r="K744" s="1" t="s">
        <v>43</v>
      </c>
      <c r="L744" s="1" t="s">
        <v>44</v>
      </c>
      <c r="M744" s="1" t="s">
        <v>45</v>
      </c>
      <c r="N744" s="1" t="s">
        <v>41</v>
      </c>
      <c r="O744" s="1" t="s">
        <v>58</v>
      </c>
      <c r="P744" s="1" t="s">
        <v>59</v>
      </c>
      <c r="Q744" s="1" t="s">
        <v>60</v>
      </c>
      <c r="R744" s="1" t="s">
        <v>45</v>
      </c>
      <c r="S744" s="1">
        <v>342</v>
      </c>
      <c r="T744" s="1">
        <v>0</v>
      </c>
      <c r="U744" s="13">
        <v>4.027777777777778E-2</v>
      </c>
      <c r="V744" s="11">
        <v>1680</v>
      </c>
      <c r="W744" s="11">
        <v>120</v>
      </c>
      <c r="X744" s="8">
        <v>1800</v>
      </c>
      <c r="Y744" s="1" t="s">
        <v>51</v>
      </c>
      <c r="Z744" s="11">
        <v>1170</v>
      </c>
      <c r="AA744" s="11">
        <v>630</v>
      </c>
      <c r="AB744" s="1">
        <v>0</v>
      </c>
      <c r="AC744" s="1">
        <v>0</v>
      </c>
      <c r="AD744" s="1">
        <v>0</v>
      </c>
      <c r="AE744" s="1">
        <v>0</v>
      </c>
      <c r="AF744" s="1"/>
      <c r="AG744" s="1">
        <v>0</v>
      </c>
      <c r="AH744" s="1">
        <v>0</v>
      </c>
      <c r="AI744" s="1">
        <v>0</v>
      </c>
      <c r="AJ744" s="1">
        <v>0</v>
      </c>
      <c r="AK744" s="1">
        <v>1.9907999999999999</v>
      </c>
      <c r="AL744" s="1">
        <v>1.9907999999999999</v>
      </c>
      <c r="AM744" s="1">
        <v>1.9907999999999999</v>
      </c>
    </row>
    <row r="745" spans="1:39" x14ac:dyDescent="0.3">
      <c r="A745" s="21" t="str">
        <f t="shared" si="11"/>
        <v>HFA602LLER2026-01-15</v>
      </c>
      <c r="B745" t="e">
        <f>VLOOKUP(A745,Sheet1!A745:B2087,1,FALSE)</f>
        <v>#N/A</v>
      </c>
      <c r="C745" s="3">
        <v>46037</v>
      </c>
      <c r="D745" s="1" t="s">
        <v>61</v>
      </c>
      <c r="E745" s="1" t="s">
        <v>38</v>
      </c>
      <c r="F745" s="1" t="s">
        <v>54</v>
      </c>
      <c r="G745" s="1" t="s">
        <v>39</v>
      </c>
      <c r="H745" s="1" t="s">
        <v>222</v>
      </c>
      <c r="I745" s="1" t="s">
        <v>41</v>
      </c>
      <c r="J745" s="1" t="s">
        <v>58</v>
      </c>
      <c r="K745" s="1" t="s">
        <v>59</v>
      </c>
      <c r="L745" s="1" t="s">
        <v>60</v>
      </c>
      <c r="M745" s="1" t="s">
        <v>45</v>
      </c>
      <c r="N745" s="1" t="s">
        <v>41</v>
      </c>
      <c r="O745" s="1" t="s">
        <v>42</v>
      </c>
      <c r="P745" s="1" t="s">
        <v>43</v>
      </c>
      <c r="Q745" s="1" t="s">
        <v>44</v>
      </c>
      <c r="R745" s="1" t="s">
        <v>45</v>
      </c>
      <c r="S745" s="1">
        <v>342</v>
      </c>
      <c r="T745" s="1">
        <v>0</v>
      </c>
      <c r="U745" s="13">
        <v>4.583333333333333E-2</v>
      </c>
      <c r="V745" s="11">
        <v>1170</v>
      </c>
      <c r="W745" s="11">
        <v>1030</v>
      </c>
      <c r="X745" s="8">
        <v>2200</v>
      </c>
      <c r="Y745" s="1" t="s">
        <v>51</v>
      </c>
      <c r="Z745" s="11">
        <v>1460</v>
      </c>
      <c r="AA745" s="11">
        <v>740</v>
      </c>
      <c r="AB745" s="1">
        <v>0</v>
      </c>
      <c r="AC745" s="1">
        <v>0</v>
      </c>
      <c r="AD745" s="1">
        <v>0</v>
      </c>
      <c r="AE745" s="1">
        <v>0</v>
      </c>
      <c r="AF745" s="1"/>
      <c r="AG745" s="1">
        <v>0</v>
      </c>
      <c r="AH745" s="1">
        <v>0</v>
      </c>
      <c r="AI745" s="1">
        <v>0</v>
      </c>
      <c r="AJ745" s="1">
        <v>0</v>
      </c>
      <c r="AK745" s="1">
        <v>2.3384</v>
      </c>
      <c r="AL745" s="1">
        <v>2.3384</v>
      </c>
      <c r="AM745" s="1">
        <v>2.3384</v>
      </c>
    </row>
    <row r="746" spans="1:39" x14ac:dyDescent="0.3">
      <c r="A746" s="21" t="str">
        <f t="shared" si="11"/>
        <v>HFA805LLHA2026-01-15</v>
      </c>
      <c r="B746" t="e">
        <f>VLOOKUP(A746,Sheet1!A746:B2088,1,FALSE)</f>
        <v>#N/A</v>
      </c>
      <c r="C746" s="3">
        <v>46037</v>
      </c>
      <c r="D746" s="1" t="s">
        <v>114</v>
      </c>
      <c r="E746" s="1" t="s">
        <v>38</v>
      </c>
      <c r="F746" s="1"/>
      <c r="G746" s="1" t="s">
        <v>39</v>
      </c>
      <c r="H746" s="1" t="s">
        <v>222</v>
      </c>
      <c r="I746" s="1" t="s">
        <v>41</v>
      </c>
      <c r="J746" s="1" t="s">
        <v>42</v>
      </c>
      <c r="K746" s="1" t="s">
        <v>43</v>
      </c>
      <c r="L746" s="1" t="s">
        <v>44</v>
      </c>
      <c r="M746" s="1" t="s">
        <v>45</v>
      </c>
      <c r="N746" s="1" t="s">
        <v>67</v>
      </c>
      <c r="O746" s="1" t="s">
        <v>86</v>
      </c>
      <c r="P746" s="1" t="s">
        <v>87</v>
      </c>
      <c r="Q746" s="1" t="s">
        <v>88</v>
      </c>
      <c r="R746" s="1" t="s">
        <v>50</v>
      </c>
      <c r="S746" s="1">
        <v>264</v>
      </c>
      <c r="T746" s="1">
        <v>0</v>
      </c>
      <c r="U746" s="13">
        <v>4.027777777777778E-2</v>
      </c>
      <c r="V746" s="11">
        <v>1460</v>
      </c>
      <c r="W746" s="11">
        <v>-10</v>
      </c>
      <c r="X746" s="8">
        <v>1450</v>
      </c>
      <c r="Y746" s="1" t="s">
        <v>51</v>
      </c>
      <c r="Z746" s="11">
        <v>810</v>
      </c>
      <c r="AA746" s="11">
        <v>640</v>
      </c>
      <c r="AB746" s="1">
        <v>0</v>
      </c>
      <c r="AC746" s="1">
        <v>0</v>
      </c>
      <c r="AD746" s="1">
        <v>0</v>
      </c>
      <c r="AE746" s="1">
        <v>0</v>
      </c>
      <c r="AF746" s="1"/>
      <c r="AG746" s="1">
        <v>0</v>
      </c>
      <c r="AH746" s="1">
        <v>0</v>
      </c>
      <c r="AI746" s="1">
        <v>0</v>
      </c>
      <c r="AJ746" s="1">
        <v>0</v>
      </c>
      <c r="AK746" s="1">
        <v>2.0224000000000002</v>
      </c>
      <c r="AL746" s="1">
        <v>2.0224000000000002</v>
      </c>
      <c r="AM746" s="1">
        <v>2.0224000000000002</v>
      </c>
    </row>
    <row r="747" spans="1:39" x14ac:dyDescent="0.3">
      <c r="A747" s="21" t="str">
        <f t="shared" si="11"/>
        <v>HFA806LCLK2026-01-15</v>
      </c>
      <c r="B747" t="str">
        <f>VLOOKUP(A747,Sheet1!A747:B2089,1,FALSE)</f>
        <v>HFA806LCLK2026-01-15</v>
      </c>
      <c r="C747" s="3">
        <v>46037</v>
      </c>
      <c r="D747" s="1" t="s">
        <v>115</v>
      </c>
      <c r="E747" s="1" t="s">
        <v>38</v>
      </c>
      <c r="F747" s="1"/>
      <c r="G747" s="1" t="s">
        <v>39</v>
      </c>
      <c r="H747" s="1" t="s">
        <v>222</v>
      </c>
      <c r="I747" s="1" t="s">
        <v>67</v>
      </c>
      <c r="J747" s="1" t="s">
        <v>86</v>
      </c>
      <c r="K747" s="1" t="s">
        <v>87</v>
      </c>
      <c r="L747" s="1" t="s">
        <v>88</v>
      </c>
      <c r="M747" s="1" t="s">
        <v>50</v>
      </c>
      <c r="N747" s="1" t="s">
        <v>41</v>
      </c>
      <c r="O747" s="1" t="s">
        <v>42</v>
      </c>
      <c r="P747" s="1" t="s">
        <v>43</v>
      </c>
      <c r="Q747" s="1" t="s">
        <v>44</v>
      </c>
      <c r="R747" s="1" t="s">
        <v>45</v>
      </c>
      <c r="S747" s="1">
        <v>264</v>
      </c>
      <c r="T747" s="1">
        <v>0</v>
      </c>
      <c r="U747" s="13">
        <v>4.1666666666666664E-2</v>
      </c>
      <c r="V747" s="11">
        <v>810</v>
      </c>
      <c r="W747" s="11">
        <v>1190</v>
      </c>
      <c r="X747" s="8">
        <v>2000</v>
      </c>
      <c r="Y747" s="1" t="s">
        <v>51</v>
      </c>
      <c r="Z747" s="11">
        <v>1460</v>
      </c>
      <c r="AA747" s="11">
        <v>540</v>
      </c>
      <c r="AB747" s="1">
        <v>0</v>
      </c>
      <c r="AC747" s="1">
        <v>0</v>
      </c>
      <c r="AD747" s="1">
        <v>0</v>
      </c>
      <c r="AE747" s="1">
        <v>0</v>
      </c>
      <c r="AF747" s="1"/>
      <c r="AG747" s="1">
        <v>0</v>
      </c>
      <c r="AH747" s="1">
        <v>0</v>
      </c>
      <c r="AI747" s="1">
        <v>0</v>
      </c>
      <c r="AJ747" s="1">
        <v>0</v>
      </c>
      <c r="AK747" s="1">
        <v>1.7063999999999999</v>
      </c>
      <c r="AL747" s="1">
        <v>1.7063999999999999</v>
      </c>
      <c r="AM747" s="1">
        <v>1.7063999999999999</v>
      </c>
    </row>
    <row r="748" spans="1:39" x14ac:dyDescent="0.3">
      <c r="A748" s="21" t="str">
        <f t="shared" si="11"/>
        <v>HFA807LLHA2026-01-15</v>
      </c>
      <c r="B748" t="str">
        <f>VLOOKUP(A748,Sheet1!A748:B2090,1,FALSE)</f>
        <v>HFA807LLHA2026-01-15</v>
      </c>
      <c r="C748" s="3">
        <v>46037</v>
      </c>
      <c r="D748" s="1" t="s">
        <v>118</v>
      </c>
      <c r="E748" s="1" t="s">
        <v>38</v>
      </c>
      <c r="F748" s="1"/>
      <c r="G748" s="1" t="s">
        <v>39</v>
      </c>
      <c r="H748" s="1" t="s">
        <v>222</v>
      </c>
      <c r="I748" s="1" t="s">
        <v>41</v>
      </c>
      <c r="J748" s="1" t="s">
        <v>42</v>
      </c>
      <c r="K748" s="1" t="s">
        <v>43</v>
      </c>
      <c r="L748" s="1" t="s">
        <v>44</v>
      </c>
      <c r="M748" s="1" t="s">
        <v>45</v>
      </c>
      <c r="N748" s="1" t="s">
        <v>67</v>
      </c>
      <c r="O748" s="1" t="s">
        <v>86</v>
      </c>
      <c r="P748" s="1" t="s">
        <v>87</v>
      </c>
      <c r="Q748" s="1" t="s">
        <v>88</v>
      </c>
      <c r="R748" s="1" t="s">
        <v>50</v>
      </c>
      <c r="S748" s="1">
        <v>264</v>
      </c>
      <c r="T748" s="1">
        <v>0</v>
      </c>
      <c r="U748" s="13">
        <v>4.027777777777778E-2</v>
      </c>
      <c r="V748" s="11">
        <v>1460</v>
      </c>
      <c r="W748" s="11">
        <v>0</v>
      </c>
      <c r="X748" s="8">
        <v>1460</v>
      </c>
      <c r="Y748" s="1" t="s">
        <v>51</v>
      </c>
      <c r="Z748" s="11">
        <v>830</v>
      </c>
      <c r="AA748" s="11">
        <v>630</v>
      </c>
      <c r="AB748" s="1">
        <v>0</v>
      </c>
      <c r="AC748" s="1">
        <v>0</v>
      </c>
      <c r="AD748" s="1">
        <v>0</v>
      </c>
      <c r="AE748" s="1">
        <v>0</v>
      </c>
      <c r="AF748" s="1"/>
      <c r="AG748" s="1">
        <v>0</v>
      </c>
      <c r="AH748" s="1">
        <v>0</v>
      </c>
      <c r="AI748" s="1">
        <v>0</v>
      </c>
      <c r="AJ748" s="1">
        <v>0</v>
      </c>
      <c r="AK748" s="1">
        <v>1.9907999999999999</v>
      </c>
      <c r="AL748" s="1">
        <v>1.9907999999999999</v>
      </c>
      <c r="AM748" s="1">
        <v>1.9907999999999999</v>
      </c>
    </row>
    <row r="749" spans="1:39" x14ac:dyDescent="0.3">
      <c r="A749" s="21" t="str">
        <f t="shared" si="11"/>
        <v>HFA808LCLK2026-01-15</v>
      </c>
      <c r="B749" t="str">
        <f>VLOOKUP(A749,Sheet1!A749:B2091,1,FALSE)</f>
        <v>HFA808LCLK2026-01-15</v>
      </c>
      <c r="C749" s="3">
        <v>46037</v>
      </c>
      <c r="D749" s="1" t="s">
        <v>119</v>
      </c>
      <c r="E749" s="1" t="s">
        <v>38</v>
      </c>
      <c r="F749" s="1"/>
      <c r="G749" s="1" t="s">
        <v>39</v>
      </c>
      <c r="H749" s="1" t="s">
        <v>222</v>
      </c>
      <c r="I749" s="1" t="s">
        <v>67</v>
      </c>
      <c r="J749" s="1" t="s">
        <v>86</v>
      </c>
      <c r="K749" s="1" t="s">
        <v>87</v>
      </c>
      <c r="L749" s="1" t="s">
        <v>88</v>
      </c>
      <c r="M749" s="1" t="s">
        <v>50</v>
      </c>
      <c r="N749" s="1" t="s">
        <v>41</v>
      </c>
      <c r="O749" s="1" t="s">
        <v>42</v>
      </c>
      <c r="P749" s="1" t="s">
        <v>43</v>
      </c>
      <c r="Q749" s="1" t="s">
        <v>44</v>
      </c>
      <c r="R749" s="1" t="s">
        <v>45</v>
      </c>
      <c r="S749" s="1">
        <v>264</v>
      </c>
      <c r="T749" s="1">
        <v>0</v>
      </c>
      <c r="U749" s="13">
        <v>4.027777777777778E-2</v>
      </c>
      <c r="V749" s="11">
        <v>830</v>
      </c>
      <c r="W749" s="11">
        <v>1470</v>
      </c>
      <c r="X749" s="8">
        <v>2300</v>
      </c>
      <c r="Y749" s="1" t="s">
        <v>51</v>
      </c>
      <c r="Z749" s="11">
        <v>1840</v>
      </c>
      <c r="AA749" s="11">
        <v>460</v>
      </c>
      <c r="AB749" s="1">
        <v>0</v>
      </c>
      <c r="AC749" s="1">
        <v>0</v>
      </c>
      <c r="AD749" s="1">
        <v>0</v>
      </c>
      <c r="AE749" s="1">
        <v>0</v>
      </c>
      <c r="AF749" s="1"/>
      <c r="AG749" s="1">
        <v>0</v>
      </c>
      <c r="AH749" s="1">
        <v>0</v>
      </c>
      <c r="AI749" s="1">
        <v>0</v>
      </c>
      <c r="AJ749" s="1">
        <v>0</v>
      </c>
      <c r="AK749" s="1">
        <v>1.4536</v>
      </c>
      <c r="AL749" s="1">
        <v>1.4536</v>
      </c>
      <c r="AM749" s="1">
        <v>1.4536</v>
      </c>
    </row>
    <row r="750" spans="1:39" x14ac:dyDescent="0.3">
      <c r="A750" s="21" t="str">
        <f t="shared" si="11"/>
        <v>HFA601LLHA2026-01-16</v>
      </c>
      <c r="B750" t="e">
        <f>VLOOKUP(A750,Sheet1!A750:B2092,1,FALSE)</f>
        <v>#N/A</v>
      </c>
      <c r="C750" s="3">
        <v>46038</v>
      </c>
      <c r="D750" s="1" t="s">
        <v>57</v>
      </c>
      <c r="E750" s="1" t="s">
        <v>38</v>
      </c>
      <c r="F750" s="1" t="s">
        <v>54</v>
      </c>
      <c r="G750" s="1" t="s">
        <v>39</v>
      </c>
      <c r="H750" s="1" t="s">
        <v>222</v>
      </c>
      <c r="I750" s="1" t="s">
        <v>41</v>
      </c>
      <c r="J750" s="1" t="s">
        <v>42</v>
      </c>
      <c r="K750" s="1" t="s">
        <v>43</v>
      </c>
      <c r="L750" s="1" t="s">
        <v>44</v>
      </c>
      <c r="M750" s="1" t="s">
        <v>45</v>
      </c>
      <c r="N750" s="1" t="s">
        <v>41</v>
      </c>
      <c r="O750" s="1" t="s">
        <v>58</v>
      </c>
      <c r="P750" s="1" t="s">
        <v>59</v>
      </c>
      <c r="Q750" s="1" t="s">
        <v>60</v>
      </c>
      <c r="R750" s="1" t="s">
        <v>45</v>
      </c>
      <c r="S750" s="1">
        <v>342</v>
      </c>
      <c r="T750" s="1">
        <v>0</v>
      </c>
      <c r="U750" s="13">
        <v>4.3055555555555555E-2</v>
      </c>
      <c r="V750" s="11">
        <v>1840</v>
      </c>
      <c r="W750" s="11">
        <v>-30</v>
      </c>
      <c r="X750" s="8">
        <v>1810</v>
      </c>
      <c r="Y750" s="1" t="s">
        <v>51</v>
      </c>
      <c r="Z750" s="11">
        <v>1140</v>
      </c>
      <c r="AA750" s="11">
        <v>670</v>
      </c>
      <c r="AB750" s="1">
        <v>0</v>
      </c>
      <c r="AC750" s="1">
        <v>0</v>
      </c>
      <c r="AD750" s="1">
        <v>0</v>
      </c>
      <c r="AE750" s="1">
        <v>0</v>
      </c>
      <c r="AF750" s="1"/>
      <c r="AG750" s="1">
        <v>0</v>
      </c>
      <c r="AH750" s="1">
        <v>0</v>
      </c>
      <c r="AI750" s="1">
        <v>0</v>
      </c>
      <c r="AJ750" s="1">
        <v>0</v>
      </c>
      <c r="AK750" s="1">
        <v>2.1172</v>
      </c>
      <c r="AL750" s="1">
        <v>2.1172</v>
      </c>
      <c r="AM750" s="1">
        <v>2.1172</v>
      </c>
    </row>
    <row r="751" spans="1:39" x14ac:dyDescent="0.3">
      <c r="A751" s="21" t="str">
        <f t="shared" si="11"/>
        <v>HFA602LLER2026-01-16</v>
      </c>
      <c r="B751" t="e">
        <f>VLOOKUP(A751,Sheet1!A751:B2093,1,FALSE)</f>
        <v>#N/A</v>
      </c>
      <c r="C751" s="3">
        <v>46038</v>
      </c>
      <c r="D751" s="1" t="s">
        <v>61</v>
      </c>
      <c r="E751" s="1" t="s">
        <v>38</v>
      </c>
      <c r="F751" s="1" t="s">
        <v>54</v>
      </c>
      <c r="G751" s="1" t="s">
        <v>39</v>
      </c>
      <c r="H751" s="1" t="s">
        <v>222</v>
      </c>
      <c r="I751" s="1" t="s">
        <v>41</v>
      </c>
      <c r="J751" s="1" t="s">
        <v>58</v>
      </c>
      <c r="K751" s="1" t="s">
        <v>59</v>
      </c>
      <c r="L751" s="1" t="s">
        <v>60</v>
      </c>
      <c r="M751" s="1" t="s">
        <v>45</v>
      </c>
      <c r="N751" s="1" t="s">
        <v>41</v>
      </c>
      <c r="O751" s="1" t="s">
        <v>42</v>
      </c>
      <c r="P751" s="1" t="s">
        <v>43</v>
      </c>
      <c r="Q751" s="1" t="s">
        <v>44</v>
      </c>
      <c r="R751" s="1" t="s">
        <v>45</v>
      </c>
      <c r="S751" s="1">
        <v>342</v>
      </c>
      <c r="T751" s="1">
        <v>0</v>
      </c>
      <c r="U751" s="13">
        <v>4.0972222222222222E-2</v>
      </c>
      <c r="V751" s="11">
        <v>1140</v>
      </c>
      <c r="W751" s="11">
        <v>1060</v>
      </c>
      <c r="X751" s="8">
        <v>2200</v>
      </c>
      <c r="Y751" s="1" t="s">
        <v>51</v>
      </c>
      <c r="Z751" s="11">
        <v>1540</v>
      </c>
      <c r="AA751" s="11">
        <v>660</v>
      </c>
      <c r="AB751" s="1">
        <v>0</v>
      </c>
      <c r="AC751" s="1">
        <v>0</v>
      </c>
      <c r="AD751" s="1">
        <v>0</v>
      </c>
      <c r="AE751" s="1">
        <v>0</v>
      </c>
      <c r="AF751" s="1"/>
      <c r="AG751" s="1">
        <v>0</v>
      </c>
      <c r="AH751" s="1">
        <v>0</v>
      </c>
      <c r="AI751" s="1">
        <v>0</v>
      </c>
      <c r="AJ751" s="1">
        <v>0</v>
      </c>
      <c r="AK751" s="1">
        <v>2.0855999999999999</v>
      </c>
      <c r="AL751" s="1">
        <v>2.0855999999999999</v>
      </c>
      <c r="AM751" s="1">
        <v>2.0855999999999999</v>
      </c>
    </row>
    <row r="752" spans="1:39" x14ac:dyDescent="0.3">
      <c r="A752" s="21" t="str">
        <f t="shared" si="11"/>
        <v>HFA851LLHA2026-01-16</v>
      </c>
      <c r="B752" t="str">
        <f>VLOOKUP(A752,Sheet1!A752:B2094,1,FALSE)</f>
        <v>HFA851LLHA2026-01-16</v>
      </c>
      <c r="C752" s="3">
        <v>46038</v>
      </c>
      <c r="D752" s="1" t="s">
        <v>66</v>
      </c>
      <c r="E752" s="1" t="s">
        <v>38</v>
      </c>
      <c r="F752" s="1"/>
      <c r="G752" s="1" t="s">
        <v>39</v>
      </c>
      <c r="H752" s="1" t="s">
        <v>222</v>
      </c>
      <c r="I752" s="1" t="s">
        <v>41</v>
      </c>
      <c r="J752" s="1" t="s">
        <v>42</v>
      </c>
      <c r="K752" s="1" t="s">
        <v>43</v>
      </c>
      <c r="L752" s="1" t="s">
        <v>44</v>
      </c>
      <c r="M752" s="1" t="s">
        <v>45</v>
      </c>
      <c r="N752" s="1" t="s">
        <v>67</v>
      </c>
      <c r="O752" s="1" t="s">
        <v>68</v>
      </c>
      <c r="P752" s="1" t="s">
        <v>69</v>
      </c>
      <c r="Q752" s="1" t="s">
        <v>70</v>
      </c>
      <c r="R752" s="1" t="s">
        <v>50</v>
      </c>
      <c r="S752" s="1">
        <v>318</v>
      </c>
      <c r="T752" s="1">
        <v>0</v>
      </c>
      <c r="U752" s="13">
        <v>4.3749999999999997E-2</v>
      </c>
      <c r="V752" s="11">
        <v>1540</v>
      </c>
      <c r="W752" s="11">
        <v>0</v>
      </c>
      <c r="X752" s="8">
        <v>1540</v>
      </c>
      <c r="Y752" s="1" t="s">
        <v>51</v>
      </c>
      <c r="Z752" s="11">
        <v>870</v>
      </c>
      <c r="AA752" s="11">
        <v>670</v>
      </c>
      <c r="AB752" s="1">
        <v>0</v>
      </c>
      <c r="AC752" s="1">
        <v>0</v>
      </c>
      <c r="AD752" s="1">
        <v>0</v>
      </c>
      <c r="AE752" s="1">
        <v>0</v>
      </c>
      <c r="AF752" s="1"/>
      <c r="AG752" s="1">
        <v>0</v>
      </c>
      <c r="AH752" s="1">
        <v>0</v>
      </c>
      <c r="AI752" s="1">
        <v>0</v>
      </c>
      <c r="AJ752" s="1">
        <v>0</v>
      </c>
      <c r="AK752" s="1">
        <v>2.1172</v>
      </c>
      <c r="AL752" s="1">
        <v>2.1172</v>
      </c>
      <c r="AM752" s="1">
        <v>2.1172</v>
      </c>
    </row>
    <row r="753" spans="1:39" x14ac:dyDescent="0.3">
      <c r="A753" s="21" t="str">
        <f t="shared" si="11"/>
        <v>HFA852LCPH2026-01-16</v>
      </c>
      <c r="B753" t="str">
        <f>VLOOKUP(A753,Sheet1!A753:B2095,1,FALSE)</f>
        <v>HFA852LCPH2026-01-16</v>
      </c>
      <c r="C753" s="3">
        <v>46038</v>
      </c>
      <c r="D753" s="1" t="s">
        <v>71</v>
      </c>
      <c r="E753" s="1" t="s">
        <v>38</v>
      </c>
      <c r="F753" s="1"/>
      <c r="G753" s="1" t="s">
        <v>39</v>
      </c>
      <c r="H753" s="1" t="s">
        <v>222</v>
      </c>
      <c r="I753" s="1" t="s">
        <v>67</v>
      </c>
      <c r="J753" s="1" t="s">
        <v>68</v>
      </c>
      <c r="K753" s="1" t="s">
        <v>69</v>
      </c>
      <c r="L753" s="1" t="s">
        <v>70</v>
      </c>
      <c r="M753" s="1" t="s">
        <v>50</v>
      </c>
      <c r="N753" s="1" t="s">
        <v>41</v>
      </c>
      <c r="O753" s="1" t="s">
        <v>42</v>
      </c>
      <c r="P753" s="1" t="s">
        <v>43</v>
      </c>
      <c r="Q753" s="1" t="s">
        <v>44</v>
      </c>
      <c r="R753" s="1" t="s">
        <v>45</v>
      </c>
      <c r="S753" s="1">
        <v>318</v>
      </c>
      <c r="T753" s="1">
        <v>0</v>
      </c>
      <c r="U753" s="13">
        <v>3.8194444444444448E-2</v>
      </c>
      <c r="V753" s="11">
        <v>870</v>
      </c>
      <c r="W753" s="11">
        <v>1330</v>
      </c>
      <c r="X753" s="8">
        <v>2200</v>
      </c>
      <c r="Y753" s="1" t="s">
        <v>51</v>
      </c>
      <c r="Z753" s="11">
        <v>1670</v>
      </c>
      <c r="AA753" s="11">
        <v>530</v>
      </c>
      <c r="AB753" s="1">
        <v>0</v>
      </c>
      <c r="AC753" s="1">
        <v>0</v>
      </c>
      <c r="AD753" s="1">
        <v>0</v>
      </c>
      <c r="AE753" s="1">
        <v>0</v>
      </c>
      <c r="AF753" s="1"/>
      <c r="AG753" s="1">
        <v>0</v>
      </c>
      <c r="AH753" s="1">
        <v>0</v>
      </c>
      <c r="AI753" s="1">
        <v>0</v>
      </c>
      <c r="AJ753" s="1">
        <v>0</v>
      </c>
      <c r="AK753" s="1">
        <v>1.6748000000000001</v>
      </c>
      <c r="AL753" s="1">
        <v>1.6748000000000001</v>
      </c>
      <c r="AM753" s="1">
        <v>1.6748000000000001</v>
      </c>
    </row>
    <row r="754" spans="1:39" x14ac:dyDescent="0.3">
      <c r="A754" s="21" t="str">
        <f t="shared" si="11"/>
        <v>HFA853LLHA2026-01-17</v>
      </c>
      <c r="B754" t="str">
        <f>VLOOKUP(A754,Sheet1!A754:B2096,1,FALSE)</f>
        <v>HFA853LLHA2026-01-17</v>
      </c>
      <c r="C754" s="3">
        <v>46039</v>
      </c>
      <c r="D754" s="1" t="s">
        <v>223</v>
      </c>
      <c r="E754" s="1" t="s">
        <v>38</v>
      </c>
      <c r="F754" s="1"/>
      <c r="G754" s="1" t="s">
        <v>39</v>
      </c>
      <c r="H754" s="1" t="s">
        <v>222</v>
      </c>
      <c r="I754" s="1" t="s">
        <v>41</v>
      </c>
      <c r="J754" s="1" t="s">
        <v>42</v>
      </c>
      <c r="K754" s="1" t="s">
        <v>43</v>
      </c>
      <c r="L754" s="1" t="s">
        <v>44</v>
      </c>
      <c r="M754" s="1" t="s">
        <v>45</v>
      </c>
      <c r="N754" s="1" t="s">
        <v>67</v>
      </c>
      <c r="O754" s="1" t="s">
        <v>68</v>
      </c>
      <c r="P754" s="1" t="s">
        <v>69</v>
      </c>
      <c r="Q754" s="1" t="s">
        <v>70</v>
      </c>
      <c r="R754" s="1" t="s">
        <v>50</v>
      </c>
      <c r="S754" s="1">
        <v>318</v>
      </c>
      <c r="T754" s="1">
        <v>0</v>
      </c>
      <c r="U754" s="13">
        <v>3.8194444444444448E-2</v>
      </c>
      <c r="V754" s="11">
        <v>1670</v>
      </c>
      <c r="W754" s="11">
        <v>-30</v>
      </c>
      <c r="X754" s="8">
        <v>1640</v>
      </c>
      <c r="Y754" s="1" t="s">
        <v>51</v>
      </c>
      <c r="Z754" s="11">
        <v>1000</v>
      </c>
      <c r="AA754" s="11">
        <v>640</v>
      </c>
      <c r="AB754" s="1">
        <v>0</v>
      </c>
      <c r="AC754" s="1">
        <v>0</v>
      </c>
      <c r="AD754" s="1">
        <v>0</v>
      </c>
      <c r="AE754" s="1">
        <v>0</v>
      </c>
      <c r="AF754" s="1"/>
      <c r="AG754" s="1">
        <v>0</v>
      </c>
      <c r="AH754" s="1">
        <v>0</v>
      </c>
      <c r="AI754" s="1">
        <v>0</v>
      </c>
      <c r="AJ754" s="1">
        <v>0</v>
      </c>
      <c r="AK754" s="1">
        <v>2.0224000000000002</v>
      </c>
      <c r="AL754" s="1">
        <v>2.0224000000000002</v>
      </c>
      <c r="AM754" s="1">
        <v>2.0224000000000002</v>
      </c>
    </row>
    <row r="755" spans="1:39" x14ac:dyDescent="0.3">
      <c r="A755" s="21" t="str">
        <f t="shared" si="11"/>
        <v>HFA854LCPH2026-01-17</v>
      </c>
      <c r="B755" t="str">
        <f>VLOOKUP(A755,Sheet1!A755:B2097,1,FALSE)</f>
        <v>HFA854LCPH2026-01-17</v>
      </c>
      <c r="C755" s="3">
        <v>46039</v>
      </c>
      <c r="D755" s="1" t="s">
        <v>224</v>
      </c>
      <c r="E755" s="1" t="s">
        <v>38</v>
      </c>
      <c r="F755" s="1"/>
      <c r="G755" s="1" t="s">
        <v>39</v>
      </c>
      <c r="H755" s="1" t="s">
        <v>222</v>
      </c>
      <c r="I755" s="1" t="s">
        <v>67</v>
      </c>
      <c r="J755" s="1" t="s">
        <v>68</v>
      </c>
      <c r="K755" s="1" t="s">
        <v>69</v>
      </c>
      <c r="L755" s="1" t="s">
        <v>70</v>
      </c>
      <c r="M755" s="1" t="s">
        <v>50</v>
      </c>
      <c r="N755" s="1" t="s">
        <v>41</v>
      </c>
      <c r="O755" s="1" t="s">
        <v>42</v>
      </c>
      <c r="P755" s="1" t="s">
        <v>43</v>
      </c>
      <c r="Q755" s="1" t="s">
        <v>44</v>
      </c>
      <c r="R755" s="1" t="s">
        <v>45</v>
      </c>
      <c r="S755" s="1">
        <v>318</v>
      </c>
      <c r="T755" s="1">
        <v>0</v>
      </c>
      <c r="U755" s="13">
        <v>4.5138888888888888E-2</v>
      </c>
      <c r="V755" s="11">
        <v>1000</v>
      </c>
      <c r="W755" s="11">
        <v>1400</v>
      </c>
      <c r="X755" s="8">
        <v>2400</v>
      </c>
      <c r="Y755" s="1" t="s">
        <v>51</v>
      </c>
      <c r="Z755" s="11">
        <v>1830</v>
      </c>
      <c r="AA755" s="11">
        <v>570</v>
      </c>
      <c r="AB755" s="1">
        <v>0</v>
      </c>
      <c r="AC755" s="1">
        <v>0</v>
      </c>
      <c r="AD755" s="1">
        <v>0</v>
      </c>
      <c r="AE755" s="1">
        <v>0</v>
      </c>
      <c r="AF755" s="1"/>
      <c r="AG755" s="1">
        <v>0</v>
      </c>
      <c r="AH755" s="1">
        <v>0</v>
      </c>
      <c r="AI755" s="1">
        <v>0</v>
      </c>
      <c r="AJ755" s="1">
        <v>0</v>
      </c>
      <c r="AK755" s="1">
        <v>1.8011999999999999</v>
      </c>
      <c r="AL755" s="1">
        <v>1.8011999999999999</v>
      </c>
      <c r="AM755" s="1">
        <v>1.8011999999999999</v>
      </c>
    </row>
    <row r="756" spans="1:39" x14ac:dyDescent="0.3">
      <c r="A756" s="21" t="str">
        <f t="shared" si="11"/>
        <v>HFA603LLHA2026-01-17</v>
      </c>
      <c r="B756" t="e">
        <f>VLOOKUP(A756,Sheet1!A756:B2098,1,FALSE)</f>
        <v>#N/A</v>
      </c>
      <c r="C756" s="3">
        <v>46039</v>
      </c>
      <c r="D756" s="1" t="s">
        <v>72</v>
      </c>
      <c r="E756" s="1" t="s">
        <v>38</v>
      </c>
      <c r="F756" s="1" t="s">
        <v>54</v>
      </c>
      <c r="G756" s="1" t="s">
        <v>39</v>
      </c>
      <c r="H756" s="1" t="s">
        <v>222</v>
      </c>
      <c r="I756" s="1" t="s">
        <v>41</v>
      </c>
      <c r="J756" s="1" t="s">
        <v>42</v>
      </c>
      <c r="K756" s="1" t="s">
        <v>43</v>
      </c>
      <c r="L756" s="1" t="s">
        <v>44</v>
      </c>
      <c r="M756" s="1" t="s">
        <v>45</v>
      </c>
      <c r="N756" s="1" t="s">
        <v>41</v>
      </c>
      <c r="O756" s="1" t="s">
        <v>58</v>
      </c>
      <c r="P756" s="1" t="s">
        <v>59</v>
      </c>
      <c r="Q756" s="1" t="s">
        <v>60</v>
      </c>
      <c r="R756" s="1" t="s">
        <v>45</v>
      </c>
      <c r="S756" s="1">
        <v>342</v>
      </c>
      <c r="T756" s="1">
        <v>0</v>
      </c>
      <c r="U756" s="13">
        <v>4.0972222222222222E-2</v>
      </c>
      <c r="V756" s="11">
        <v>1830</v>
      </c>
      <c r="W756" s="11">
        <v>0</v>
      </c>
      <c r="X756" s="8">
        <v>1830</v>
      </c>
      <c r="Y756" s="1" t="s">
        <v>51</v>
      </c>
      <c r="Z756" s="11">
        <v>1130</v>
      </c>
      <c r="AA756" s="11">
        <v>700</v>
      </c>
      <c r="AB756" s="1">
        <v>0</v>
      </c>
      <c r="AC756" s="1">
        <v>0</v>
      </c>
      <c r="AD756" s="1">
        <v>0</v>
      </c>
      <c r="AE756" s="1">
        <v>0</v>
      </c>
      <c r="AF756" s="1"/>
      <c r="AG756" s="1">
        <v>0</v>
      </c>
      <c r="AH756" s="1">
        <v>0</v>
      </c>
      <c r="AI756" s="1">
        <v>0</v>
      </c>
      <c r="AJ756" s="1">
        <v>0</v>
      </c>
      <c r="AK756" s="1">
        <v>2.2120000000000002</v>
      </c>
      <c r="AL756" s="1">
        <v>2.2120000000000002</v>
      </c>
      <c r="AM756" s="1">
        <v>2.2120000000000002</v>
      </c>
    </row>
    <row r="757" spans="1:39" x14ac:dyDescent="0.3">
      <c r="A757" s="21" t="str">
        <f t="shared" si="11"/>
        <v>HFA604LLER2026-01-17</v>
      </c>
      <c r="B757" t="e">
        <f>VLOOKUP(A757,Sheet1!A757:B2099,1,FALSE)</f>
        <v>#N/A</v>
      </c>
      <c r="C757" s="3">
        <v>46039</v>
      </c>
      <c r="D757" s="1" t="s">
        <v>73</v>
      </c>
      <c r="E757" s="1" t="s">
        <v>38</v>
      </c>
      <c r="F757" s="1" t="s">
        <v>54</v>
      </c>
      <c r="G757" s="1" t="s">
        <v>39</v>
      </c>
      <c r="H757" s="1" t="s">
        <v>222</v>
      </c>
      <c r="I757" s="1" t="s">
        <v>41</v>
      </c>
      <c r="J757" s="1" t="s">
        <v>58</v>
      </c>
      <c r="K757" s="1" t="s">
        <v>59</v>
      </c>
      <c r="L757" s="1" t="s">
        <v>60</v>
      </c>
      <c r="M757" s="1" t="s">
        <v>45</v>
      </c>
      <c r="N757" s="1" t="s">
        <v>41</v>
      </c>
      <c r="O757" s="1" t="s">
        <v>42</v>
      </c>
      <c r="P757" s="1" t="s">
        <v>43</v>
      </c>
      <c r="Q757" s="1" t="s">
        <v>44</v>
      </c>
      <c r="R757" s="1" t="s">
        <v>45</v>
      </c>
      <c r="S757" s="1">
        <v>342</v>
      </c>
      <c r="T757" s="1">
        <v>0</v>
      </c>
      <c r="U757" s="13">
        <v>4.7222222222222221E-2</v>
      </c>
      <c r="V757" s="11">
        <v>1130</v>
      </c>
      <c r="W757" s="11">
        <v>1070</v>
      </c>
      <c r="X757" s="8">
        <v>2200</v>
      </c>
      <c r="Y757" s="1" t="s">
        <v>51</v>
      </c>
      <c r="Z757" s="11">
        <v>1530</v>
      </c>
      <c r="AA757" s="11">
        <v>670</v>
      </c>
      <c r="AB757" s="1">
        <v>0</v>
      </c>
      <c r="AC757" s="1">
        <v>0</v>
      </c>
      <c r="AD757" s="1">
        <v>0</v>
      </c>
      <c r="AE757" s="1">
        <v>0</v>
      </c>
      <c r="AF757" s="1"/>
      <c r="AG757" s="1">
        <v>0</v>
      </c>
      <c r="AH757" s="1">
        <v>0</v>
      </c>
      <c r="AI757" s="1">
        <v>0</v>
      </c>
      <c r="AJ757" s="1">
        <v>0</v>
      </c>
      <c r="AK757" s="1">
        <v>2.1172</v>
      </c>
      <c r="AL757" s="1">
        <v>2.1172</v>
      </c>
      <c r="AM757" s="1">
        <v>2.1172</v>
      </c>
    </row>
    <row r="758" spans="1:39" x14ac:dyDescent="0.3">
      <c r="A758" s="21" t="str">
        <f t="shared" si="11"/>
        <v>HFA801LLHA2026-01-18</v>
      </c>
      <c r="B758" t="e">
        <f>VLOOKUP(A758,Sheet1!A758:B2100,1,FALSE)</f>
        <v>#N/A</v>
      </c>
      <c r="C758" s="3">
        <v>46040</v>
      </c>
      <c r="D758" s="1" t="s">
        <v>133</v>
      </c>
      <c r="E758" s="1" t="s">
        <v>38</v>
      </c>
      <c r="F758" s="1"/>
      <c r="G758" s="1" t="s">
        <v>39</v>
      </c>
      <c r="H758" s="1" t="s">
        <v>222</v>
      </c>
      <c r="I758" s="1" t="s">
        <v>41</v>
      </c>
      <c r="J758" s="1" t="s">
        <v>42</v>
      </c>
      <c r="K758" s="1" t="s">
        <v>43</v>
      </c>
      <c r="L758" s="1" t="s">
        <v>44</v>
      </c>
      <c r="M758" s="1" t="s">
        <v>45</v>
      </c>
      <c r="N758" s="1" t="s">
        <v>67</v>
      </c>
      <c r="O758" s="1" t="s">
        <v>86</v>
      </c>
      <c r="P758" s="1" t="s">
        <v>87</v>
      </c>
      <c r="Q758" s="1" t="s">
        <v>88</v>
      </c>
      <c r="R758" s="1" t="s">
        <v>50</v>
      </c>
      <c r="S758" s="1">
        <v>264</v>
      </c>
      <c r="T758" s="1">
        <v>0</v>
      </c>
      <c r="U758" s="13">
        <v>3.8194444444444448E-2</v>
      </c>
      <c r="V758" s="11">
        <v>1530</v>
      </c>
      <c r="W758" s="11">
        <v>-30</v>
      </c>
      <c r="X758" s="8">
        <v>1500</v>
      </c>
      <c r="Y758" s="1" t="s">
        <v>51</v>
      </c>
      <c r="Z758" s="11">
        <v>930</v>
      </c>
      <c r="AA758" s="11">
        <v>570</v>
      </c>
      <c r="AB758" s="1">
        <v>0</v>
      </c>
      <c r="AC758" s="1">
        <v>0</v>
      </c>
      <c r="AD758" s="1">
        <v>0</v>
      </c>
      <c r="AE758" s="1">
        <v>0</v>
      </c>
      <c r="AF758" s="1"/>
      <c r="AG758" s="1">
        <v>0</v>
      </c>
      <c r="AH758" s="1">
        <v>0</v>
      </c>
      <c r="AI758" s="1">
        <v>0</v>
      </c>
      <c r="AJ758" s="1">
        <v>0</v>
      </c>
      <c r="AK758" s="1">
        <v>1.8011999999999999</v>
      </c>
      <c r="AL758" s="1">
        <v>1.8011999999999999</v>
      </c>
      <c r="AM758" s="1">
        <v>1.8011999999999999</v>
      </c>
    </row>
    <row r="759" spans="1:39" x14ac:dyDescent="0.3">
      <c r="A759" s="21" t="str">
        <f t="shared" si="11"/>
        <v>HFA802LCLK2026-01-18</v>
      </c>
      <c r="B759" t="e">
        <f>VLOOKUP(A759,Sheet1!A759:B2101,1,FALSE)</f>
        <v>#N/A</v>
      </c>
      <c r="C759" s="3">
        <v>46040</v>
      </c>
      <c r="D759" s="1" t="s">
        <v>135</v>
      </c>
      <c r="E759" s="1" t="s">
        <v>38</v>
      </c>
      <c r="F759" s="1"/>
      <c r="G759" s="1" t="s">
        <v>39</v>
      </c>
      <c r="H759" s="1" t="s">
        <v>222</v>
      </c>
      <c r="I759" s="1" t="s">
        <v>67</v>
      </c>
      <c r="J759" s="1" t="s">
        <v>86</v>
      </c>
      <c r="K759" s="1" t="s">
        <v>87</v>
      </c>
      <c r="L759" s="1" t="s">
        <v>88</v>
      </c>
      <c r="M759" s="1" t="s">
        <v>50</v>
      </c>
      <c r="N759" s="1" t="s">
        <v>41</v>
      </c>
      <c r="O759" s="1" t="s">
        <v>42</v>
      </c>
      <c r="P759" s="1" t="s">
        <v>43</v>
      </c>
      <c r="Q759" s="1" t="s">
        <v>44</v>
      </c>
      <c r="R759" s="1" t="s">
        <v>45</v>
      </c>
      <c r="S759" s="1">
        <v>264</v>
      </c>
      <c r="T759" s="1">
        <v>0</v>
      </c>
      <c r="U759" s="13">
        <v>4.4444444444444439E-2</v>
      </c>
      <c r="V759" s="11">
        <v>930</v>
      </c>
      <c r="W759" s="11">
        <v>1170</v>
      </c>
      <c r="X759" s="8">
        <v>2100</v>
      </c>
      <c r="Y759" s="1" t="s">
        <v>51</v>
      </c>
      <c r="Z759" s="11">
        <v>1530</v>
      </c>
      <c r="AA759" s="11">
        <v>570</v>
      </c>
      <c r="AB759" s="1">
        <v>0</v>
      </c>
      <c r="AC759" s="1">
        <v>0</v>
      </c>
      <c r="AD759" s="1">
        <v>0</v>
      </c>
      <c r="AE759" s="1">
        <v>0</v>
      </c>
      <c r="AF759" s="1"/>
      <c r="AG759" s="1">
        <v>0</v>
      </c>
      <c r="AH759" s="1">
        <v>0</v>
      </c>
      <c r="AI759" s="1">
        <v>0</v>
      </c>
      <c r="AJ759" s="1">
        <v>0</v>
      </c>
      <c r="AK759" s="1">
        <v>1.8011999999999999</v>
      </c>
      <c r="AL759" s="1">
        <v>1.8011999999999999</v>
      </c>
      <c r="AM759" s="1">
        <v>1.8011999999999999</v>
      </c>
    </row>
    <row r="760" spans="1:39" x14ac:dyDescent="0.3">
      <c r="A760" s="21" t="str">
        <f t="shared" si="11"/>
        <v>HFA803LLHA2026-01-18</v>
      </c>
      <c r="B760" t="e">
        <f>VLOOKUP(A760,Sheet1!A760:B2102,1,FALSE)</f>
        <v>#N/A</v>
      </c>
      <c r="C760" s="3">
        <v>46040</v>
      </c>
      <c r="D760" s="1" t="s">
        <v>116</v>
      </c>
      <c r="E760" s="1" t="s">
        <v>38</v>
      </c>
      <c r="F760" s="1"/>
      <c r="G760" s="1" t="s">
        <v>39</v>
      </c>
      <c r="H760" s="1" t="s">
        <v>222</v>
      </c>
      <c r="I760" s="1" t="s">
        <v>41</v>
      </c>
      <c r="J760" s="1" t="s">
        <v>42</v>
      </c>
      <c r="K760" s="1" t="s">
        <v>43</v>
      </c>
      <c r="L760" s="1" t="s">
        <v>44</v>
      </c>
      <c r="M760" s="1" t="s">
        <v>45</v>
      </c>
      <c r="N760" s="1" t="s">
        <v>67</v>
      </c>
      <c r="O760" s="1" t="s">
        <v>86</v>
      </c>
      <c r="P760" s="1" t="s">
        <v>87</v>
      </c>
      <c r="Q760" s="1" t="s">
        <v>88</v>
      </c>
      <c r="R760" s="1" t="s">
        <v>50</v>
      </c>
      <c r="S760" s="1">
        <v>264</v>
      </c>
      <c r="T760" s="1">
        <v>0</v>
      </c>
      <c r="U760" s="13">
        <v>4.027777777777778E-2</v>
      </c>
      <c r="V760" s="11">
        <v>1530</v>
      </c>
      <c r="W760" s="11">
        <v>0</v>
      </c>
      <c r="X760" s="8">
        <v>1530</v>
      </c>
      <c r="Y760" s="1" t="s">
        <v>51</v>
      </c>
      <c r="Z760" s="11">
        <v>940</v>
      </c>
      <c r="AA760" s="11">
        <v>590</v>
      </c>
      <c r="AB760" s="1">
        <v>0</v>
      </c>
      <c r="AC760" s="1">
        <v>0</v>
      </c>
      <c r="AD760" s="1">
        <v>0</v>
      </c>
      <c r="AE760" s="1">
        <v>0</v>
      </c>
      <c r="AF760" s="1"/>
      <c r="AG760" s="1">
        <v>0</v>
      </c>
      <c r="AH760" s="1">
        <v>0</v>
      </c>
      <c r="AI760" s="1">
        <v>0</v>
      </c>
      <c r="AJ760" s="1">
        <v>0</v>
      </c>
      <c r="AK760" s="1">
        <v>1.8644000000000001</v>
      </c>
      <c r="AL760" s="1">
        <v>1.8644000000000001</v>
      </c>
      <c r="AM760" s="1">
        <v>1.8644000000000001</v>
      </c>
    </row>
    <row r="761" spans="1:39" x14ac:dyDescent="0.3">
      <c r="A761" s="21" t="str">
        <f t="shared" si="11"/>
        <v>HFA804LCLK2026-01-18</v>
      </c>
      <c r="B761" t="e">
        <f>VLOOKUP(A761,Sheet1!A761:B2103,1,FALSE)</f>
        <v>#N/A</v>
      </c>
      <c r="C761" s="3">
        <v>46040</v>
      </c>
      <c r="D761" s="1" t="s">
        <v>117</v>
      </c>
      <c r="E761" s="1" t="s">
        <v>38</v>
      </c>
      <c r="F761" s="1"/>
      <c r="G761" s="1" t="s">
        <v>39</v>
      </c>
      <c r="H761" s="1" t="s">
        <v>222</v>
      </c>
      <c r="I761" s="1" t="s">
        <v>67</v>
      </c>
      <c r="J761" s="1" t="s">
        <v>86</v>
      </c>
      <c r="K761" s="1" t="s">
        <v>87</v>
      </c>
      <c r="L761" s="1" t="s">
        <v>88</v>
      </c>
      <c r="M761" s="1" t="s">
        <v>50</v>
      </c>
      <c r="N761" s="1" t="s">
        <v>41</v>
      </c>
      <c r="O761" s="1" t="s">
        <v>42</v>
      </c>
      <c r="P761" s="1" t="s">
        <v>43</v>
      </c>
      <c r="Q761" s="1" t="s">
        <v>44</v>
      </c>
      <c r="R761" s="1" t="s">
        <v>45</v>
      </c>
      <c r="S761" s="1">
        <v>264</v>
      </c>
      <c r="T761" s="1">
        <v>0</v>
      </c>
      <c r="U761" s="13">
        <v>3.8194444444444448E-2</v>
      </c>
      <c r="V761" s="11">
        <v>940</v>
      </c>
      <c r="W761" s="11">
        <v>1160</v>
      </c>
      <c r="X761" s="8">
        <v>2100</v>
      </c>
      <c r="Y761" s="1" t="s">
        <v>51</v>
      </c>
      <c r="Z761" s="11">
        <v>1600</v>
      </c>
      <c r="AA761" s="11">
        <v>500</v>
      </c>
      <c r="AB761" s="1">
        <v>0</v>
      </c>
      <c r="AC761" s="1">
        <v>0</v>
      </c>
      <c r="AD761" s="1">
        <v>0</v>
      </c>
      <c r="AE761" s="1">
        <v>0</v>
      </c>
      <c r="AF761" s="1"/>
      <c r="AG761" s="1">
        <v>0</v>
      </c>
      <c r="AH761" s="1">
        <v>0</v>
      </c>
      <c r="AI761" s="1">
        <v>0</v>
      </c>
      <c r="AJ761" s="1">
        <v>0</v>
      </c>
      <c r="AK761" s="1">
        <v>1.58</v>
      </c>
      <c r="AL761" s="1">
        <v>1.58</v>
      </c>
      <c r="AM761" s="1">
        <v>1.58</v>
      </c>
    </row>
    <row r="762" spans="1:39" x14ac:dyDescent="0.3">
      <c r="A762" s="21" t="str">
        <f t="shared" si="11"/>
        <v>HFA805LLHA2026-01-18</v>
      </c>
      <c r="B762" t="e">
        <f>VLOOKUP(A762,Sheet1!A762:B2104,1,FALSE)</f>
        <v>#N/A</v>
      </c>
      <c r="C762" s="3">
        <v>46040</v>
      </c>
      <c r="D762" s="1" t="s">
        <v>114</v>
      </c>
      <c r="E762" s="1" t="s">
        <v>38</v>
      </c>
      <c r="F762" s="1"/>
      <c r="G762" s="1" t="s">
        <v>39</v>
      </c>
      <c r="H762" s="1" t="s">
        <v>222</v>
      </c>
      <c r="I762" s="1" t="s">
        <v>41</v>
      </c>
      <c r="J762" s="1" t="s">
        <v>42</v>
      </c>
      <c r="K762" s="1" t="s">
        <v>43</v>
      </c>
      <c r="L762" s="1" t="s">
        <v>44</v>
      </c>
      <c r="M762" s="1" t="s">
        <v>45</v>
      </c>
      <c r="N762" s="1" t="s">
        <v>67</v>
      </c>
      <c r="O762" s="1" t="s">
        <v>86</v>
      </c>
      <c r="P762" s="1" t="s">
        <v>87</v>
      </c>
      <c r="Q762" s="1" t="s">
        <v>88</v>
      </c>
      <c r="R762" s="1" t="s">
        <v>50</v>
      </c>
      <c r="S762" s="1">
        <v>264</v>
      </c>
      <c r="T762" s="1">
        <v>0</v>
      </c>
      <c r="U762" s="13">
        <v>3.6805555555555557E-2</v>
      </c>
      <c r="V762" s="11">
        <v>1600</v>
      </c>
      <c r="W762" s="11">
        <v>-10</v>
      </c>
      <c r="X762" s="8">
        <v>1590</v>
      </c>
      <c r="Y762" s="1" t="s">
        <v>51</v>
      </c>
      <c r="Z762" s="11">
        <v>1020</v>
      </c>
      <c r="AA762" s="11">
        <v>570</v>
      </c>
      <c r="AB762" s="1">
        <v>0</v>
      </c>
      <c r="AC762" s="1">
        <v>0</v>
      </c>
      <c r="AD762" s="1">
        <v>0</v>
      </c>
      <c r="AE762" s="1">
        <v>0</v>
      </c>
      <c r="AF762" s="1"/>
      <c r="AG762" s="1">
        <v>0</v>
      </c>
      <c r="AH762" s="1">
        <v>0</v>
      </c>
      <c r="AI762" s="1">
        <v>0</v>
      </c>
      <c r="AJ762" s="1">
        <v>0</v>
      </c>
      <c r="AK762" s="1">
        <v>1.8011999999999999</v>
      </c>
      <c r="AL762" s="1">
        <v>1.8011999999999999</v>
      </c>
      <c r="AM762" s="1">
        <v>1.8011999999999999</v>
      </c>
    </row>
    <row r="763" spans="1:39" x14ac:dyDescent="0.3">
      <c r="A763" s="21" t="str">
        <f t="shared" si="11"/>
        <v>HFA806LCLK2026-01-18</v>
      </c>
      <c r="B763" t="e">
        <f>VLOOKUP(A763,Sheet1!A763:B2105,1,FALSE)</f>
        <v>#N/A</v>
      </c>
      <c r="C763" s="3">
        <v>46040</v>
      </c>
      <c r="D763" s="1" t="s">
        <v>115</v>
      </c>
      <c r="E763" s="1" t="s">
        <v>38</v>
      </c>
      <c r="F763" s="1"/>
      <c r="G763" s="1" t="s">
        <v>39</v>
      </c>
      <c r="H763" s="1" t="s">
        <v>222</v>
      </c>
      <c r="I763" s="1" t="s">
        <v>67</v>
      </c>
      <c r="J763" s="1" t="s">
        <v>86</v>
      </c>
      <c r="K763" s="1" t="s">
        <v>87</v>
      </c>
      <c r="L763" s="1" t="s">
        <v>88</v>
      </c>
      <c r="M763" s="1" t="s">
        <v>50</v>
      </c>
      <c r="N763" s="1" t="s">
        <v>41</v>
      </c>
      <c r="O763" s="1" t="s">
        <v>42</v>
      </c>
      <c r="P763" s="1" t="s">
        <v>43</v>
      </c>
      <c r="Q763" s="1" t="s">
        <v>44</v>
      </c>
      <c r="R763" s="1" t="s">
        <v>45</v>
      </c>
      <c r="S763" s="1">
        <v>264</v>
      </c>
      <c r="T763" s="1">
        <v>0</v>
      </c>
      <c r="U763" s="13">
        <v>3.6111111111111108E-2</v>
      </c>
      <c r="V763" s="11">
        <v>1020</v>
      </c>
      <c r="W763" s="11">
        <v>1180</v>
      </c>
      <c r="X763" s="8">
        <v>2200</v>
      </c>
      <c r="Y763" s="1" t="s">
        <v>51</v>
      </c>
      <c r="Z763" s="11">
        <v>1740</v>
      </c>
      <c r="AA763" s="11">
        <v>460</v>
      </c>
      <c r="AB763" s="1">
        <v>0</v>
      </c>
      <c r="AC763" s="1">
        <v>0</v>
      </c>
      <c r="AD763" s="1">
        <v>0</v>
      </c>
      <c r="AE763" s="1">
        <v>0</v>
      </c>
      <c r="AF763" s="1"/>
      <c r="AG763" s="1">
        <v>0</v>
      </c>
      <c r="AH763" s="1">
        <v>0</v>
      </c>
      <c r="AI763" s="1">
        <v>0</v>
      </c>
      <c r="AJ763" s="1">
        <v>0</v>
      </c>
      <c r="AK763" s="1">
        <v>1.4536</v>
      </c>
      <c r="AL763" s="1">
        <v>1.4536</v>
      </c>
      <c r="AM763" s="1">
        <v>1.4536</v>
      </c>
    </row>
    <row r="764" spans="1:39" x14ac:dyDescent="0.3">
      <c r="A764" s="21" t="str">
        <f t="shared" si="11"/>
        <v>HFA807LLHA2026-01-18</v>
      </c>
      <c r="B764" t="str">
        <f>VLOOKUP(A764,Sheet1!A764:B2106,1,FALSE)</f>
        <v>HFA807LLHA2026-01-18</v>
      </c>
      <c r="C764" s="3">
        <v>46040</v>
      </c>
      <c r="D764" s="1" t="s">
        <v>118</v>
      </c>
      <c r="E764" s="1" t="s">
        <v>38</v>
      </c>
      <c r="F764" s="1"/>
      <c r="G764" s="1" t="s">
        <v>39</v>
      </c>
      <c r="H764" s="1" t="s">
        <v>222</v>
      </c>
      <c r="I764" s="1" t="s">
        <v>41</v>
      </c>
      <c r="J764" s="1" t="s">
        <v>42</v>
      </c>
      <c r="K764" s="1" t="s">
        <v>43</v>
      </c>
      <c r="L764" s="1" t="s">
        <v>44</v>
      </c>
      <c r="M764" s="1" t="s">
        <v>45</v>
      </c>
      <c r="N764" s="1" t="s">
        <v>67</v>
      </c>
      <c r="O764" s="1" t="s">
        <v>86</v>
      </c>
      <c r="P764" s="1" t="s">
        <v>87</v>
      </c>
      <c r="Q764" s="1" t="s">
        <v>88</v>
      </c>
      <c r="R764" s="1" t="s">
        <v>50</v>
      </c>
      <c r="S764" s="1">
        <v>264</v>
      </c>
      <c r="T764" s="1">
        <v>0</v>
      </c>
      <c r="U764" s="13">
        <v>3.8194444444444448E-2</v>
      </c>
      <c r="V764" s="11">
        <v>1740</v>
      </c>
      <c r="W764" s="11">
        <v>0</v>
      </c>
      <c r="X764" s="8">
        <v>1740</v>
      </c>
      <c r="Y764" s="1" t="s">
        <v>51</v>
      </c>
      <c r="Z764" s="11">
        <v>1160</v>
      </c>
      <c r="AA764" s="11">
        <v>580</v>
      </c>
      <c r="AB764" s="1">
        <v>0</v>
      </c>
      <c r="AC764" s="1">
        <v>0</v>
      </c>
      <c r="AD764" s="1">
        <v>0</v>
      </c>
      <c r="AE764" s="1">
        <v>0</v>
      </c>
      <c r="AF764" s="1"/>
      <c r="AG764" s="1">
        <v>0</v>
      </c>
      <c r="AH764" s="1">
        <v>0</v>
      </c>
      <c r="AI764" s="1">
        <v>0</v>
      </c>
      <c r="AJ764" s="1">
        <v>0</v>
      </c>
      <c r="AK764" s="1">
        <v>1.8328</v>
      </c>
      <c r="AL764" s="1">
        <v>1.8328</v>
      </c>
      <c r="AM764" s="1">
        <v>1.8328</v>
      </c>
    </row>
    <row r="765" spans="1:39" x14ac:dyDescent="0.3">
      <c r="A765" s="21" t="str">
        <f t="shared" si="11"/>
        <v>HFA808LCLK2026-01-18</v>
      </c>
      <c r="B765" t="str">
        <f>VLOOKUP(A765,Sheet1!A765:B2107,1,FALSE)</f>
        <v>HFA808LCLK2026-01-18</v>
      </c>
      <c r="C765" s="3">
        <v>46040</v>
      </c>
      <c r="D765" s="1" t="s">
        <v>119</v>
      </c>
      <c r="E765" s="1" t="s">
        <v>38</v>
      </c>
      <c r="F765" s="1"/>
      <c r="G765" s="1" t="s">
        <v>39</v>
      </c>
      <c r="H765" s="1" t="s">
        <v>222</v>
      </c>
      <c r="I765" s="1" t="s">
        <v>67</v>
      </c>
      <c r="J765" s="1" t="s">
        <v>86</v>
      </c>
      <c r="K765" s="1" t="s">
        <v>87</v>
      </c>
      <c r="L765" s="1" t="s">
        <v>88</v>
      </c>
      <c r="M765" s="1" t="s">
        <v>50</v>
      </c>
      <c r="N765" s="1" t="s">
        <v>41</v>
      </c>
      <c r="O765" s="1" t="s">
        <v>42</v>
      </c>
      <c r="P765" s="1" t="s">
        <v>43</v>
      </c>
      <c r="Q765" s="1" t="s">
        <v>44</v>
      </c>
      <c r="R765" s="1" t="s">
        <v>45</v>
      </c>
      <c r="S765" s="1">
        <v>264</v>
      </c>
      <c r="T765" s="1">
        <v>0</v>
      </c>
      <c r="U765" s="13">
        <v>3.8194444444444448E-2</v>
      </c>
      <c r="V765" s="11">
        <v>1160</v>
      </c>
      <c r="W765" s="11">
        <v>1440</v>
      </c>
      <c r="X765" s="8">
        <v>2600</v>
      </c>
      <c r="Y765" s="1" t="s">
        <v>51</v>
      </c>
      <c r="Z765" s="11">
        <v>2160</v>
      </c>
      <c r="AA765" s="11">
        <v>440</v>
      </c>
      <c r="AB765" s="1">
        <v>0</v>
      </c>
      <c r="AC765" s="1">
        <v>0</v>
      </c>
      <c r="AD765" s="1">
        <v>0</v>
      </c>
      <c r="AE765" s="1">
        <v>0</v>
      </c>
      <c r="AF765" s="1"/>
      <c r="AG765" s="1">
        <v>0</v>
      </c>
      <c r="AH765" s="1">
        <v>0</v>
      </c>
      <c r="AI765" s="1">
        <v>0</v>
      </c>
      <c r="AJ765" s="1">
        <v>0</v>
      </c>
      <c r="AK765" s="1">
        <v>1.3904000000000001</v>
      </c>
      <c r="AL765" s="1">
        <v>1.3904000000000001</v>
      </c>
      <c r="AM765" s="1">
        <v>1.3904000000000001</v>
      </c>
    </row>
    <row r="766" spans="1:39" x14ac:dyDescent="0.3">
      <c r="A766" s="21" t="str">
        <f t="shared" si="11"/>
        <v>HFA851LLHA2026-01-22</v>
      </c>
      <c r="B766" t="str">
        <f>VLOOKUP(A766,Sheet1!A766:B2108,1,FALSE)</f>
        <v>HFA851LLHA2026-01-22</v>
      </c>
      <c r="C766" s="3">
        <v>46044</v>
      </c>
      <c r="D766" s="1" t="s">
        <v>66</v>
      </c>
      <c r="E766" s="1" t="s">
        <v>38</v>
      </c>
      <c r="F766" s="1"/>
      <c r="G766" s="1" t="s">
        <v>39</v>
      </c>
      <c r="H766" s="1" t="s">
        <v>222</v>
      </c>
      <c r="I766" s="1" t="s">
        <v>41</v>
      </c>
      <c r="J766" s="1" t="s">
        <v>42</v>
      </c>
      <c r="K766" s="1" t="s">
        <v>43</v>
      </c>
      <c r="L766" s="1" t="s">
        <v>44</v>
      </c>
      <c r="M766" s="1" t="s">
        <v>45</v>
      </c>
      <c r="N766" s="1" t="s">
        <v>67</v>
      </c>
      <c r="O766" s="1" t="s">
        <v>68</v>
      </c>
      <c r="P766" s="1" t="s">
        <v>69</v>
      </c>
      <c r="Q766" s="1" t="s">
        <v>70</v>
      </c>
      <c r="R766" s="1" t="s">
        <v>50</v>
      </c>
      <c r="S766" s="1">
        <v>318</v>
      </c>
      <c r="T766" s="1">
        <v>0</v>
      </c>
      <c r="U766" s="13">
        <v>5.347222222222222E-2</v>
      </c>
      <c r="V766" s="11">
        <v>2160</v>
      </c>
      <c r="W766" s="11">
        <v>-80</v>
      </c>
      <c r="X766" s="8">
        <v>2080</v>
      </c>
      <c r="Y766" s="1" t="s">
        <v>51</v>
      </c>
      <c r="Z766" s="11">
        <v>1350</v>
      </c>
      <c r="AA766" s="11">
        <v>730</v>
      </c>
      <c r="AB766" s="1">
        <v>0</v>
      </c>
      <c r="AC766" s="1">
        <v>0</v>
      </c>
      <c r="AD766" s="1">
        <v>0</v>
      </c>
      <c r="AE766" s="1">
        <v>0</v>
      </c>
      <c r="AF766" s="1"/>
      <c r="AG766" s="1">
        <v>0</v>
      </c>
      <c r="AH766" s="1">
        <v>0</v>
      </c>
      <c r="AI766" s="1">
        <v>0</v>
      </c>
      <c r="AJ766" s="1">
        <v>0</v>
      </c>
      <c r="AK766" s="1">
        <v>2.3068</v>
      </c>
      <c r="AL766" s="1">
        <v>2.3068</v>
      </c>
      <c r="AM766" s="1">
        <v>2.3068</v>
      </c>
    </row>
    <row r="767" spans="1:39" x14ac:dyDescent="0.3">
      <c r="A767" s="21" t="str">
        <f t="shared" si="11"/>
        <v>HFA852LCPH2026-01-22</v>
      </c>
      <c r="B767" t="str">
        <f>VLOOKUP(A767,Sheet1!A767:B2109,1,FALSE)</f>
        <v>HFA852LCPH2026-01-22</v>
      </c>
      <c r="C767" s="3">
        <v>46044</v>
      </c>
      <c r="D767" s="1" t="s">
        <v>71</v>
      </c>
      <c r="E767" s="1" t="s">
        <v>38</v>
      </c>
      <c r="F767" s="1"/>
      <c r="G767" s="1" t="s">
        <v>39</v>
      </c>
      <c r="H767" s="1" t="s">
        <v>222</v>
      </c>
      <c r="I767" s="1" t="s">
        <v>67</v>
      </c>
      <c r="J767" s="1" t="s">
        <v>68</v>
      </c>
      <c r="K767" s="1" t="s">
        <v>69</v>
      </c>
      <c r="L767" s="1" t="s">
        <v>70</v>
      </c>
      <c r="M767" s="1" t="s">
        <v>50</v>
      </c>
      <c r="N767" s="1" t="s">
        <v>41</v>
      </c>
      <c r="O767" s="1" t="s">
        <v>42</v>
      </c>
      <c r="P767" s="1" t="s">
        <v>43</v>
      </c>
      <c r="Q767" s="1" t="s">
        <v>44</v>
      </c>
      <c r="R767" s="1" t="s">
        <v>45</v>
      </c>
      <c r="S767" s="1">
        <v>318</v>
      </c>
      <c r="T767" s="1">
        <v>0</v>
      </c>
      <c r="U767" s="13">
        <v>4.7222222222222221E-2</v>
      </c>
      <c r="V767" s="11">
        <v>1350</v>
      </c>
      <c r="W767" s="11">
        <v>950</v>
      </c>
      <c r="X767" s="8">
        <v>2300</v>
      </c>
      <c r="Y767" s="1" t="s">
        <v>51</v>
      </c>
      <c r="Z767" s="11">
        <v>1760</v>
      </c>
      <c r="AA767" s="11">
        <v>540</v>
      </c>
      <c r="AB767" s="1">
        <v>0</v>
      </c>
      <c r="AC767" s="1">
        <v>0</v>
      </c>
      <c r="AD767" s="1">
        <v>0</v>
      </c>
      <c r="AE767" s="1">
        <v>0</v>
      </c>
      <c r="AF767" s="1"/>
      <c r="AG767" s="1">
        <v>0</v>
      </c>
      <c r="AH767" s="1">
        <v>0</v>
      </c>
      <c r="AI767" s="1">
        <v>0</v>
      </c>
      <c r="AJ767" s="1">
        <v>0</v>
      </c>
      <c r="AK767" s="1">
        <v>1.7063999999999999</v>
      </c>
      <c r="AL767" s="1">
        <v>1.7063999999999999</v>
      </c>
      <c r="AM767" s="1">
        <v>1.7063999999999999</v>
      </c>
    </row>
    <row r="768" spans="1:39" x14ac:dyDescent="0.3">
      <c r="A768" s="21" t="str">
        <f t="shared" si="11"/>
        <v>HFA805LLHA2026-01-22</v>
      </c>
      <c r="B768" t="e">
        <f>VLOOKUP(A768,Sheet1!A768:B2110,1,FALSE)</f>
        <v>#N/A</v>
      </c>
      <c r="C768" s="3">
        <v>46044</v>
      </c>
      <c r="D768" s="1" t="s">
        <v>114</v>
      </c>
      <c r="E768" s="1" t="s">
        <v>38</v>
      </c>
      <c r="F768" s="1"/>
      <c r="G768" s="1" t="s">
        <v>39</v>
      </c>
      <c r="H768" s="1" t="s">
        <v>222</v>
      </c>
      <c r="I768" s="1" t="s">
        <v>41</v>
      </c>
      <c r="J768" s="1" t="s">
        <v>42</v>
      </c>
      <c r="K768" s="1" t="s">
        <v>43</v>
      </c>
      <c r="L768" s="1" t="s">
        <v>44</v>
      </c>
      <c r="M768" s="1" t="s">
        <v>45</v>
      </c>
      <c r="N768" s="1" t="s">
        <v>67</v>
      </c>
      <c r="O768" s="1" t="s">
        <v>86</v>
      </c>
      <c r="P768" s="1" t="s">
        <v>87</v>
      </c>
      <c r="Q768" s="1" t="s">
        <v>88</v>
      </c>
      <c r="R768" s="1" t="s">
        <v>50</v>
      </c>
      <c r="S768" s="1">
        <v>264</v>
      </c>
      <c r="T768" s="1">
        <v>0</v>
      </c>
      <c r="U768" s="13">
        <v>3.7499999999999999E-2</v>
      </c>
      <c r="V768" s="11">
        <v>1760</v>
      </c>
      <c r="W768" s="11">
        <v>-20</v>
      </c>
      <c r="X768" s="8">
        <v>1740</v>
      </c>
      <c r="Y768" s="1" t="s">
        <v>51</v>
      </c>
      <c r="Z768" s="11">
        <v>1210</v>
      </c>
      <c r="AA768" s="11">
        <v>530</v>
      </c>
      <c r="AB768" s="1">
        <v>0</v>
      </c>
      <c r="AC768" s="1">
        <v>0</v>
      </c>
      <c r="AD768" s="1">
        <v>0</v>
      </c>
      <c r="AE768" s="1">
        <v>0</v>
      </c>
      <c r="AF768" s="1"/>
      <c r="AG768" s="1">
        <v>0</v>
      </c>
      <c r="AH768" s="1">
        <v>0</v>
      </c>
      <c r="AI768" s="1">
        <v>0</v>
      </c>
      <c r="AJ768" s="1">
        <v>0</v>
      </c>
      <c r="AK768" s="1">
        <v>1.6748000000000001</v>
      </c>
      <c r="AL768" s="1">
        <v>1.6748000000000001</v>
      </c>
      <c r="AM768" s="1">
        <v>1.6748000000000001</v>
      </c>
    </row>
    <row r="769" spans="1:39" x14ac:dyDescent="0.3">
      <c r="A769" s="21" t="str">
        <f t="shared" si="11"/>
        <v>HFA806LCLK2026-01-22</v>
      </c>
      <c r="B769" t="e">
        <f>VLOOKUP(A769,Sheet1!A769:B2111,1,FALSE)</f>
        <v>#N/A</v>
      </c>
      <c r="C769" s="3">
        <v>46044</v>
      </c>
      <c r="D769" s="1" t="s">
        <v>115</v>
      </c>
      <c r="E769" s="1" t="s">
        <v>38</v>
      </c>
      <c r="F769" s="1"/>
      <c r="G769" s="1" t="s">
        <v>39</v>
      </c>
      <c r="H769" s="1" t="s">
        <v>222</v>
      </c>
      <c r="I769" s="1" t="s">
        <v>67</v>
      </c>
      <c r="J769" s="1" t="s">
        <v>86</v>
      </c>
      <c r="K769" s="1" t="s">
        <v>87</v>
      </c>
      <c r="L769" s="1" t="s">
        <v>88</v>
      </c>
      <c r="M769" s="1" t="s">
        <v>50</v>
      </c>
      <c r="N769" s="1" t="s">
        <v>41</v>
      </c>
      <c r="O769" s="1" t="s">
        <v>42</v>
      </c>
      <c r="P769" s="1" t="s">
        <v>43</v>
      </c>
      <c r="Q769" s="1" t="s">
        <v>44</v>
      </c>
      <c r="R769" s="1" t="s">
        <v>45</v>
      </c>
      <c r="S769" s="1">
        <v>264</v>
      </c>
      <c r="T769" s="1">
        <v>0</v>
      </c>
      <c r="U769" s="13">
        <v>4.5138888888888888E-2</v>
      </c>
      <c r="V769" s="11">
        <v>1210</v>
      </c>
      <c r="W769" s="11">
        <v>990</v>
      </c>
      <c r="X769" s="8">
        <v>2200</v>
      </c>
      <c r="Y769" s="1" t="s">
        <v>51</v>
      </c>
      <c r="Z769" s="11">
        <v>1580</v>
      </c>
      <c r="AA769" s="11">
        <v>620</v>
      </c>
      <c r="AB769" s="1">
        <v>0</v>
      </c>
      <c r="AC769" s="1">
        <v>0</v>
      </c>
      <c r="AD769" s="1">
        <v>0</v>
      </c>
      <c r="AE769" s="1">
        <v>0</v>
      </c>
      <c r="AF769" s="1"/>
      <c r="AG769" s="1">
        <v>0</v>
      </c>
      <c r="AH769" s="1">
        <v>0</v>
      </c>
      <c r="AI769" s="1">
        <v>0</v>
      </c>
      <c r="AJ769" s="1">
        <v>0</v>
      </c>
      <c r="AK769" s="1">
        <v>1.9592000000000001</v>
      </c>
      <c r="AL769" s="1">
        <v>1.9592000000000001</v>
      </c>
      <c r="AM769" s="1">
        <v>1.9592000000000001</v>
      </c>
    </row>
    <row r="770" spans="1:39" x14ac:dyDescent="0.3">
      <c r="A770" s="21" t="str">
        <f t="shared" si="11"/>
        <v>HFA807LLHA2026-01-22</v>
      </c>
      <c r="B770" t="str">
        <f>VLOOKUP(A770,Sheet1!A770:B2112,1,FALSE)</f>
        <v>HFA807LLHA2026-01-22</v>
      </c>
      <c r="C770" s="3">
        <v>46044</v>
      </c>
      <c r="D770" s="1" t="s">
        <v>118</v>
      </c>
      <c r="E770" s="1" t="s">
        <v>38</v>
      </c>
      <c r="F770" s="1"/>
      <c r="G770" s="1" t="s">
        <v>39</v>
      </c>
      <c r="H770" s="1" t="s">
        <v>222</v>
      </c>
      <c r="I770" s="1" t="s">
        <v>41</v>
      </c>
      <c r="J770" s="1" t="s">
        <v>42</v>
      </c>
      <c r="K770" s="1" t="s">
        <v>43</v>
      </c>
      <c r="L770" s="1" t="s">
        <v>44</v>
      </c>
      <c r="M770" s="1" t="s">
        <v>45</v>
      </c>
      <c r="N770" s="1" t="s">
        <v>67</v>
      </c>
      <c r="O770" s="1" t="s">
        <v>86</v>
      </c>
      <c r="P770" s="1" t="s">
        <v>87</v>
      </c>
      <c r="Q770" s="1" t="s">
        <v>88</v>
      </c>
      <c r="R770" s="1" t="s">
        <v>50</v>
      </c>
      <c r="S770" s="1">
        <v>264</v>
      </c>
      <c r="T770" s="1">
        <v>0</v>
      </c>
      <c r="U770" s="13">
        <v>4.0972222222222222E-2</v>
      </c>
      <c r="V770" s="11">
        <v>1580</v>
      </c>
      <c r="W770" s="11">
        <v>0</v>
      </c>
      <c r="X770" s="8">
        <v>1580</v>
      </c>
      <c r="Y770" s="1" t="s">
        <v>51</v>
      </c>
      <c r="Z770" s="11">
        <v>960</v>
      </c>
      <c r="AA770" s="11">
        <v>620</v>
      </c>
      <c r="AB770" s="1">
        <v>0</v>
      </c>
      <c r="AC770" s="1">
        <v>0</v>
      </c>
      <c r="AD770" s="1">
        <v>0</v>
      </c>
      <c r="AE770" s="1">
        <v>0</v>
      </c>
      <c r="AF770" s="1"/>
      <c r="AG770" s="1">
        <v>0</v>
      </c>
      <c r="AH770" s="1">
        <v>0</v>
      </c>
      <c r="AI770" s="1">
        <v>0</v>
      </c>
      <c r="AJ770" s="1">
        <v>0</v>
      </c>
      <c r="AK770" s="1">
        <v>1.9592000000000001</v>
      </c>
      <c r="AL770" s="1">
        <v>1.9592000000000001</v>
      </c>
      <c r="AM770" s="1">
        <v>1.9592000000000001</v>
      </c>
    </row>
    <row r="771" spans="1:39" x14ac:dyDescent="0.3">
      <c r="A771" s="21" t="str">
        <f t="shared" ref="A771:A834" si="12">CONCATENATE(D771,K771,TEXT(C771,"YYYY-MM-DD"))</f>
        <v>HFA808LCLK2026-01-22</v>
      </c>
      <c r="B771" t="str">
        <f>VLOOKUP(A771,Sheet1!A771:B2113,1,FALSE)</f>
        <v>HFA808LCLK2026-01-22</v>
      </c>
      <c r="C771" s="3">
        <v>46044</v>
      </c>
      <c r="D771" s="1" t="s">
        <v>119</v>
      </c>
      <c r="E771" s="1" t="s">
        <v>38</v>
      </c>
      <c r="F771" s="1"/>
      <c r="G771" s="1" t="s">
        <v>39</v>
      </c>
      <c r="H771" s="1" t="s">
        <v>222</v>
      </c>
      <c r="I771" s="1" t="s">
        <v>67</v>
      </c>
      <c r="J771" s="1" t="s">
        <v>86</v>
      </c>
      <c r="K771" s="1" t="s">
        <v>87</v>
      </c>
      <c r="L771" s="1" t="s">
        <v>88</v>
      </c>
      <c r="M771" s="1" t="s">
        <v>50</v>
      </c>
      <c r="N771" s="1" t="s">
        <v>41</v>
      </c>
      <c r="O771" s="1" t="s">
        <v>42</v>
      </c>
      <c r="P771" s="1" t="s">
        <v>43</v>
      </c>
      <c r="Q771" s="1" t="s">
        <v>44</v>
      </c>
      <c r="R771" s="1" t="s">
        <v>45</v>
      </c>
      <c r="S771" s="1">
        <v>264</v>
      </c>
      <c r="T771" s="1">
        <v>0</v>
      </c>
      <c r="U771" s="13">
        <v>4.1666666666666664E-2</v>
      </c>
      <c r="V771" s="11">
        <v>960</v>
      </c>
      <c r="W771" s="11">
        <v>1540</v>
      </c>
      <c r="X771" s="8">
        <v>2500</v>
      </c>
      <c r="Y771" s="1" t="s">
        <v>51</v>
      </c>
      <c r="Z771" s="11">
        <v>1940</v>
      </c>
      <c r="AA771" s="11">
        <v>560</v>
      </c>
      <c r="AB771" s="1">
        <v>0</v>
      </c>
      <c r="AC771" s="1">
        <v>0</v>
      </c>
      <c r="AD771" s="1">
        <v>0</v>
      </c>
      <c r="AE771" s="1">
        <v>0</v>
      </c>
      <c r="AF771" s="1"/>
      <c r="AG771" s="1">
        <v>0</v>
      </c>
      <c r="AH771" s="1">
        <v>0</v>
      </c>
      <c r="AI771" s="1">
        <v>0</v>
      </c>
      <c r="AJ771" s="1">
        <v>0</v>
      </c>
      <c r="AK771" s="1">
        <v>1.7696000000000001</v>
      </c>
      <c r="AL771" s="1">
        <v>1.7696000000000001</v>
      </c>
      <c r="AM771" s="1">
        <v>1.7696000000000001</v>
      </c>
    </row>
    <row r="772" spans="1:39" x14ac:dyDescent="0.3">
      <c r="A772" s="21" t="str">
        <f t="shared" si="12"/>
        <v>HFA801LLHA2026-01-23</v>
      </c>
      <c r="B772" t="e">
        <f>VLOOKUP(A772,Sheet1!A772:B2114,1,FALSE)</f>
        <v>#N/A</v>
      </c>
      <c r="C772" s="3">
        <v>46045</v>
      </c>
      <c r="D772" s="1" t="s">
        <v>133</v>
      </c>
      <c r="E772" s="1" t="s">
        <v>38</v>
      </c>
      <c r="F772" s="1"/>
      <c r="G772" s="1" t="s">
        <v>39</v>
      </c>
      <c r="H772" s="1" t="s">
        <v>222</v>
      </c>
      <c r="I772" s="1" t="s">
        <v>41</v>
      </c>
      <c r="J772" s="1" t="s">
        <v>42</v>
      </c>
      <c r="K772" s="1" t="s">
        <v>43</v>
      </c>
      <c r="L772" s="1" t="s">
        <v>44</v>
      </c>
      <c r="M772" s="1" t="s">
        <v>45</v>
      </c>
      <c r="N772" s="1" t="s">
        <v>67</v>
      </c>
      <c r="O772" s="1" t="s">
        <v>86</v>
      </c>
      <c r="P772" s="1" t="s">
        <v>87</v>
      </c>
      <c r="Q772" s="1" t="s">
        <v>88</v>
      </c>
      <c r="R772" s="1" t="s">
        <v>50</v>
      </c>
      <c r="S772" s="1">
        <v>264</v>
      </c>
      <c r="T772" s="1">
        <v>0</v>
      </c>
      <c r="U772" s="13">
        <v>4.027777777777778E-2</v>
      </c>
      <c r="V772" s="11">
        <v>1940</v>
      </c>
      <c r="W772" s="11">
        <v>-30</v>
      </c>
      <c r="X772" s="8">
        <v>1910</v>
      </c>
      <c r="Y772" s="1" t="s">
        <v>51</v>
      </c>
      <c r="Z772" s="11">
        <v>1310</v>
      </c>
      <c r="AA772" s="11">
        <v>600</v>
      </c>
      <c r="AB772" s="1">
        <v>0</v>
      </c>
      <c r="AC772" s="1">
        <v>0</v>
      </c>
      <c r="AD772" s="1">
        <v>0</v>
      </c>
      <c r="AE772" s="1">
        <v>0</v>
      </c>
      <c r="AF772" s="1"/>
      <c r="AG772" s="1">
        <v>0</v>
      </c>
      <c r="AH772" s="1">
        <v>0</v>
      </c>
      <c r="AI772" s="1">
        <v>0</v>
      </c>
      <c r="AJ772" s="1">
        <v>0</v>
      </c>
      <c r="AK772" s="1">
        <v>1.8959999999999999</v>
      </c>
      <c r="AL772" s="1">
        <v>1.8959999999999999</v>
      </c>
      <c r="AM772" s="1">
        <v>1.8959999999999999</v>
      </c>
    </row>
    <row r="773" spans="1:39" x14ac:dyDescent="0.3">
      <c r="A773" s="21" t="str">
        <f t="shared" si="12"/>
        <v>HFA802LCLK2026-01-23</v>
      </c>
      <c r="B773" t="e">
        <f>VLOOKUP(A773,Sheet1!A773:B2115,1,FALSE)</f>
        <v>#N/A</v>
      </c>
      <c r="C773" s="3">
        <v>46045</v>
      </c>
      <c r="D773" s="1" t="s">
        <v>135</v>
      </c>
      <c r="E773" s="1" t="s">
        <v>38</v>
      </c>
      <c r="F773" s="1"/>
      <c r="G773" s="1" t="s">
        <v>39</v>
      </c>
      <c r="H773" s="1" t="s">
        <v>222</v>
      </c>
      <c r="I773" s="1" t="s">
        <v>67</v>
      </c>
      <c r="J773" s="1" t="s">
        <v>86</v>
      </c>
      <c r="K773" s="1" t="s">
        <v>87</v>
      </c>
      <c r="L773" s="1" t="s">
        <v>88</v>
      </c>
      <c r="M773" s="1" t="s">
        <v>50</v>
      </c>
      <c r="N773" s="1" t="s">
        <v>41</v>
      </c>
      <c r="O773" s="1" t="s">
        <v>42</v>
      </c>
      <c r="P773" s="1" t="s">
        <v>43</v>
      </c>
      <c r="Q773" s="1" t="s">
        <v>44</v>
      </c>
      <c r="R773" s="1" t="s">
        <v>45</v>
      </c>
      <c r="S773" s="1">
        <v>264</v>
      </c>
      <c r="T773" s="1">
        <v>0</v>
      </c>
      <c r="U773" s="13">
        <v>3.6805555555555557E-2</v>
      </c>
      <c r="V773" s="11">
        <v>1310</v>
      </c>
      <c r="W773" s="11">
        <v>690</v>
      </c>
      <c r="X773" s="8">
        <v>2000</v>
      </c>
      <c r="Y773" s="1" t="s">
        <v>51</v>
      </c>
      <c r="Z773" s="11">
        <v>1550</v>
      </c>
      <c r="AA773" s="11">
        <v>450</v>
      </c>
      <c r="AB773" s="1">
        <v>0</v>
      </c>
      <c r="AC773" s="1">
        <v>0</v>
      </c>
      <c r="AD773" s="1">
        <v>0</v>
      </c>
      <c r="AE773" s="1">
        <v>0</v>
      </c>
      <c r="AF773" s="1"/>
      <c r="AG773" s="1">
        <v>0</v>
      </c>
      <c r="AH773" s="1">
        <v>0</v>
      </c>
      <c r="AI773" s="1">
        <v>0</v>
      </c>
      <c r="AJ773" s="1">
        <v>0</v>
      </c>
      <c r="AK773" s="1">
        <v>1.4219999999999999</v>
      </c>
      <c r="AL773" s="1">
        <v>1.4219999999999999</v>
      </c>
      <c r="AM773" s="1">
        <v>1.4219999999999999</v>
      </c>
    </row>
    <row r="774" spans="1:39" x14ac:dyDescent="0.3">
      <c r="A774" s="21" t="str">
        <f t="shared" si="12"/>
        <v>HFA803LLHA2026-01-23</v>
      </c>
      <c r="B774" t="e">
        <f>VLOOKUP(A774,Sheet1!A774:B2116,1,FALSE)</f>
        <v>#N/A</v>
      </c>
      <c r="C774" s="3">
        <v>46045</v>
      </c>
      <c r="D774" s="1" t="s">
        <v>116</v>
      </c>
      <c r="E774" s="1" t="s">
        <v>38</v>
      </c>
      <c r="F774" s="1"/>
      <c r="G774" s="1" t="s">
        <v>39</v>
      </c>
      <c r="H774" s="1" t="s">
        <v>222</v>
      </c>
      <c r="I774" s="1" t="s">
        <v>41</v>
      </c>
      <c r="J774" s="1" t="s">
        <v>42</v>
      </c>
      <c r="K774" s="1" t="s">
        <v>43</v>
      </c>
      <c r="L774" s="1" t="s">
        <v>44</v>
      </c>
      <c r="M774" s="1" t="s">
        <v>45</v>
      </c>
      <c r="N774" s="1" t="s">
        <v>67</v>
      </c>
      <c r="O774" s="1" t="s">
        <v>86</v>
      </c>
      <c r="P774" s="1" t="s">
        <v>87</v>
      </c>
      <c r="Q774" s="1" t="s">
        <v>88</v>
      </c>
      <c r="R774" s="1" t="s">
        <v>50</v>
      </c>
      <c r="S774" s="1">
        <v>264</v>
      </c>
      <c r="T774" s="1">
        <v>0</v>
      </c>
      <c r="U774" s="13">
        <v>3.8194444444444448E-2</v>
      </c>
      <c r="V774" s="11">
        <v>1550</v>
      </c>
      <c r="W774" s="11">
        <v>0</v>
      </c>
      <c r="X774" s="8">
        <v>1550</v>
      </c>
      <c r="Y774" s="1" t="s">
        <v>51</v>
      </c>
      <c r="Z774" s="11">
        <v>930</v>
      </c>
      <c r="AA774" s="11">
        <v>620</v>
      </c>
      <c r="AB774" s="1">
        <v>0</v>
      </c>
      <c r="AC774" s="1">
        <v>0</v>
      </c>
      <c r="AD774" s="1">
        <v>0</v>
      </c>
      <c r="AE774" s="1">
        <v>0</v>
      </c>
      <c r="AF774" s="1"/>
      <c r="AG774" s="1">
        <v>0</v>
      </c>
      <c r="AH774" s="1">
        <v>0</v>
      </c>
      <c r="AI774" s="1">
        <v>0</v>
      </c>
      <c r="AJ774" s="1">
        <v>0</v>
      </c>
      <c r="AK774" s="1">
        <v>1.9592000000000001</v>
      </c>
      <c r="AL774" s="1">
        <v>1.9592000000000001</v>
      </c>
      <c r="AM774" s="1">
        <v>1.9592000000000001</v>
      </c>
    </row>
    <row r="775" spans="1:39" x14ac:dyDescent="0.3">
      <c r="A775" s="21" t="str">
        <f t="shared" si="12"/>
        <v>HFA804LCLK2026-01-23</v>
      </c>
      <c r="B775" t="e">
        <f>VLOOKUP(A775,Sheet1!A775:B2117,1,FALSE)</f>
        <v>#N/A</v>
      </c>
      <c r="C775" s="3">
        <v>46045</v>
      </c>
      <c r="D775" s="1" t="s">
        <v>117</v>
      </c>
      <c r="E775" s="1" t="s">
        <v>38</v>
      </c>
      <c r="F775" s="1"/>
      <c r="G775" s="1" t="s">
        <v>39</v>
      </c>
      <c r="H775" s="1" t="s">
        <v>222</v>
      </c>
      <c r="I775" s="1" t="s">
        <v>67</v>
      </c>
      <c r="J775" s="1" t="s">
        <v>86</v>
      </c>
      <c r="K775" s="1" t="s">
        <v>87</v>
      </c>
      <c r="L775" s="1" t="s">
        <v>88</v>
      </c>
      <c r="M775" s="1" t="s">
        <v>50</v>
      </c>
      <c r="N775" s="1" t="s">
        <v>41</v>
      </c>
      <c r="O775" s="1" t="s">
        <v>42</v>
      </c>
      <c r="P775" s="1" t="s">
        <v>43</v>
      </c>
      <c r="Q775" s="1" t="s">
        <v>44</v>
      </c>
      <c r="R775" s="1" t="s">
        <v>45</v>
      </c>
      <c r="S775" s="1">
        <v>264</v>
      </c>
      <c r="T775" s="1">
        <v>0</v>
      </c>
      <c r="U775" s="13">
        <v>3.6111111111111108E-2</v>
      </c>
      <c r="V775" s="11">
        <v>930</v>
      </c>
      <c r="W775" s="11">
        <v>1070</v>
      </c>
      <c r="X775" s="8">
        <v>2000</v>
      </c>
      <c r="Y775" s="1" t="s">
        <v>51</v>
      </c>
      <c r="Z775" s="11">
        <v>1500</v>
      </c>
      <c r="AA775" s="11">
        <v>500</v>
      </c>
      <c r="AB775" s="1">
        <v>0</v>
      </c>
      <c r="AC775" s="1">
        <v>0</v>
      </c>
      <c r="AD775" s="1">
        <v>0</v>
      </c>
      <c r="AE775" s="1">
        <v>0</v>
      </c>
      <c r="AF775" s="1"/>
      <c r="AG775" s="1">
        <v>0</v>
      </c>
      <c r="AH775" s="1">
        <v>0</v>
      </c>
      <c r="AI775" s="1">
        <v>0</v>
      </c>
      <c r="AJ775" s="1">
        <v>0</v>
      </c>
      <c r="AK775" s="1">
        <v>1.58</v>
      </c>
      <c r="AL775" s="1">
        <v>1.58</v>
      </c>
      <c r="AM775" s="1">
        <v>1.58</v>
      </c>
    </row>
    <row r="776" spans="1:39" x14ac:dyDescent="0.3">
      <c r="A776" s="21" t="str">
        <f t="shared" si="12"/>
        <v>HFA853LLHA2026-01-24</v>
      </c>
      <c r="B776" t="str">
        <f>VLOOKUP(A776,Sheet1!A776:B2118,1,FALSE)</f>
        <v>HFA853LLHA2026-01-24</v>
      </c>
      <c r="C776" s="3">
        <v>46046</v>
      </c>
      <c r="D776" s="1" t="s">
        <v>223</v>
      </c>
      <c r="E776" s="1" t="s">
        <v>38</v>
      </c>
      <c r="F776" s="1"/>
      <c r="G776" s="1" t="s">
        <v>39</v>
      </c>
      <c r="H776" s="1" t="s">
        <v>222</v>
      </c>
      <c r="I776" s="1" t="s">
        <v>41</v>
      </c>
      <c r="J776" s="1" t="s">
        <v>42</v>
      </c>
      <c r="K776" s="1" t="s">
        <v>43</v>
      </c>
      <c r="L776" s="1" t="s">
        <v>44</v>
      </c>
      <c r="M776" s="1" t="s">
        <v>45</v>
      </c>
      <c r="N776" s="1" t="s">
        <v>67</v>
      </c>
      <c r="O776" s="1" t="s">
        <v>68</v>
      </c>
      <c r="P776" s="1" t="s">
        <v>69</v>
      </c>
      <c r="Q776" s="1" t="s">
        <v>70</v>
      </c>
      <c r="R776" s="1" t="s">
        <v>50</v>
      </c>
      <c r="S776" s="1">
        <v>318</v>
      </c>
      <c r="T776" s="1">
        <v>0</v>
      </c>
      <c r="U776" s="13">
        <v>4.583333333333333E-2</v>
      </c>
      <c r="V776" s="11">
        <v>1500</v>
      </c>
      <c r="W776" s="11">
        <v>20</v>
      </c>
      <c r="X776" s="8">
        <v>1520</v>
      </c>
      <c r="Y776" s="1" t="s">
        <v>51</v>
      </c>
      <c r="Z776" s="11">
        <v>810</v>
      </c>
      <c r="AA776" s="11">
        <v>710</v>
      </c>
      <c r="AB776" s="1">
        <v>0</v>
      </c>
      <c r="AC776" s="1">
        <v>0</v>
      </c>
      <c r="AD776" s="1">
        <v>0</v>
      </c>
      <c r="AE776" s="1">
        <v>0</v>
      </c>
      <c r="AF776" s="1"/>
      <c r="AG776" s="1">
        <v>0</v>
      </c>
      <c r="AH776" s="1">
        <v>0</v>
      </c>
      <c r="AI776" s="1">
        <v>0</v>
      </c>
      <c r="AJ776" s="1">
        <v>0</v>
      </c>
      <c r="AK776" s="1">
        <v>2.2435999999999998</v>
      </c>
      <c r="AL776" s="1">
        <v>2.2435999999999998</v>
      </c>
      <c r="AM776" s="1">
        <v>2.2435999999999998</v>
      </c>
    </row>
    <row r="777" spans="1:39" x14ac:dyDescent="0.3">
      <c r="A777" s="21" t="str">
        <f t="shared" si="12"/>
        <v>HFA854LCPH2026-01-24</v>
      </c>
      <c r="B777" t="str">
        <f>VLOOKUP(A777,Sheet1!A777:B2119,1,FALSE)</f>
        <v>HFA854LCPH2026-01-24</v>
      </c>
      <c r="C777" s="3">
        <v>46046</v>
      </c>
      <c r="D777" s="1" t="s">
        <v>224</v>
      </c>
      <c r="E777" s="1" t="s">
        <v>38</v>
      </c>
      <c r="F777" s="1"/>
      <c r="G777" s="1" t="s">
        <v>39</v>
      </c>
      <c r="H777" s="1" t="s">
        <v>222</v>
      </c>
      <c r="I777" s="1" t="s">
        <v>67</v>
      </c>
      <c r="J777" s="1" t="s">
        <v>68</v>
      </c>
      <c r="K777" s="1" t="s">
        <v>69</v>
      </c>
      <c r="L777" s="1" t="s">
        <v>70</v>
      </c>
      <c r="M777" s="1" t="s">
        <v>50</v>
      </c>
      <c r="N777" s="1" t="s">
        <v>41</v>
      </c>
      <c r="O777" s="1" t="s">
        <v>42</v>
      </c>
      <c r="P777" s="1" t="s">
        <v>43</v>
      </c>
      <c r="Q777" s="1" t="s">
        <v>44</v>
      </c>
      <c r="R777" s="1" t="s">
        <v>45</v>
      </c>
      <c r="S777" s="1">
        <v>318</v>
      </c>
      <c r="T777" s="1">
        <v>0</v>
      </c>
      <c r="U777" s="13">
        <v>4.583333333333333E-2</v>
      </c>
      <c r="V777" s="11">
        <v>810</v>
      </c>
      <c r="W777" s="11">
        <v>1690</v>
      </c>
      <c r="X777" s="8">
        <v>2500</v>
      </c>
      <c r="Y777" s="1" t="s">
        <v>51</v>
      </c>
      <c r="Z777" s="11">
        <v>1900</v>
      </c>
      <c r="AA777" s="11">
        <v>600</v>
      </c>
      <c r="AB777" s="1">
        <v>0</v>
      </c>
      <c r="AC777" s="1">
        <v>0</v>
      </c>
      <c r="AD777" s="1">
        <v>0</v>
      </c>
      <c r="AE777" s="1">
        <v>0</v>
      </c>
      <c r="AF777" s="1"/>
      <c r="AG777" s="1">
        <v>0</v>
      </c>
      <c r="AH777" s="1">
        <v>0</v>
      </c>
      <c r="AI777" s="1">
        <v>0</v>
      </c>
      <c r="AJ777" s="1">
        <v>0</v>
      </c>
      <c r="AK777" s="1">
        <v>1.8959999999999999</v>
      </c>
      <c r="AL777" s="1">
        <v>1.8959999999999999</v>
      </c>
      <c r="AM777" s="1">
        <v>1.8959999999999999</v>
      </c>
    </row>
    <row r="778" spans="1:39" x14ac:dyDescent="0.3">
      <c r="A778" s="21" t="str">
        <f t="shared" si="12"/>
        <v>HFA603LLHA2026-01-24</v>
      </c>
      <c r="B778" t="e">
        <f>VLOOKUP(A778,Sheet1!A778:B2120,1,FALSE)</f>
        <v>#N/A</v>
      </c>
      <c r="C778" s="3">
        <v>46046</v>
      </c>
      <c r="D778" s="1" t="s">
        <v>72</v>
      </c>
      <c r="E778" s="1" t="s">
        <v>38</v>
      </c>
      <c r="F778" s="1" t="s">
        <v>54</v>
      </c>
      <c r="G778" s="1" t="s">
        <v>39</v>
      </c>
      <c r="H778" s="1" t="s">
        <v>222</v>
      </c>
      <c r="I778" s="1" t="s">
        <v>41</v>
      </c>
      <c r="J778" s="1" t="s">
        <v>42</v>
      </c>
      <c r="K778" s="1" t="s">
        <v>43</v>
      </c>
      <c r="L778" s="1" t="s">
        <v>44</v>
      </c>
      <c r="M778" s="1" t="s">
        <v>45</v>
      </c>
      <c r="N778" s="1" t="s">
        <v>41</v>
      </c>
      <c r="O778" s="1" t="s">
        <v>58</v>
      </c>
      <c r="P778" s="1" t="s">
        <v>59</v>
      </c>
      <c r="Q778" s="1" t="s">
        <v>60</v>
      </c>
      <c r="R778" s="1" t="s">
        <v>45</v>
      </c>
      <c r="S778" s="1">
        <v>342</v>
      </c>
      <c r="T778" s="1">
        <v>0</v>
      </c>
      <c r="U778" s="13">
        <v>4.0972222222222222E-2</v>
      </c>
      <c r="V778" s="11">
        <v>1900</v>
      </c>
      <c r="W778" s="11">
        <v>0</v>
      </c>
      <c r="X778" s="8">
        <v>1900</v>
      </c>
      <c r="Y778" s="1" t="s">
        <v>51</v>
      </c>
      <c r="Z778" s="11">
        <v>1250</v>
      </c>
      <c r="AA778" s="11">
        <v>650</v>
      </c>
      <c r="AB778" s="1">
        <v>0</v>
      </c>
      <c r="AC778" s="1">
        <v>0</v>
      </c>
      <c r="AD778" s="1">
        <v>0</v>
      </c>
      <c r="AE778" s="1">
        <v>0</v>
      </c>
      <c r="AF778" s="1"/>
      <c r="AG778" s="1">
        <v>0</v>
      </c>
      <c r="AH778" s="1">
        <v>0</v>
      </c>
      <c r="AI778" s="1">
        <v>0</v>
      </c>
      <c r="AJ778" s="1">
        <v>0</v>
      </c>
      <c r="AK778" s="1">
        <v>2.0539999999999998</v>
      </c>
      <c r="AL778" s="1">
        <v>2.0539999999999998</v>
      </c>
      <c r="AM778" s="1">
        <v>2.0539999999999998</v>
      </c>
    </row>
    <row r="779" spans="1:39" x14ac:dyDescent="0.3">
      <c r="A779" s="21" t="str">
        <f t="shared" si="12"/>
        <v>HFA604LLER2026-01-24</v>
      </c>
      <c r="B779" t="e">
        <f>VLOOKUP(A779,Sheet1!A779:B2121,1,FALSE)</f>
        <v>#N/A</v>
      </c>
      <c r="C779" s="3">
        <v>46046</v>
      </c>
      <c r="D779" s="1" t="s">
        <v>73</v>
      </c>
      <c r="E779" s="1" t="s">
        <v>38</v>
      </c>
      <c r="F779" s="1" t="s">
        <v>54</v>
      </c>
      <c r="G779" s="1" t="s">
        <v>39</v>
      </c>
      <c r="H779" s="1" t="s">
        <v>222</v>
      </c>
      <c r="I779" s="1" t="s">
        <v>41</v>
      </c>
      <c r="J779" s="1" t="s">
        <v>58</v>
      </c>
      <c r="K779" s="1" t="s">
        <v>59</v>
      </c>
      <c r="L779" s="1" t="s">
        <v>60</v>
      </c>
      <c r="M779" s="1" t="s">
        <v>45</v>
      </c>
      <c r="N779" s="1" t="s">
        <v>41</v>
      </c>
      <c r="O779" s="1" t="s">
        <v>42</v>
      </c>
      <c r="P779" s="1" t="s">
        <v>43</v>
      </c>
      <c r="Q779" s="1" t="s">
        <v>44</v>
      </c>
      <c r="R779" s="1" t="s">
        <v>45</v>
      </c>
      <c r="S779" s="1">
        <v>342</v>
      </c>
      <c r="T779" s="1">
        <v>0</v>
      </c>
      <c r="U779" s="13">
        <v>4.7222222222222221E-2</v>
      </c>
      <c r="V779" s="11">
        <v>1250</v>
      </c>
      <c r="W779" s="11">
        <v>1250</v>
      </c>
      <c r="X779" s="8">
        <v>2500</v>
      </c>
      <c r="Y779" s="1" t="s">
        <v>51</v>
      </c>
      <c r="Z779" s="11">
        <v>1780</v>
      </c>
      <c r="AA779" s="11">
        <v>720</v>
      </c>
      <c r="AB779" s="1">
        <v>0</v>
      </c>
      <c r="AC779" s="1">
        <v>0</v>
      </c>
      <c r="AD779" s="1">
        <v>0</v>
      </c>
      <c r="AE779" s="1">
        <v>0</v>
      </c>
      <c r="AF779" s="1"/>
      <c r="AG779" s="1">
        <v>0</v>
      </c>
      <c r="AH779" s="1">
        <v>0</v>
      </c>
      <c r="AI779" s="1">
        <v>0</v>
      </c>
      <c r="AJ779" s="1">
        <v>0</v>
      </c>
      <c r="AK779" s="1">
        <v>2.2751999999999999</v>
      </c>
      <c r="AL779" s="1">
        <v>2.2751999999999999</v>
      </c>
      <c r="AM779" s="1">
        <v>2.2751999999999999</v>
      </c>
    </row>
    <row r="780" spans="1:39" x14ac:dyDescent="0.3">
      <c r="A780" s="21" t="str">
        <f t="shared" si="12"/>
        <v>HFA601LLHA2026-01-25</v>
      </c>
      <c r="B780" t="e">
        <f>VLOOKUP(A780,Sheet1!A780:B2122,1,FALSE)</f>
        <v>#N/A</v>
      </c>
      <c r="C780" s="3">
        <v>46047</v>
      </c>
      <c r="D780" s="1" t="s">
        <v>57</v>
      </c>
      <c r="E780" s="1" t="s">
        <v>38</v>
      </c>
      <c r="F780" s="1" t="s">
        <v>54</v>
      </c>
      <c r="G780" s="1" t="s">
        <v>39</v>
      </c>
      <c r="H780" s="1" t="s">
        <v>222</v>
      </c>
      <c r="I780" s="1" t="s">
        <v>41</v>
      </c>
      <c r="J780" s="1" t="s">
        <v>42</v>
      </c>
      <c r="K780" s="1" t="s">
        <v>43</v>
      </c>
      <c r="L780" s="1" t="s">
        <v>44</v>
      </c>
      <c r="M780" s="1" t="s">
        <v>45</v>
      </c>
      <c r="N780" s="1" t="s">
        <v>41</v>
      </c>
      <c r="O780" s="1" t="s">
        <v>58</v>
      </c>
      <c r="P780" s="1" t="s">
        <v>59</v>
      </c>
      <c r="Q780" s="1" t="s">
        <v>60</v>
      </c>
      <c r="R780" s="1" t="s">
        <v>45</v>
      </c>
      <c r="S780" s="1">
        <v>342</v>
      </c>
      <c r="T780" s="1">
        <v>0</v>
      </c>
      <c r="U780" s="13">
        <v>4.3749999999999997E-2</v>
      </c>
      <c r="V780" s="11">
        <v>1780</v>
      </c>
      <c r="W780" s="11">
        <v>-30</v>
      </c>
      <c r="X780" s="8">
        <v>1750</v>
      </c>
      <c r="Y780" s="1" t="s">
        <v>51</v>
      </c>
      <c r="Z780" s="11">
        <v>1070</v>
      </c>
      <c r="AA780" s="11">
        <v>680</v>
      </c>
      <c r="AB780" s="1">
        <v>0</v>
      </c>
      <c r="AC780" s="1">
        <v>0</v>
      </c>
      <c r="AD780" s="1">
        <v>0</v>
      </c>
      <c r="AE780" s="1">
        <v>0</v>
      </c>
      <c r="AF780" s="1"/>
      <c r="AG780" s="1">
        <v>0</v>
      </c>
      <c r="AH780" s="1">
        <v>0</v>
      </c>
      <c r="AI780" s="1">
        <v>0</v>
      </c>
      <c r="AJ780" s="1">
        <v>0</v>
      </c>
      <c r="AK780" s="1">
        <v>2.1488</v>
      </c>
      <c r="AL780" s="1">
        <v>2.1488</v>
      </c>
      <c r="AM780" s="1">
        <v>2.1488</v>
      </c>
    </row>
    <row r="781" spans="1:39" x14ac:dyDescent="0.3">
      <c r="A781" s="21" t="str">
        <f t="shared" si="12"/>
        <v>HFA602LLER2026-01-25</v>
      </c>
      <c r="B781" t="e">
        <f>VLOOKUP(A781,Sheet1!A781:B2123,1,FALSE)</f>
        <v>#N/A</v>
      </c>
      <c r="C781" s="3">
        <v>46047</v>
      </c>
      <c r="D781" s="1" t="s">
        <v>61</v>
      </c>
      <c r="E781" s="1" t="s">
        <v>38</v>
      </c>
      <c r="F781" s="1" t="s">
        <v>54</v>
      </c>
      <c r="G781" s="1" t="s">
        <v>39</v>
      </c>
      <c r="H781" s="1" t="s">
        <v>222</v>
      </c>
      <c r="I781" s="1" t="s">
        <v>41</v>
      </c>
      <c r="J781" s="1" t="s">
        <v>58</v>
      </c>
      <c r="K781" s="1" t="s">
        <v>59</v>
      </c>
      <c r="L781" s="1" t="s">
        <v>60</v>
      </c>
      <c r="M781" s="1" t="s">
        <v>45</v>
      </c>
      <c r="N781" s="1" t="s">
        <v>41</v>
      </c>
      <c r="O781" s="1" t="s">
        <v>42</v>
      </c>
      <c r="P781" s="1" t="s">
        <v>43</v>
      </c>
      <c r="Q781" s="1" t="s">
        <v>44</v>
      </c>
      <c r="R781" s="1" t="s">
        <v>45</v>
      </c>
      <c r="S781" s="1">
        <v>342</v>
      </c>
      <c r="T781" s="1">
        <v>0</v>
      </c>
      <c r="U781" s="13">
        <v>4.3749999999999997E-2</v>
      </c>
      <c r="V781" s="11">
        <v>1070</v>
      </c>
      <c r="W781" s="11">
        <v>1430</v>
      </c>
      <c r="X781" s="8">
        <v>2500</v>
      </c>
      <c r="Y781" s="1" t="s">
        <v>51</v>
      </c>
      <c r="Z781" s="11">
        <v>1820</v>
      </c>
      <c r="AA781" s="11">
        <v>680</v>
      </c>
      <c r="AB781" s="1">
        <v>0</v>
      </c>
      <c r="AC781" s="1">
        <v>0</v>
      </c>
      <c r="AD781" s="1">
        <v>0</v>
      </c>
      <c r="AE781" s="1">
        <v>0</v>
      </c>
      <c r="AF781" s="1"/>
      <c r="AG781" s="1">
        <v>0</v>
      </c>
      <c r="AH781" s="1">
        <v>0</v>
      </c>
      <c r="AI781" s="1">
        <v>0</v>
      </c>
      <c r="AJ781" s="1">
        <v>0</v>
      </c>
      <c r="AK781" s="1">
        <v>2.1488</v>
      </c>
      <c r="AL781" s="1">
        <v>2.1488</v>
      </c>
      <c r="AM781" s="1">
        <v>2.1488</v>
      </c>
    </row>
    <row r="782" spans="1:39" x14ac:dyDescent="0.3">
      <c r="A782" s="21" t="str">
        <f t="shared" si="12"/>
        <v>HFA603LLHA2026-01-25</v>
      </c>
      <c r="B782" t="e">
        <f>VLOOKUP(A782,Sheet1!A782:B2124,1,FALSE)</f>
        <v>#N/A</v>
      </c>
      <c r="C782" s="3">
        <v>46047</v>
      </c>
      <c r="D782" s="1" t="s">
        <v>72</v>
      </c>
      <c r="E782" s="1" t="s">
        <v>38</v>
      </c>
      <c r="F782" s="1" t="s">
        <v>54</v>
      </c>
      <c r="G782" s="1" t="s">
        <v>39</v>
      </c>
      <c r="H782" s="1" t="s">
        <v>222</v>
      </c>
      <c r="I782" s="1" t="s">
        <v>41</v>
      </c>
      <c r="J782" s="1" t="s">
        <v>42</v>
      </c>
      <c r="K782" s="1" t="s">
        <v>43</v>
      </c>
      <c r="L782" s="1" t="s">
        <v>44</v>
      </c>
      <c r="M782" s="1" t="s">
        <v>45</v>
      </c>
      <c r="N782" s="1" t="s">
        <v>41</v>
      </c>
      <c r="O782" s="1" t="s">
        <v>58</v>
      </c>
      <c r="P782" s="1" t="s">
        <v>59</v>
      </c>
      <c r="Q782" s="1" t="s">
        <v>60</v>
      </c>
      <c r="R782" s="1" t="s">
        <v>45</v>
      </c>
      <c r="S782" s="1">
        <v>342</v>
      </c>
      <c r="T782" s="1">
        <v>0</v>
      </c>
      <c r="U782" s="13">
        <v>4.2361111111111106E-2</v>
      </c>
      <c r="V782" s="11">
        <v>1820</v>
      </c>
      <c r="W782" s="11">
        <v>0</v>
      </c>
      <c r="X782" s="8">
        <v>1820</v>
      </c>
      <c r="Y782" s="1" t="s">
        <v>51</v>
      </c>
      <c r="Z782" s="11">
        <v>1080</v>
      </c>
      <c r="AA782" s="11">
        <v>740</v>
      </c>
      <c r="AB782" s="1">
        <v>0</v>
      </c>
      <c r="AC782" s="1">
        <v>0</v>
      </c>
      <c r="AD782" s="1">
        <v>0</v>
      </c>
      <c r="AE782" s="1">
        <v>0</v>
      </c>
      <c r="AF782" s="1"/>
      <c r="AG782" s="1">
        <v>0</v>
      </c>
      <c r="AH782" s="1">
        <v>0</v>
      </c>
      <c r="AI782" s="1">
        <v>0</v>
      </c>
      <c r="AJ782" s="1">
        <v>0</v>
      </c>
      <c r="AK782" s="1">
        <v>2.3384</v>
      </c>
      <c r="AL782" s="1">
        <v>2.3384</v>
      </c>
      <c r="AM782" s="1">
        <v>2.3384</v>
      </c>
    </row>
    <row r="783" spans="1:39" x14ac:dyDescent="0.3">
      <c r="A783" s="21" t="str">
        <f t="shared" si="12"/>
        <v>HFA604LLER2026-01-25</v>
      </c>
      <c r="B783" t="e">
        <f>VLOOKUP(A783,Sheet1!A783:B2125,1,FALSE)</f>
        <v>#N/A</v>
      </c>
      <c r="C783" s="3">
        <v>46047</v>
      </c>
      <c r="D783" s="1" t="s">
        <v>73</v>
      </c>
      <c r="E783" s="1" t="s">
        <v>38</v>
      </c>
      <c r="F783" s="1" t="s">
        <v>54</v>
      </c>
      <c r="G783" s="1" t="s">
        <v>39</v>
      </c>
      <c r="H783" s="1" t="s">
        <v>222</v>
      </c>
      <c r="I783" s="1" t="s">
        <v>41</v>
      </c>
      <c r="J783" s="1" t="s">
        <v>58</v>
      </c>
      <c r="K783" s="1" t="s">
        <v>59</v>
      </c>
      <c r="L783" s="1" t="s">
        <v>60</v>
      </c>
      <c r="M783" s="1" t="s">
        <v>45</v>
      </c>
      <c r="N783" s="1" t="s">
        <v>41</v>
      </c>
      <c r="O783" s="1" t="s">
        <v>42</v>
      </c>
      <c r="P783" s="1" t="s">
        <v>43</v>
      </c>
      <c r="Q783" s="1" t="s">
        <v>44</v>
      </c>
      <c r="R783" s="1" t="s">
        <v>45</v>
      </c>
      <c r="S783" s="1">
        <v>342</v>
      </c>
      <c r="T783" s="1">
        <v>0</v>
      </c>
      <c r="U783" s="13">
        <v>4.3055555555555555E-2</v>
      </c>
      <c r="V783" s="11">
        <v>1080</v>
      </c>
      <c r="W783" s="11">
        <v>1420</v>
      </c>
      <c r="X783" s="8">
        <v>2500</v>
      </c>
      <c r="Y783" s="1" t="s">
        <v>51</v>
      </c>
      <c r="Z783" s="11">
        <v>1860</v>
      </c>
      <c r="AA783" s="11">
        <v>640</v>
      </c>
      <c r="AB783" s="1">
        <v>0</v>
      </c>
      <c r="AC783" s="1">
        <v>0</v>
      </c>
      <c r="AD783" s="1">
        <v>0</v>
      </c>
      <c r="AE783" s="1">
        <v>0</v>
      </c>
      <c r="AF783" s="1"/>
      <c r="AG783" s="1">
        <v>0</v>
      </c>
      <c r="AH783" s="1">
        <v>0</v>
      </c>
      <c r="AI783" s="1">
        <v>0</v>
      </c>
      <c r="AJ783" s="1">
        <v>0</v>
      </c>
      <c r="AK783" s="1">
        <v>2.0224000000000002</v>
      </c>
      <c r="AL783" s="1">
        <v>2.0224000000000002</v>
      </c>
      <c r="AM783" s="1">
        <v>2.0224000000000002</v>
      </c>
    </row>
    <row r="784" spans="1:39" x14ac:dyDescent="0.3">
      <c r="A784" s="21" t="str">
        <f t="shared" si="12"/>
        <v>HFA601LLHA2026-01-27</v>
      </c>
      <c r="B784" t="e">
        <f>VLOOKUP(A784,Sheet1!A784:B2126,1,FALSE)</f>
        <v>#N/A</v>
      </c>
      <c r="C784" s="3">
        <v>46049</v>
      </c>
      <c r="D784" s="1" t="s">
        <v>57</v>
      </c>
      <c r="E784" s="1" t="s">
        <v>38</v>
      </c>
      <c r="F784" s="1" t="s">
        <v>54</v>
      </c>
      <c r="G784" s="1" t="s">
        <v>39</v>
      </c>
      <c r="H784" s="1" t="s">
        <v>222</v>
      </c>
      <c r="I784" s="1" t="s">
        <v>41</v>
      </c>
      <c r="J784" s="1" t="s">
        <v>42</v>
      </c>
      <c r="K784" s="1" t="s">
        <v>43</v>
      </c>
      <c r="L784" s="1" t="s">
        <v>44</v>
      </c>
      <c r="M784" s="1" t="s">
        <v>45</v>
      </c>
      <c r="N784" s="1" t="s">
        <v>41</v>
      </c>
      <c r="O784" s="1" t="s">
        <v>58</v>
      </c>
      <c r="P784" s="1" t="s">
        <v>59</v>
      </c>
      <c r="Q784" s="1" t="s">
        <v>60</v>
      </c>
      <c r="R784" s="1" t="s">
        <v>45</v>
      </c>
      <c r="S784" s="1">
        <v>342</v>
      </c>
      <c r="T784" s="1">
        <v>0</v>
      </c>
      <c r="U784" s="13">
        <v>4.6527777777777779E-2</v>
      </c>
      <c r="V784" s="11">
        <v>1860</v>
      </c>
      <c r="W784" s="11">
        <v>-40</v>
      </c>
      <c r="X784" s="8">
        <v>1820</v>
      </c>
      <c r="Y784" s="1" t="s">
        <v>51</v>
      </c>
      <c r="Z784" s="11">
        <v>1020</v>
      </c>
      <c r="AA784" s="11">
        <v>800</v>
      </c>
      <c r="AB784" s="1">
        <v>0</v>
      </c>
      <c r="AC784" s="1">
        <v>0</v>
      </c>
      <c r="AD784" s="1">
        <v>0</v>
      </c>
      <c r="AE784" s="1">
        <v>0</v>
      </c>
      <c r="AF784" s="1"/>
      <c r="AG784" s="1">
        <v>0</v>
      </c>
      <c r="AH784" s="1">
        <v>0</v>
      </c>
      <c r="AI784" s="1">
        <v>0</v>
      </c>
      <c r="AJ784" s="1">
        <v>0</v>
      </c>
      <c r="AK784" s="1">
        <v>2.528</v>
      </c>
      <c r="AL784" s="1">
        <v>2.528</v>
      </c>
      <c r="AM784" s="1">
        <v>2.528</v>
      </c>
    </row>
    <row r="785" spans="1:39" x14ac:dyDescent="0.3">
      <c r="A785" s="21" t="str">
        <f t="shared" si="12"/>
        <v>HFA602LLER2026-01-27</v>
      </c>
      <c r="B785" t="e">
        <f>VLOOKUP(A785,Sheet1!A785:B2127,1,FALSE)</f>
        <v>#N/A</v>
      </c>
      <c r="C785" s="3">
        <v>46049</v>
      </c>
      <c r="D785" s="1" t="s">
        <v>61</v>
      </c>
      <c r="E785" s="1" t="s">
        <v>38</v>
      </c>
      <c r="F785" s="1" t="s">
        <v>54</v>
      </c>
      <c r="G785" s="1" t="s">
        <v>39</v>
      </c>
      <c r="H785" s="1" t="s">
        <v>222</v>
      </c>
      <c r="I785" s="1" t="s">
        <v>41</v>
      </c>
      <c r="J785" s="1" t="s">
        <v>58</v>
      </c>
      <c r="K785" s="1" t="s">
        <v>59</v>
      </c>
      <c r="L785" s="1" t="s">
        <v>60</v>
      </c>
      <c r="M785" s="1" t="s">
        <v>45</v>
      </c>
      <c r="N785" s="1" t="s">
        <v>41</v>
      </c>
      <c r="O785" s="1" t="s">
        <v>42</v>
      </c>
      <c r="P785" s="1" t="s">
        <v>43</v>
      </c>
      <c r="Q785" s="1" t="s">
        <v>44</v>
      </c>
      <c r="R785" s="1" t="s">
        <v>45</v>
      </c>
      <c r="S785" s="1">
        <v>342</v>
      </c>
      <c r="T785" s="1">
        <v>0</v>
      </c>
      <c r="U785" s="13">
        <v>3.8194444444444448E-2</v>
      </c>
      <c r="V785" s="11">
        <v>1020</v>
      </c>
      <c r="W785" s="11">
        <v>1080</v>
      </c>
      <c r="X785" s="8">
        <v>2100</v>
      </c>
      <c r="Y785" s="1" t="s">
        <v>51</v>
      </c>
      <c r="Z785" s="11">
        <v>1480</v>
      </c>
      <c r="AA785" s="11">
        <v>620</v>
      </c>
      <c r="AB785" s="1">
        <v>0</v>
      </c>
      <c r="AC785" s="1">
        <v>0</v>
      </c>
      <c r="AD785" s="1">
        <v>0</v>
      </c>
      <c r="AE785" s="1">
        <v>0</v>
      </c>
      <c r="AF785" s="1"/>
      <c r="AG785" s="1">
        <v>0</v>
      </c>
      <c r="AH785" s="1">
        <v>0</v>
      </c>
      <c r="AI785" s="1">
        <v>0</v>
      </c>
      <c r="AJ785" s="1">
        <v>0</v>
      </c>
      <c r="AK785" s="1">
        <v>1.9592000000000001</v>
      </c>
      <c r="AL785" s="1">
        <v>1.9592000000000001</v>
      </c>
      <c r="AM785" s="1">
        <v>1.9592000000000001</v>
      </c>
    </row>
    <row r="786" spans="1:39" x14ac:dyDescent="0.3">
      <c r="A786" s="21" t="str">
        <f t="shared" si="12"/>
        <v>HFA803LLHA2026-01-27</v>
      </c>
      <c r="B786" t="e">
        <f>VLOOKUP(A786,Sheet1!A786:B2128,1,FALSE)</f>
        <v>#N/A</v>
      </c>
      <c r="C786" s="3">
        <v>46049</v>
      </c>
      <c r="D786" s="1" t="s">
        <v>116</v>
      </c>
      <c r="E786" s="1" t="s">
        <v>38</v>
      </c>
      <c r="F786" s="1"/>
      <c r="G786" s="1" t="s">
        <v>39</v>
      </c>
      <c r="H786" s="1" t="s">
        <v>222</v>
      </c>
      <c r="I786" s="1" t="s">
        <v>41</v>
      </c>
      <c r="J786" s="1" t="s">
        <v>42</v>
      </c>
      <c r="K786" s="1" t="s">
        <v>43</v>
      </c>
      <c r="L786" s="1" t="s">
        <v>44</v>
      </c>
      <c r="M786" s="1" t="s">
        <v>45</v>
      </c>
      <c r="N786" s="1" t="s">
        <v>67</v>
      </c>
      <c r="O786" s="1" t="s">
        <v>86</v>
      </c>
      <c r="P786" s="1" t="s">
        <v>87</v>
      </c>
      <c r="Q786" s="1" t="s">
        <v>88</v>
      </c>
      <c r="R786" s="1" t="s">
        <v>50</v>
      </c>
      <c r="S786" s="1">
        <v>264</v>
      </c>
      <c r="T786" s="1">
        <v>0</v>
      </c>
      <c r="U786" s="13">
        <v>3.5416666666666666E-2</v>
      </c>
      <c r="V786" s="11">
        <v>1480</v>
      </c>
      <c r="W786" s="11">
        <v>0</v>
      </c>
      <c r="X786" s="8">
        <v>1480</v>
      </c>
      <c r="Y786" s="1" t="s">
        <v>51</v>
      </c>
      <c r="Z786" s="11">
        <v>870</v>
      </c>
      <c r="AA786" s="11">
        <v>610</v>
      </c>
      <c r="AB786" s="1">
        <v>0</v>
      </c>
      <c r="AC786" s="1">
        <v>0</v>
      </c>
      <c r="AD786" s="1">
        <v>0</v>
      </c>
      <c r="AE786" s="1">
        <v>0</v>
      </c>
      <c r="AF786" s="1"/>
      <c r="AG786" s="1">
        <v>0</v>
      </c>
      <c r="AH786" s="1">
        <v>0</v>
      </c>
      <c r="AI786" s="1">
        <v>0</v>
      </c>
      <c r="AJ786" s="1">
        <v>0</v>
      </c>
      <c r="AK786" s="1">
        <v>1.9276</v>
      </c>
      <c r="AL786" s="1">
        <v>1.9276</v>
      </c>
      <c r="AM786" s="1">
        <v>1.9276</v>
      </c>
    </row>
    <row r="787" spans="1:39" x14ac:dyDescent="0.3">
      <c r="A787" s="21" t="str">
        <f t="shared" si="12"/>
        <v>HFA804LCLK2026-01-27</v>
      </c>
      <c r="B787" t="e">
        <f>VLOOKUP(A787,Sheet1!A787:B2129,1,FALSE)</f>
        <v>#N/A</v>
      </c>
      <c r="C787" s="3">
        <v>46049</v>
      </c>
      <c r="D787" s="1" t="s">
        <v>117</v>
      </c>
      <c r="E787" s="1" t="s">
        <v>38</v>
      </c>
      <c r="F787" s="1"/>
      <c r="G787" s="1" t="s">
        <v>39</v>
      </c>
      <c r="H787" s="1" t="s">
        <v>222</v>
      </c>
      <c r="I787" s="1" t="s">
        <v>67</v>
      </c>
      <c r="J787" s="1" t="s">
        <v>86</v>
      </c>
      <c r="K787" s="1" t="s">
        <v>87</v>
      </c>
      <c r="L787" s="1" t="s">
        <v>88</v>
      </c>
      <c r="M787" s="1" t="s">
        <v>50</v>
      </c>
      <c r="N787" s="1" t="s">
        <v>41</v>
      </c>
      <c r="O787" s="1" t="s">
        <v>42</v>
      </c>
      <c r="P787" s="1" t="s">
        <v>43</v>
      </c>
      <c r="Q787" s="1" t="s">
        <v>44</v>
      </c>
      <c r="R787" s="1" t="s">
        <v>45</v>
      </c>
      <c r="S787" s="1">
        <v>264</v>
      </c>
      <c r="T787" s="1">
        <v>0</v>
      </c>
      <c r="U787" s="13">
        <v>3.888888888888889E-2</v>
      </c>
      <c r="V787" s="11">
        <v>870</v>
      </c>
      <c r="W787" s="11">
        <v>1630</v>
      </c>
      <c r="X787" s="8">
        <v>2500</v>
      </c>
      <c r="Y787" s="1" t="s">
        <v>51</v>
      </c>
      <c r="Z787" s="11">
        <v>1990</v>
      </c>
      <c r="AA787" s="11">
        <v>510</v>
      </c>
      <c r="AB787" s="1">
        <v>0</v>
      </c>
      <c r="AC787" s="1">
        <v>0</v>
      </c>
      <c r="AD787" s="1">
        <v>0</v>
      </c>
      <c r="AE787" s="1">
        <v>0</v>
      </c>
      <c r="AF787" s="1"/>
      <c r="AG787" s="1">
        <v>0</v>
      </c>
      <c r="AH787" s="1">
        <v>0</v>
      </c>
      <c r="AI787" s="1">
        <v>0</v>
      </c>
      <c r="AJ787" s="1">
        <v>0</v>
      </c>
      <c r="AK787" s="1">
        <v>1.6115999999999999</v>
      </c>
      <c r="AL787" s="1">
        <v>1.6115999999999999</v>
      </c>
      <c r="AM787" s="1">
        <v>1.6115999999999999</v>
      </c>
    </row>
    <row r="788" spans="1:39" x14ac:dyDescent="0.3">
      <c r="A788" s="21" t="str">
        <f t="shared" si="12"/>
        <v>HFA601LLHA2026-01-28</v>
      </c>
      <c r="B788" t="e">
        <f>VLOOKUP(A788,Sheet1!A788:B2130,1,FALSE)</f>
        <v>#N/A</v>
      </c>
      <c r="C788" s="3">
        <v>46050</v>
      </c>
      <c r="D788" s="1" t="s">
        <v>57</v>
      </c>
      <c r="E788" s="1" t="s">
        <v>38</v>
      </c>
      <c r="F788" s="1" t="s">
        <v>54</v>
      </c>
      <c r="G788" s="1" t="s">
        <v>39</v>
      </c>
      <c r="H788" s="1" t="s">
        <v>222</v>
      </c>
      <c r="I788" s="1" t="s">
        <v>41</v>
      </c>
      <c r="J788" s="1" t="s">
        <v>42</v>
      </c>
      <c r="K788" s="1" t="s">
        <v>43</v>
      </c>
      <c r="L788" s="1" t="s">
        <v>44</v>
      </c>
      <c r="M788" s="1" t="s">
        <v>45</v>
      </c>
      <c r="N788" s="1" t="s">
        <v>41</v>
      </c>
      <c r="O788" s="1" t="s">
        <v>58</v>
      </c>
      <c r="P788" s="1" t="s">
        <v>59</v>
      </c>
      <c r="Q788" s="1" t="s">
        <v>60</v>
      </c>
      <c r="R788" s="1" t="s">
        <v>45</v>
      </c>
      <c r="S788" s="1">
        <v>342</v>
      </c>
      <c r="T788" s="1">
        <v>0</v>
      </c>
      <c r="U788" s="13">
        <v>4.1666666666666664E-2</v>
      </c>
      <c r="V788" s="11">
        <v>1990</v>
      </c>
      <c r="W788" s="11">
        <v>-30</v>
      </c>
      <c r="X788" s="8">
        <v>1960</v>
      </c>
      <c r="Y788" s="1" t="s">
        <v>51</v>
      </c>
      <c r="Z788" s="11">
        <v>1330</v>
      </c>
      <c r="AA788" s="11">
        <v>630</v>
      </c>
      <c r="AB788" s="1">
        <v>0</v>
      </c>
      <c r="AC788" s="1">
        <v>0</v>
      </c>
      <c r="AD788" s="1">
        <v>0</v>
      </c>
      <c r="AE788" s="1">
        <v>0</v>
      </c>
      <c r="AF788" s="1"/>
      <c r="AG788" s="1">
        <v>0</v>
      </c>
      <c r="AH788" s="1">
        <v>0</v>
      </c>
      <c r="AI788" s="1">
        <v>0</v>
      </c>
      <c r="AJ788" s="1">
        <v>0</v>
      </c>
      <c r="AK788" s="1">
        <v>1.9907999999999999</v>
      </c>
      <c r="AL788" s="1">
        <v>1.9907999999999999</v>
      </c>
      <c r="AM788" s="1">
        <v>1.9907999999999999</v>
      </c>
    </row>
    <row r="789" spans="1:39" x14ac:dyDescent="0.3">
      <c r="A789" s="21" t="str">
        <f t="shared" si="12"/>
        <v>HFA602LLER2026-01-28</v>
      </c>
      <c r="B789" t="e">
        <f>VLOOKUP(A789,Sheet1!A789:B2131,1,FALSE)</f>
        <v>#N/A</v>
      </c>
      <c r="C789" s="3">
        <v>46050</v>
      </c>
      <c r="D789" s="1" t="s">
        <v>61</v>
      </c>
      <c r="E789" s="1" t="s">
        <v>38</v>
      </c>
      <c r="F789" s="1" t="s">
        <v>54</v>
      </c>
      <c r="G789" s="1" t="s">
        <v>39</v>
      </c>
      <c r="H789" s="1" t="s">
        <v>222</v>
      </c>
      <c r="I789" s="1" t="s">
        <v>41</v>
      </c>
      <c r="J789" s="1" t="s">
        <v>58</v>
      </c>
      <c r="K789" s="1" t="s">
        <v>59</v>
      </c>
      <c r="L789" s="1" t="s">
        <v>60</v>
      </c>
      <c r="M789" s="1" t="s">
        <v>45</v>
      </c>
      <c r="N789" s="1" t="s">
        <v>41</v>
      </c>
      <c r="O789" s="1" t="s">
        <v>42</v>
      </c>
      <c r="P789" s="1" t="s">
        <v>43</v>
      </c>
      <c r="Q789" s="1" t="s">
        <v>44</v>
      </c>
      <c r="R789" s="1" t="s">
        <v>45</v>
      </c>
      <c r="S789" s="1">
        <v>342</v>
      </c>
      <c r="T789" s="1">
        <v>0</v>
      </c>
      <c r="U789" s="13">
        <v>4.2361111111111106E-2</v>
      </c>
      <c r="V789" s="11">
        <v>1330</v>
      </c>
      <c r="W789" s="11">
        <v>1170</v>
      </c>
      <c r="X789" s="8">
        <v>2500</v>
      </c>
      <c r="Y789" s="1" t="s">
        <v>51</v>
      </c>
      <c r="Z789" s="11">
        <v>1650</v>
      </c>
      <c r="AA789" s="11">
        <v>850</v>
      </c>
      <c r="AB789" s="1">
        <v>0</v>
      </c>
      <c r="AC789" s="1">
        <v>0</v>
      </c>
      <c r="AD789" s="1">
        <v>0</v>
      </c>
      <c r="AE789" s="1">
        <v>0</v>
      </c>
      <c r="AF789" s="1"/>
      <c r="AG789" s="1">
        <v>0</v>
      </c>
      <c r="AH789" s="1">
        <v>0</v>
      </c>
      <c r="AI789" s="1">
        <v>0</v>
      </c>
      <c r="AJ789" s="1">
        <v>0</v>
      </c>
      <c r="AK789" s="1">
        <v>2.6859999999999999</v>
      </c>
      <c r="AL789" s="1">
        <v>2.6859999999999999</v>
      </c>
      <c r="AM789" s="1">
        <v>2.6859999999999999</v>
      </c>
    </row>
    <row r="790" spans="1:39" x14ac:dyDescent="0.3">
      <c r="A790" s="21" t="str">
        <f t="shared" si="12"/>
        <v>HFA851LLHA2026-01-28</v>
      </c>
      <c r="B790" t="str">
        <f>VLOOKUP(A790,Sheet1!A790:B2132,1,FALSE)</f>
        <v>HFA851LLHA2026-01-28</v>
      </c>
      <c r="C790" s="3">
        <v>46050</v>
      </c>
      <c r="D790" s="1" t="s">
        <v>66</v>
      </c>
      <c r="E790" s="1" t="s">
        <v>38</v>
      </c>
      <c r="F790" s="1"/>
      <c r="G790" s="1" t="s">
        <v>39</v>
      </c>
      <c r="H790" s="1" t="s">
        <v>222</v>
      </c>
      <c r="I790" s="1" t="s">
        <v>41</v>
      </c>
      <c r="J790" s="1" t="s">
        <v>42</v>
      </c>
      <c r="K790" s="1" t="s">
        <v>43</v>
      </c>
      <c r="L790" s="1" t="s">
        <v>44</v>
      </c>
      <c r="M790" s="1" t="s">
        <v>45</v>
      </c>
      <c r="N790" s="1" t="s">
        <v>67</v>
      </c>
      <c r="O790" s="1" t="s">
        <v>68</v>
      </c>
      <c r="P790" s="1" t="s">
        <v>69</v>
      </c>
      <c r="Q790" s="1" t="s">
        <v>70</v>
      </c>
      <c r="R790" s="1" t="s">
        <v>50</v>
      </c>
      <c r="S790" s="1">
        <v>318</v>
      </c>
      <c r="T790" s="1">
        <v>0</v>
      </c>
      <c r="U790" s="13">
        <v>4.4444444444444439E-2</v>
      </c>
      <c r="V790" s="11">
        <v>1650</v>
      </c>
      <c r="W790" s="11">
        <v>-10</v>
      </c>
      <c r="X790" s="8">
        <v>1640</v>
      </c>
      <c r="Y790" s="1" t="s">
        <v>51</v>
      </c>
      <c r="Z790" s="11">
        <v>900</v>
      </c>
      <c r="AA790" s="11">
        <v>740</v>
      </c>
      <c r="AB790" s="1">
        <v>0</v>
      </c>
      <c r="AC790" s="1">
        <v>0</v>
      </c>
      <c r="AD790" s="1">
        <v>0</v>
      </c>
      <c r="AE790" s="1">
        <v>0</v>
      </c>
      <c r="AF790" s="1"/>
      <c r="AG790" s="1">
        <v>0</v>
      </c>
      <c r="AH790" s="1">
        <v>0</v>
      </c>
      <c r="AI790" s="1">
        <v>0</v>
      </c>
      <c r="AJ790" s="1">
        <v>0</v>
      </c>
      <c r="AK790" s="1">
        <v>2.3384</v>
      </c>
      <c r="AL790" s="1">
        <v>2.3384</v>
      </c>
      <c r="AM790" s="1">
        <v>2.3384</v>
      </c>
    </row>
    <row r="791" spans="1:39" x14ac:dyDescent="0.3">
      <c r="A791" s="21" t="str">
        <f t="shared" si="12"/>
        <v>HFA852LCPH2026-01-28</v>
      </c>
      <c r="B791" t="str">
        <f>VLOOKUP(A791,Sheet1!A791:B2133,1,FALSE)</f>
        <v>HFA852LCPH2026-01-28</v>
      </c>
      <c r="C791" s="3">
        <v>46050</v>
      </c>
      <c r="D791" s="1" t="s">
        <v>71</v>
      </c>
      <c r="E791" s="1" t="s">
        <v>38</v>
      </c>
      <c r="F791" s="1"/>
      <c r="G791" s="1" t="s">
        <v>39</v>
      </c>
      <c r="H791" s="1" t="s">
        <v>222</v>
      </c>
      <c r="I791" s="1" t="s">
        <v>67</v>
      </c>
      <c r="J791" s="1" t="s">
        <v>68</v>
      </c>
      <c r="K791" s="1" t="s">
        <v>69</v>
      </c>
      <c r="L791" s="1" t="s">
        <v>70</v>
      </c>
      <c r="M791" s="1" t="s">
        <v>50</v>
      </c>
      <c r="N791" s="1" t="s">
        <v>41</v>
      </c>
      <c r="O791" s="1" t="s">
        <v>42</v>
      </c>
      <c r="P791" s="1" t="s">
        <v>43</v>
      </c>
      <c r="Q791" s="1" t="s">
        <v>44</v>
      </c>
      <c r="R791" s="1" t="s">
        <v>45</v>
      </c>
      <c r="S791" s="1">
        <v>318</v>
      </c>
      <c r="T791" s="1">
        <v>0</v>
      </c>
      <c r="U791" s="13">
        <v>3.888888888888889E-2</v>
      </c>
      <c r="V791" s="11">
        <v>900</v>
      </c>
      <c r="W791" s="11">
        <v>1300</v>
      </c>
      <c r="X791" s="8">
        <v>2200</v>
      </c>
      <c r="Y791" s="1" t="s">
        <v>51</v>
      </c>
      <c r="Z791" s="11">
        <v>1680</v>
      </c>
      <c r="AA791" s="11">
        <v>520</v>
      </c>
      <c r="AB791" s="1">
        <v>0</v>
      </c>
      <c r="AC791" s="1">
        <v>0</v>
      </c>
      <c r="AD791" s="1">
        <v>0</v>
      </c>
      <c r="AE791" s="1">
        <v>0</v>
      </c>
      <c r="AF791" s="1"/>
      <c r="AG791" s="1">
        <v>0</v>
      </c>
      <c r="AH791" s="1">
        <v>0</v>
      </c>
      <c r="AI791" s="1">
        <v>0</v>
      </c>
      <c r="AJ791" s="1">
        <v>0</v>
      </c>
      <c r="AK791" s="1">
        <v>1.6432</v>
      </c>
      <c r="AL791" s="1">
        <v>1.6432</v>
      </c>
      <c r="AM791" s="1">
        <v>1.6432</v>
      </c>
    </row>
    <row r="792" spans="1:39" x14ac:dyDescent="0.3">
      <c r="A792" s="21" t="str">
        <f t="shared" si="12"/>
        <v>HFA851LLHA2026-01-29</v>
      </c>
      <c r="B792" t="str">
        <f>VLOOKUP(A792,Sheet1!A792:B2134,1,FALSE)</f>
        <v>HFA851LLHA2026-01-29</v>
      </c>
      <c r="C792" s="3">
        <v>46051</v>
      </c>
      <c r="D792" s="1" t="s">
        <v>66</v>
      </c>
      <c r="E792" s="1" t="s">
        <v>38</v>
      </c>
      <c r="F792" s="1"/>
      <c r="G792" s="1" t="s">
        <v>39</v>
      </c>
      <c r="H792" s="1" t="s">
        <v>222</v>
      </c>
      <c r="I792" s="1" t="s">
        <v>41</v>
      </c>
      <c r="J792" s="1" t="s">
        <v>42</v>
      </c>
      <c r="K792" s="1" t="s">
        <v>43</v>
      </c>
      <c r="L792" s="1" t="s">
        <v>44</v>
      </c>
      <c r="M792" s="1" t="s">
        <v>45</v>
      </c>
      <c r="N792" s="1" t="s">
        <v>67</v>
      </c>
      <c r="O792" s="1" t="s">
        <v>68</v>
      </c>
      <c r="P792" s="1" t="s">
        <v>69</v>
      </c>
      <c r="Q792" s="1" t="s">
        <v>70</v>
      </c>
      <c r="R792" s="1" t="s">
        <v>50</v>
      </c>
      <c r="S792" s="1">
        <v>318</v>
      </c>
      <c r="T792" s="1">
        <v>0</v>
      </c>
      <c r="U792" s="13">
        <v>4.583333333333333E-2</v>
      </c>
      <c r="V792" s="11">
        <v>1680</v>
      </c>
      <c r="W792" s="11">
        <v>-40</v>
      </c>
      <c r="X792" s="8">
        <v>1640</v>
      </c>
      <c r="Y792" s="1" t="s">
        <v>51</v>
      </c>
      <c r="Z792" s="11">
        <v>950</v>
      </c>
      <c r="AA792" s="11">
        <v>690</v>
      </c>
      <c r="AB792" s="1">
        <v>0</v>
      </c>
      <c r="AC792" s="1">
        <v>0</v>
      </c>
      <c r="AD792" s="1">
        <v>0</v>
      </c>
      <c r="AE792" s="1">
        <v>0</v>
      </c>
      <c r="AF792" s="1"/>
      <c r="AG792" s="1">
        <v>0</v>
      </c>
      <c r="AH792" s="1">
        <v>0</v>
      </c>
      <c r="AI792" s="1">
        <v>0</v>
      </c>
      <c r="AJ792" s="1">
        <v>0</v>
      </c>
      <c r="AK792" s="1">
        <v>2.1804000000000001</v>
      </c>
      <c r="AL792" s="1">
        <v>2.1804000000000001</v>
      </c>
      <c r="AM792" s="1">
        <v>2.1804000000000001</v>
      </c>
    </row>
    <row r="793" spans="1:39" x14ac:dyDescent="0.3">
      <c r="A793" s="21" t="str">
        <f t="shared" si="12"/>
        <v>HFA852LCPH2026-01-29</v>
      </c>
      <c r="B793" t="str">
        <f>VLOOKUP(A793,Sheet1!A793:B2135,1,FALSE)</f>
        <v>HFA852LCPH2026-01-29</v>
      </c>
      <c r="C793" s="3">
        <v>46051</v>
      </c>
      <c r="D793" s="1" t="s">
        <v>71</v>
      </c>
      <c r="E793" s="1" t="s">
        <v>38</v>
      </c>
      <c r="F793" s="1"/>
      <c r="G793" s="1" t="s">
        <v>39</v>
      </c>
      <c r="H793" s="1" t="s">
        <v>222</v>
      </c>
      <c r="I793" s="1" t="s">
        <v>67</v>
      </c>
      <c r="J793" s="1" t="s">
        <v>68</v>
      </c>
      <c r="K793" s="1" t="s">
        <v>69</v>
      </c>
      <c r="L793" s="1" t="s">
        <v>70</v>
      </c>
      <c r="M793" s="1" t="s">
        <v>50</v>
      </c>
      <c r="N793" s="1" t="s">
        <v>41</v>
      </c>
      <c r="O793" s="1" t="s">
        <v>42</v>
      </c>
      <c r="P793" s="1" t="s">
        <v>43</v>
      </c>
      <c r="Q793" s="1" t="s">
        <v>44</v>
      </c>
      <c r="R793" s="1" t="s">
        <v>45</v>
      </c>
      <c r="S793" s="1">
        <v>318</v>
      </c>
      <c r="T793" s="1">
        <v>0</v>
      </c>
      <c r="U793" s="13">
        <v>4.583333333333333E-2</v>
      </c>
      <c r="V793" s="11">
        <v>950</v>
      </c>
      <c r="W793" s="11">
        <v>1150</v>
      </c>
      <c r="X793" s="8">
        <v>2100</v>
      </c>
      <c r="Y793" s="1" t="s">
        <v>51</v>
      </c>
      <c r="Z793" s="11">
        <v>1560</v>
      </c>
      <c r="AA793" s="11">
        <v>540</v>
      </c>
      <c r="AB793" s="1">
        <v>0</v>
      </c>
      <c r="AC793" s="1">
        <v>0</v>
      </c>
      <c r="AD793" s="1">
        <v>0</v>
      </c>
      <c r="AE793" s="1">
        <v>0</v>
      </c>
      <c r="AF793" s="1"/>
      <c r="AG793" s="1">
        <v>0</v>
      </c>
      <c r="AH793" s="1">
        <v>0</v>
      </c>
      <c r="AI793" s="1">
        <v>0</v>
      </c>
      <c r="AJ793" s="1">
        <v>0</v>
      </c>
      <c r="AK793" s="1">
        <v>1.7063999999999999</v>
      </c>
      <c r="AL793" s="1">
        <v>1.7063999999999999</v>
      </c>
      <c r="AM793" s="1">
        <v>1.7063999999999999</v>
      </c>
    </row>
    <row r="794" spans="1:39" x14ac:dyDescent="0.3">
      <c r="A794" s="21" t="str">
        <f t="shared" si="12"/>
        <v>HFA807LLHA2026-01-29</v>
      </c>
      <c r="B794" t="str">
        <f>VLOOKUP(A794,Sheet1!A794:B2136,1,FALSE)</f>
        <v>HFA807LLHA2026-01-29</v>
      </c>
      <c r="C794" s="3">
        <v>46051</v>
      </c>
      <c r="D794" s="1" t="s">
        <v>118</v>
      </c>
      <c r="E794" s="1" t="s">
        <v>38</v>
      </c>
      <c r="F794" s="1"/>
      <c r="G794" s="1" t="s">
        <v>39</v>
      </c>
      <c r="H794" s="1" t="s">
        <v>222</v>
      </c>
      <c r="I794" s="1" t="s">
        <v>41</v>
      </c>
      <c r="J794" s="1" t="s">
        <v>42</v>
      </c>
      <c r="K794" s="1" t="s">
        <v>43</v>
      </c>
      <c r="L794" s="1" t="s">
        <v>44</v>
      </c>
      <c r="M794" s="1" t="s">
        <v>45</v>
      </c>
      <c r="N794" s="1" t="s">
        <v>67</v>
      </c>
      <c r="O794" s="1" t="s">
        <v>86</v>
      </c>
      <c r="P794" s="1" t="s">
        <v>87</v>
      </c>
      <c r="Q794" s="1" t="s">
        <v>88</v>
      </c>
      <c r="R794" s="1" t="s">
        <v>50</v>
      </c>
      <c r="S794" s="1">
        <v>264</v>
      </c>
      <c r="T794" s="1">
        <v>0</v>
      </c>
      <c r="U794" s="13">
        <v>4.0972222222222222E-2</v>
      </c>
      <c r="V794" s="11">
        <v>1560</v>
      </c>
      <c r="W794" s="11">
        <v>-10</v>
      </c>
      <c r="X794" s="8">
        <v>1550</v>
      </c>
      <c r="Y794" s="1" t="s">
        <v>51</v>
      </c>
      <c r="Z794" s="11">
        <v>970</v>
      </c>
      <c r="AA794" s="11">
        <v>580</v>
      </c>
      <c r="AB794" s="1">
        <v>0</v>
      </c>
      <c r="AC794" s="1">
        <v>0</v>
      </c>
      <c r="AD794" s="1">
        <v>0</v>
      </c>
      <c r="AE794" s="1">
        <v>0</v>
      </c>
      <c r="AF794" s="1"/>
      <c r="AG794" s="1">
        <v>0</v>
      </c>
      <c r="AH794" s="1">
        <v>0</v>
      </c>
      <c r="AI794" s="1">
        <v>0</v>
      </c>
      <c r="AJ794" s="1">
        <v>0</v>
      </c>
      <c r="AK794" s="1">
        <v>1.8328</v>
      </c>
      <c r="AL794" s="1">
        <v>1.8328</v>
      </c>
      <c r="AM794" s="1">
        <v>1.8328</v>
      </c>
    </row>
    <row r="795" spans="1:39" x14ac:dyDescent="0.3">
      <c r="A795" s="21" t="str">
        <f t="shared" si="12"/>
        <v>HFA808LCLK2026-01-29</v>
      </c>
      <c r="B795" t="str">
        <f>VLOOKUP(A795,Sheet1!A795:B2137,1,FALSE)</f>
        <v>HFA808LCLK2026-01-29</v>
      </c>
      <c r="C795" s="3">
        <v>46051</v>
      </c>
      <c r="D795" s="1" t="s">
        <v>119</v>
      </c>
      <c r="E795" s="1" t="s">
        <v>38</v>
      </c>
      <c r="F795" s="1"/>
      <c r="G795" s="1" t="s">
        <v>39</v>
      </c>
      <c r="H795" s="1" t="s">
        <v>222</v>
      </c>
      <c r="I795" s="1" t="s">
        <v>67</v>
      </c>
      <c r="J795" s="1" t="s">
        <v>86</v>
      </c>
      <c r="K795" s="1" t="s">
        <v>87</v>
      </c>
      <c r="L795" s="1" t="s">
        <v>88</v>
      </c>
      <c r="M795" s="1" t="s">
        <v>50</v>
      </c>
      <c r="N795" s="1" t="s">
        <v>41</v>
      </c>
      <c r="O795" s="1" t="s">
        <v>42</v>
      </c>
      <c r="P795" s="1" t="s">
        <v>43</v>
      </c>
      <c r="Q795" s="1" t="s">
        <v>44</v>
      </c>
      <c r="R795" s="1" t="s">
        <v>45</v>
      </c>
      <c r="S795" s="1">
        <v>264</v>
      </c>
      <c r="T795" s="1">
        <v>0</v>
      </c>
      <c r="U795" s="13">
        <v>4.2361111111111106E-2</v>
      </c>
      <c r="V795" s="11">
        <v>970</v>
      </c>
      <c r="W795" s="11">
        <v>1430</v>
      </c>
      <c r="X795" s="8">
        <v>2400</v>
      </c>
      <c r="Y795" s="1" t="s">
        <v>51</v>
      </c>
      <c r="Z795" s="11">
        <v>1920</v>
      </c>
      <c r="AA795" s="11">
        <v>480</v>
      </c>
      <c r="AB795" s="1">
        <v>0</v>
      </c>
      <c r="AC795" s="1">
        <v>0</v>
      </c>
      <c r="AD795" s="1">
        <v>0</v>
      </c>
      <c r="AE795" s="1">
        <v>0</v>
      </c>
      <c r="AF795" s="1"/>
      <c r="AG795" s="1">
        <v>0</v>
      </c>
      <c r="AH795" s="1">
        <v>0</v>
      </c>
      <c r="AI795" s="1">
        <v>0</v>
      </c>
      <c r="AJ795" s="1">
        <v>0</v>
      </c>
      <c r="AK795" s="1">
        <v>1.5167999999999999</v>
      </c>
      <c r="AL795" s="1">
        <v>1.5167999999999999</v>
      </c>
      <c r="AM795" s="1">
        <v>1.5167999999999999</v>
      </c>
    </row>
    <row r="796" spans="1:39" x14ac:dyDescent="0.3">
      <c r="A796" s="21" t="str">
        <f t="shared" si="12"/>
        <v>HFA601LLHA2026-01-30</v>
      </c>
      <c r="B796" t="e">
        <f>VLOOKUP(A796,Sheet1!A796:B2138,1,FALSE)</f>
        <v>#N/A</v>
      </c>
      <c r="C796" s="3">
        <v>46052</v>
      </c>
      <c r="D796" s="1" t="s">
        <v>57</v>
      </c>
      <c r="E796" s="1" t="s">
        <v>38</v>
      </c>
      <c r="F796" s="1" t="s">
        <v>54</v>
      </c>
      <c r="G796" s="1" t="s">
        <v>39</v>
      </c>
      <c r="H796" s="1" t="s">
        <v>222</v>
      </c>
      <c r="I796" s="1" t="s">
        <v>41</v>
      </c>
      <c r="J796" s="1" t="s">
        <v>42</v>
      </c>
      <c r="K796" s="1" t="s">
        <v>43</v>
      </c>
      <c r="L796" s="1" t="s">
        <v>44</v>
      </c>
      <c r="M796" s="1" t="s">
        <v>45</v>
      </c>
      <c r="N796" s="1" t="s">
        <v>41</v>
      </c>
      <c r="O796" s="1" t="s">
        <v>58</v>
      </c>
      <c r="P796" s="1" t="s">
        <v>59</v>
      </c>
      <c r="Q796" s="1" t="s">
        <v>60</v>
      </c>
      <c r="R796" s="1" t="s">
        <v>45</v>
      </c>
      <c r="S796" s="1">
        <v>342</v>
      </c>
      <c r="T796" s="1">
        <v>0</v>
      </c>
      <c r="U796" s="13">
        <v>4.7222222222222221E-2</v>
      </c>
      <c r="V796" s="11">
        <v>1920</v>
      </c>
      <c r="W796" s="11">
        <v>-50</v>
      </c>
      <c r="X796" s="8">
        <v>1870</v>
      </c>
      <c r="Y796" s="1" t="s">
        <v>51</v>
      </c>
      <c r="Z796" s="11">
        <v>1170</v>
      </c>
      <c r="AA796" s="11">
        <v>700</v>
      </c>
      <c r="AB796" s="1">
        <v>0</v>
      </c>
      <c r="AC796" s="1">
        <v>0</v>
      </c>
      <c r="AD796" s="1">
        <v>0</v>
      </c>
      <c r="AE796" s="1">
        <v>0</v>
      </c>
      <c r="AF796" s="1"/>
      <c r="AG796" s="1">
        <v>0</v>
      </c>
      <c r="AH796" s="1">
        <v>0</v>
      </c>
      <c r="AI796" s="1">
        <v>0</v>
      </c>
      <c r="AJ796" s="1">
        <v>0</v>
      </c>
      <c r="AK796" s="1">
        <v>2.2120000000000002</v>
      </c>
      <c r="AL796" s="1">
        <v>2.2120000000000002</v>
      </c>
      <c r="AM796" s="1">
        <v>2.2120000000000002</v>
      </c>
    </row>
    <row r="797" spans="1:39" x14ac:dyDescent="0.3">
      <c r="A797" s="21" t="str">
        <f t="shared" si="12"/>
        <v>HFA602LLER2026-01-30</v>
      </c>
      <c r="B797" t="e">
        <f>VLOOKUP(A797,Sheet1!A797:B2139,1,FALSE)</f>
        <v>#N/A</v>
      </c>
      <c r="C797" s="3">
        <v>46052</v>
      </c>
      <c r="D797" s="1" t="s">
        <v>61</v>
      </c>
      <c r="E797" s="1" t="s">
        <v>38</v>
      </c>
      <c r="F797" s="1" t="s">
        <v>54</v>
      </c>
      <c r="G797" s="1" t="s">
        <v>39</v>
      </c>
      <c r="H797" s="1" t="s">
        <v>222</v>
      </c>
      <c r="I797" s="1" t="s">
        <v>41</v>
      </c>
      <c r="J797" s="1" t="s">
        <v>58</v>
      </c>
      <c r="K797" s="1" t="s">
        <v>59</v>
      </c>
      <c r="L797" s="1" t="s">
        <v>60</v>
      </c>
      <c r="M797" s="1" t="s">
        <v>45</v>
      </c>
      <c r="N797" s="1" t="s">
        <v>41</v>
      </c>
      <c r="O797" s="1" t="s">
        <v>42</v>
      </c>
      <c r="P797" s="1" t="s">
        <v>43</v>
      </c>
      <c r="Q797" s="1" t="s">
        <v>44</v>
      </c>
      <c r="R797" s="1" t="s">
        <v>45</v>
      </c>
      <c r="S797" s="1">
        <v>342</v>
      </c>
      <c r="T797" s="1">
        <v>0</v>
      </c>
      <c r="U797" s="13">
        <v>4.7916666666666663E-2</v>
      </c>
      <c r="V797" s="11">
        <v>1170</v>
      </c>
      <c r="W797" s="11">
        <v>1130</v>
      </c>
      <c r="X797" s="8">
        <v>2300</v>
      </c>
      <c r="Y797" s="1" t="s">
        <v>51</v>
      </c>
      <c r="Z797" s="11">
        <v>1620</v>
      </c>
      <c r="AA797" s="11">
        <v>680</v>
      </c>
      <c r="AB797" s="1">
        <v>0</v>
      </c>
      <c r="AC797" s="1">
        <v>0</v>
      </c>
      <c r="AD797" s="1">
        <v>0</v>
      </c>
      <c r="AE797" s="1">
        <v>0</v>
      </c>
      <c r="AF797" s="1"/>
      <c r="AG797" s="1">
        <v>0</v>
      </c>
      <c r="AH797" s="1">
        <v>0</v>
      </c>
      <c r="AI797" s="1">
        <v>0</v>
      </c>
      <c r="AJ797" s="1">
        <v>0</v>
      </c>
      <c r="AK797" s="1">
        <v>2.1488</v>
      </c>
      <c r="AL797" s="1">
        <v>2.1488</v>
      </c>
      <c r="AM797" s="1">
        <v>2.1488</v>
      </c>
    </row>
    <row r="798" spans="1:39" x14ac:dyDescent="0.3">
      <c r="A798" s="21" t="str">
        <f t="shared" si="12"/>
        <v>HFA853LLHA2026-01-31</v>
      </c>
      <c r="B798" t="str">
        <f>VLOOKUP(A798,Sheet1!A798:B2140,1,FALSE)</f>
        <v>HFA853LLHA2026-01-31</v>
      </c>
      <c r="C798" s="3">
        <v>46053</v>
      </c>
      <c r="D798" s="1" t="s">
        <v>223</v>
      </c>
      <c r="E798" s="1" t="s">
        <v>38</v>
      </c>
      <c r="F798" s="1"/>
      <c r="G798" s="1" t="s">
        <v>39</v>
      </c>
      <c r="H798" s="1" t="s">
        <v>222</v>
      </c>
      <c r="I798" s="1" t="s">
        <v>41</v>
      </c>
      <c r="J798" s="1" t="s">
        <v>42</v>
      </c>
      <c r="K798" s="1" t="s">
        <v>43</v>
      </c>
      <c r="L798" s="1" t="s">
        <v>44</v>
      </c>
      <c r="M798" s="1" t="s">
        <v>45</v>
      </c>
      <c r="N798" s="1" t="s">
        <v>67</v>
      </c>
      <c r="O798" s="1" t="s">
        <v>68</v>
      </c>
      <c r="P798" s="1" t="s">
        <v>69</v>
      </c>
      <c r="Q798" s="1" t="s">
        <v>70</v>
      </c>
      <c r="R798" s="1" t="s">
        <v>50</v>
      </c>
      <c r="S798" s="1">
        <v>318</v>
      </c>
      <c r="T798" s="1">
        <v>0</v>
      </c>
      <c r="U798" s="13">
        <v>4.0972222222222222E-2</v>
      </c>
      <c r="V798" s="11">
        <v>1620</v>
      </c>
      <c r="W798" s="11">
        <v>50</v>
      </c>
      <c r="X798" s="8">
        <v>1670</v>
      </c>
      <c r="Y798" s="1" t="s">
        <v>51</v>
      </c>
      <c r="Z798" s="11">
        <v>980</v>
      </c>
      <c r="AA798" s="11">
        <v>690</v>
      </c>
      <c r="AB798" s="1">
        <v>0</v>
      </c>
      <c r="AC798" s="1">
        <v>0</v>
      </c>
      <c r="AD798" s="1">
        <v>0</v>
      </c>
      <c r="AE798" s="1">
        <v>0</v>
      </c>
      <c r="AF798" s="1"/>
      <c r="AG798" s="1">
        <v>0</v>
      </c>
      <c r="AH798" s="1">
        <v>0</v>
      </c>
      <c r="AI798" s="1">
        <v>0</v>
      </c>
      <c r="AJ798" s="1">
        <v>0</v>
      </c>
      <c r="AK798" s="1">
        <v>2.1804000000000001</v>
      </c>
      <c r="AL798" s="1">
        <v>2.1804000000000001</v>
      </c>
      <c r="AM798" s="1">
        <v>2.1804000000000001</v>
      </c>
    </row>
    <row r="799" spans="1:39" x14ac:dyDescent="0.3">
      <c r="A799" s="21" t="str">
        <f t="shared" si="12"/>
        <v>HFA854LCPH2026-01-31</v>
      </c>
      <c r="B799" t="str">
        <f>VLOOKUP(A799,Sheet1!A799:B2141,1,FALSE)</f>
        <v>HFA854LCPH2026-01-31</v>
      </c>
      <c r="C799" s="3">
        <v>46053</v>
      </c>
      <c r="D799" s="1" t="s">
        <v>224</v>
      </c>
      <c r="E799" s="1" t="s">
        <v>38</v>
      </c>
      <c r="F799" s="1"/>
      <c r="G799" s="1" t="s">
        <v>39</v>
      </c>
      <c r="H799" s="1" t="s">
        <v>222</v>
      </c>
      <c r="I799" s="1" t="s">
        <v>67</v>
      </c>
      <c r="J799" s="1" t="s">
        <v>68</v>
      </c>
      <c r="K799" s="1" t="s">
        <v>69</v>
      </c>
      <c r="L799" s="1" t="s">
        <v>70</v>
      </c>
      <c r="M799" s="1" t="s">
        <v>50</v>
      </c>
      <c r="N799" s="1" t="s">
        <v>41</v>
      </c>
      <c r="O799" s="1" t="s">
        <v>42</v>
      </c>
      <c r="P799" s="1" t="s">
        <v>43</v>
      </c>
      <c r="Q799" s="1" t="s">
        <v>44</v>
      </c>
      <c r="R799" s="1" t="s">
        <v>45</v>
      </c>
      <c r="S799" s="1">
        <v>318</v>
      </c>
      <c r="T799" s="1">
        <v>0</v>
      </c>
      <c r="U799" s="13">
        <v>4.2361111111111106E-2</v>
      </c>
      <c r="V799" s="11">
        <v>980</v>
      </c>
      <c r="W799" s="11">
        <v>1420</v>
      </c>
      <c r="X799" s="8">
        <v>2400</v>
      </c>
      <c r="Y799" s="1" t="s">
        <v>51</v>
      </c>
      <c r="Z799" s="11">
        <v>1830</v>
      </c>
      <c r="AA799" s="11">
        <v>570</v>
      </c>
      <c r="AB799" s="1">
        <v>0</v>
      </c>
      <c r="AC799" s="1">
        <v>0</v>
      </c>
      <c r="AD799" s="1">
        <v>0</v>
      </c>
      <c r="AE799" s="1">
        <v>0</v>
      </c>
      <c r="AF799" s="1"/>
      <c r="AG799" s="1">
        <v>0</v>
      </c>
      <c r="AH799" s="1">
        <v>0</v>
      </c>
      <c r="AI799" s="1">
        <v>0</v>
      </c>
      <c r="AJ799" s="1">
        <v>0</v>
      </c>
      <c r="AK799" s="1">
        <v>1.8011999999999999</v>
      </c>
      <c r="AL799" s="1">
        <v>1.8011999999999999</v>
      </c>
      <c r="AM799" s="1">
        <v>1.8011999999999999</v>
      </c>
    </row>
    <row r="800" spans="1:39" x14ac:dyDescent="0.3">
      <c r="A800" s="21" t="str">
        <f t="shared" si="12"/>
        <v>HFA603LLHA2026-01-31</v>
      </c>
      <c r="B800" t="e">
        <f>VLOOKUP(A800,Sheet1!A800:B2142,1,FALSE)</f>
        <v>#N/A</v>
      </c>
      <c r="C800" s="3">
        <v>46053</v>
      </c>
      <c r="D800" s="1" t="s">
        <v>72</v>
      </c>
      <c r="E800" s="1" t="s">
        <v>38</v>
      </c>
      <c r="F800" s="1" t="s">
        <v>54</v>
      </c>
      <c r="G800" s="1" t="s">
        <v>39</v>
      </c>
      <c r="H800" s="1" t="s">
        <v>222</v>
      </c>
      <c r="I800" s="1" t="s">
        <v>41</v>
      </c>
      <c r="J800" s="1" t="s">
        <v>42</v>
      </c>
      <c r="K800" s="1" t="s">
        <v>43</v>
      </c>
      <c r="L800" s="1" t="s">
        <v>44</v>
      </c>
      <c r="M800" s="1" t="s">
        <v>45</v>
      </c>
      <c r="N800" s="1" t="s">
        <v>41</v>
      </c>
      <c r="O800" s="1" t="s">
        <v>58</v>
      </c>
      <c r="P800" s="1" t="s">
        <v>59</v>
      </c>
      <c r="Q800" s="1" t="s">
        <v>60</v>
      </c>
      <c r="R800" s="1" t="s">
        <v>45</v>
      </c>
      <c r="S800" s="1">
        <v>342</v>
      </c>
      <c r="T800" s="1">
        <v>0</v>
      </c>
      <c r="U800" s="13">
        <v>4.2361111111111106E-2</v>
      </c>
      <c r="V800" s="11">
        <v>1830</v>
      </c>
      <c r="W800" s="11">
        <v>0</v>
      </c>
      <c r="X800" s="8">
        <v>1830</v>
      </c>
      <c r="Y800" s="1" t="s">
        <v>51</v>
      </c>
      <c r="Z800" s="11">
        <v>1130</v>
      </c>
      <c r="AA800" s="11">
        <v>700</v>
      </c>
      <c r="AB800" s="1">
        <v>0</v>
      </c>
      <c r="AC800" s="1">
        <v>0</v>
      </c>
      <c r="AD800" s="1">
        <v>0</v>
      </c>
      <c r="AE800" s="1">
        <v>0</v>
      </c>
      <c r="AF800" s="1"/>
      <c r="AG800" s="1">
        <v>0</v>
      </c>
      <c r="AH800" s="1">
        <v>0</v>
      </c>
      <c r="AI800" s="1">
        <v>0</v>
      </c>
      <c r="AJ800" s="1">
        <v>0</v>
      </c>
      <c r="AK800" s="1">
        <v>2.2120000000000002</v>
      </c>
      <c r="AL800" s="1">
        <v>2.2120000000000002</v>
      </c>
      <c r="AM800" s="1">
        <v>2.2120000000000002</v>
      </c>
    </row>
    <row r="801" spans="1:39" x14ac:dyDescent="0.3">
      <c r="A801" s="21" t="str">
        <f t="shared" si="12"/>
        <v>HFA604LLER2026-01-31</v>
      </c>
      <c r="B801" t="e">
        <f>VLOOKUP(A801,Sheet1!A801:B2143,1,FALSE)</f>
        <v>#N/A</v>
      </c>
      <c r="C801" s="3">
        <v>46053</v>
      </c>
      <c r="D801" s="1" t="s">
        <v>73</v>
      </c>
      <c r="E801" s="1" t="s">
        <v>38</v>
      </c>
      <c r="F801" s="1" t="s">
        <v>54</v>
      </c>
      <c r="G801" s="1" t="s">
        <v>39</v>
      </c>
      <c r="H801" s="1" t="s">
        <v>222</v>
      </c>
      <c r="I801" s="1" t="s">
        <v>41</v>
      </c>
      <c r="J801" s="1" t="s">
        <v>58</v>
      </c>
      <c r="K801" s="1" t="s">
        <v>59</v>
      </c>
      <c r="L801" s="1" t="s">
        <v>60</v>
      </c>
      <c r="M801" s="1" t="s">
        <v>45</v>
      </c>
      <c r="N801" s="1" t="s">
        <v>41</v>
      </c>
      <c r="O801" s="1" t="s">
        <v>42</v>
      </c>
      <c r="P801" s="1" t="s">
        <v>43</v>
      </c>
      <c r="Q801" s="1" t="s">
        <v>44</v>
      </c>
      <c r="R801" s="1" t="s">
        <v>45</v>
      </c>
      <c r="S801" s="1">
        <v>342</v>
      </c>
      <c r="T801" s="1">
        <v>0</v>
      </c>
      <c r="U801" s="13">
        <v>4.5138888888888888E-2</v>
      </c>
      <c r="V801" s="11">
        <v>1130</v>
      </c>
      <c r="W801" s="11">
        <v>1470</v>
      </c>
      <c r="X801" s="8">
        <v>2600</v>
      </c>
      <c r="Y801" s="1" t="s">
        <v>51</v>
      </c>
      <c r="Z801" s="11">
        <v>1970</v>
      </c>
      <c r="AA801" s="11">
        <v>630</v>
      </c>
      <c r="AB801" s="1">
        <v>0</v>
      </c>
      <c r="AC801" s="1">
        <v>0</v>
      </c>
      <c r="AD801" s="1">
        <v>0</v>
      </c>
      <c r="AE801" s="1">
        <v>0</v>
      </c>
      <c r="AF801" s="1"/>
      <c r="AG801" s="1">
        <v>0</v>
      </c>
      <c r="AH801" s="1">
        <v>0</v>
      </c>
      <c r="AI801" s="1">
        <v>0</v>
      </c>
      <c r="AJ801" s="1">
        <v>0</v>
      </c>
      <c r="AK801" s="1">
        <v>1.9907999999999999</v>
      </c>
      <c r="AL801" s="1">
        <v>1.9907999999999999</v>
      </c>
      <c r="AM801" s="1">
        <v>1.9907999999999999</v>
      </c>
    </row>
    <row r="802" spans="1:39" x14ac:dyDescent="0.3">
      <c r="A802" s="21" t="str">
        <f t="shared" si="12"/>
        <v>HFA601LLHA2026-02-01</v>
      </c>
      <c r="B802" t="e">
        <f>VLOOKUP(A802,Sheet1!A802:B2144,1,FALSE)</f>
        <v>#N/A</v>
      </c>
      <c r="C802" s="3">
        <v>46054</v>
      </c>
      <c r="D802" s="1" t="s">
        <v>57</v>
      </c>
      <c r="E802" s="1" t="s">
        <v>38</v>
      </c>
      <c r="F802" s="1" t="s">
        <v>54</v>
      </c>
      <c r="G802" s="1" t="s">
        <v>39</v>
      </c>
      <c r="H802" s="1" t="s">
        <v>222</v>
      </c>
      <c r="I802" s="1" t="s">
        <v>41</v>
      </c>
      <c r="J802" s="1" t="s">
        <v>42</v>
      </c>
      <c r="K802" s="1" t="s">
        <v>43</v>
      </c>
      <c r="L802" s="1" t="s">
        <v>44</v>
      </c>
      <c r="M802" s="1" t="s">
        <v>45</v>
      </c>
      <c r="N802" s="1" t="s">
        <v>41</v>
      </c>
      <c r="O802" s="1" t="s">
        <v>58</v>
      </c>
      <c r="P802" s="1" t="s">
        <v>59</v>
      </c>
      <c r="Q802" s="1" t="s">
        <v>60</v>
      </c>
      <c r="R802" s="1" t="s">
        <v>45</v>
      </c>
      <c r="S802" s="1">
        <v>342</v>
      </c>
      <c r="T802" s="1">
        <v>0</v>
      </c>
      <c r="U802" s="13">
        <v>4.3749999999999997E-2</v>
      </c>
      <c r="V802" s="11">
        <v>1970</v>
      </c>
      <c r="W802" s="11">
        <v>-40</v>
      </c>
      <c r="X802" s="8">
        <v>1930</v>
      </c>
      <c r="Y802" s="1" t="s">
        <v>51</v>
      </c>
      <c r="Z802" s="11">
        <v>1270</v>
      </c>
      <c r="AA802" s="11">
        <v>660</v>
      </c>
      <c r="AB802" s="1">
        <v>0</v>
      </c>
      <c r="AC802" s="1">
        <v>0</v>
      </c>
      <c r="AD802" s="1">
        <v>0</v>
      </c>
      <c r="AE802" s="1">
        <v>0</v>
      </c>
      <c r="AF802" s="1"/>
      <c r="AG802" s="1">
        <v>0</v>
      </c>
      <c r="AH802" s="1">
        <v>0</v>
      </c>
      <c r="AI802" s="1">
        <v>0</v>
      </c>
      <c r="AJ802" s="1">
        <v>0</v>
      </c>
      <c r="AK802" s="1">
        <v>2.0855999999999999</v>
      </c>
      <c r="AL802" s="1">
        <v>2.0855999999999999</v>
      </c>
      <c r="AM802" s="1">
        <v>2.0855999999999999</v>
      </c>
    </row>
    <row r="803" spans="1:39" x14ac:dyDescent="0.3">
      <c r="A803" s="21" t="str">
        <f t="shared" si="12"/>
        <v>HFA602LLER2026-02-01</v>
      </c>
      <c r="B803" t="e">
        <f>VLOOKUP(A803,Sheet1!A803:B2145,1,FALSE)</f>
        <v>#N/A</v>
      </c>
      <c r="C803" s="3">
        <v>46054</v>
      </c>
      <c r="D803" s="1" t="s">
        <v>61</v>
      </c>
      <c r="E803" s="1" t="s">
        <v>38</v>
      </c>
      <c r="F803" s="1" t="s">
        <v>54</v>
      </c>
      <c r="G803" s="1" t="s">
        <v>39</v>
      </c>
      <c r="H803" s="1" t="s">
        <v>222</v>
      </c>
      <c r="I803" s="1" t="s">
        <v>41</v>
      </c>
      <c r="J803" s="1" t="s">
        <v>58</v>
      </c>
      <c r="K803" s="1" t="s">
        <v>59</v>
      </c>
      <c r="L803" s="1" t="s">
        <v>60</v>
      </c>
      <c r="M803" s="1" t="s">
        <v>45</v>
      </c>
      <c r="N803" s="1" t="s">
        <v>41</v>
      </c>
      <c r="O803" s="1" t="s">
        <v>42</v>
      </c>
      <c r="P803" s="1" t="s">
        <v>43</v>
      </c>
      <c r="Q803" s="1" t="s">
        <v>44</v>
      </c>
      <c r="R803" s="1" t="s">
        <v>45</v>
      </c>
      <c r="S803" s="1">
        <v>342</v>
      </c>
      <c r="T803" s="1">
        <v>0</v>
      </c>
      <c r="U803" s="13">
        <v>3.9583333333333331E-2</v>
      </c>
      <c r="V803" s="11">
        <v>1270</v>
      </c>
      <c r="W803" s="11">
        <v>1230</v>
      </c>
      <c r="X803" s="8">
        <v>2500</v>
      </c>
      <c r="Y803" s="1" t="s">
        <v>51</v>
      </c>
      <c r="Z803" s="11">
        <v>1900</v>
      </c>
      <c r="AA803" s="11">
        <v>600</v>
      </c>
      <c r="AB803" s="1">
        <v>0</v>
      </c>
      <c r="AC803" s="1">
        <v>0</v>
      </c>
      <c r="AD803" s="1">
        <v>0</v>
      </c>
      <c r="AE803" s="1">
        <v>0</v>
      </c>
      <c r="AF803" s="1"/>
      <c r="AG803" s="1">
        <v>0</v>
      </c>
      <c r="AH803" s="1">
        <v>0</v>
      </c>
      <c r="AI803" s="1">
        <v>0</v>
      </c>
      <c r="AJ803" s="1">
        <v>0</v>
      </c>
      <c r="AK803" s="1">
        <v>1.8959999999999999</v>
      </c>
      <c r="AL803" s="1">
        <v>1.8959999999999999</v>
      </c>
      <c r="AM803" s="1">
        <v>1.8959999999999999</v>
      </c>
    </row>
    <row r="804" spans="1:39" x14ac:dyDescent="0.3">
      <c r="A804" s="21" t="str">
        <f t="shared" si="12"/>
        <v>HFA603LLHA2026-02-01</v>
      </c>
      <c r="B804" t="e">
        <f>VLOOKUP(A804,Sheet1!A804:B2146,1,FALSE)</f>
        <v>#N/A</v>
      </c>
      <c r="C804" s="3">
        <v>46054</v>
      </c>
      <c r="D804" s="1" t="s">
        <v>72</v>
      </c>
      <c r="E804" s="1" t="s">
        <v>38</v>
      </c>
      <c r="F804" s="1" t="s">
        <v>54</v>
      </c>
      <c r="G804" s="1" t="s">
        <v>39</v>
      </c>
      <c r="H804" s="1" t="s">
        <v>222</v>
      </c>
      <c r="I804" s="1" t="s">
        <v>41</v>
      </c>
      <c r="J804" s="1" t="s">
        <v>42</v>
      </c>
      <c r="K804" s="1" t="s">
        <v>43</v>
      </c>
      <c r="L804" s="1" t="s">
        <v>44</v>
      </c>
      <c r="M804" s="1" t="s">
        <v>45</v>
      </c>
      <c r="N804" s="1" t="s">
        <v>41</v>
      </c>
      <c r="O804" s="1" t="s">
        <v>58</v>
      </c>
      <c r="P804" s="1" t="s">
        <v>59</v>
      </c>
      <c r="Q804" s="1" t="s">
        <v>60</v>
      </c>
      <c r="R804" s="1" t="s">
        <v>45</v>
      </c>
      <c r="S804" s="1">
        <v>342</v>
      </c>
      <c r="T804" s="1">
        <v>0</v>
      </c>
      <c r="U804" s="13">
        <v>4.5138888888888888E-2</v>
      </c>
      <c r="V804" s="11">
        <v>1900</v>
      </c>
      <c r="W804" s="11">
        <v>-10</v>
      </c>
      <c r="X804" s="8">
        <v>1890</v>
      </c>
      <c r="Y804" s="1" t="s">
        <v>51</v>
      </c>
      <c r="Z804" s="11">
        <v>1140</v>
      </c>
      <c r="AA804" s="11">
        <v>750</v>
      </c>
      <c r="AB804" s="1">
        <v>0</v>
      </c>
      <c r="AC804" s="1">
        <v>0</v>
      </c>
      <c r="AD804" s="1">
        <v>0</v>
      </c>
      <c r="AE804" s="1">
        <v>0</v>
      </c>
      <c r="AF804" s="1"/>
      <c r="AG804" s="1">
        <v>0</v>
      </c>
      <c r="AH804" s="1">
        <v>0</v>
      </c>
      <c r="AI804" s="1">
        <v>0</v>
      </c>
      <c r="AJ804" s="1">
        <v>0</v>
      </c>
      <c r="AK804" s="1">
        <v>2.37</v>
      </c>
      <c r="AL804" s="1">
        <v>2.37</v>
      </c>
      <c r="AM804" s="1">
        <v>2.37</v>
      </c>
    </row>
    <row r="805" spans="1:39" x14ac:dyDescent="0.3">
      <c r="A805" s="21" t="str">
        <f t="shared" si="12"/>
        <v>HFA604LLER2026-02-01</v>
      </c>
      <c r="B805" t="e">
        <f>VLOOKUP(A805,Sheet1!A805:B2147,1,FALSE)</f>
        <v>#N/A</v>
      </c>
      <c r="C805" s="3">
        <v>46054</v>
      </c>
      <c r="D805" s="1" t="s">
        <v>73</v>
      </c>
      <c r="E805" s="1" t="s">
        <v>38</v>
      </c>
      <c r="F805" s="1" t="s">
        <v>54</v>
      </c>
      <c r="G805" s="1" t="s">
        <v>39</v>
      </c>
      <c r="H805" s="1" t="s">
        <v>222</v>
      </c>
      <c r="I805" s="1" t="s">
        <v>41</v>
      </c>
      <c r="J805" s="1" t="s">
        <v>58</v>
      </c>
      <c r="K805" s="1" t="s">
        <v>59</v>
      </c>
      <c r="L805" s="1" t="s">
        <v>60</v>
      </c>
      <c r="M805" s="1" t="s">
        <v>45</v>
      </c>
      <c r="N805" s="1" t="s">
        <v>41</v>
      </c>
      <c r="O805" s="1" t="s">
        <v>42</v>
      </c>
      <c r="P805" s="1" t="s">
        <v>43</v>
      </c>
      <c r="Q805" s="1" t="s">
        <v>44</v>
      </c>
      <c r="R805" s="1" t="s">
        <v>45</v>
      </c>
      <c r="S805" s="1">
        <v>342</v>
      </c>
      <c r="T805" s="1">
        <v>0</v>
      </c>
      <c r="U805" s="13">
        <v>4.3055555555555555E-2</v>
      </c>
      <c r="V805" s="11">
        <v>1140</v>
      </c>
      <c r="W805" s="11">
        <v>1360</v>
      </c>
      <c r="X805" s="8">
        <v>2500</v>
      </c>
      <c r="Y805" s="1" t="s">
        <v>51</v>
      </c>
      <c r="Z805" s="11">
        <v>1860</v>
      </c>
      <c r="AA805" s="11">
        <v>640</v>
      </c>
      <c r="AB805" s="1">
        <v>0</v>
      </c>
      <c r="AC805" s="1">
        <v>0</v>
      </c>
      <c r="AD805" s="1">
        <v>0</v>
      </c>
      <c r="AE805" s="1">
        <v>0</v>
      </c>
      <c r="AF805" s="1"/>
      <c r="AG805" s="1">
        <v>0</v>
      </c>
      <c r="AH805" s="1">
        <v>0</v>
      </c>
      <c r="AI805" s="1">
        <v>0</v>
      </c>
      <c r="AJ805" s="1">
        <v>0</v>
      </c>
      <c r="AK805" s="1">
        <v>2.0224000000000002</v>
      </c>
      <c r="AL805" s="1">
        <v>2.0224000000000002</v>
      </c>
      <c r="AM805" s="1">
        <v>2.0224000000000002</v>
      </c>
    </row>
    <row r="806" spans="1:39" x14ac:dyDescent="0.3">
      <c r="A806" s="21" t="str">
        <f t="shared" si="12"/>
        <v>HFA605LLHA2026-02-02</v>
      </c>
      <c r="B806" t="e">
        <f>VLOOKUP(A806,Sheet1!A806:B2148,1,FALSE)</f>
        <v>#N/A</v>
      </c>
      <c r="C806" s="3">
        <v>46055</v>
      </c>
      <c r="D806" s="1" t="s">
        <v>62</v>
      </c>
      <c r="E806" s="1" t="s">
        <v>38</v>
      </c>
      <c r="F806" s="1" t="s">
        <v>54</v>
      </c>
      <c r="G806" s="1" t="s">
        <v>39</v>
      </c>
      <c r="H806" s="1" t="s">
        <v>222</v>
      </c>
      <c r="I806" s="1" t="s">
        <v>41</v>
      </c>
      <c r="J806" s="1" t="s">
        <v>42</v>
      </c>
      <c r="K806" s="1" t="s">
        <v>43</v>
      </c>
      <c r="L806" s="1" t="s">
        <v>44</v>
      </c>
      <c r="M806" s="1" t="s">
        <v>45</v>
      </c>
      <c r="N806" s="1" t="s">
        <v>41</v>
      </c>
      <c r="O806" s="1" t="s">
        <v>58</v>
      </c>
      <c r="P806" s="1" t="s">
        <v>59</v>
      </c>
      <c r="Q806" s="1" t="s">
        <v>60</v>
      </c>
      <c r="R806" s="1" t="s">
        <v>45</v>
      </c>
      <c r="S806" s="1">
        <v>342</v>
      </c>
      <c r="T806" s="1">
        <v>0</v>
      </c>
      <c r="U806" s="13">
        <v>4.3055555555555555E-2</v>
      </c>
      <c r="V806" s="11">
        <v>1860</v>
      </c>
      <c r="W806" s="11">
        <v>-30</v>
      </c>
      <c r="X806" s="8">
        <v>1830</v>
      </c>
      <c r="Y806" s="1" t="s">
        <v>51</v>
      </c>
      <c r="Z806" s="11">
        <v>1130</v>
      </c>
      <c r="AA806" s="11">
        <v>700</v>
      </c>
      <c r="AB806" s="1">
        <v>0</v>
      </c>
      <c r="AC806" s="1">
        <v>0</v>
      </c>
      <c r="AD806" s="1">
        <v>0</v>
      </c>
      <c r="AE806" s="1">
        <v>0</v>
      </c>
      <c r="AF806" s="1"/>
      <c r="AG806" s="1">
        <v>0</v>
      </c>
      <c r="AH806" s="1">
        <v>0</v>
      </c>
      <c r="AI806" s="1">
        <v>0</v>
      </c>
      <c r="AJ806" s="1">
        <v>0</v>
      </c>
      <c r="AK806" s="1">
        <v>2.2120000000000002</v>
      </c>
      <c r="AL806" s="1">
        <v>2.2120000000000002</v>
      </c>
      <c r="AM806" s="1">
        <v>2.2120000000000002</v>
      </c>
    </row>
    <row r="807" spans="1:39" x14ac:dyDescent="0.3">
      <c r="A807" s="21" t="str">
        <f t="shared" si="12"/>
        <v>HFA606LLER2026-02-02</v>
      </c>
      <c r="B807" t="e">
        <f>VLOOKUP(A807,Sheet1!A807:B2149,1,FALSE)</f>
        <v>#N/A</v>
      </c>
      <c r="C807" s="3">
        <v>46055</v>
      </c>
      <c r="D807" s="1" t="s">
        <v>63</v>
      </c>
      <c r="E807" s="1" t="s">
        <v>38</v>
      </c>
      <c r="F807" s="1" t="s">
        <v>54</v>
      </c>
      <c r="G807" s="1" t="s">
        <v>39</v>
      </c>
      <c r="H807" s="1" t="s">
        <v>222</v>
      </c>
      <c r="I807" s="1" t="s">
        <v>41</v>
      </c>
      <c r="J807" s="1" t="s">
        <v>58</v>
      </c>
      <c r="K807" s="1" t="s">
        <v>59</v>
      </c>
      <c r="L807" s="1" t="s">
        <v>60</v>
      </c>
      <c r="M807" s="1" t="s">
        <v>45</v>
      </c>
      <c r="N807" s="1" t="s">
        <v>41</v>
      </c>
      <c r="O807" s="1" t="s">
        <v>42</v>
      </c>
      <c r="P807" s="1" t="s">
        <v>43</v>
      </c>
      <c r="Q807" s="1" t="s">
        <v>44</v>
      </c>
      <c r="R807" s="1" t="s">
        <v>45</v>
      </c>
      <c r="S807" s="1">
        <v>342</v>
      </c>
      <c r="T807" s="1">
        <v>0</v>
      </c>
      <c r="U807" s="13">
        <v>4.583333333333333E-2</v>
      </c>
      <c r="V807" s="11">
        <v>1130</v>
      </c>
      <c r="W807" s="11">
        <v>1170</v>
      </c>
      <c r="X807" s="8">
        <v>2300</v>
      </c>
      <c r="Y807" s="1" t="s">
        <v>51</v>
      </c>
      <c r="Z807" s="11">
        <v>1640</v>
      </c>
      <c r="AA807" s="11">
        <v>660</v>
      </c>
      <c r="AB807" s="1">
        <v>0</v>
      </c>
      <c r="AC807" s="1">
        <v>0</v>
      </c>
      <c r="AD807" s="1">
        <v>0</v>
      </c>
      <c r="AE807" s="1">
        <v>0</v>
      </c>
      <c r="AF807" s="1"/>
      <c r="AG807" s="1">
        <v>0</v>
      </c>
      <c r="AH807" s="1">
        <v>0</v>
      </c>
      <c r="AI807" s="1">
        <v>0</v>
      </c>
      <c r="AJ807" s="1">
        <v>0</v>
      </c>
      <c r="AK807" s="1">
        <v>2.0855999999999999</v>
      </c>
      <c r="AL807" s="1">
        <v>2.0855999999999999</v>
      </c>
      <c r="AM807" s="1">
        <v>2.0855999999999999</v>
      </c>
    </row>
    <row r="808" spans="1:39" x14ac:dyDescent="0.3">
      <c r="A808" s="21" t="str">
        <f t="shared" si="12"/>
        <v>HFA807LLHA2026-02-02</v>
      </c>
      <c r="B808" t="e">
        <f>VLOOKUP(A808,Sheet1!A808:B2150,1,FALSE)</f>
        <v>#N/A</v>
      </c>
      <c r="C808" s="3">
        <v>46055</v>
      </c>
      <c r="D808" s="1" t="s">
        <v>118</v>
      </c>
      <c r="E808" s="1" t="s">
        <v>38</v>
      </c>
      <c r="F808" s="1"/>
      <c r="G808" s="1" t="s">
        <v>39</v>
      </c>
      <c r="H808" s="1" t="s">
        <v>222</v>
      </c>
      <c r="I808" s="1" t="s">
        <v>41</v>
      </c>
      <c r="J808" s="1" t="s">
        <v>42</v>
      </c>
      <c r="K808" s="1" t="s">
        <v>43</v>
      </c>
      <c r="L808" s="1" t="s">
        <v>44</v>
      </c>
      <c r="M808" s="1" t="s">
        <v>45</v>
      </c>
      <c r="N808" s="1" t="s">
        <v>67</v>
      </c>
      <c r="O808" s="1" t="s">
        <v>86</v>
      </c>
      <c r="P808" s="1" t="s">
        <v>87</v>
      </c>
      <c r="Q808" s="1" t="s">
        <v>88</v>
      </c>
      <c r="R808" s="1" t="s">
        <v>50</v>
      </c>
      <c r="S808" s="1">
        <v>264</v>
      </c>
      <c r="T808" s="1">
        <v>0</v>
      </c>
      <c r="U808" s="13">
        <v>5.2083333333333329E-2</v>
      </c>
      <c r="V808" s="11">
        <v>1640</v>
      </c>
      <c r="W808" s="11">
        <v>0</v>
      </c>
      <c r="X808" s="8">
        <v>1640</v>
      </c>
      <c r="Y808" s="1" t="s">
        <v>51</v>
      </c>
      <c r="Z808" s="11">
        <v>980</v>
      </c>
      <c r="AA808" s="11">
        <v>660</v>
      </c>
      <c r="AB808" s="1">
        <v>0</v>
      </c>
      <c r="AC808" s="1">
        <v>0</v>
      </c>
      <c r="AD808" s="1">
        <v>0</v>
      </c>
      <c r="AE808" s="1">
        <v>0</v>
      </c>
      <c r="AF808" s="1"/>
      <c r="AG808" s="1">
        <v>0</v>
      </c>
      <c r="AH808" s="1">
        <v>0</v>
      </c>
      <c r="AI808" s="1">
        <v>0</v>
      </c>
      <c r="AJ808" s="1">
        <v>0</v>
      </c>
      <c r="AK808" s="1">
        <v>2.0855999999999999</v>
      </c>
      <c r="AL808" s="1">
        <v>2.0855999999999999</v>
      </c>
      <c r="AM808" s="1">
        <v>2.0855999999999999</v>
      </c>
    </row>
    <row r="809" spans="1:39" x14ac:dyDescent="0.3">
      <c r="A809" s="21" t="str">
        <f t="shared" si="12"/>
        <v>HFA808LCLK2026-02-02</v>
      </c>
      <c r="B809" t="str">
        <f>VLOOKUP(A809,Sheet1!A809:B2151,1,FALSE)</f>
        <v>HFA808LCLK2026-02-02</v>
      </c>
      <c r="C809" s="3">
        <v>46055</v>
      </c>
      <c r="D809" s="1" t="s">
        <v>119</v>
      </c>
      <c r="E809" s="1" t="s">
        <v>38</v>
      </c>
      <c r="F809" s="1"/>
      <c r="G809" s="1" t="s">
        <v>39</v>
      </c>
      <c r="H809" s="1" t="s">
        <v>222</v>
      </c>
      <c r="I809" s="1" t="s">
        <v>67</v>
      </c>
      <c r="J809" s="1" t="s">
        <v>86</v>
      </c>
      <c r="K809" s="1" t="s">
        <v>87</v>
      </c>
      <c r="L809" s="1" t="s">
        <v>88</v>
      </c>
      <c r="M809" s="1" t="s">
        <v>50</v>
      </c>
      <c r="N809" s="1" t="s">
        <v>41</v>
      </c>
      <c r="O809" s="1" t="s">
        <v>42</v>
      </c>
      <c r="P809" s="1" t="s">
        <v>43</v>
      </c>
      <c r="Q809" s="1" t="s">
        <v>44</v>
      </c>
      <c r="R809" s="1" t="s">
        <v>45</v>
      </c>
      <c r="S809" s="1">
        <v>264</v>
      </c>
      <c r="T809" s="1">
        <v>0</v>
      </c>
      <c r="U809" s="13">
        <v>3.888888888888889E-2</v>
      </c>
      <c r="V809" s="11">
        <v>980</v>
      </c>
      <c r="W809" s="11">
        <v>1520</v>
      </c>
      <c r="X809" s="8">
        <v>2500</v>
      </c>
      <c r="Y809" s="1" t="s">
        <v>51</v>
      </c>
      <c r="Z809" s="11">
        <v>1970</v>
      </c>
      <c r="AA809" s="11">
        <v>530</v>
      </c>
      <c r="AB809" s="1">
        <v>0</v>
      </c>
      <c r="AC809" s="1">
        <v>0</v>
      </c>
      <c r="AD809" s="1">
        <v>0</v>
      </c>
      <c r="AE809" s="1">
        <v>0</v>
      </c>
      <c r="AF809" s="1"/>
      <c r="AG809" s="1">
        <v>0</v>
      </c>
      <c r="AH809" s="1">
        <v>0</v>
      </c>
      <c r="AI809" s="1">
        <v>0</v>
      </c>
      <c r="AJ809" s="1">
        <v>0</v>
      </c>
      <c r="AK809" s="1">
        <v>1.6748000000000001</v>
      </c>
      <c r="AL809" s="1">
        <v>1.6748000000000001</v>
      </c>
      <c r="AM809" s="1">
        <v>1.6748000000000001</v>
      </c>
    </row>
    <row r="810" spans="1:39" x14ac:dyDescent="0.3">
      <c r="A810" s="21" t="str">
        <f t="shared" si="12"/>
        <v>HFA601LLHA2026-02-03</v>
      </c>
      <c r="B810" t="e">
        <f>VLOOKUP(A810,Sheet1!A810:B2152,1,FALSE)</f>
        <v>#N/A</v>
      </c>
      <c r="C810" s="3">
        <v>46056</v>
      </c>
      <c r="D810" s="1" t="s">
        <v>57</v>
      </c>
      <c r="E810" s="1" t="s">
        <v>38</v>
      </c>
      <c r="F810" s="1" t="s">
        <v>54</v>
      </c>
      <c r="G810" s="1" t="s">
        <v>39</v>
      </c>
      <c r="H810" s="1" t="s">
        <v>222</v>
      </c>
      <c r="I810" s="1" t="s">
        <v>41</v>
      </c>
      <c r="J810" s="1" t="s">
        <v>42</v>
      </c>
      <c r="K810" s="1" t="s">
        <v>43</v>
      </c>
      <c r="L810" s="1" t="s">
        <v>44</v>
      </c>
      <c r="M810" s="1" t="s">
        <v>45</v>
      </c>
      <c r="N810" s="1" t="s">
        <v>41</v>
      </c>
      <c r="O810" s="1" t="s">
        <v>58</v>
      </c>
      <c r="P810" s="1" t="s">
        <v>59</v>
      </c>
      <c r="Q810" s="1" t="s">
        <v>60</v>
      </c>
      <c r="R810" s="1" t="s">
        <v>45</v>
      </c>
      <c r="S810" s="1">
        <v>342</v>
      </c>
      <c r="T810" s="1">
        <v>0</v>
      </c>
      <c r="U810" s="13">
        <v>3.9583333333333331E-2</v>
      </c>
      <c r="V810" s="11">
        <v>1970</v>
      </c>
      <c r="W810" s="11">
        <v>-10</v>
      </c>
      <c r="X810" s="8">
        <v>1960</v>
      </c>
      <c r="Y810" s="1" t="s">
        <v>51</v>
      </c>
      <c r="Z810" s="11">
        <v>1370</v>
      </c>
      <c r="AA810" s="11">
        <v>590</v>
      </c>
      <c r="AB810" s="1">
        <v>0</v>
      </c>
      <c r="AC810" s="1">
        <v>0</v>
      </c>
      <c r="AD810" s="1">
        <v>0</v>
      </c>
      <c r="AE810" s="1">
        <v>0</v>
      </c>
      <c r="AF810" s="1"/>
      <c r="AG810" s="1">
        <v>0</v>
      </c>
      <c r="AH810" s="1">
        <v>0</v>
      </c>
      <c r="AI810" s="1">
        <v>0</v>
      </c>
      <c r="AJ810" s="1">
        <v>0</v>
      </c>
      <c r="AK810" s="1">
        <v>1.8644000000000001</v>
      </c>
      <c r="AL810" s="1">
        <v>1.8644000000000001</v>
      </c>
      <c r="AM810" s="1">
        <v>1.8644000000000001</v>
      </c>
    </row>
    <row r="811" spans="1:39" x14ac:dyDescent="0.3">
      <c r="A811" s="21" t="str">
        <f t="shared" si="12"/>
        <v>HFA602LLER2026-02-03</v>
      </c>
      <c r="B811" t="e">
        <f>VLOOKUP(A811,Sheet1!A811:B2153,1,FALSE)</f>
        <v>#N/A</v>
      </c>
      <c r="C811" s="3">
        <v>46056</v>
      </c>
      <c r="D811" s="1" t="s">
        <v>61</v>
      </c>
      <c r="E811" s="1" t="s">
        <v>38</v>
      </c>
      <c r="F811" s="1" t="s">
        <v>54</v>
      </c>
      <c r="G811" s="1" t="s">
        <v>39</v>
      </c>
      <c r="H811" s="1" t="s">
        <v>222</v>
      </c>
      <c r="I811" s="1" t="s">
        <v>41</v>
      </c>
      <c r="J811" s="1" t="s">
        <v>58</v>
      </c>
      <c r="K811" s="1" t="s">
        <v>59</v>
      </c>
      <c r="L811" s="1" t="s">
        <v>60</v>
      </c>
      <c r="M811" s="1" t="s">
        <v>45</v>
      </c>
      <c r="N811" s="1" t="s">
        <v>41</v>
      </c>
      <c r="O811" s="1" t="s">
        <v>42</v>
      </c>
      <c r="P811" s="1" t="s">
        <v>43</v>
      </c>
      <c r="Q811" s="1" t="s">
        <v>44</v>
      </c>
      <c r="R811" s="1" t="s">
        <v>45</v>
      </c>
      <c r="S811" s="1">
        <v>342</v>
      </c>
      <c r="T811" s="1">
        <v>0</v>
      </c>
      <c r="U811" s="13">
        <v>4.7916666666666663E-2</v>
      </c>
      <c r="V811" s="11">
        <v>1370</v>
      </c>
      <c r="W811" s="11">
        <v>930</v>
      </c>
      <c r="X811" s="8">
        <v>2300</v>
      </c>
      <c r="Y811" s="1" t="s">
        <v>51</v>
      </c>
      <c r="Z811" s="11">
        <v>1660</v>
      </c>
      <c r="AA811" s="11">
        <v>640</v>
      </c>
      <c r="AB811" s="1">
        <v>0</v>
      </c>
      <c r="AC811" s="1">
        <v>0</v>
      </c>
      <c r="AD811" s="1">
        <v>0</v>
      </c>
      <c r="AE811" s="1">
        <v>0</v>
      </c>
      <c r="AF811" s="1"/>
      <c r="AG811" s="1">
        <v>0</v>
      </c>
      <c r="AH811" s="1">
        <v>0</v>
      </c>
      <c r="AI811" s="1">
        <v>0</v>
      </c>
      <c r="AJ811" s="1">
        <v>0</v>
      </c>
      <c r="AK811" s="1">
        <v>2.0224000000000002</v>
      </c>
      <c r="AL811" s="1">
        <v>2.0224000000000002</v>
      </c>
      <c r="AM811" s="1">
        <v>2.0224000000000002</v>
      </c>
    </row>
    <row r="812" spans="1:39" x14ac:dyDescent="0.3">
      <c r="A812" s="21" t="str">
        <f t="shared" si="12"/>
        <v>HFA803LLHA2026-02-03</v>
      </c>
      <c r="B812" t="e">
        <f>VLOOKUP(A812,Sheet1!A812:B2154,1,FALSE)</f>
        <v>#N/A</v>
      </c>
      <c r="C812" s="3">
        <v>46056</v>
      </c>
      <c r="D812" s="1" t="s">
        <v>116</v>
      </c>
      <c r="E812" s="1" t="s">
        <v>38</v>
      </c>
      <c r="F812" s="1"/>
      <c r="G812" s="1" t="s">
        <v>39</v>
      </c>
      <c r="H812" s="1" t="s">
        <v>222</v>
      </c>
      <c r="I812" s="1" t="s">
        <v>41</v>
      </c>
      <c r="J812" s="1" t="s">
        <v>42</v>
      </c>
      <c r="K812" s="1" t="s">
        <v>43</v>
      </c>
      <c r="L812" s="1" t="s">
        <v>44</v>
      </c>
      <c r="M812" s="1" t="s">
        <v>45</v>
      </c>
      <c r="N812" s="1" t="s">
        <v>67</v>
      </c>
      <c r="O812" s="1" t="s">
        <v>86</v>
      </c>
      <c r="P812" s="1" t="s">
        <v>87</v>
      </c>
      <c r="Q812" s="1" t="s">
        <v>88</v>
      </c>
      <c r="R812" s="1" t="s">
        <v>50</v>
      </c>
      <c r="S812" s="1">
        <v>264</v>
      </c>
      <c r="T812" s="1">
        <v>0</v>
      </c>
      <c r="U812" s="13">
        <v>3.9583333333333331E-2</v>
      </c>
      <c r="V812" s="11">
        <v>1660</v>
      </c>
      <c r="W812" s="11">
        <v>0</v>
      </c>
      <c r="X812" s="8">
        <v>1660</v>
      </c>
      <c r="Y812" s="1" t="s">
        <v>51</v>
      </c>
      <c r="Z812" s="11">
        <v>1060</v>
      </c>
      <c r="AA812" s="11">
        <v>600</v>
      </c>
      <c r="AB812" s="1">
        <v>0</v>
      </c>
      <c r="AC812" s="1">
        <v>0</v>
      </c>
      <c r="AD812" s="1">
        <v>0</v>
      </c>
      <c r="AE812" s="1">
        <v>0</v>
      </c>
      <c r="AF812" s="1"/>
      <c r="AG812" s="1">
        <v>0</v>
      </c>
      <c r="AH812" s="1">
        <v>0</v>
      </c>
      <c r="AI812" s="1">
        <v>0</v>
      </c>
      <c r="AJ812" s="1">
        <v>0</v>
      </c>
      <c r="AK812" s="1">
        <v>1.8959999999999999</v>
      </c>
      <c r="AL812" s="1">
        <v>1.8959999999999999</v>
      </c>
      <c r="AM812" s="1">
        <v>1.8959999999999999</v>
      </c>
    </row>
    <row r="813" spans="1:39" x14ac:dyDescent="0.3">
      <c r="A813" s="21" t="str">
        <f t="shared" si="12"/>
        <v>HFA804LCLK2026-02-03</v>
      </c>
      <c r="B813" t="e">
        <f>VLOOKUP(A813,Sheet1!A813:B2155,1,FALSE)</f>
        <v>#N/A</v>
      </c>
      <c r="C813" s="3">
        <v>46056</v>
      </c>
      <c r="D813" s="1" t="s">
        <v>117</v>
      </c>
      <c r="E813" s="1" t="s">
        <v>38</v>
      </c>
      <c r="F813" s="1"/>
      <c r="G813" s="1" t="s">
        <v>39</v>
      </c>
      <c r="H813" s="1" t="s">
        <v>222</v>
      </c>
      <c r="I813" s="1" t="s">
        <v>67</v>
      </c>
      <c r="J813" s="1" t="s">
        <v>86</v>
      </c>
      <c r="K813" s="1" t="s">
        <v>87</v>
      </c>
      <c r="L813" s="1" t="s">
        <v>88</v>
      </c>
      <c r="M813" s="1" t="s">
        <v>50</v>
      </c>
      <c r="N813" s="1" t="s">
        <v>41</v>
      </c>
      <c r="O813" s="1" t="s">
        <v>42</v>
      </c>
      <c r="P813" s="1" t="s">
        <v>43</v>
      </c>
      <c r="Q813" s="1" t="s">
        <v>44</v>
      </c>
      <c r="R813" s="1" t="s">
        <v>45</v>
      </c>
      <c r="S813" s="1">
        <v>264</v>
      </c>
      <c r="T813" s="1">
        <v>0</v>
      </c>
      <c r="U813" s="13">
        <v>3.6805555555555557E-2</v>
      </c>
      <c r="V813" s="11">
        <v>1060</v>
      </c>
      <c r="W813" s="11">
        <v>1340</v>
      </c>
      <c r="X813" s="8">
        <v>2400</v>
      </c>
      <c r="Y813" s="1" t="s">
        <v>51</v>
      </c>
      <c r="Z813" s="11">
        <v>1930</v>
      </c>
      <c r="AA813" s="11">
        <v>470</v>
      </c>
      <c r="AB813" s="1">
        <v>0</v>
      </c>
      <c r="AC813" s="1">
        <v>0</v>
      </c>
      <c r="AD813" s="1">
        <v>0</v>
      </c>
      <c r="AE813" s="1">
        <v>0</v>
      </c>
      <c r="AF813" s="1"/>
      <c r="AG813" s="1">
        <v>0</v>
      </c>
      <c r="AH813" s="1">
        <v>0</v>
      </c>
      <c r="AI813" s="1">
        <v>0</v>
      </c>
      <c r="AJ813" s="1">
        <v>0</v>
      </c>
      <c r="AK813" s="1">
        <v>1.4852000000000001</v>
      </c>
      <c r="AL813" s="1">
        <v>1.4852000000000001</v>
      </c>
      <c r="AM813" s="1">
        <v>1.4852000000000001</v>
      </c>
    </row>
    <row r="814" spans="1:39" x14ac:dyDescent="0.3">
      <c r="A814" s="21" t="str">
        <f t="shared" si="12"/>
        <v>HFA601LLHA2026-02-04</v>
      </c>
      <c r="B814" t="e">
        <f>VLOOKUP(A814,Sheet1!A814:B2156,1,FALSE)</f>
        <v>#N/A</v>
      </c>
      <c r="C814" s="3">
        <v>46057</v>
      </c>
      <c r="D814" s="1" t="s">
        <v>57</v>
      </c>
      <c r="E814" s="1" t="s">
        <v>38</v>
      </c>
      <c r="F814" s="1" t="s">
        <v>54</v>
      </c>
      <c r="G814" s="1" t="s">
        <v>39</v>
      </c>
      <c r="H814" s="1" t="s">
        <v>222</v>
      </c>
      <c r="I814" s="1" t="s">
        <v>41</v>
      </c>
      <c r="J814" s="1" t="s">
        <v>42</v>
      </c>
      <c r="K814" s="1" t="s">
        <v>43</v>
      </c>
      <c r="L814" s="1" t="s">
        <v>44</v>
      </c>
      <c r="M814" s="1" t="s">
        <v>45</v>
      </c>
      <c r="N814" s="1" t="s">
        <v>41</v>
      </c>
      <c r="O814" s="1" t="s">
        <v>58</v>
      </c>
      <c r="P814" s="1" t="s">
        <v>59</v>
      </c>
      <c r="Q814" s="1" t="s">
        <v>60</v>
      </c>
      <c r="R814" s="1" t="s">
        <v>45</v>
      </c>
      <c r="S814" s="1">
        <v>342</v>
      </c>
      <c r="T814" s="1">
        <v>0</v>
      </c>
      <c r="U814" s="13">
        <v>4.3749999999999997E-2</v>
      </c>
      <c r="V814" s="11">
        <v>1930</v>
      </c>
      <c r="W814" s="11">
        <v>-20</v>
      </c>
      <c r="X814" s="8">
        <v>1910</v>
      </c>
      <c r="Y814" s="1" t="s">
        <v>51</v>
      </c>
      <c r="Z814" s="11">
        <v>1230</v>
      </c>
      <c r="AA814" s="11">
        <v>680</v>
      </c>
      <c r="AB814" s="1">
        <v>0</v>
      </c>
      <c r="AC814" s="1">
        <v>0</v>
      </c>
      <c r="AD814" s="1">
        <v>0</v>
      </c>
      <c r="AE814" s="1">
        <v>0</v>
      </c>
      <c r="AF814" s="1"/>
      <c r="AG814" s="1">
        <v>0</v>
      </c>
      <c r="AH814" s="1">
        <v>0</v>
      </c>
      <c r="AI814" s="1">
        <v>0</v>
      </c>
      <c r="AJ814" s="1">
        <v>0</v>
      </c>
      <c r="AK814" s="1">
        <v>2.1488</v>
      </c>
      <c r="AL814" s="1">
        <v>2.1488</v>
      </c>
      <c r="AM814" s="1">
        <v>2.1488</v>
      </c>
    </row>
    <row r="815" spans="1:39" x14ac:dyDescent="0.3">
      <c r="A815" s="21" t="str">
        <f t="shared" si="12"/>
        <v>HFA602LLER2026-02-04</v>
      </c>
      <c r="B815" t="e">
        <f>VLOOKUP(A815,Sheet1!A815:B2157,1,FALSE)</f>
        <v>#N/A</v>
      </c>
      <c r="C815" s="3">
        <v>46057</v>
      </c>
      <c r="D815" s="1" t="s">
        <v>61</v>
      </c>
      <c r="E815" s="1" t="s">
        <v>38</v>
      </c>
      <c r="F815" s="1" t="s">
        <v>54</v>
      </c>
      <c r="G815" s="1" t="s">
        <v>39</v>
      </c>
      <c r="H815" s="1" t="s">
        <v>222</v>
      </c>
      <c r="I815" s="1" t="s">
        <v>41</v>
      </c>
      <c r="J815" s="1" t="s">
        <v>58</v>
      </c>
      <c r="K815" s="1" t="s">
        <v>59</v>
      </c>
      <c r="L815" s="1" t="s">
        <v>60</v>
      </c>
      <c r="M815" s="1" t="s">
        <v>45</v>
      </c>
      <c r="N815" s="1" t="s">
        <v>41</v>
      </c>
      <c r="O815" s="1" t="s">
        <v>42</v>
      </c>
      <c r="P815" s="1" t="s">
        <v>43</v>
      </c>
      <c r="Q815" s="1" t="s">
        <v>44</v>
      </c>
      <c r="R815" s="1" t="s">
        <v>45</v>
      </c>
      <c r="S815" s="1">
        <v>342</v>
      </c>
      <c r="T815" s="1">
        <v>0</v>
      </c>
      <c r="U815" s="13">
        <v>4.7222222222222221E-2</v>
      </c>
      <c r="V815" s="11">
        <v>1230</v>
      </c>
      <c r="W815" s="11">
        <v>870</v>
      </c>
      <c r="X815" s="8">
        <v>2100</v>
      </c>
      <c r="Y815" s="1" t="s">
        <v>51</v>
      </c>
      <c r="Z815" s="11">
        <v>1390</v>
      </c>
      <c r="AA815" s="11">
        <v>710</v>
      </c>
      <c r="AB815" s="1">
        <v>0</v>
      </c>
      <c r="AC815" s="1">
        <v>0</v>
      </c>
      <c r="AD815" s="1">
        <v>0</v>
      </c>
      <c r="AE815" s="1">
        <v>0</v>
      </c>
      <c r="AF815" s="1"/>
      <c r="AG815" s="1">
        <v>0</v>
      </c>
      <c r="AH815" s="1">
        <v>0</v>
      </c>
      <c r="AI815" s="1">
        <v>0</v>
      </c>
      <c r="AJ815" s="1">
        <v>0</v>
      </c>
      <c r="AK815" s="1">
        <v>2.2435999999999998</v>
      </c>
      <c r="AL815" s="1">
        <v>2.2435999999999998</v>
      </c>
      <c r="AM815" s="1">
        <v>2.2435999999999998</v>
      </c>
    </row>
    <row r="816" spans="1:39" x14ac:dyDescent="0.3">
      <c r="A816" s="21" t="str">
        <f t="shared" si="12"/>
        <v>HFA851LLHA2026-02-04</v>
      </c>
      <c r="B816" t="str">
        <f>VLOOKUP(A816,Sheet1!A816:B2158,1,FALSE)</f>
        <v>HFA851LLHA2026-02-04</v>
      </c>
      <c r="C816" s="3">
        <v>46057</v>
      </c>
      <c r="D816" s="1" t="s">
        <v>66</v>
      </c>
      <c r="E816" s="1" t="s">
        <v>38</v>
      </c>
      <c r="F816" s="1"/>
      <c r="G816" s="1" t="s">
        <v>39</v>
      </c>
      <c r="H816" s="1" t="s">
        <v>222</v>
      </c>
      <c r="I816" s="1" t="s">
        <v>41</v>
      </c>
      <c r="J816" s="1" t="s">
        <v>42</v>
      </c>
      <c r="K816" s="1" t="s">
        <v>43</v>
      </c>
      <c r="L816" s="1" t="s">
        <v>44</v>
      </c>
      <c r="M816" s="1" t="s">
        <v>45</v>
      </c>
      <c r="N816" s="1" t="s">
        <v>67</v>
      </c>
      <c r="O816" s="1" t="s">
        <v>68</v>
      </c>
      <c r="P816" s="1" t="s">
        <v>69</v>
      </c>
      <c r="Q816" s="1" t="s">
        <v>70</v>
      </c>
      <c r="R816" s="1" t="s">
        <v>50</v>
      </c>
      <c r="S816" s="1">
        <v>318</v>
      </c>
      <c r="T816" s="1">
        <v>0</v>
      </c>
      <c r="U816" s="13">
        <v>4.1666666666666664E-2</v>
      </c>
      <c r="V816" s="11">
        <v>1390</v>
      </c>
      <c r="W816" s="11">
        <v>-10</v>
      </c>
      <c r="X816" s="8">
        <v>1380</v>
      </c>
      <c r="Y816" s="1" t="s">
        <v>51</v>
      </c>
      <c r="Z816" s="11">
        <v>720</v>
      </c>
      <c r="AA816" s="11">
        <v>660</v>
      </c>
      <c r="AB816" s="1">
        <v>0</v>
      </c>
      <c r="AC816" s="1">
        <v>0</v>
      </c>
      <c r="AD816" s="1">
        <v>0</v>
      </c>
      <c r="AE816" s="1">
        <v>0</v>
      </c>
      <c r="AF816" s="1"/>
      <c r="AG816" s="1">
        <v>0</v>
      </c>
      <c r="AH816" s="1">
        <v>0</v>
      </c>
      <c r="AI816" s="1">
        <v>0</v>
      </c>
      <c r="AJ816" s="1">
        <v>0</v>
      </c>
      <c r="AK816" s="1">
        <v>2.0855999999999999</v>
      </c>
      <c r="AL816" s="1">
        <v>2.0855999999999999</v>
      </c>
      <c r="AM816" s="1">
        <v>2.0855999999999999</v>
      </c>
    </row>
    <row r="817" spans="1:39" x14ac:dyDescent="0.3">
      <c r="A817" s="21" t="str">
        <f t="shared" si="12"/>
        <v>HFA852LCPH2026-02-04</v>
      </c>
      <c r="B817" t="str">
        <f>VLOOKUP(A817,Sheet1!A817:B2159,1,FALSE)</f>
        <v>HFA852LCPH2026-02-04</v>
      </c>
      <c r="C817" s="3">
        <v>46057</v>
      </c>
      <c r="D817" s="1" t="s">
        <v>71</v>
      </c>
      <c r="E817" s="1" t="s">
        <v>38</v>
      </c>
      <c r="F817" s="1"/>
      <c r="G817" s="1" t="s">
        <v>39</v>
      </c>
      <c r="H817" s="1" t="s">
        <v>222</v>
      </c>
      <c r="I817" s="1" t="s">
        <v>67</v>
      </c>
      <c r="J817" s="1" t="s">
        <v>68</v>
      </c>
      <c r="K817" s="1" t="s">
        <v>69</v>
      </c>
      <c r="L817" s="1" t="s">
        <v>70</v>
      </c>
      <c r="M817" s="1" t="s">
        <v>50</v>
      </c>
      <c r="N817" s="1" t="s">
        <v>41</v>
      </c>
      <c r="O817" s="1" t="s">
        <v>42</v>
      </c>
      <c r="P817" s="1" t="s">
        <v>43</v>
      </c>
      <c r="Q817" s="1" t="s">
        <v>44</v>
      </c>
      <c r="R817" s="1" t="s">
        <v>45</v>
      </c>
      <c r="S817" s="1">
        <v>318</v>
      </c>
      <c r="T817" s="1">
        <v>0</v>
      </c>
      <c r="U817" s="13">
        <v>4.4444444444444439E-2</v>
      </c>
      <c r="V817" s="11">
        <v>720</v>
      </c>
      <c r="W817" s="11">
        <v>1380</v>
      </c>
      <c r="X817" s="8">
        <v>2100</v>
      </c>
      <c r="Y817" s="1" t="s">
        <v>51</v>
      </c>
      <c r="Z817" s="11">
        <v>1520</v>
      </c>
      <c r="AA817" s="11">
        <v>580</v>
      </c>
      <c r="AB817" s="1">
        <v>0</v>
      </c>
      <c r="AC817" s="1">
        <v>0</v>
      </c>
      <c r="AD817" s="1">
        <v>0</v>
      </c>
      <c r="AE817" s="1">
        <v>0</v>
      </c>
      <c r="AF817" s="1"/>
      <c r="AG817" s="1">
        <v>0</v>
      </c>
      <c r="AH817" s="1">
        <v>0</v>
      </c>
      <c r="AI817" s="1">
        <v>0</v>
      </c>
      <c r="AJ817" s="1">
        <v>0</v>
      </c>
      <c r="AK817" s="1">
        <v>1.8328</v>
      </c>
      <c r="AL817" s="1">
        <v>1.8328</v>
      </c>
      <c r="AM817" s="1">
        <v>1.8328</v>
      </c>
    </row>
    <row r="818" spans="1:39" x14ac:dyDescent="0.3">
      <c r="A818" s="21" t="str">
        <f t="shared" si="12"/>
        <v>HFA851LLHA2026-02-05</v>
      </c>
      <c r="B818" t="str">
        <f>VLOOKUP(A818,Sheet1!A818:B2160,1,FALSE)</f>
        <v>HFA851LLHA2026-02-05</v>
      </c>
      <c r="C818" s="3">
        <v>46058</v>
      </c>
      <c r="D818" s="1" t="s">
        <v>66</v>
      </c>
      <c r="E818" s="1" t="s">
        <v>38</v>
      </c>
      <c r="F818" s="1"/>
      <c r="G818" s="1" t="s">
        <v>39</v>
      </c>
      <c r="H818" s="1" t="s">
        <v>222</v>
      </c>
      <c r="I818" s="1" t="s">
        <v>41</v>
      </c>
      <c r="J818" s="1" t="s">
        <v>42</v>
      </c>
      <c r="K818" s="1" t="s">
        <v>43</v>
      </c>
      <c r="L818" s="1" t="s">
        <v>44</v>
      </c>
      <c r="M818" s="1" t="s">
        <v>45</v>
      </c>
      <c r="N818" s="1" t="s">
        <v>67</v>
      </c>
      <c r="O818" s="1" t="s">
        <v>68</v>
      </c>
      <c r="P818" s="1" t="s">
        <v>69</v>
      </c>
      <c r="Q818" s="1" t="s">
        <v>70</v>
      </c>
      <c r="R818" s="1" t="s">
        <v>50</v>
      </c>
      <c r="S818" s="1">
        <v>318</v>
      </c>
      <c r="T818" s="1">
        <v>0</v>
      </c>
      <c r="U818" s="13">
        <v>4.6527777777777779E-2</v>
      </c>
      <c r="V818" s="11">
        <v>1520</v>
      </c>
      <c r="W818" s="11">
        <v>-40</v>
      </c>
      <c r="X818" s="8">
        <v>1480</v>
      </c>
      <c r="Y818" s="1" t="s">
        <v>51</v>
      </c>
      <c r="Z818" s="11">
        <v>810</v>
      </c>
      <c r="AA818" s="11">
        <v>670</v>
      </c>
      <c r="AB818" s="1">
        <v>0</v>
      </c>
      <c r="AC818" s="1">
        <v>0</v>
      </c>
      <c r="AD818" s="1">
        <v>0</v>
      </c>
      <c r="AE818" s="1">
        <v>0</v>
      </c>
      <c r="AF818" s="1"/>
      <c r="AG818" s="1">
        <v>0</v>
      </c>
      <c r="AH818" s="1">
        <v>0</v>
      </c>
      <c r="AI818" s="1">
        <v>0</v>
      </c>
      <c r="AJ818" s="1">
        <v>0</v>
      </c>
      <c r="AK818" s="1">
        <v>2.1172</v>
      </c>
      <c r="AL818" s="1">
        <v>2.1172</v>
      </c>
      <c r="AM818" s="1">
        <v>2.1172</v>
      </c>
    </row>
    <row r="819" spans="1:39" x14ac:dyDescent="0.3">
      <c r="A819" s="21" t="str">
        <f t="shared" si="12"/>
        <v>HFA852LCPH2026-02-05</v>
      </c>
      <c r="B819" t="str">
        <f>VLOOKUP(A819,Sheet1!A819:B2161,1,FALSE)</f>
        <v>HFA852LCPH2026-02-05</v>
      </c>
      <c r="C819" s="3">
        <v>46058</v>
      </c>
      <c r="D819" s="1" t="s">
        <v>71</v>
      </c>
      <c r="E819" s="1" t="s">
        <v>38</v>
      </c>
      <c r="F819" s="1"/>
      <c r="G819" s="1" t="s">
        <v>39</v>
      </c>
      <c r="H819" s="1" t="s">
        <v>222</v>
      </c>
      <c r="I819" s="1" t="s">
        <v>67</v>
      </c>
      <c r="J819" s="1" t="s">
        <v>68</v>
      </c>
      <c r="K819" s="1" t="s">
        <v>69</v>
      </c>
      <c r="L819" s="1" t="s">
        <v>70</v>
      </c>
      <c r="M819" s="1" t="s">
        <v>50</v>
      </c>
      <c r="N819" s="1" t="s">
        <v>41</v>
      </c>
      <c r="O819" s="1" t="s">
        <v>42</v>
      </c>
      <c r="P819" s="1" t="s">
        <v>43</v>
      </c>
      <c r="Q819" s="1" t="s">
        <v>44</v>
      </c>
      <c r="R819" s="1" t="s">
        <v>45</v>
      </c>
      <c r="S819" s="1">
        <v>318</v>
      </c>
      <c r="T819" s="1">
        <v>0</v>
      </c>
      <c r="U819" s="13">
        <v>4.0972222222222222E-2</v>
      </c>
      <c r="V819" s="11">
        <v>810</v>
      </c>
      <c r="W819" s="11">
        <v>1390</v>
      </c>
      <c r="X819" s="8">
        <v>2200</v>
      </c>
      <c r="Y819" s="1" t="s">
        <v>51</v>
      </c>
      <c r="Z819" s="11">
        <v>1650</v>
      </c>
      <c r="AA819" s="11">
        <v>550</v>
      </c>
      <c r="AB819" s="1">
        <v>0</v>
      </c>
      <c r="AC819" s="1">
        <v>0</v>
      </c>
      <c r="AD819" s="1">
        <v>0</v>
      </c>
      <c r="AE819" s="1">
        <v>0</v>
      </c>
      <c r="AF819" s="1"/>
      <c r="AG819" s="1">
        <v>0</v>
      </c>
      <c r="AH819" s="1">
        <v>0</v>
      </c>
      <c r="AI819" s="1">
        <v>0</v>
      </c>
      <c r="AJ819" s="1">
        <v>0</v>
      </c>
      <c r="AK819" s="1">
        <v>1.738</v>
      </c>
      <c r="AL819" s="1">
        <v>1.738</v>
      </c>
      <c r="AM819" s="1">
        <v>1.738</v>
      </c>
    </row>
    <row r="820" spans="1:39" x14ac:dyDescent="0.3">
      <c r="A820" s="21" t="str">
        <f t="shared" si="12"/>
        <v>HFA807LLHA2026-02-05</v>
      </c>
      <c r="B820" t="e">
        <f>VLOOKUP(A820,Sheet1!A820:B2162,1,FALSE)</f>
        <v>#N/A</v>
      </c>
      <c r="C820" s="3">
        <v>46058</v>
      </c>
      <c r="D820" s="1" t="s">
        <v>118</v>
      </c>
      <c r="E820" s="1" t="s">
        <v>38</v>
      </c>
      <c r="F820" s="1"/>
      <c r="G820" s="1" t="s">
        <v>39</v>
      </c>
      <c r="H820" s="1" t="s">
        <v>222</v>
      </c>
      <c r="I820" s="1" t="s">
        <v>41</v>
      </c>
      <c r="J820" s="1" t="s">
        <v>42</v>
      </c>
      <c r="K820" s="1" t="s">
        <v>43</v>
      </c>
      <c r="L820" s="1" t="s">
        <v>44</v>
      </c>
      <c r="M820" s="1" t="s">
        <v>45</v>
      </c>
      <c r="N820" s="1" t="s">
        <v>67</v>
      </c>
      <c r="O820" s="1" t="s">
        <v>86</v>
      </c>
      <c r="P820" s="1" t="s">
        <v>87</v>
      </c>
      <c r="Q820" s="1" t="s">
        <v>88</v>
      </c>
      <c r="R820" s="1" t="s">
        <v>50</v>
      </c>
      <c r="S820" s="1">
        <v>264</v>
      </c>
      <c r="T820" s="1">
        <v>0</v>
      </c>
      <c r="U820" s="13">
        <v>3.7499999999999999E-2</v>
      </c>
      <c r="V820" s="11">
        <v>1650</v>
      </c>
      <c r="W820" s="11">
        <v>-10</v>
      </c>
      <c r="X820" s="8">
        <v>1640</v>
      </c>
      <c r="Y820" s="1" t="s">
        <v>51</v>
      </c>
      <c r="Z820" s="11">
        <v>1080</v>
      </c>
      <c r="AA820" s="11">
        <v>560</v>
      </c>
      <c r="AB820" s="1">
        <v>0</v>
      </c>
      <c r="AC820" s="1">
        <v>0</v>
      </c>
      <c r="AD820" s="1">
        <v>0</v>
      </c>
      <c r="AE820" s="1">
        <v>0</v>
      </c>
      <c r="AF820" s="1"/>
      <c r="AG820" s="1">
        <v>0</v>
      </c>
      <c r="AH820" s="1">
        <v>0</v>
      </c>
      <c r="AI820" s="1">
        <v>0</v>
      </c>
      <c r="AJ820" s="1">
        <v>0</v>
      </c>
      <c r="AK820" s="1">
        <v>1.7696000000000001</v>
      </c>
      <c r="AL820" s="1">
        <v>1.7696000000000001</v>
      </c>
      <c r="AM820" s="1">
        <v>1.7696000000000001</v>
      </c>
    </row>
    <row r="821" spans="1:39" x14ac:dyDescent="0.3">
      <c r="A821" s="21" t="str">
        <f t="shared" si="12"/>
        <v>HFA808LCLK2026-02-05</v>
      </c>
      <c r="B821" t="str">
        <f>VLOOKUP(A821,Sheet1!A821:B2163,1,FALSE)</f>
        <v>HFA808LCLK2026-02-05</v>
      </c>
      <c r="C821" s="3">
        <v>46058</v>
      </c>
      <c r="D821" s="1" t="s">
        <v>119</v>
      </c>
      <c r="E821" s="1" t="s">
        <v>38</v>
      </c>
      <c r="F821" s="1"/>
      <c r="G821" s="1" t="s">
        <v>39</v>
      </c>
      <c r="H821" s="1" t="s">
        <v>222</v>
      </c>
      <c r="I821" s="1" t="s">
        <v>67</v>
      </c>
      <c r="J821" s="1" t="s">
        <v>86</v>
      </c>
      <c r="K821" s="1" t="s">
        <v>87</v>
      </c>
      <c r="L821" s="1" t="s">
        <v>88</v>
      </c>
      <c r="M821" s="1" t="s">
        <v>50</v>
      </c>
      <c r="N821" s="1" t="s">
        <v>41</v>
      </c>
      <c r="O821" s="1" t="s">
        <v>42</v>
      </c>
      <c r="P821" s="1" t="s">
        <v>43</v>
      </c>
      <c r="Q821" s="1" t="s">
        <v>44</v>
      </c>
      <c r="R821" s="1" t="s">
        <v>45</v>
      </c>
      <c r="S821" s="1">
        <v>264</v>
      </c>
      <c r="T821" s="1">
        <v>0</v>
      </c>
      <c r="U821" s="13">
        <v>3.7499999999999999E-2</v>
      </c>
      <c r="V821" s="11">
        <v>1080</v>
      </c>
      <c r="W821" s="11">
        <v>1220</v>
      </c>
      <c r="X821" s="8">
        <v>2300</v>
      </c>
      <c r="Y821" s="1" t="s">
        <v>51</v>
      </c>
      <c r="Z821" s="11">
        <v>1800</v>
      </c>
      <c r="AA821" s="11">
        <v>500</v>
      </c>
      <c r="AB821" s="1">
        <v>0</v>
      </c>
      <c r="AC821" s="1">
        <v>0</v>
      </c>
      <c r="AD821" s="1">
        <v>0</v>
      </c>
      <c r="AE821" s="1">
        <v>0</v>
      </c>
      <c r="AF821" s="1"/>
      <c r="AG821" s="1">
        <v>0</v>
      </c>
      <c r="AH821" s="1">
        <v>0</v>
      </c>
      <c r="AI821" s="1">
        <v>0</v>
      </c>
      <c r="AJ821" s="1">
        <v>0</v>
      </c>
      <c r="AK821" s="1">
        <v>1.58</v>
      </c>
      <c r="AL821" s="1">
        <v>1.58</v>
      </c>
      <c r="AM821" s="1">
        <v>1.58</v>
      </c>
    </row>
    <row r="822" spans="1:39" x14ac:dyDescent="0.3">
      <c r="A822" s="21" t="str">
        <f t="shared" si="12"/>
        <v>HFA601LLHA2026-02-06</v>
      </c>
      <c r="B822" t="e">
        <f>VLOOKUP(A822,Sheet1!A822:B2164,1,FALSE)</f>
        <v>#N/A</v>
      </c>
      <c r="C822" s="3">
        <v>46059</v>
      </c>
      <c r="D822" s="1" t="s">
        <v>57</v>
      </c>
      <c r="E822" s="1" t="s">
        <v>38</v>
      </c>
      <c r="F822" s="1" t="s">
        <v>54</v>
      </c>
      <c r="G822" s="1" t="s">
        <v>39</v>
      </c>
      <c r="H822" s="1" t="s">
        <v>222</v>
      </c>
      <c r="I822" s="1" t="s">
        <v>41</v>
      </c>
      <c r="J822" s="1" t="s">
        <v>42</v>
      </c>
      <c r="K822" s="1" t="s">
        <v>43</v>
      </c>
      <c r="L822" s="1" t="s">
        <v>44</v>
      </c>
      <c r="M822" s="1" t="s">
        <v>45</v>
      </c>
      <c r="N822" s="1" t="s">
        <v>41</v>
      </c>
      <c r="O822" s="1" t="s">
        <v>58</v>
      </c>
      <c r="P822" s="1" t="s">
        <v>59</v>
      </c>
      <c r="Q822" s="1" t="s">
        <v>60</v>
      </c>
      <c r="R822" s="1" t="s">
        <v>45</v>
      </c>
      <c r="S822" s="1">
        <v>342</v>
      </c>
      <c r="T822" s="1">
        <v>0</v>
      </c>
      <c r="U822" s="13">
        <v>4.0972222222222222E-2</v>
      </c>
      <c r="V822" s="11">
        <v>1800</v>
      </c>
      <c r="W822" s="11">
        <v>-40</v>
      </c>
      <c r="X822" s="8">
        <v>1760</v>
      </c>
      <c r="Y822" s="1" t="s">
        <v>51</v>
      </c>
      <c r="Z822" s="11">
        <v>1090</v>
      </c>
      <c r="AA822" s="11">
        <v>670</v>
      </c>
      <c r="AB822" s="1">
        <v>0</v>
      </c>
      <c r="AC822" s="1">
        <v>0</v>
      </c>
      <c r="AD822" s="1">
        <v>0</v>
      </c>
      <c r="AE822" s="1">
        <v>0</v>
      </c>
      <c r="AF822" s="1"/>
      <c r="AG822" s="1">
        <v>0</v>
      </c>
      <c r="AH822" s="1">
        <v>0</v>
      </c>
      <c r="AI822" s="1">
        <v>0</v>
      </c>
      <c r="AJ822" s="1">
        <v>0</v>
      </c>
      <c r="AK822" s="1">
        <v>2.1172</v>
      </c>
      <c r="AL822" s="1">
        <v>2.1172</v>
      </c>
      <c r="AM822" s="1">
        <v>2.1172</v>
      </c>
    </row>
    <row r="823" spans="1:39" x14ac:dyDescent="0.3">
      <c r="A823" s="21" t="str">
        <f t="shared" si="12"/>
        <v>HFA602LLER2026-02-06</v>
      </c>
      <c r="B823" t="e">
        <f>VLOOKUP(A823,Sheet1!A823:B2165,1,FALSE)</f>
        <v>#N/A</v>
      </c>
      <c r="C823" s="3">
        <v>46059</v>
      </c>
      <c r="D823" s="1" t="s">
        <v>61</v>
      </c>
      <c r="E823" s="1" t="s">
        <v>38</v>
      </c>
      <c r="F823" s="1" t="s">
        <v>54</v>
      </c>
      <c r="G823" s="1" t="s">
        <v>39</v>
      </c>
      <c r="H823" s="1" t="s">
        <v>222</v>
      </c>
      <c r="I823" s="1" t="s">
        <v>41</v>
      </c>
      <c r="J823" s="1" t="s">
        <v>58</v>
      </c>
      <c r="K823" s="1" t="s">
        <v>59</v>
      </c>
      <c r="L823" s="1" t="s">
        <v>60</v>
      </c>
      <c r="M823" s="1" t="s">
        <v>45</v>
      </c>
      <c r="N823" s="1" t="s">
        <v>41</v>
      </c>
      <c r="O823" s="1" t="s">
        <v>42</v>
      </c>
      <c r="P823" s="1" t="s">
        <v>43</v>
      </c>
      <c r="Q823" s="1" t="s">
        <v>44</v>
      </c>
      <c r="R823" s="1" t="s">
        <v>45</v>
      </c>
      <c r="S823" s="1">
        <v>342</v>
      </c>
      <c r="T823" s="1">
        <v>0</v>
      </c>
      <c r="U823" s="13">
        <v>4.3749999999999997E-2</v>
      </c>
      <c r="V823" s="11">
        <v>1090</v>
      </c>
      <c r="W823" s="11">
        <v>1010</v>
      </c>
      <c r="X823" s="8">
        <v>2100</v>
      </c>
      <c r="Y823" s="1" t="s">
        <v>51</v>
      </c>
      <c r="Z823" s="11">
        <v>1470</v>
      </c>
      <c r="AA823" s="11">
        <v>630</v>
      </c>
      <c r="AB823" s="1">
        <v>0</v>
      </c>
      <c r="AC823" s="1">
        <v>0</v>
      </c>
      <c r="AD823" s="1">
        <v>0</v>
      </c>
      <c r="AE823" s="1">
        <v>0</v>
      </c>
      <c r="AF823" s="1"/>
      <c r="AG823" s="1">
        <v>0</v>
      </c>
      <c r="AH823" s="1">
        <v>0</v>
      </c>
      <c r="AI823" s="1">
        <v>0</v>
      </c>
      <c r="AJ823" s="1">
        <v>0</v>
      </c>
      <c r="AK823" s="1">
        <v>1.9907999999999999</v>
      </c>
      <c r="AL823" s="1">
        <v>1.9907999999999999</v>
      </c>
      <c r="AM823" s="1">
        <v>1.9907999999999999</v>
      </c>
    </row>
    <row r="824" spans="1:39" x14ac:dyDescent="0.3">
      <c r="A824" s="21" t="str">
        <f t="shared" si="12"/>
        <v>HFA853LLHA2026-02-07</v>
      </c>
      <c r="B824" t="str">
        <f>VLOOKUP(A824,Sheet1!A824:B2166,1,FALSE)</f>
        <v>HFA853LLHA2026-02-07</v>
      </c>
      <c r="C824" s="3">
        <v>46060</v>
      </c>
      <c r="D824" s="1" t="s">
        <v>223</v>
      </c>
      <c r="E824" s="1" t="s">
        <v>38</v>
      </c>
      <c r="F824" s="1"/>
      <c r="G824" s="1" t="s">
        <v>39</v>
      </c>
      <c r="H824" s="1" t="s">
        <v>222</v>
      </c>
      <c r="I824" s="1" t="s">
        <v>41</v>
      </c>
      <c r="J824" s="1" t="s">
        <v>42</v>
      </c>
      <c r="K824" s="1" t="s">
        <v>43</v>
      </c>
      <c r="L824" s="1" t="s">
        <v>44</v>
      </c>
      <c r="M824" s="1" t="s">
        <v>45</v>
      </c>
      <c r="N824" s="1" t="s">
        <v>67</v>
      </c>
      <c r="O824" s="1" t="s">
        <v>68</v>
      </c>
      <c r="P824" s="1" t="s">
        <v>69</v>
      </c>
      <c r="Q824" s="1" t="s">
        <v>70</v>
      </c>
      <c r="R824" s="1" t="s">
        <v>50</v>
      </c>
      <c r="S824" s="1">
        <v>318</v>
      </c>
      <c r="T824" s="1">
        <v>0</v>
      </c>
      <c r="U824" s="13">
        <v>4.4444444444444439E-2</v>
      </c>
      <c r="V824" s="11">
        <v>1470</v>
      </c>
      <c r="W824" s="11">
        <v>10</v>
      </c>
      <c r="X824" s="8">
        <v>1480</v>
      </c>
      <c r="Y824" s="1" t="s">
        <v>51</v>
      </c>
      <c r="Z824" s="11">
        <v>740</v>
      </c>
      <c r="AA824" s="11">
        <v>740</v>
      </c>
      <c r="AB824" s="1">
        <v>0</v>
      </c>
      <c r="AC824" s="1">
        <v>0</v>
      </c>
      <c r="AD824" s="1">
        <v>0</v>
      </c>
      <c r="AE824" s="1">
        <v>0</v>
      </c>
      <c r="AF824" s="1"/>
      <c r="AG824" s="1">
        <v>0</v>
      </c>
      <c r="AH824" s="1">
        <v>0</v>
      </c>
      <c r="AI824" s="1">
        <v>0</v>
      </c>
      <c r="AJ824" s="1">
        <v>0</v>
      </c>
      <c r="AK824" s="1">
        <v>2.3384</v>
      </c>
      <c r="AL824" s="1">
        <v>2.3384</v>
      </c>
      <c r="AM824" s="1">
        <v>2.3384</v>
      </c>
    </row>
    <row r="825" spans="1:39" x14ac:dyDescent="0.3">
      <c r="A825" s="21" t="str">
        <f t="shared" si="12"/>
        <v>HFA854LCPH2026-02-07</v>
      </c>
      <c r="B825" t="str">
        <f>VLOOKUP(A825,Sheet1!A825:B2167,1,FALSE)</f>
        <v>HFA854LCPH2026-02-07</v>
      </c>
      <c r="C825" s="3">
        <v>46060</v>
      </c>
      <c r="D825" s="1" t="s">
        <v>224</v>
      </c>
      <c r="E825" s="1" t="s">
        <v>38</v>
      </c>
      <c r="F825" s="1"/>
      <c r="G825" s="1" t="s">
        <v>39</v>
      </c>
      <c r="H825" s="1" t="s">
        <v>222</v>
      </c>
      <c r="I825" s="1" t="s">
        <v>67</v>
      </c>
      <c r="J825" s="1" t="s">
        <v>68</v>
      </c>
      <c r="K825" s="1" t="s">
        <v>69</v>
      </c>
      <c r="L825" s="1" t="s">
        <v>70</v>
      </c>
      <c r="M825" s="1" t="s">
        <v>50</v>
      </c>
      <c r="N825" s="1" t="s">
        <v>41</v>
      </c>
      <c r="O825" s="1" t="s">
        <v>42</v>
      </c>
      <c r="P825" s="1" t="s">
        <v>43</v>
      </c>
      <c r="Q825" s="1" t="s">
        <v>44</v>
      </c>
      <c r="R825" s="1" t="s">
        <v>45</v>
      </c>
      <c r="S825" s="1">
        <v>318</v>
      </c>
      <c r="T825" s="1">
        <v>0</v>
      </c>
      <c r="U825" s="13">
        <v>4.4444444444444439E-2</v>
      </c>
      <c r="V825" s="11">
        <v>740</v>
      </c>
      <c r="W825" s="11">
        <v>1660</v>
      </c>
      <c r="X825" s="8">
        <v>2400</v>
      </c>
      <c r="Y825" s="1" t="s">
        <v>51</v>
      </c>
      <c r="Z825" s="11">
        <v>1830</v>
      </c>
      <c r="AA825" s="11">
        <v>570</v>
      </c>
      <c r="AB825" s="1">
        <v>0</v>
      </c>
      <c r="AC825" s="1">
        <v>0</v>
      </c>
      <c r="AD825" s="1">
        <v>0</v>
      </c>
      <c r="AE825" s="1">
        <v>0</v>
      </c>
      <c r="AF825" s="1"/>
      <c r="AG825" s="1">
        <v>0</v>
      </c>
      <c r="AH825" s="1">
        <v>0</v>
      </c>
      <c r="AI825" s="1">
        <v>0</v>
      </c>
      <c r="AJ825" s="1">
        <v>0</v>
      </c>
      <c r="AK825" s="1">
        <v>1.8011999999999999</v>
      </c>
      <c r="AL825" s="1">
        <v>1.8011999999999999</v>
      </c>
      <c r="AM825" s="1">
        <v>1.8011999999999999</v>
      </c>
    </row>
    <row r="826" spans="1:39" x14ac:dyDescent="0.3">
      <c r="A826" s="21" t="str">
        <f t="shared" si="12"/>
        <v>HFA603LLHA2026-02-07</v>
      </c>
      <c r="B826" t="e">
        <f>VLOOKUP(A826,Sheet1!A826:B2168,1,FALSE)</f>
        <v>#N/A</v>
      </c>
      <c r="C826" s="3">
        <v>46060</v>
      </c>
      <c r="D826" s="1" t="s">
        <v>72</v>
      </c>
      <c r="E826" s="1" t="s">
        <v>38</v>
      </c>
      <c r="F826" s="1" t="s">
        <v>54</v>
      </c>
      <c r="G826" s="1" t="s">
        <v>39</v>
      </c>
      <c r="H826" s="1" t="s">
        <v>222</v>
      </c>
      <c r="I826" s="1" t="s">
        <v>41</v>
      </c>
      <c r="J826" s="1" t="s">
        <v>42</v>
      </c>
      <c r="K826" s="1" t="s">
        <v>43</v>
      </c>
      <c r="L826" s="1" t="s">
        <v>44</v>
      </c>
      <c r="M826" s="1" t="s">
        <v>45</v>
      </c>
      <c r="N826" s="1" t="s">
        <v>41</v>
      </c>
      <c r="O826" s="1" t="s">
        <v>58</v>
      </c>
      <c r="P826" s="1" t="s">
        <v>59</v>
      </c>
      <c r="Q826" s="1" t="s">
        <v>60</v>
      </c>
      <c r="R826" s="1" t="s">
        <v>45</v>
      </c>
      <c r="S826" s="1">
        <v>342</v>
      </c>
      <c r="T826" s="1">
        <v>0</v>
      </c>
      <c r="U826" s="13">
        <v>4.4444444444444439E-2</v>
      </c>
      <c r="V826" s="11">
        <v>1830</v>
      </c>
      <c r="W826" s="11">
        <v>0</v>
      </c>
      <c r="X826" s="8">
        <v>1830</v>
      </c>
      <c r="Y826" s="1" t="s">
        <v>51</v>
      </c>
      <c r="Z826" s="11">
        <v>1140</v>
      </c>
      <c r="AA826" s="11">
        <v>690</v>
      </c>
      <c r="AB826" s="1">
        <v>0</v>
      </c>
      <c r="AC826" s="1">
        <v>0</v>
      </c>
      <c r="AD826" s="1">
        <v>0</v>
      </c>
      <c r="AE826" s="1">
        <v>0</v>
      </c>
      <c r="AF826" s="1"/>
      <c r="AG826" s="1">
        <v>0</v>
      </c>
      <c r="AH826" s="1">
        <v>0</v>
      </c>
      <c r="AI826" s="1">
        <v>0</v>
      </c>
      <c r="AJ826" s="1">
        <v>0</v>
      </c>
      <c r="AK826" s="1">
        <v>2.1804000000000001</v>
      </c>
      <c r="AL826" s="1">
        <v>2.1804000000000001</v>
      </c>
      <c r="AM826" s="1">
        <v>2.1804000000000001</v>
      </c>
    </row>
    <row r="827" spans="1:39" x14ac:dyDescent="0.3">
      <c r="A827" s="21" t="str">
        <f t="shared" si="12"/>
        <v>HFA604LLER2026-02-07</v>
      </c>
      <c r="B827" t="e">
        <f>VLOOKUP(A827,Sheet1!A827:B2169,1,FALSE)</f>
        <v>#N/A</v>
      </c>
      <c r="C827" s="3">
        <v>46060</v>
      </c>
      <c r="D827" s="1" t="s">
        <v>73</v>
      </c>
      <c r="E827" s="1" t="s">
        <v>38</v>
      </c>
      <c r="F827" s="1" t="s">
        <v>54</v>
      </c>
      <c r="G827" s="1" t="s">
        <v>39</v>
      </c>
      <c r="H827" s="1" t="s">
        <v>222</v>
      </c>
      <c r="I827" s="1" t="s">
        <v>41</v>
      </c>
      <c r="J827" s="1" t="s">
        <v>58</v>
      </c>
      <c r="K827" s="1" t="s">
        <v>59</v>
      </c>
      <c r="L827" s="1" t="s">
        <v>60</v>
      </c>
      <c r="M827" s="1" t="s">
        <v>45</v>
      </c>
      <c r="N827" s="1" t="s">
        <v>41</v>
      </c>
      <c r="O827" s="1" t="s">
        <v>42</v>
      </c>
      <c r="P827" s="1" t="s">
        <v>43</v>
      </c>
      <c r="Q827" s="1" t="s">
        <v>44</v>
      </c>
      <c r="R827" s="1" t="s">
        <v>45</v>
      </c>
      <c r="S827" s="1">
        <v>342</v>
      </c>
      <c r="T827" s="1">
        <v>0</v>
      </c>
      <c r="U827" s="13">
        <v>4.7222222222222221E-2</v>
      </c>
      <c r="V827" s="11">
        <v>1140</v>
      </c>
      <c r="W827" s="11">
        <v>1160</v>
      </c>
      <c r="X827" s="8">
        <v>2300</v>
      </c>
      <c r="Y827" s="1" t="s">
        <v>51</v>
      </c>
      <c r="Z827" s="11">
        <v>1640</v>
      </c>
      <c r="AA827" s="11">
        <v>660</v>
      </c>
      <c r="AB827" s="1">
        <v>0</v>
      </c>
      <c r="AC827" s="1">
        <v>0</v>
      </c>
      <c r="AD827" s="1">
        <v>0</v>
      </c>
      <c r="AE827" s="1">
        <v>0</v>
      </c>
      <c r="AF827" s="1"/>
      <c r="AG827" s="1">
        <v>0</v>
      </c>
      <c r="AH827" s="1">
        <v>0</v>
      </c>
      <c r="AI827" s="1">
        <v>0</v>
      </c>
      <c r="AJ827" s="1">
        <v>0</v>
      </c>
      <c r="AK827" s="1">
        <v>2.0855999999999999</v>
      </c>
      <c r="AL827" s="1">
        <v>2.0855999999999999</v>
      </c>
      <c r="AM827" s="1">
        <v>2.0855999999999999</v>
      </c>
    </row>
    <row r="828" spans="1:39" x14ac:dyDescent="0.3">
      <c r="A828" s="21" t="str">
        <f t="shared" si="12"/>
        <v>HFA851LLHA2026-02-08</v>
      </c>
      <c r="B828" t="str">
        <f>VLOOKUP(A828,Sheet1!A828:B2170,1,FALSE)</f>
        <v>HFA851LLHA2026-02-08</v>
      </c>
      <c r="C828" s="3">
        <v>46061</v>
      </c>
      <c r="D828" s="1" t="s">
        <v>66</v>
      </c>
      <c r="E828" s="1" t="s">
        <v>38</v>
      </c>
      <c r="F828" s="1"/>
      <c r="G828" s="1" t="s">
        <v>39</v>
      </c>
      <c r="H828" s="1" t="s">
        <v>222</v>
      </c>
      <c r="I828" s="1" t="s">
        <v>41</v>
      </c>
      <c r="J828" s="1" t="s">
        <v>42</v>
      </c>
      <c r="K828" s="1" t="s">
        <v>43</v>
      </c>
      <c r="L828" s="1" t="s">
        <v>44</v>
      </c>
      <c r="M828" s="1" t="s">
        <v>45</v>
      </c>
      <c r="N828" s="1" t="s">
        <v>67</v>
      </c>
      <c r="O828" s="1" t="s">
        <v>68</v>
      </c>
      <c r="P828" s="1" t="s">
        <v>69</v>
      </c>
      <c r="Q828" s="1" t="s">
        <v>70</v>
      </c>
      <c r="R828" s="1" t="s">
        <v>50</v>
      </c>
      <c r="S828" s="1">
        <v>318</v>
      </c>
      <c r="T828" s="1">
        <v>0</v>
      </c>
      <c r="U828" s="13">
        <v>4.4444444444444439E-2</v>
      </c>
      <c r="V828" s="11">
        <v>1640</v>
      </c>
      <c r="W828" s="11">
        <v>-20</v>
      </c>
      <c r="X828" s="8">
        <v>1620</v>
      </c>
      <c r="Y828" s="1" t="s">
        <v>51</v>
      </c>
      <c r="Z828" s="11">
        <v>900</v>
      </c>
      <c r="AA828" s="11">
        <v>720</v>
      </c>
      <c r="AB828" s="1">
        <v>0</v>
      </c>
      <c r="AC828" s="1">
        <v>0</v>
      </c>
      <c r="AD828" s="1">
        <v>0</v>
      </c>
      <c r="AE828" s="1">
        <v>0</v>
      </c>
      <c r="AF828" s="1"/>
      <c r="AG828" s="1">
        <v>0</v>
      </c>
      <c r="AH828" s="1">
        <v>0</v>
      </c>
      <c r="AI828" s="1">
        <v>0</v>
      </c>
      <c r="AJ828" s="1">
        <v>0</v>
      </c>
      <c r="AK828" s="1">
        <v>2.2751999999999999</v>
      </c>
      <c r="AL828" s="1">
        <v>2.2751999999999999</v>
      </c>
      <c r="AM828" s="1">
        <v>2.2751999999999999</v>
      </c>
    </row>
    <row r="829" spans="1:39" x14ac:dyDescent="0.3">
      <c r="A829" s="21" t="str">
        <f t="shared" si="12"/>
        <v>HFA852LCPH2026-02-08</v>
      </c>
      <c r="B829" t="str">
        <f>VLOOKUP(A829,Sheet1!A829:B2171,1,FALSE)</f>
        <v>HFA852LCPH2026-02-08</v>
      </c>
      <c r="C829" s="3">
        <v>46061</v>
      </c>
      <c r="D829" s="1" t="s">
        <v>71</v>
      </c>
      <c r="E829" s="1" t="s">
        <v>38</v>
      </c>
      <c r="F829" s="1"/>
      <c r="G829" s="1" t="s">
        <v>39</v>
      </c>
      <c r="H829" s="1" t="s">
        <v>222</v>
      </c>
      <c r="I829" s="1" t="s">
        <v>67</v>
      </c>
      <c r="J829" s="1" t="s">
        <v>68</v>
      </c>
      <c r="K829" s="1" t="s">
        <v>69</v>
      </c>
      <c r="L829" s="1" t="s">
        <v>70</v>
      </c>
      <c r="M829" s="1" t="s">
        <v>50</v>
      </c>
      <c r="N829" s="1" t="s">
        <v>41</v>
      </c>
      <c r="O829" s="1" t="s">
        <v>42</v>
      </c>
      <c r="P829" s="1" t="s">
        <v>43</v>
      </c>
      <c r="Q829" s="1" t="s">
        <v>44</v>
      </c>
      <c r="R829" s="1" t="s">
        <v>45</v>
      </c>
      <c r="S829" s="1">
        <v>318</v>
      </c>
      <c r="T829" s="1">
        <v>0</v>
      </c>
      <c r="U829" s="13">
        <v>4.027777777777778E-2</v>
      </c>
      <c r="V829" s="11">
        <v>900</v>
      </c>
      <c r="W829" s="11">
        <v>1200</v>
      </c>
      <c r="X829" s="8">
        <v>2100</v>
      </c>
      <c r="Y829" s="1" t="s">
        <v>51</v>
      </c>
      <c r="Z829" s="11">
        <v>1570</v>
      </c>
      <c r="AA829" s="11">
        <v>530</v>
      </c>
      <c r="AB829" s="1">
        <v>0</v>
      </c>
      <c r="AC829" s="1">
        <v>0</v>
      </c>
      <c r="AD829" s="1">
        <v>0</v>
      </c>
      <c r="AE829" s="1">
        <v>0</v>
      </c>
      <c r="AF829" s="1"/>
      <c r="AG829" s="1">
        <v>0</v>
      </c>
      <c r="AH829" s="1">
        <v>0</v>
      </c>
      <c r="AI829" s="1">
        <v>0</v>
      </c>
      <c r="AJ829" s="1">
        <v>0</v>
      </c>
      <c r="AK829" s="1">
        <v>1.6748000000000001</v>
      </c>
      <c r="AL829" s="1">
        <v>1.6748000000000001</v>
      </c>
      <c r="AM829" s="1">
        <v>1.6748000000000001</v>
      </c>
    </row>
    <row r="830" spans="1:39" x14ac:dyDescent="0.3">
      <c r="A830" s="21" t="str">
        <f t="shared" si="12"/>
        <v>HFA805LLHA2026-02-08</v>
      </c>
      <c r="B830" t="e">
        <f>VLOOKUP(A830,Sheet1!A830:B2172,1,FALSE)</f>
        <v>#N/A</v>
      </c>
      <c r="C830" s="3">
        <v>46061</v>
      </c>
      <c r="D830" s="1" t="s">
        <v>114</v>
      </c>
      <c r="E830" s="1" t="s">
        <v>38</v>
      </c>
      <c r="F830" s="1"/>
      <c r="G830" s="1" t="s">
        <v>39</v>
      </c>
      <c r="H830" s="1" t="s">
        <v>222</v>
      </c>
      <c r="I830" s="1" t="s">
        <v>41</v>
      </c>
      <c r="J830" s="1" t="s">
        <v>42</v>
      </c>
      <c r="K830" s="1" t="s">
        <v>43</v>
      </c>
      <c r="L830" s="1" t="s">
        <v>44</v>
      </c>
      <c r="M830" s="1" t="s">
        <v>45</v>
      </c>
      <c r="N830" s="1" t="s">
        <v>67</v>
      </c>
      <c r="O830" s="1" t="s">
        <v>86</v>
      </c>
      <c r="P830" s="1" t="s">
        <v>87</v>
      </c>
      <c r="Q830" s="1" t="s">
        <v>88</v>
      </c>
      <c r="R830" s="1" t="s">
        <v>50</v>
      </c>
      <c r="S830" s="1">
        <v>264</v>
      </c>
      <c r="T830" s="1">
        <v>0</v>
      </c>
      <c r="U830" s="13">
        <v>3.9583333333333331E-2</v>
      </c>
      <c r="V830" s="11">
        <v>1570</v>
      </c>
      <c r="W830" s="11">
        <v>-10</v>
      </c>
      <c r="X830" s="8">
        <v>1560</v>
      </c>
      <c r="Y830" s="1" t="s">
        <v>51</v>
      </c>
      <c r="Z830" s="11">
        <v>1000</v>
      </c>
      <c r="AA830" s="11">
        <v>560</v>
      </c>
      <c r="AB830" s="1">
        <v>0</v>
      </c>
      <c r="AC830" s="1">
        <v>0</v>
      </c>
      <c r="AD830" s="1">
        <v>0</v>
      </c>
      <c r="AE830" s="1">
        <v>0</v>
      </c>
      <c r="AF830" s="1"/>
      <c r="AG830" s="1">
        <v>0</v>
      </c>
      <c r="AH830" s="1">
        <v>0</v>
      </c>
      <c r="AI830" s="1">
        <v>0</v>
      </c>
      <c r="AJ830" s="1">
        <v>0</v>
      </c>
      <c r="AK830" s="1">
        <v>1.7696000000000001</v>
      </c>
      <c r="AL830" s="1">
        <v>1.7696000000000001</v>
      </c>
      <c r="AM830" s="1">
        <v>1.7696000000000001</v>
      </c>
    </row>
    <row r="831" spans="1:39" x14ac:dyDescent="0.3">
      <c r="A831" s="21" t="str">
        <f t="shared" si="12"/>
        <v>HFA806LCLK2026-02-08</v>
      </c>
      <c r="B831" t="e">
        <f>VLOOKUP(A831,Sheet1!A831:B2173,1,FALSE)</f>
        <v>#N/A</v>
      </c>
      <c r="C831" s="3">
        <v>46061</v>
      </c>
      <c r="D831" s="1" t="s">
        <v>115</v>
      </c>
      <c r="E831" s="1" t="s">
        <v>38</v>
      </c>
      <c r="F831" s="1"/>
      <c r="G831" s="1" t="s">
        <v>39</v>
      </c>
      <c r="H831" s="1" t="s">
        <v>222</v>
      </c>
      <c r="I831" s="1" t="s">
        <v>67</v>
      </c>
      <c r="J831" s="1" t="s">
        <v>86</v>
      </c>
      <c r="K831" s="1" t="s">
        <v>87</v>
      </c>
      <c r="L831" s="1" t="s">
        <v>88</v>
      </c>
      <c r="M831" s="1" t="s">
        <v>50</v>
      </c>
      <c r="N831" s="1" t="s">
        <v>41</v>
      </c>
      <c r="O831" s="1" t="s">
        <v>42</v>
      </c>
      <c r="P831" s="1" t="s">
        <v>43</v>
      </c>
      <c r="Q831" s="1" t="s">
        <v>44</v>
      </c>
      <c r="R831" s="1" t="s">
        <v>45</v>
      </c>
      <c r="S831" s="1">
        <v>264</v>
      </c>
      <c r="T831" s="1">
        <v>0</v>
      </c>
      <c r="U831" s="13">
        <v>3.8194444444444448E-2</v>
      </c>
      <c r="V831" s="11">
        <v>1000</v>
      </c>
      <c r="W831" s="11">
        <v>1100</v>
      </c>
      <c r="X831" s="8">
        <v>2100</v>
      </c>
      <c r="Y831" s="1" t="s">
        <v>51</v>
      </c>
      <c r="Z831" s="11">
        <v>1640</v>
      </c>
      <c r="AA831" s="11">
        <v>460</v>
      </c>
      <c r="AB831" s="1">
        <v>0</v>
      </c>
      <c r="AC831" s="1">
        <v>0</v>
      </c>
      <c r="AD831" s="1">
        <v>0</v>
      </c>
      <c r="AE831" s="1">
        <v>0</v>
      </c>
      <c r="AF831" s="1"/>
      <c r="AG831" s="1">
        <v>0</v>
      </c>
      <c r="AH831" s="1">
        <v>0</v>
      </c>
      <c r="AI831" s="1">
        <v>0</v>
      </c>
      <c r="AJ831" s="1">
        <v>0</v>
      </c>
      <c r="AK831" s="1">
        <v>1.4536</v>
      </c>
      <c r="AL831" s="1">
        <v>1.4536</v>
      </c>
      <c r="AM831" s="1">
        <v>1.4536</v>
      </c>
    </row>
    <row r="832" spans="1:39" x14ac:dyDescent="0.3">
      <c r="A832" s="21" t="str">
        <f t="shared" si="12"/>
        <v>HFA807LLHA2026-02-08</v>
      </c>
      <c r="B832" t="e">
        <f>VLOOKUP(A832,Sheet1!A832:B2174,1,FALSE)</f>
        <v>#N/A</v>
      </c>
      <c r="C832" s="3">
        <v>46061</v>
      </c>
      <c r="D832" s="1" t="s">
        <v>118</v>
      </c>
      <c r="E832" s="1" t="s">
        <v>38</v>
      </c>
      <c r="F832" s="1"/>
      <c r="G832" s="1" t="s">
        <v>39</v>
      </c>
      <c r="H832" s="1" t="s">
        <v>222</v>
      </c>
      <c r="I832" s="1" t="s">
        <v>41</v>
      </c>
      <c r="J832" s="1" t="s">
        <v>42</v>
      </c>
      <c r="K832" s="1" t="s">
        <v>43</v>
      </c>
      <c r="L832" s="1" t="s">
        <v>44</v>
      </c>
      <c r="M832" s="1" t="s">
        <v>45</v>
      </c>
      <c r="N832" s="1" t="s">
        <v>67</v>
      </c>
      <c r="O832" s="1" t="s">
        <v>86</v>
      </c>
      <c r="P832" s="1" t="s">
        <v>87</v>
      </c>
      <c r="Q832" s="1" t="s">
        <v>88</v>
      </c>
      <c r="R832" s="1" t="s">
        <v>50</v>
      </c>
      <c r="S832" s="1">
        <v>264</v>
      </c>
      <c r="T832" s="1">
        <v>0</v>
      </c>
      <c r="U832" s="13">
        <v>3.9583333333333331E-2</v>
      </c>
      <c r="V832" s="11">
        <v>1640</v>
      </c>
      <c r="W832" s="11">
        <v>0</v>
      </c>
      <c r="X832" s="8">
        <v>1640</v>
      </c>
      <c r="Y832" s="1" t="s">
        <v>51</v>
      </c>
      <c r="Z832" s="11">
        <v>1040</v>
      </c>
      <c r="AA832" s="11">
        <v>600</v>
      </c>
      <c r="AB832" s="1">
        <v>0</v>
      </c>
      <c r="AC832" s="1">
        <v>0</v>
      </c>
      <c r="AD832" s="1">
        <v>0</v>
      </c>
      <c r="AE832" s="1">
        <v>0</v>
      </c>
      <c r="AF832" s="1"/>
      <c r="AG832" s="1">
        <v>0</v>
      </c>
      <c r="AH832" s="1">
        <v>0</v>
      </c>
      <c r="AI832" s="1">
        <v>0</v>
      </c>
      <c r="AJ832" s="1">
        <v>0</v>
      </c>
      <c r="AK832" s="1">
        <v>1.8959999999999999</v>
      </c>
      <c r="AL832" s="1">
        <v>1.8959999999999999</v>
      </c>
      <c r="AM832" s="1">
        <v>1.8959999999999999</v>
      </c>
    </row>
    <row r="833" spans="1:39" s="7" customFormat="1" x14ac:dyDescent="0.3">
      <c r="A833" s="21" t="str">
        <f t="shared" si="12"/>
        <v>HFA808LCLK2026-02-08</v>
      </c>
      <c r="B833" t="str">
        <f>VLOOKUP(A833,Sheet1!A833:B2175,1,FALSE)</f>
        <v>HFA808LCLK2026-02-08</v>
      </c>
      <c r="C833" s="5">
        <v>46061</v>
      </c>
      <c r="D833" s="6" t="s">
        <v>119</v>
      </c>
      <c r="E833" s="6" t="s">
        <v>38</v>
      </c>
      <c r="F833" s="6"/>
      <c r="G833" s="6" t="s">
        <v>39</v>
      </c>
      <c r="H833" s="6" t="s">
        <v>222</v>
      </c>
      <c r="I833" s="6" t="s">
        <v>67</v>
      </c>
      <c r="J833" s="6" t="s">
        <v>86</v>
      </c>
      <c r="K833" s="6" t="s">
        <v>87</v>
      </c>
      <c r="L833" s="1" t="s">
        <v>88</v>
      </c>
      <c r="M833" s="1" t="s">
        <v>50</v>
      </c>
      <c r="N833" s="1" t="s">
        <v>41</v>
      </c>
      <c r="O833" s="1" t="s">
        <v>42</v>
      </c>
      <c r="P833" s="6" t="s">
        <v>43</v>
      </c>
      <c r="Q833" s="6" t="s">
        <v>44</v>
      </c>
      <c r="R833" s="6" t="s">
        <v>45</v>
      </c>
      <c r="S833" s="6">
        <v>264</v>
      </c>
      <c r="T833" s="6">
        <v>0</v>
      </c>
      <c r="U833" s="13">
        <v>3.8194444444444448E-2</v>
      </c>
      <c r="V833" s="11">
        <v>1040</v>
      </c>
      <c r="W833" s="11">
        <v>1460</v>
      </c>
      <c r="X833" s="8">
        <v>2500</v>
      </c>
      <c r="Y833" s="6" t="s">
        <v>51</v>
      </c>
      <c r="Z833" s="11">
        <v>2020</v>
      </c>
      <c r="AA833" s="11">
        <v>480</v>
      </c>
      <c r="AB833" s="6">
        <v>0</v>
      </c>
      <c r="AC833" s="6">
        <v>0</v>
      </c>
      <c r="AD833" s="6">
        <v>0</v>
      </c>
      <c r="AE833" s="6">
        <v>0</v>
      </c>
      <c r="AF833" s="6"/>
      <c r="AG833" s="6">
        <v>0</v>
      </c>
      <c r="AH833" s="6">
        <v>0</v>
      </c>
      <c r="AI833" s="6">
        <v>0</v>
      </c>
      <c r="AJ833" s="6">
        <v>0</v>
      </c>
      <c r="AK833" s="6">
        <v>1.5167999999999999</v>
      </c>
      <c r="AL833" s="6">
        <v>1.5167999999999999</v>
      </c>
      <c r="AM833" s="6">
        <v>1.5167999999999999</v>
      </c>
    </row>
    <row r="834" spans="1:39" x14ac:dyDescent="0.3">
      <c r="A834" s="21" t="str">
        <f t="shared" si="12"/>
        <v>HFA605LLHA2026-02-09</v>
      </c>
      <c r="B834" t="e">
        <f>VLOOKUP(A834,Sheet1!A834:B2176,1,FALSE)</f>
        <v>#N/A</v>
      </c>
      <c r="C834" s="3">
        <v>46062</v>
      </c>
      <c r="D834" s="1" t="s">
        <v>62</v>
      </c>
      <c r="E834" s="1" t="s">
        <v>38</v>
      </c>
      <c r="F834" s="1" t="s">
        <v>54</v>
      </c>
      <c r="G834" s="1" t="s">
        <v>39</v>
      </c>
      <c r="H834" s="1" t="s">
        <v>222</v>
      </c>
      <c r="I834" s="1" t="s">
        <v>41</v>
      </c>
      <c r="J834" s="1" t="s">
        <v>42</v>
      </c>
      <c r="K834" s="1" t="s">
        <v>43</v>
      </c>
      <c r="L834" s="1" t="s">
        <v>44</v>
      </c>
      <c r="M834" s="1" t="s">
        <v>45</v>
      </c>
      <c r="N834" s="1" t="s">
        <v>41</v>
      </c>
      <c r="O834" s="1" t="s">
        <v>58</v>
      </c>
      <c r="P834" s="1" t="s">
        <v>59</v>
      </c>
      <c r="Q834" s="1" t="s">
        <v>60</v>
      </c>
      <c r="R834" s="1" t="s">
        <v>45</v>
      </c>
      <c r="S834" s="1">
        <v>342</v>
      </c>
      <c r="T834" s="1">
        <v>0</v>
      </c>
      <c r="U834" s="13">
        <v>4.4444444444444439E-2</v>
      </c>
      <c r="V834" s="11">
        <v>2020</v>
      </c>
      <c r="W834" s="11">
        <v>-10</v>
      </c>
      <c r="X834" s="8">
        <v>2010</v>
      </c>
      <c r="Y834" s="1" t="s">
        <v>51</v>
      </c>
      <c r="Z834" s="11">
        <v>1370</v>
      </c>
      <c r="AA834" s="11">
        <v>640</v>
      </c>
      <c r="AB834" s="1">
        <v>0</v>
      </c>
      <c r="AC834" s="1">
        <v>0</v>
      </c>
      <c r="AD834" s="1">
        <v>0</v>
      </c>
      <c r="AE834" s="1">
        <v>0</v>
      </c>
      <c r="AF834" s="1"/>
      <c r="AG834" s="1">
        <v>0</v>
      </c>
      <c r="AH834" s="1">
        <v>0</v>
      </c>
      <c r="AI834" s="1">
        <v>0</v>
      </c>
      <c r="AJ834" s="1">
        <v>0</v>
      </c>
      <c r="AK834" s="1">
        <v>2.0224000000000002</v>
      </c>
      <c r="AL834" s="1">
        <v>2.0224000000000002</v>
      </c>
      <c r="AM834" s="1">
        <v>2.0224000000000002</v>
      </c>
    </row>
    <row r="835" spans="1:39" x14ac:dyDescent="0.3">
      <c r="A835" s="21" t="str">
        <f t="shared" ref="A835:A898" si="13">CONCATENATE(D835,K835,TEXT(C835,"YYYY-MM-DD"))</f>
        <v>HFA606LLER2026-02-09</v>
      </c>
      <c r="B835" t="e">
        <f>VLOOKUP(A835,Sheet1!A835:B2177,1,FALSE)</f>
        <v>#N/A</v>
      </c>
      <c r="C835" s="3">
        <v>46062</v>
      </c>
      <c r="D835" s="1" t="s">
        <v>63</v>
      </c>
      <c r="E835" s="1" t="s">
        <v>38</v>
      </c>
      <c r="F835" s="1" t="s">
        <v>54</v>
      </c>
      <c r="G835" s="1" t="s">
        <v>39</v>
      </c>
      <c r="H835" s="1" t="s">
        <v>222</v>
      </c>
      <c r="I835" s="1" t="s">
        <v>41</v>
      </c>
      <c r="J835" s="1" t="s">
        <v>58</v>
      </c>
      <c r="K835" s="1" t="s">
        <v>59</v>
      </c>
      <c r="L835" s="1" t="s">
        <v>60</v>
      </c>
      <c r="M835" s="1" t="s">
        <v>45</v>
      </c>
      <c r="N835" s="1" t="s">
        <v>41</v>
      </c>
      <c r="O835" s="1" t="s">
        <v>42</v>
      </c>
      <c r="P835" s="1" t="s">
        <v>43</v>
      </c>
      <c r="Q835" s="1" t="s">
        <v>44</v>
      </c>
      <c r="R835" s="1" t="s">
        <v>45</v>
      </c>
      <c r="S835" s="1">
        <v>342</v>
      </c>
      <c r="T835" s="1">
        <v>0</v>
      </c>
      <c r="U835" s="13">
        <v>4.7916666666666663E-2</v>
      </c>
      <c r="V835" s="11">
        <v>1370</v>
      </c>
      <c r="W835" s="11">
        <v>830</v>
      </c>
      <c r="X835" s="8">
        <v>2200</v>
      </c>
      <c r="Y835" s="1" t="s">
        <v>51</v>
      </c>
      <c r="Z835" s="11">
        <v>1520</v>
      </c>
      <c r="AA835" s="11">
        <v>680</v>
      </c>
      <c r="AB835" s="1">
        <v>0</v>
      </c>
      <c r="AC835" s="1">
        <v>0</v>
      </c>
      <c r="AD835" s="1">
        <v>0</v>
      </c>
      <c r="AE835" s="1">
        <v>0</v>
      </c>
      <c r="AF835" s="1"/>
      <c r="AG835" s="1">
        <v>0</v>
      </c>
      <c r="AH835" s="1">
        <v>0</v>
      </c>
      <c r="AI835" s="1">
        <v>0</v>
      </c>
      <c r="AJ835" s="1">
        <v>0</v>
      </c>
      <c r="AK835" s="1">
        <v>2.1488</v>
      </c>
      <c r="AL835" s="1">
        <v>2.1488</v>
      </c>
      <c r="AM835" s="1">
        <v>2.1488</v>
      </c>
    </row>
    <row r="836" spans="1:39" x14ac:dyDescent="0.3">
      <c r="A836" s="21" t="str">
        <f t="shared" si="13"/>
        <v>HFA807LLHA2026-02-09</v>
      </c>
      <c r="B836" t="e">
        <f>VLOOKUP(A836,Sheet1!A836:B2178,1,FALSE)</f>
        <v>#N/A</v>
      </c>
      <c r="C836" s="3">
        <v>46062</v>
      </c>
      <c r="D836" s="1" t="s">
        <v>118</v>
      </c>
      <c r="E836" s="1" t="s">
        <v>38</v>
      </c>
      <c r="F836" s="1"/>
      <c r="G836" s="1" t="s">
        <v>39</v>
      </c>
      <c r="H836" s="1" t="s">
        <v>222</v>
      </c>
      <c r="I836" s="1" t="s">
        <v>41</v>
      </c>
      <c r="J836" s="1" t="s">
        <v>42</v>
      </c>
      <c r="K836" s="1" t="s">
        <v>43</v>
      </c>
      <c r="L836" s="1" t="s">
        <v>44</v>
      </c>
      <c r="M836" s="1" t="s">
        <v>45</v>
      </c>
      <c r="N836" s="1" t="s">
        <v>67</v>
      </c>
      <c r="O836" s="1" t="s">
        <v>86</v>
      </c>
      <c r="P836" s="1" t="s">
        <v>87</v>
      </c>
      <c r="Q836" s="1" t="s">
        <v>88</v>
      </c>
      <c r="R836" s="1" t="s">
        <v>50</v>
      </c>
      <c r="S836" s="1">
        <v>264</v>
      </c>
      <c r="T836" s="1">
        <v>0</v>
      </c>
      <c r="U836" s="13">
        <v>3.5416666666666666E-2</v>
      </c>
      <c r="V836" s="11">
        <v>1520</v>
      </c>
      <c r="W836" s="11">
        <v>0</v>
      </c>
      <c r="X836" s="8">
        <v>1520</v>
      </c>
      <c r="Y836" s="1" t="s">
        <v>51</v>
      </c>
      <c r="Z836" s="11">
        <v>940</v>
      </c>
      <c r="AA836" s="11">
        <v>580</v>
      </c>
      <c r="AB836" s="1">
        <v>0</v>
      </c>
      <c r="AC836" s="1">
        <v>0</v>
      </c>
      <c r="AD836" s="1">
        <v>0</v>
      </c>
      <c r="AE836" s="1">
        <v>0</v>
      </c>
      <c r="AF836" s="1"/>
      <c r="AG836" s="1">
        <v>0</v>
      </c>
      <c r="AH836" s="1">
        <v>0</v>
      </c>
      <c r="AI836" s="1">
        <v>0</v>
      </c>
      <c r="AJ836" s="1">
        <v>0</v>
      </c>
      <c r="AK836" s="1">
        <v>1.8328</v>
      </c>
      <c r="AL836" s="1">
        <v>1.8328</v>
      </c>
      <c r="AM836" s="1">
        <v>1.8328</v>
      </c>
    </row>
    <row r="837" spans="1:39" x14ac:dyDescent="0.3">
      <c r="A837" s="21" t="str">
        <f t="shared" si="13"/>
        <v>HFA808LCLK2026-02-09</v>
      </c>
      <c r="B837" t="str">
        <f>VLOOKUP(A837,Sheet1!A837:B2179,1,FALSE)</f>
        <v>HFA808LCLK2026-02-09</v>
      </c>
      <c r="C837" s="3">
        <v>46062</v>
      </c>
      <c r="D837" s="1" t="s">
        <v>119</v>
      </c>
      <c r="E837" s="1" t="s">
        <v>38</v>
      </c>
      <c r="F837" s="1"/>
      <c r="G837" s="1" t="s">
        <v>39</v>
      </c>
      <c r="H837" s="1" t="s">
        <v>222</v>
      </c>
      <c r="I837" s="1" t="s">
        <v>67</v>
      </c>
      <c r="J837" s="1" t="s">
        <v>86</v>
      </c>
      <c r="K837" s="1" t="s">
        <v>87</v>
      </c>
      <c r="L837" s="1" t="s">
        <v>88</v>
      </c>
      <c r="M837" s="1" t="s">
        <v>50</v>
      </c>
      <c r="N837" s="1" t="s">
        <v>41</v>
      </c>
      <c r="O837" s="1" t="s">
        <v>42</v>
      </c>
      <c r="P837" s="1" t="s">
        <v>43</v>
      </c>
      <c r="Q837" s="1" t="s">
        <v>44</v>
      </c>
      <c r="R837" s="1" t="s">
        <v>45</v>
      </c>
      <c r="S837" s="1">
        <v>264</v>
      </c>
      <c r="T837" s="1">
        <v>0</v>
      </c>
      <c r="U837" s="13">
        <v>4.3055555555555555E-2</v>
      </c>
      <c r="V837" s="11">
        <v>940</v>
      </c>
      <c r="W837" s="11">
        <v>1460</v>
      </c>
      <c r="X837" s="8">
        <v>2400</v>
      </c>
      <c r="Y837" s="1" t="s">
        <v>51</v>
      </c>
      <c r="Z837" s="11">
        <v>1910</v>
      </c>
      <c r="AA837" s="11">
        <v>490</v>
      </c>
      <c r="AB837" s="1">
        <v>0</v>
      </c>
      <c r="AC837" s="1">
        <v>0</v>
      </c>
      <c r="AD837" s="1">
        <v>0</v>
      </c>
      <c r="AE837" s="1">
        <v>0</v>
      </c>
      <c r="AF837" s="1"/>
      <c r="AG837" s="1">
        <v>0</v>
      </c>
      <c r="AH837" s="1">
        <v>0</v>
      </c>
      <c r="AI837" s="1">
        <v>0</v>
      </c>
      <c r="AJ837" s="1">
        <v>0</v>
      </c>
      <c r="AK837" s="1">
        <v>1.5484</v>
      </c>
      <c r="AL837" s="1">
        <v>1.5484</v>
      </c>
      <c r="AM837" s="1">
        <v>1.5484</v>
      </c>
    </row>
    <row r="838" spans="1:39" x14ac:dyDescent="0.3">
      <c r="A838" s="21" t="str">
        <f t="shared" si="13"/>
        <v>HFA601LLHA2026-02-10</v>
      </c>
      <c r="B838" t="e">
        <f>VLOOKUP(A838,Sheet1!A838:B2180,1,FALSE)</f>
        <v>#N/A</v>
      </c>
      <c r="C838" s="3">
        <v>46063</v>
      </c>
      <c r="D838" s="1" t="s">
        <v>57</v>
      </c>
      <c r="E838" s="1" t="s">
        <v>38</v>
      </c>
      <c r="F838" s="1" t="s">
        <v>54</v>
      </c>
      <c r="G838" s="1" t="s">
        <v>39</v>
      </c>
      <c r="H838" s="1" t="s">
        <v>222</v>
      </c>
      <c r="I838" s="1" t="s">
        <v>41</v>
      </c>
      <c r="J838" s="1" t="s">
        <v>42</v>
      </c>
      <c r="K838" s="1" t="s">
        <v>43</v>
      </c>
      <c r="L838" s="1" t="s">
        <v>44</v>
      </c>
      <c r="M838" s="1" t="s">
        <v>45</v>
      </c>
      <c r="N838" s="1" t="s">
        <v>41</v>
      </c>
      <c r="O838" s="1" t="s">
        <v>58</v>
      </c>
      <c r="P838" s="1" t="s">
        <v>59</v>
      </c>
      <c r="Q838" s="1" t="s">
        <v>60</v>
      </c>
      <c r="R838" s="1" t="s">
        <v>45</v>
      </c>
      <c r="S838" s="1">
        <v>342</v>
      </c>
      <c r="T838" s="1">
        <v>0</v>
      </c>
      <c r="U838" s="13">
        <v>5.486111111111111E-2</v>
      </c>
      <c r="V838" s="11">
        <v>1910</v>
      </c>
      <c r="W838" s="11">
        <v>190</v>
      </c>
      <c r="X838" s="8">
        <v>2100</v>
      </c>
      <c r="Y838" s="1" t="s">
        <v>51</v>
      </c>
      <c r="Z838" s="11">
        <v>1390</v>
      </c>
      <c r="AA838" s="11">
        <v>710</v>
      </c>
      <c r="AB838" s="1">
        <v>0</v>
      </c>
      <c r="AC838" s="1">
        <v>0</v>
      </c>
      <c r="AD838" s="1">
        <v>0</v>
      </c>
      <c r="AE838" s="1">
        <v>0</v>
      </c>
      <c r="AF838" s="1"/>
      <c r="AG838" s="1">
        <v>0</v>
      </c>
      <c r="AH838" s="1">
        <v>0</v>
      </c>
      <c r="AI838" s="1">
        <v>0</v>
      </c>
      <c r="AJ838" s="1">
        <v>0</v>
      </c>
      <c r="AK838" s="1">
        <v>2.2435999999999998</v>
      </c>
      <c r="AL838" s="1">
        <v>2.2435999999999998</v>
      </c>
      <c r="AM838" s="1">
        <v>2.2435999999999998</v>
      </c>
    </row>
    <row r="839" spans="1:39" x14ac:dyDescent="0.3">
      <c r="A839" s="21" t="str">
        <f t="shared" si="13"/>
        <v>HFA602LLER2026-02-10</v>
      </c>
      <c r="B839" t="e">
        <f>VLOOKUP(A839,Sheet1!A839:B2181,1,FALSE)</f>
        <v>#N/A</v>
      </c>
      <c r="C839" s="3">
        <v>46063</v>
      </c>
      <c r="D839" s="1" t="s">
        <v>61</v>
      </c>
      <c r="E839" s="1" t="s">
        <v>38</v>
      </c>
      <c r="F839" s="1" t="s">
        <v>54</v>
      </c>
      <c r="G839" s="1" t="s">
        <v>39</v>
      </c>
      <c r="H839" s="1" t="s">
        <v>222</v>
      </c>
      <c r="I839" s="1" t="s">
        <v>41</v>
      </c>
      <c r="J839" s="1" t="s">
        <v>58</v>
      </c>
      <c r="K839" s="1" t="s">
        <v>59</v>
      </c>
      <c r="L839" s="1" t="s">
        <v>60</v>
      </c>
      <c r="M839" s="1" t="s">
        <v>45</v>
      </c>
      <c r="N839" s="1" t="s">
        <v>41</v>
      </c>
      <c r="O839" s="1" t="s">
        <v>42</v>
      </c>
      <c r="P839" s="1" t="s">
        <v>43</v>
      </c>
      <c r="Q839" s="1" t="s">
        <v>44</v>
      </c>
      <c r="R839" s="1" t="s">
        <v>45</v>
      </c>
      <c r="S839" s="1">
        <v>342</v>
      </c>
      <c r="T839" s="1">
        <v>0</v>
      </c>
      <c r="U839" s="13">
        <v>4.583333333333333E-2</v>
      </c>
      <c r="V839" s="11">
        <v>1390</v>
      </c>
      <c r="W839" s="11">
        <v>710</v>
      </c>
      <c r="X839" s="8">
        <v>2100</v>
      </c>
      <c r="Y839" s="1" t="s">
        <v>51</v>
      </c>
      <c r="Z839" s="11">
        <v>1420</v>
      </c>
      <c r="AA839" s="11">
        <v>680</v>
      </c>
      <c r="AB839" s="1">
        <v>0</v>
      </c>
      <c r="AC839" s="1">
        <v>0</v>
      </c>
      <c r="AD839" s="1">
        <v>0</v>
      </c>
      <c r="AE839" s="1">
        <v>0</v>
      </c>
      <c r="AF839" s="1"/>
      <c r="AG839" s="1">
        <v>0</v>
      </c>
      <c r="AH839" s="1">
        <v>0</v>
      </c>
      <c r="AI839" s="1">
        <v>0</v>
      </c>
      <c r="AJ839" s="1">
        <v>0</v>
      </c>
      <c r="AK839" s="1">
        <v>2.1488</v>
      </c>
      <c r="AL839" s="1">
        <v>2.1488</v>
      </c>
      <c r="AM839" s="1">
        <v>2.1488</v>
      </c>
    </row>
    <row r="840" spans="1:39" x14ac:dyDescent="0.3">
      <c r="A840" s="21" t="str">
        <f t="shared" si="13"/>
        <v>HFA803LLHA2026-02-10</v>
      </c>
      <c r="B840" t="e">
        <f>VLOOKUP(A840,Sheet1!A840:B2182,1,FALSE)</f>
        <v>#N/A</v>
      </c>
      <c r="C840" s="3">
        <v>46063</v>
      </c>
      <c r="D840" s="1" t="s">
        <v>116</v>
      </c>
      <c r="E840" s="1" t="s">
        <v>38</v>
      </c>
      <c r="F840" s="1"/>
      <c r="G840" s="1" t="s">
        <v>39</v>
      </c>
      <c r="H840" s="1" t="s">
        <v>222</v>
      </c>
      <c r="I840" s="1" t="s">
        <v>41</v>
      </c>
      <c r="J840" s="1" t="s">
        <v>42</v>
      </c>
      <c r="K840" s="1" t="s">
        <v>43</v>
      </c>
      <c r="L840" s="1" t="s">
        <v>44</v>
      </c>
      <c r="M840" s="1" t="s">
        <v>45</v>
      </c>
      <c r="N840" s="1" t="s">
        <v>67</v>
      </c>
      <c r="O840" s="1" t="s">
        <v>86</v>
      </c>
      <c r="P840" s="1" t="s">
        <v>87</v>
      </c>
      <c r="Q840" s="1" t="s">
        <v>88</v>
      </c>
      <c r="R840" s="1" t="s">
        <v>50</v>
      </c>
      <c r="S840" s="1">
        <v>264</v>
      </c>
      <c r="T840" s="1">
        <v>0</v>
      </c>
      <c r="U840" s="13">
        <v>4.0972222222222222E-2</v>
      </c>
      <c r="V840" s="11">
        <v>1420</v>
      </c>
      <c r="W840" s="11">
        <v>0</v>
      </c>
      <c r="X840" s="8">
        <v>1420</v>
      </c>
      <c r="Y840" s="1" t="s">
        <v>51</v>
      </c>
      <c r="Z840" s="11">
        <v>780</v>
      </c>
      <c r="AA840" s="11">
        <v>640</v>
      </c>
      <c r="AB840" s="1">
        <v>0</v>
      </c>
      <c r="AC840" s="1">
        <v>0</v>
      </c>
      <c r="AD840" s="1">
        <v>0</v>
      </c>
      <c r="AE840" s="1">
        <v>0</v>
      </c>
      <c r="AF840" s="1"/>
      <c r="AG840" s="1">
        <v>0</v>
      </c>
      <c r="AH840" s="1">
        <v>0</v>
      </c>
      <c r="AI840" s="1">
        <v>0</v>
      </c>
      <c r="AJ840" s="1">
        <v>0</v>
      </c>
      <c r="AK840" s="1">
        <v>2.0224000000000002</v>
      </c>
      <c r="AL840" s="1">
        <v>2.0224000000000002</v>
      </c>
      <c r="AM840" s="1">
        <v>2.0224000000000002</v>
      </c>
    </row>
    <row r="841" spans="1:39" x14ac:dyDescent="0.3">
      <c r="A841" s="21" t="str">
        <f t="shared" si="13"/>
        <v>HFA804LCLK2026-02-10</v>
      </c>
      <c r="B841" t="e">
        <f>VLOOKUP(A841,Sheet1!A841:B2183,1,FALSE)</f>
        <v>#N/A</v>
      </c>
      <c r="C841" s="3">
        <v>46063</v>
      </c>
      <c r="D841" s="1" t="s">
        <v>117</v>
      </c>
      <c r="E841" s="1" t="s">
        <v>38</v>
      </c>
      <c r="F841" s="1"/>
      <c r="G841" s="1" t="s">
        <v>39</v>
      </c>
      <c r="H841" s="1" t="s">
        <v>222</v>
      </c>
      <c r="I841" s="1" t="s">
        <v>67</v>
      </c>
      <c r="J841" s="1" t="s">
        <v>86</v>
      </c>
      <c r="K841" s="1" t="s">
        <v>87</v>
      </c>
      <c r="L841" s="1" t="s">
        <v>88</v>
      </c>
      <c r="M841" s="1" t="s">
        <v>50</v>
      </c>
      <c r="N841" s="1" t="s">
        <v>41</v>
      </c>
      <c r="O841" s="1" t="s">
        <v>42</v>
      </c>
      <c r="P841" s="1" t="s">
        <v>43</v>
      </c>
      <c r="Q841" s="1" t="s">
        <v>44</v>
      </c>
      <c r="R841" s="1" t="s">
        <v>45</v>
      </c>
      <c r="S841" s="1">
        <v>264</v>
      </c>
      <c r="T841" s="1">
        <v>0</v>
      </c>
      <c r="U841" s="13">
        <v>3.9583333333333331E-2</v>
      </c>
      <c r="V841" s="11">
        <v>780</v>
      </c>
      <c r="W841" s="11">
        <v>1520</v>
      </c>
      <c r="X841" s="8">
        <v>2300</v>
      </c>
      <c r="Y841" s="1" t="s">
        <v>51</v>
      </c>
      <c r="Z841" s="11">
        <v>1780</v>
      </c>
      <c r="AA841" s="11">
        <v>520</v>
      </c>
      <c r="AB841" s="1">
        <v>0</v>
      </c>
      <c r="AC841" s="1">
        <v>0</v>
      </c>
      <c r="AD841" s="1">
        <v>0</v>
      </c>
      <c r="AE841" s="1">
        <v>0</v>
      </c>
      <c r="AF841" s="1"/>
      <c r="AG841" s="1">
        <v>0</v>
      </c>
      <c r="AH841" s="1">
        <v>0</v>
      </c>
      <c r="AI841" s="1">
        <v>0</v>
      </c>
      <c r="AJ841" s="1">
        <v>0</v>
      </c>
      <c r="AK841" s="1">
        <v>1.6432</v>
      </c>
      <c r="AL841" s="1">
        <v>1.6432</v>
      </c>
      <c r="AM841" s="1">
        <v>1.6432</v>
      </c>
    </row>
    <row r="842" spans="1:39" x14ac:dyDescent="0.3">
      <c r="A842" s="21" t="str">
        <f t="shared" si="13"/>
        <v>HFA601LLHA2026-02-11</v>
      </c>
      <c r="B842" t="e">
        <f>VLOOKUP(A842,Sheet1!A842:B2184,1,FALSE)</f>
        <v>#N/A</v>
      </c>
      <c r="C842" s="3">
        <v>46064</v>
      </c>
      <c r="D842" s="1" t="s">
        <v>57</v>
      </c>
      <c r="E842" s="1" t="s">
        <v>38</v>
      </c>
      <c r="F842" s="1" t="s">
        <v>54</v>
      </c>
      <c r="G842" s="1" t="s">
        <v>39</v>
      </c>
      <c r="H842" s="1" t="s">
        <v>222</v>
      </c>
      <c r="I842" s="1" t="s">
        <v>41</v>
      </c>
      <c r="J842" s="1" t="s">
        <v>42</v>
      </c>
      <c r="K842" s="1" t="s">
        <v>43</v>
      </c>
      <c r="L842" s="1" t="s">
        <v>44</v>
      </c>
      <c r="M842" s="1" t="s">
        <v>45</v>
      </c>
      <c r="N842" s="1" t="s">
        <v>41</v>
      </c>
      <c r="O842" s="1" t="s">
        <v>58</v>
      </c>
      <c r="P842" s="1" t="s">
        <v>59</v>
      </c>
      <c r="Q842" s="1" t="s">
        <v>60</v>
      </c>
      <c r="R842" s="1" t="s">
        <v>45</v>
      </c>
      <c r="S842" s="1">
        <v>342</v>
      </c>
      <c r="T842" s="1">
        <v>0</v>
      </c>
      <c r="U842" s="13">
        <v>4.6527777777777779E-2</v>
      </c>
      <c r="V842" s="11">
        <v>1780</v>
      </c>
      <c r="W842" s="11">
        <v>-30</v>
      </c>
      <c r="X842" s="8">
        <v>1750</v>
      </c>
      <c r="Y842" s="1" t="s">
        <v>51</v>
      </c>
      <c r="Z842" s="11">
        <v>1000</v>
      </c>
      <c r="AA842" s="11">
        <v>750</v>
      </c>
      <c r="AB842" s="1">
        <v>0</v>
      </c>
      <c r="AC842" s="1">
        <v>0</v>
      </c>
      <c r="AD842" s="1">
        <v>0</v>
      </c>
      <c r="AE842" s="1">
        <v>0</v>
      </c>
      <c r="AF842" s="1"/>
      <c r="AG842" s="1">
        <v>0</v>
      </c>
      <c r="AH842" s="1">
        <v>0</v>
      </c>
      <c r="AI842" s="1">
        <v>0</v>
      </c>
      <c r="AJ842" s="1">
        <v>0</v>
      </c>
      <c r="AK842" s="1">
        <v>2.37</v>
      </c>
      <c r="AL842" s="1">
        <v>2.37</v>
      </c>
      <c r="AM842" s="1">
        <v>2.37</v>
      </c>
    </row>
    <row r="843" spans="1:39" x14ac:dyDescent="0.3">
      <c r="A843" s="21" t="str">
        <f t="shared" si="13"/>
        <v>HFA602LLER2026-02-11</v>
      </c>
      <c r="B843" t="e">
        <f>VLOOKUP(A843,Sheet1!A843:B2185,1,FALSE)</f>
        <v>#N/A</v>
      </c>
      <c r="C843" s="3">
        <v>46064</v>
      </c>
      <c r="D843" s="1" t="s">
        <v>61</v>
      </c>
      <c r="E843" s="1" t="s">
        <v>38</v>
      </c>
      <c r="F843" s="1" t="s">
        <v>54</v>
      </c>
      <c r="G843" s="1" t="s">
        <v>39</v>
      </c>
      <c r="H843" s="1" t="s">
        <v>222</v>
      </c>
      <c r="I843" s="1" t="s">
        <v>41</v>
      </c>
      <c r="J843" s="1" t="s">
        <v>58</v>
      </c>
      <c r="K843" s="1" t="s">
        <v>59</v>
      </c>
      <c r="L843" s="1" t="s">
        <v>60</v>
      </c>
      <c r="M843" s="1" t="s">
        <v>45</v>
      </c>
      <c r="N843" s="1" t="s">
        <v>41</v>
      </c>
      <c r="O843" s="1" t="s">
        <v>42</v>
      </c>
      <c r="P843" s="1" t="s">
        <v>43</v>
      </c>
      <c r="Q843" s="1" t="s">
        <v>44</v>
      </c>
      <c r="R843" s="1" t="s">
        <v>45</v>
      </c>
      <c r="S843" s="1">
        <v>342</v>
      </c>
      <c r="T843" s="1">
        <v>0</v>
      </c>
      <c r="U843" s="13">
        <v>5.6944444444444443E-2</v>
      </c>
      <c r="V843" s="11">
        <v>1000</v>
      </c>
      <c r="W843" s="11">
        <v>1200</v>
      </c>
      <c r="X843" s="8">
        <v>2200</v>
      </c>
      <c r="Y843" s="1" t="s">
        <v>51</v>
      </c>
      <c r="Z843" s="11">
        <v>1410</v>
      </c>
      <c r="AA843" s="11">
        <v>790</v>
      </c>
      <c r="AB843" s="1">
        <v>0</v>
      </c>
      <c r="AC843" s="1">
        <v>0</v>
      </c>
      <c r="AD843" s="1">
        <v>0</v>
      </c>
      <c r="AE843" s="1">
        <v>0</v>
      </c>
      <c r="AF843" s="1"/>
      <c r="AG843" s="1">
        <v>0</v>
      </c>
      <c r="AH843" s="1">
        <v>0</v>
      </c>
      <c r="AI843" s="1">
        <v>0</v>
      </c>
      <c r="AJ843" s="1">
        <v>0</v>
      </c>
      <c r="AK843" s="1">
        <v>2.4964</v>
      </c>
      <c r="AL843" s="1">
        <v>2.4964</v>
      </c>
      <c r="AM843" s="1">
        <v>2.4964</v>
      </c>
    </row>
    <row r="844" spans="1:39" x14ac:dyDescent="0.3">
      <c r="A844" s="21" t="str">
        <f t="shared" si="13"/>
        <v>HFA851LLHA2026-02-11</v>
      </c>
      <c r="B844" t="str">
        <f>VLOOKUP(A844,Sheet1!A844:B2186,1,FALSE)</f>
        <v>HFA851LLHA2026-02-11</v>
      </c>
      <c r="C844" s="3">
        <v>46064</v>
      </c>
      <c r="D844" s="1" t="s">
        <v>66</v>
      </c>
      <c r="E844" s="1" t="s">
        <v>38</v>
      </c>
      <c r="F844" s="1"/>
      <c r="G844" s="1" t="s">
        <v>39</v>
      </c>
      <c r="H844" s="1" t="s">
        <v>222</v>
      </c>
      <c r="I844" s="1" t="s">
        <v>41</v>
      </c>
      <c r="J844" s="1" t="s">
        <v>42</v>
      </c>
      <c r="K844" s="1" t="s">
        <v>43</v>
      </c>
      <c r="L844" s="1" t="s">
        <v>44</v>
      </c>
      <c r="M844" s="1" t="s">
        <v>45</v>
      </c>
      <c r="N844" s="1" t="s">
        <v>67</v>
      </c>
      <c r="O844" s="1" t="s">
        <v>68</v>
      </c>
      <c r="P844" s="1" t="s">
        <v>69</v>
      </c>
      <c r="Q844" s="1" t="s">
        <v>70</v>
      </c>
      <c r="R844" s="1" t="s">
        <v>50</v>
      </c>
      <c r="S844" s="1">
        <v>318</v>
      </c>
      <c r="T844" s="1">
        <v>0</v>
      </c>
      <c r="U844" s="13">
        <v>5.1388888888888887E-2</v>
      </c>
      <c r="V844" s="11">
        <v>1410</v>
      </c>
      <c r="W844" s="11">
        <v>190</v>
      </c>
      <c r="X844" s="8">
        <v>1600</v>
      </c>
      <c r="Y844" s="1" t="s">
        <v>51</v>
      </c>
      <c r="Z844" s="11">
        <v>820</v>
      </c>
      <c r="AA844" s="11">
        <v>780</v>
      </c>
      <c r="AB844" s="1">
        <v>0</v>
      </c>
      <c r="AC844" s="1">
        <v>0</v>
      </c>
      <c r="AD844" s="1">
        <v>0</v>
      </c>
      <c r="AE844" s="1">
        <v>0</v>
      </c>
      <c r="AF844" s="1"/>
      <c r="AG844" s="1">
        <v>0</v>
      </c>
      <c r="AH844" s="1">
        <v>0</v>
      </c>
      <c r="AI844" s="1">
        <v>0</v>
      </c>
      <c r="AJ844" s="1">
        <v>0</v>
      </c>
      <c r="AK844" s="1">
        <v>2.4647999999999999</v>
      </c>
      <c r="AL844" s="1">
        <v>2.4647999999999999</v>
      </c>
      <c r="AM844" s="1">
        <v>2.4647999999999999</v>
      </c>
    </row>
    <row r="845" spans="1:39" x14ac:dyDescent="0.3">
      <c r="A845" s="21" t="str">
        <f t="shared" si="13"/>
        <v>HFA852LCPH2026-02-11</v>
      </c>
      <c r="B845" t="str">
        <f>VLOOKUP(A845,Sheet1!A845:B2187,1,FALSE)</f>
        <v>HFA852LCPH2026-02-11</v>
      </c>
      <c r="C845" s="3">
        <v>46064</v>
      </c>
      <c r="D845" s="1" t="s">
        <v>71</v>
      </c>
      <c r="E845" s="1" t="s">
        <v>38</v>
      </c>
      <c r="F845" s="1"/>
      <c r="G845" s="1" t="s">
        <v>39</v>
      </c>
      <c r="H845" s="1" t="s">
        <v>222</v>
      </c>
      <c r="I845" s="1" t="s">
        <v>67</v>
      </c>
      <c r="J845" s="1" t="s">
        <v>68</v>
      </c>
      <c r="K845" s="1" t="s">
        <v>69</v>
      </c>
      <c r="L845" s="1" t="s">
        <v>70</v>
      </c>
      <c r="M845" s="1" t="s">
        <v>50</v>
      </c>
      <c r="N845" s="1" t="s">
        <v>41</v>
      </c>
      <c r="O845" s="1" t="s">
        <v>42</v>
      </c>
      <c r="P845" s="1" t="s">
        <v>43</v>
      </c>
      <c r="Q845" s="1" t="s">
        <v>44</v>
      </c>
      <c r="R845" s="1" t="s">
        <v>45</v>
      </c>
      <c r="S845" s="1">
        <v>318</v>
      </c>
      <c r="T845" s="1">
        <v>0</v>
      </c>
      <c r="U845" s="13">
        <v>4.1666666666666664E-2</v>
      </c>
      <c r="V845" s="11">
        <v>820</v>
      </c>
      <c r="W845" s="11">
        <v>1780</v>
      </c>
      <c r="X845" s="8">
        <v>2600</v>
      </c>
      <c r="Y845" s="1" t="s">
        <v>51</v>
      </c>
      <c r="Z845" s="11">
        <v>2030</v>
      </c>
      <c r="AA845" s="11">
        <v>570</v>
      </c>
      <c r="AB845" s="1">
        <v>0</v>
      </c>
      <c r="AC845" s="1">
        <v>0</v>
      </c>
      <c r="AD845" s="1">
        <v>0</v>
      </c>
      <c r="AE845" s="1">
        <v>0</v>
      </c>
      <c r="AF845" s="1"/>
      <c r="AG845" s="1">
        <v>0</v>
      </c>
      <c r="AH845" s="1">
        <v>0</v>
      </c>
      <c r="AI845" s="1">
        <v>0</v>
      </c>
      <c r="AJ845" s="1">
        <v>0</v>
      </c>
      <c r="AK845" s="1">
        <v>1.8011999999999999</v>
      </c>
      <c r="AL845" s="1">
        <v>1.8011999999999999</v>
      </c>
      <c r="AM845" s="1">
        <v>1.8011999999999999</v>
      </c>
    </row>
    <row r="846" spans="1:39" x14ac:dyDescent="0.3">
      <c r="A846" s="21" t="str">
        <f t="shared" si="13"/>
        <v>HFA601LLHA2026-02-12</v>
      </c>
      <c r="B846" t="e">
        <f>VLOOKUP(A846,Sheet1!A846:B2188,1,FALSE)</f>
        <v>#N/A</v>
      </c>
      <c r="C846" s="3">
        <v>46065</v>
      </c>
      <c r="D846" s="1" t="s">
        <v>57</v>
      </c>
      <c r="E846" s="1" t="s">
        <v>38</v>
      </c>
      <c r="F846" s="1" t="s">
        <v>54</v>
      </c>
      <c r="G846" s="1" t="s">
        <v>39</v>
      </c>
      <c r="H846" s="1" t="s">
        <v>222</v>
      </c>
      <c r="I846" s="1" t="s">
        <v>41</v>
      </c>
      <c r="J846" s="1" t="s">
        <v>42</v>
      </c>
      <c r="K846" s="1" t="s">
        <v>43</v>
      </c>
      <c r="L846" s="1" t="s">
        <v>44</v>
      </c>
      <c r="M846" s="1" t="s">
        <v>45</v>
      </c>
      <c r="N846" s="1" t="s">
        <v>41</v>
      </c>
      <c r="O846" s="1" t="s">
        <v>58</v>
      </c>
      <c r="P846" s="1" t="s">
        <v>59</v>
      </c>
      <c r="Q846" s="1" t="s">
        <v>60</v>
      </c>
      <c r="R846" s="1" t="s">
        <v>45</v>
      </c>
      <c r="S846" s="1">
        <v>342</v>
      </c>
      <c r="T846" s="1">
        <v>0</v>
      </c>
      <c r="U846" s="13">
        <v>4.4444444444444439E-2</v>
      </c>
      <c r="V846" s="11">
        <v>2030</v>
      </c>
      <c r="W846" s="11">
        <v>-30</v>
      </c>
      <c r="X846" s="8">
        <v>2000</v>
      </c>
      <c r="Y846" s="1" t="s">
        <v>51</v>
      </c>
      <c r="Z846" s="11">
        <v>1320</v>
      </c>
      <c r="AA846" s="11">
        <v>680</v>
      </c>
      <c r="AB846" s="1">
        <v>0</v>
      </c>
      <c r="AC846" s="1">
        <v>0</v>
      </c>
      <c r="AD846" s="1">
        <v>0</v>
      </c>
      <c r="AE846" s="1">
        <v>0</v>
      </c>
      <c r="AF846" s="1"/>
      <c r="AG846" s="1">
        <v>0</v>
      </c>
      <c r="AH846" s="1">
        <v>0</v>
      </c>
      <c r="AI846" s="1">
        <v>0</v>
      </c>
      <c r="AJ846" s="1">
        <v>0</v>
      </c>
      <c r="AK846" s="1">
        <v>2.1488</v>
      </c>
      <c r="AL846" s="1">
        <v>2.1488</v>
      </c>
      <c r="AM846" s="1">
        <v>2.1488</v>
      </c>
    </row>
    <row r="847" spans="1:39" x14ac:dyDescent="0.3">
      <c r="A847" s="21" t="str">
        <f t="shared" si="13"/>
        <v>HFA602LLER2026-02-12</v>
      </c>
      <c r="B847" t="e">
        <f>VLOOKUP(A847,Sheet1!A847:B2189,1,FALSE)</f>
        <v>#N/A</v>
      </c>
      <c r="C847" s="3">
        <v>46065</v>
      </c>
      <c r="D847" s="1" t="s">
        <v>61</v>
      </c>
      <c r="E847" s="1" t="s">
        <v>38</v>
      </c>
      <c r="F847" s="1" t="s">
        <v>54</v>
      </c>
      <c r="G847" s="1" t="s">
        <v>39</v>
      </c>
      <c r="H847" s="1" t="s">
        <v>222</v>
      </c>
      <c r="I847" s="1" t="s">
        <v>41</v>
      </c>
      <c r="J847" s="1" t="s">
        <v>58</v>
      </c>
      <c r="K847" s="1" t="s">
        <v>59</v>
      </c>
      <c r="L847" s="1" t="s">
        <v>60</v>
      </c>
      <c r="M847" s="1" t="s">
        <v>45</v>
      </c>
      <c r="N847" s="1" t="s">
        <v>41</v>
      </c>
      <c r="O847" s="1" t="s">
        <v>42</v>
      </c>
      <c r="P847" s="1" t="s">
        <v>43</v>
      </c>
      <c r="Q847" s="1" t="s">
        <v>44</v>
      </c>
      <c r="R847" s="1" t="s">
        <v>45</v>
      </c>
      <c r="S847" s="1">
        <v>342</v>
      </c>
      <c r="T847" s="1">
        <v>0</v>
      </c>
      <c r="U847" s="13">
        <v>4.9999999999999996E-2</v>
      </c>
      <c r="V847" s="11">
        <v>1320</v>
      </c>
      <c r="W847" s="11">
        <v>880</v>
      </c>
      <c r="X847" s="8">
        <v>2200</v>
      </c>
      <c r="Y847" s="1" t="s">
        <v>51</v>
      </c>
      <c r="Z847" s="11">
        <v>1560</v>
      </c>
      <c r="AA847" s="11">
        <v>640</v>
      </c>
      <c r="AB847" s="1">
        <v>0</v>
      </c>
      <c r="AC847" s="1">
        <v>0</v>
      </c>
      <c r="AD847" s="1">
        <v>0</v>
      </c>
      <c r="AE847" s="1">
        <v>0</v>
      </c>
      <c r="AF847" s="1"/>
      <c r="AG847" s="1">
        <v>0</v>
      </c>
      <c r="AH847" s="1">
        <v>0</v>
      </c>
      <c r="AI847" s="1">
        <v>0</v>
      </c>
      <c r="AJ847" s="1">
        <v>0</v>
      </c>
      <c r="AK847" s="1">
        <v>2.0224000000000002</v>
      </c>
      <c r="AL847" s="1">
        <v>2.0224000000000002</v>
      </c>
      <c r="AM847" s="1">
        <v>2.0224000000000002</v>
      </c>
    </row>
    <row r="848" spans="1:39" x14ac:dyDescent="0.3">
      <c r="A848" s="21" t="str">
        <f t="shared" si="13"/>
        <v>HFA805LLHA2026-02-12</v>
      </c>
      <c r="B848" t="e">
        <f>VLOOKUP(A848,Sheet1!A848:B2190,1,FALSE)</f>
        <v>#N/A</v>
      </c>
      <c r="C848" s="3">
        <v>46065</v>
      </c>
      <c r="D848" s="1" t="s">
        <v>114</v>
      </c>
      <c r="E848" s="1" t="s">
        <v>65</v>
      </c>
      <c r="F848" s="1"/>
      <c r="G848" s="1" t="s">
        <v>39</v>
      </c>
      <c r="H848" s="1" t="s">
        <v>222</v>
      </c>
      <c r="I848" s="1" t="s">
        <v>41</v>
      </c>
      <c r="J848" s="1" t="s">
        <v>42</v>
      </c>
      <c r="K848" s="1" t="s">
        <v>43</v>
      </c>
      <c r="L848" s="1" t="s">
        <v>44</v>
      </c>
      <c r="M848" s="1" t="s">
        <v>45</v>
      </c>
      <c r="N848" s="1" t="s">
        <v>67</v>
      </c>
      <c r="O848" s="1" t="s">
        <v>86</v>
      </c>
      <c r="P848" s="1" t="s">
        <v>87</v>
      </c>
      <c r="Q848" s="1" t="s">
        <v>88</v>
      </c>
      <c r="R848" s="1" t="s">
        <v>50</v>
      </c>
      <c r="S848" s="1">
        <v>264</v>
      </c>
      <c r="T848" s="1">
        <v>265</v>
      </c>
      <c r="U848" s="13">
        <v>4.027777777777778E-2</v>
      </c>
      <c r="V848" s="11">
        <v>1560</v>
      </c>
      <c r="W848" s="11">
        <v>0</v>
      </c>
      <c r="X848" s="8">
        <v>1560</v>
      </c>
      <c r="Y848" s="1" t="s">
        <v>51</v>
      </c>
      <c r="Z848" s="11">
        <v>920</v>
      </c>
      <c r="AA848" s="11">
        <v>640</v>
      </c>
      <c r="AB848" s="1">
        <v>0</v>
      </c>
      <c r="AC848" s="1">
        <v>0</v>
      </c>
      <c r="AD848" s="1">
        <v>0</v>
      </c>
      <c r="AE848" s="1">
        <v>0</v>
      </c>
      <c r="AF848" s="1"/>
      <c r="AG848" s="1">
        <v>0</v>
      </c>
      <c r="AH848" s="1">
        <v>0</v>
      </c>
      <c r="AI848" s="1">
        <v>0</v>
      </c>
      <c r="AJ848" s="1">
        <v>0</v>
      </c>
      <c r="AK848" s="1">
        <v>2.0224000000000002</v>
      </c>
      <c r="AL848" s="1">
        <v>2.0224000000000002</v>
      </c>
      <c r="AM848" s="1">
        <v>2.0224000000000002</v>
      </c>
    </row>
    <row r="849" spans="1:39" x14ac:dyDescent="0.3">
      <c r="A849" s="21" t="str">
        <f t="shared" si="13"/>
        <v>HFA806LCLK2026-02-12</v>
      </c>
      <c r="B849" t="e">
        <f>VLOOKUP(A849,Sheet1!A849:B2191,1,FALSE)</f>
        <v>#N/A</v>
      </c>
      <c r="C849" s="3">
        <v>46065</v>
      </c>
      <c r="D849" s="1" t="s">
        <v>115</v>
      </c>
      <c r="E849" s="1" t="s">
        <v>65</v>
      </c>
      <c r="F849" s="1"/>
      <c r="G849" s="1" t="s">
        <v>39</v>
      </c>
      <c r="H849" s="1" t="s">
        <v>222</v>
      </c>
      <c r="I849" s="1" t="s">
        <v>67</v>
      </c>
      <c r="J849" s="1" t="s">
        <v>86</v>
      </c>
      <c r="K849" s="1" t="s">
        <v>87</v>
      </c>
      <c r="L849" s="1" t="s">
        <v>88</v>
      </c>
      <c r="M849" s="1" t="s">
        <v>50</v>
      </c>
      <c r="N849" s="1" t="s">
        <v>41</v>
      </c>
      <c r="O849" s="1" t="s">
        <v>42</v>
      </c>
      <c r="P849" s="1" t="s">
        <v>43</v>
      </c>
      <c r="Q849" s="1" t="s">
        <v>44</v>
      </c>
      <c r="R849" s="1" t="s">
        <v>45</v>
      </c>
      <c r="S849" s="1">
        <v>264</v>
      </c>
      <c r="T849" s="1">
        <v>265</v>
      </c>
      <c r="U849" s="13">
        <v>3.6805555555555557E-2</v>
      </c>
      <c r="V849" s="11">
        <v>920</v>
      </c>
      <c r="W849" s="11">
        <v>1180</v>
      </c>
      <c r="X849" s="8">
        <v>2100</v>
      </c>
      <c r="Y849" s="1" t="s">
        <v>51</v>
      </c>
      <c r="Z849" s="11">
        <v>1620</v>
      </c>
      <c r="AA849" s="11">
        <v>480</v>
      </c>
      <c r="AB849" s="1">
        <v>0</v>
      </c>
      <c r="AC849" s="1">
        <v>0</v>
      </c>
      <c r="AD849" s="1">
        <v>0</v>
      </c>
      <c r="AE849" s="1">
        <v>0</v>
      </c>
      <c r="AF849" s="1"/>
      <c r="AG849" s="1">
        <v>0</v>
      </c>
      <c r="AH849" s="1">
        <v>0</v>
      </c>
      <c r="AI849" s="1">
        <v>0</v>
      </c>
      <c r="AJ849" s="1">
        <v>0</v>
      </c>
      <c r="AK849" s="1">
        <v>1.5167999999999999</v>
      </c>
      <c r="AL849" s="1">
        <v>1.5167999999999999</v>
      </c>
      <c r="AM849" s="1">
        <v>1.5167999999999999</v>
      </c>
    </row>
    <row r="850" spans="1:39" x14ac:dyDescent="0.3">
      <c r="A850" s="21" t="str">
        <f t="shared" si="13"/>
        <v>HFA807LLHA2026-02-12</v>
      </c>
      <c r="B850" t="e">
        <f>VLOOKUP(A850,Sheet1!A850:B2192,1,FALSE)</f>
        <v>#N/A</v>
      </c>
      <c r="C850" s="3">
        <v>46065</v>
      </c>
      <c r="D850" s="1" t="s">
        <v>118</v>
      </c>
      <c r="E850" s="1" t="s">
        <v>38</v>
      </c>
      <c r="F850" s="1"/>
      <c r="G850" s="1" t="s">
        <v>39</v>
      </c>
      <c r="H850" s="1" t="s">
        <v>222</v>
      </c>
      <c r="I850" s="1" t="s">
        <v>41</v>
      </c>
      <c r="J850" s="1" t="s">
        <v>42</v>
      </c>
      <c r="K850" s="1" t="s">
        <v>43</v>
      </c>
      <c r="L850" s="1" t="s">
        <v>44</v>
      </c>
      <c r="M850" s="1" t="s">
        <v>45</v>
      </c>
      <c r="N850" s="1" t="s">
        <v>67</v>
      </c>
      <c r="O850" s="1" t="s">
        <v>86</v>
      </c>
      <c r="P850" s="1" t="s">
        <v>87</v>
      </c>
      <c r="Q850" s="1" t="s">
        <v>88</v>
      </c>
      <c r="R850" s="1" t="s">
        <v>50</v>
      </c>
      <c r="S850" s="1">
        <v>264</v>
      </c>
      <c r="T850" s="1">
        <v>0</v>
      </c>
      <c r="U850" s="13">
        <v>3.888888888888889E-2</v>
      </c>
      <c r="V850" s="11">
        <v>1620</v>
      </c>
      <c r="W850" s="11">
        <v>-10</v>
      </c>
      <c r="X850" s="8">
        <v>1610</v>
      </c>
      <c r="Y850" s="1" t="s">
        <v>51</v>
      </c>
      <c r="Z850" s="11">
        <v>1010</v>
      </c>
      <c r="AA850" s="11">
        <v>600</v>
      </c>
      <c r="AB850" s="1">
        <v>0</v>
      </c>
      <c r="AC850" s="1">
        <v>0</v>
      </c>
      <c r="AD850" s="1">
        <v>0</v>
      </c>
      <c r="AE850" s="1">
        <v>0</v>
      </c>
      <c r="AF850" s="1"/>
      <c r="AG850" s="1">
        <v>0</v>
      </c>
      <c r="AH850" s="1">
        <v>0</v>
      </c>
      <c r="AI850" s="1">
        <v>0</v>
      </c>
      <c r="AJ850" s="1">
        <v>0</v>
      </c>
      <c r="AK850" s="1">
        <v>1.8959999999999999</v>
      </c>
      <c r="AL850" s="1">
        <v>1.8959999999999999</v>
      </c>
      <c r="AM850" s="1">
        <v>1.8959999999999999</v>
      </c>
    </row>
    <row r="851" spans="1:39" x14ac:dyDescent="0.3">
      <c r="A851" s="21" t="str">
        <f t="shared" si="13"/>
        <v>HFA808LCLK2026-02-12</v>
      </c>
      <c r="B851" t="str">
        <f>VLOOKUP(A851,Sheet1!A851:B2193,1,FALSE)</f>
        <v>HFA808LCLK2026-02-12</v>
      </c>
      <c r="C851" s="3">
        <v>46065</v>
      </c>
      <c r="D851" s="1" t="s">
        <v>119</v>
      </c>
      <c r="E851" s="1" t="s">
        <v>38</v>
      </c>
      <c r="F851" s="1"/>
      <c r="G851" s="1" t="s">
        <v>39</v>
      </c>
      <c r="H851" s="1" t="s">
        <v>222</v>
      </c>
      <c r="I851" s="1" t="s">
        <v>67</v>
      </c>
      <c r="J851" s="1" t="s">
        <v>86</v>
      </c>
      <c r="K851" s="1" t="s">
        <v>87</v>
      </c>
      <c r="L851" s="1" t="s">
        <v>88</v>
      </c>
      <c r="M851" s="1" t="s">
        <v>50</v>
      </c>
      <c r="N851" s="1" t="s">
        <v>41</v>
      </c>
      <c r="O851" s="1" t="s">
        <v>42</v>
      </c>
      <c r="P851" s="1" t="s">
        <v>43</v>
      </c>
      <c r="Q851" s="1" t="s">
        <v>44</v>
      </c>
      <c r="R851" s="1" t="s">
        <v>45</v>
      </c>
      <c r="S851" s="1">
        <v>264</v>
      </c>
      <c r="T851" s="1">
        <v>0</v>
      </c>
      <c r="U851" s="13">
        <v>3.6805555555555557E-2</v>
      </c>
      <c r="V851" s="11">
        <v>1010</v>
      </c>
      <c r="W851" s="11">
        <v>1390</v>
      </c>
      <c r="X851" s="8">
        <v>2400</v>
      </c>
      <c r="Y851" s="1" t="s">
        <v>51</v>
      </c>
      <c r="Z851" s="11">
        <v>1940</v>
      </c>
      <c r="AA851" s="11">
        <v>460</v>
      </c>
      <c r="AB851" s="1">
        <v>0</v>
      </c>
      <c r="AC851" s="1">
        <v>0</v>
      </c>
      <c r="AD851" s="1">
        <v>0</v>
      </c>
      <c r="AE851" s="1">
        <v>0</v>
      </c>
      <c r="AF851" s="1"/>
      <c r="AG851" s="1">
        <v>0</v>
      </c>
      <c r="AH851" s="1">
        <v>0</v>
      </c>
      <c r="AI851" s="1">
        <v>0</v>
      </c>
      <c r="AJ851" s="1">
        <v>0</v>
      </c>
      <c r="AK851" s="1">
        <v>1.4536</v>
      </c>
      <c r="AL851" s="1">
        <v>1.4536</v>
      </c>
      <c r="AM851" s="1">
        <v>1.4536</v>
      </c>
    </row>
    <row r="852" spans="1:39" x14ac:dyDescent="0.3">
      <c r="A852" s="21" t="str">
        <f t="shared" si="13"/>
        <v>HFA601LLHA2026-02-13</v>
      </c>
      <c r="B852" t="e">
        <f>VLOOKUP(A852,Sheet1!A852:B2194,1,FALSE)</f>
        <v>#N/A</v>
      </c>
      <c r="C852" s="3">
        <v>46066</v>
      </c>
      <c r="D852" s="1" t="s">
        <v>57</v>
      </c>
      <c r="E852" s="1" t="s">
        <v>38</v>
      </c>
      <c r="F852" s="1" t="s">
        <v>54</v>
      </c>
      <c r="G852" s="1" t="s">
        <v>39</v>
      </c>
      <c r="H852" s="1" t="s">
        <v>222</v>
      </c>
      <c r="I852" s="1" t="s">
        <v>41</v>
      </c>
      <c r="J852" s="1" t="s">
        <v>42</v>
      </c>
      <c r="K852" s="1" t="s">
        <v>43</v>
      </c>
      <c r="L852" s="1" t="s">
        <v>44</v>
      </c>
      <c r="M852" s="1" t="s">
        <v>45</v>
      </c>
      <c r="N852" s="1" t="s">
        <v>41</v>
      </c>
      <c r="O852" s="1" t="s">
        <v>58</v>
      </c>
      <c r="P852" s="1" t="s">
        <v>59</v>
      </c>
      <c r="Q852" s="1" t="s">
        <v>60</v>
      </c>
      <c r="R852" s="1" t="s">
        <v>45</v>
      </c>
      <c r="S852" s="1">
        <v>342</v>
      </c>
      <c r="T852" s="1">
        <v>0</v>
      </c>
      <c r="U852" s="13">
        <v>4.7222222222222221E-2</v>
      </c>
      <c r="V852" s="11">
        <v>1940</v>
      </c>
      <c r="W852" s="11">
        <v>-30</v>
      </c>
      <c r="X852" s="8">
        <v>1910</v>
      </c>
      <c r="Y852" s="1" t="s">
        <v>51</v>
      </c>
      <c r="Z852" s="11">
        <v>1220</v>
      </c>
      <c r="AA852" s="11">
        <v>690</v>
      </c>
      <c r="AB852" s="1">
        <v>0</v>
      </c>
      <c r="AC852" s="1">
        <v>0</v>
      </c>
      <c r="AD852" s="1">
        <v>0</v>
      </c>
      <c r="AE852" s="1">
        <v>0</v>
      </c>
      <c r="AF852" s="1"/>
      <c r="AG852" s="1">
        <v>0</v>
      </c>
      <c r="AH852" s="1">
        <v>0</v>
      </c>
      <c r="AI852" s="1">
        <v>0</v>
      </c>
      <c r="AJ852" s="1">
        <v>0</v>
      </c>
      <c r="AK852" s="1">
        <v>2.1804000000000001</v>
      </c>
      <c r="AL852" s="1">
        <v>2.1804000000000001</v>
      </c>
      <c r="AM852" s="1">
        <v>2.1804000000000001</v>
      </c>
    </row>
    <row r="853" spans="1:39" x14ac:dyDescent="0.3">
      <c r="A853" s="21" t="str">
        <f t="shared" si="13"/>
        <v>HFA602LLER2026-02-13</v>
      </c>
      <c r="B853" t="e">
        <f>VLOOKUP(A853,Sheet1!A853:B2195,1,FALSE)</f>
        <v>#N/A</v>
      </c>
      <c r="C853" s="3">
        <v>46066</v>
      </c>
      <c r="D853" s="1" t="s">
        <v>61</v>
      </c>
      <c r="E853" s="1" t="s">
        <v>38</v>
      </c>
      <c r="F853" s="1" t="s">
        <v>54</v>
      </c>
      <c r="G853" s="1" t="s">
        <v>39</v>
      </c>
      <c r="H853" s="1" t="s">
        <v>222</v>
      </c>
      <c r="I853" s="1" t="s">
        <v>41</v>
      </c>
      <c r="J853" s="1" t="s">
        <v>58</v>
      </c>
      <c r="K853" s="1" t="s">
        <v>59</v>
      </c>
      <c r="L853" s="1" t="s">
        <v>60</v>
      </c>
      <c r="M853" s="1" t="s">
        <v>45</v>
      </c>
      <c r="N853" s="1" t="s">
        <v>41</v>
      </c>
      <c r="O853" s="1" t="s">
        <v>42</v>
      </c>
      <c r="P853" s="1" t="s">
        <v>43</v>
      </c>
      <c r="Q853" s="1" t="s">
        <v>44</v>
      </c>
      <c r="R853" s="1" t="s">
        <v>45</v>
      </c>
      <c r="S853" s="1">
        <v>342</v>
      </c>
      <c r="T853" s="1">
        <v>0</v>
      </c>
      <c r="U853" s="13">
        <v>4.7222222222222221E-2</v>
      </c>
      <c r="V853" s="11">
        <v>1220</v>
      </c>
      <c r="W853" s="11">
        <v>980</v>
      </c>
      <c r="X853" s="8">
        <v>2200</v>
      </c>
      <c r="Y853" s="1" t="s">
        <v>51</v>
      </c>
      <c r="Z853" s="11">
        <v>1580</v>
      </c>
      <c r="AA853" s="11">
        <v>620</v>
      </c>
      <c r="AB853" s="1">
        <v>0</v>
      </c>
      <c r="AC853" s="1">
        <v>0</v>
      </c>
      <c r="AD853" s="1">
        <v>0</v>
      </c>
      <c r="AE853" s="1">
        <v>0</v>
      </c>
      <c r="AF853" s="1"/>
      <c r="AG853" s="1">
        <v>0</v>
      </c>
      <c r="AH853" s="1">
        <v>0</v>
      </c>
      <c r="AI853" s="1">
        <v>0</v>
      </c>
      <c r="AJ853" s="1">
        <v>0</v>
      </c>
      <c r="AK853" s="1">
        <v>1.9592000000000001</v>
      </c>
      <c r="AL853" s="1">
        <v>1.9592000000000001</v>
      </c>
      <c r="AM853" s="1">
        <v>1.9592000000000001</v>
      </c>
    </row>
    <row r="854" spans="1:39" x14ac:dyDescent="0.3">
      <c r="A854" s="21" t="str">
        <f t="shared" si="13"/>
        <v>HFA853LLHA2026-02-14</v>
      </c>
      <c r="B854" t="str">
        <f>VLOOKUP(A854,Sheet1!A854:B2196,1,FALSE)</f>
        <v>HFA853LLHA2026-02-14</v>
      </c>
      <c r="C854" s="3">
        <v>46067</v>
      </c>
      <c r="D854" s="1" t="s">
        <v>223</v>
      </c>
      <c r="E854" s="1" t="s">
        <v>38</v>
      </c>
      <c r="F854" s="1"/>
      <c r="G854" s="1" t="s">
        <v>39</v>
      </c>
      <c r="H854" s="1" t="s">
        <v>222</v>
      </c>
      <c r="I854" s="1" t="s">
        <v>41</v>
      </c>
      <c r="J854" s="1" t="s">
        <v>42</v>
      </c>
      <c r="K854" s="1" t="s">
        <v>43</v>
      </c>
      <c r="L854" s="1" t="s">
        <v>44</v>
      </c>
      <c r="M854" s="1" t="s">
        <v>45</v>
      </c>
      <c r="N854" s="1" t="s">
        <v>67</v>
      </c>
      <c r="O854" s="1" t="s">
        <v>68</v>
      </c>
      <c r="P854" s="1" t="s">
        <v>69</v>
      </c>
      <c r="Q854" s="1" t="s">
        <v>70</v>
      </c>
      <c r="R854" s="1" t="s">
        <v>50</v>
      </c>
      <c r="S854" s="1">
        <v>318</v>
      </c>
      <c r="T854" s="1">
        <v>0</v>
      </c>
      <c r="U854" s="13">
        <v>4.2361111111111106E-2</v>
      </c>
      <c r="V854" s="11">
        <v>1580</v>
      </c>
      <c r="W854" s="11">
        <v>-20</v>
      </c>
      <c r="X854" s="8">
        <v>1560</v>
      </c>
      <c r="Y854" s="1" t="s">
        <v>51</v>
      </c>
      <c r="Z854" s="11">
        <v>890</v>
      </c>
      <c r="AA854" s="11">
        <v>670</v>
      </c>
      <c r="AB854" s="1">
        <v>0</v>
      </c>
      <c r="AC854" s="1">
        <v>0</v>
      </c>
      <c r="AD854" s="1">
        <v>0</v>
      </c>
      <c r="AE854" s="1">
        <v>0</v>
      </c>
      <c r="AF854" s="1"/>
      <c r="AG854" s="1">
        <v>0</v>
      </c>
      <c r="AH854" s="1">
        <v>0</v>
      </c>
      <c r="AI854" s="1">
        <v>0</v>
      </c>
      <c r="AJ854" s="1">
        <v>0</v>
      </c>
      <c r="AK854" s="1">
        <v>2.1172</v>
      </c>
      <c r="AL854" s="1">
        <v>2.1172</v>
      </c>
      <c r="AM854" s="1">
        <v>2.1172</v>
      </c>
    </row>
    <row r="855" spans="1:39" x14ac:dyDescent="0.3">
      <c r="A855" s="21" t="str">
        <f t="shared" si="13"/>
        <v>HFA854LCPH2026-02-14</v>
      </c>
      <c r="B855" t="str">
        <f>VLOOKUP(A855,Sheet1!A855:B2197,1,FALSE)</f>
        <v>HFA854LCPH2026-02-14</v>
      </c>
      <c r="C855" s="3">
        <v>46067</v>
      </c>
      <c r="D855" s="1" t="s">
        <v>224</v>
      </c>
      <c r="E855" s="1" t="s">
        <v>38</v>
      </c>
      <c r="F855" s="1"/>
      <c r="G855" s="1" t="s">
        <v>39</v>
      </c>
      <c r="H855" s="1" t="s">
        <v>222</v>
      </c>
      <c r="I855" s="1" t="s">
        <v>67</v>
      </c>
      <c r="J855" s="1" t="s">
        <v>68</v>
      </c>
      <c r="K855" s="1" t="s">
        <v>69</v>
      </c>
      <c r="L855" s="1" t="s">
        <v>70</v>
      </c>
      <c r="M855" s="1" t="s">
        <v>50</v>
      </c>
      <c r="N855" s="1" t="s">
        <v>41</v>
      </c>
      <c r="O855" s="1" t="s">
        <v>42</v>
      </c>
      <c r="P855" s="1" t="s">
        <v>43</v>
      </c>
      <c r="Q855" s="1" t="s">
        <v>44</v>
      </c>
      <c r="R855" s="1" t="s">
        <v>45</v>
      </c>
      <c r="S855" s="1">
        <v>318</v>
      </c>
      <c r="T855" s="1">
        <v>0</v>
      </c>
      <c r="U855" s="13">
        <v>4.1666666666666664E-2</v>
      </c>
      <c r="V855" s="11">
        <v>890</v>
      </c>
      <c r="W855" s="11">
        <v>1610</v>
      </c>
      <c r="X855" s="8">
        <v>2500</v>
      </c>
      <c r="Y855" s="1" t="s">
        <v>51</v>
      </c>
      <c r="Z855" s="11">
        <v>1940</v>
      </c>
      <c r="AA855" s="11">
        <v>560</v>
      </c>
      <c r="AB855" s="1">
        <v>0</v>
      </c>
      <c r="AC855" s="1">
        <v>0</v>
      </c>
      <c r="AD855" s="1">
        <v>0</v>
      </c>
      <c r="AE855" s="1">
        <v>0</v>
      </c>
      <c r="AF855" s="1"/>
      <c r="AG855" s="1">
        <v>0</v>
      </c>
      <c r="AH855" s="1">
        <v>0</v>
      </c>
      <c r="AI855" s="1">
        <v>0</v>
      </c>
      <c r="AJ855" s="1">
        <v>0</v>
      </c>
      <c r="AK855" s="1">
        <v>1.7696000000000001</v>
      </c>
      <c r="AL855" s="1">
        <v>1.7696000000000001</v>
      </c>
      <c r="AM855" s="1">
        <v>1.7696000000000001</v>
      </c>
    </row>
    <row r="856" spans="1:39" x14ac:dyDescent="0.3">
      <c r="A856" s="21" t="str">
        <f t="shared" si="13"/>
        <v>HFA603LLHA2026-02-14</v>
      </c>
      <c r="B856" t="e">
        <f>VLOOKUP(A856,Sheet1!A856:B2198,1,FALSE)</f>
        <v>#N/A</v>
      </c>
      <c r="C856" s="3">
        <v>46067</v>
      </c>
      <c r="D856" s="1" t="s">
        <v>72</v>
      </c>
      <c r="E856" s="1" t="s">
        <v>38</v>
      </c>
      <c r="F856" s="1" t="s">
        <v>54</v>
      </c>
      <c r="G856" s="1" t="s">
        <v>39</v>
      </c>
      <c r="H856" s="1" t="s">
        <v>222</v>
      </c>
      <c r="I856" s="1" t="s">
        <v>41</v>
      </c>
      <c r="J856" s="1" t="s">
        <v>42</v>
      </c>
      <c r="K856" s="1" t="s">
        <v>43</v>
      </c>
      <c r="L856" s="1" t="s">
        <v>44</v>
      </c>
      <c r="M856" s="1" t="s">
        <v>45</v>
      </c>
      <c r="N856" s="1" t="s">
        <v>41</v>
      </c>
      <c r="O856" s="1" t="s">
        <v>58</v>
      </c>
      <c r="P856" s="1" t="s">
        <v>59</v>
      </c>
      <c r="Q856" s="1" t="s">
        <v>60</v>
      </c>
      <c r="R856" s="1" t="s">
        <v>45</v>
      </c>
      <c r="S856" s="1">
        <v>342</v>
      </c>
      <c r="T856" s="1">
        <v>0</v>
      </c>
      <c r="U856" s="13">
        <v>3.9583333333333331E-2</v>
      </c>
      <c r="V856" s="11">
        <v>1940</v>
      </c>
      <c r="W856" s="11">
        <v>0</v>
      </c>
      <c r="X856" s="8">
        <v>1940</v>
      </c>
      <c r="Y856" s="1" t="s">
        <v>51</v>
      </c>
      <c r="Z856" s="11">
        <v>1320</v>
      </c>
      <c r="AA856" s="11">
        <v>620</v>
      </c>
      <c r="AB856" s="1">
        <v>0</v>
      </c>
      <c r="AC856" s="1">
        <v>0</v>
      </c>
      <c r="AD856" s="1">
        <v>0</v>
      </c>
      <c r="AE856" s="1">
        <v>0</v>
      </c>
      <c r="AF856" s="1"/>
      <c r="AG856" s="1">
        <v>0</v>
      </c>
      <c r="AH856" s="1">
        <v>0</v>
      </c>
      <c r="AI856" s="1">
        <v>0</v>
      </c>
      <c r="AJ856" s="1">
        <v>0</v>
      </c>
      <c r="AK856" s="1">
        <v>1.9592000000000001</v>
      </c>
      <c r="AL856" s="1">
        <v>1.9592000000000001</v>
      </c>
      <c r="AM856" s="1">
        <v>1.9592000000000001</v>
      </c>
    </row>
    <row r="857" spans="1:39" x14ac:dyDescent="0.3">
      <c r="A857" s="21" t="str">
        <f t="shared" si="13"/>
        <v>HFA604LLER2026-02-14</v>
      </c>
      <c r="B857" t="e">
        <f>VLOOKUP(A857,Sheet1!A857:B2199,1,FALSE)</f>
        <v>#N/A</v>
      </c>
      <c r="C857" s="3">
        <v>46067</v>
      </c>
      <c r="D857" s="1" t="s">
        <v>73</v>
      </c>
      <c r="E857" s="1" t="s">
        <v>38</v>
      </c>
      <c r="F857" s="1" t="s">
        <v>54</v>
      </c>
      <c r="G857" s="1" t="s">
        <v>39</v>
      </c>
      <c r="H857" s="1" t="s">
        <v>222</v>
      </c>
      <c r="I857" s="1" t="s">
        <v>41</v>
      </c>
      <c r="J857" s="1" t="s">
        <v>58</v>
      </c>
      <c r="K857" s="1" t="s">
        <v>59</v>
      </c>
      <c r="L857" s="1" t="s">
        <v>60</v>
      </c>
      <c r="M857" s="1" t="s">
        <v>45</v>
      </c>
      <c r="N857" s="1" t="s">
        <v>41</v>
      </c>
      <c r="O857" s="1" t="s">
        <v>42</v>
      </c>
      <c r="P857" s="1" t="s">
        <v>43</v>
      </c>
      <c r="Q857" s="1" t="s">
        <v>44</v>
      </c>
      <c r="R857" s="1" t="s">
        <v>45</v>
      </c>
      <c r="S857" s="1">
        <v>342</v>
      </c>
      <c r="T857" s="1">
        <v>0</v>
      </c>
      <c r="U857" s="13">
        <v>5.0694444444444445E-2</v>
      </c>
      <c r="V857" s="11">
        <v>1320</v>
      </c>
      <c r="W857" s="11">
        <v>880</v>
      </c>
      <c r="X857" s="8">
        <v>2200</v>
      </c>
      <c r="Y857" s="1" t="s">
        <v>51</v>
      </c>
      <c r="Z857" s="11">
        <v>1490</v>
      </c>
      <c r="AA857" s="11">
        <v>710</v>
      </c>
      <c r="AB857" s="1">
        <v>0</v>
      </c>
      <c r="AC857" s="1">
        <v>0</v>
      </c>
      <c r="AD857" s="1">
        <v>0</v>
      </c>
      <c r="AE857" s="1">
        <v>0</v>
      </c>
      <c r="AF857" s="1"/>
      <c r="AG857" s="1">
        <v>0</v>
      </c>
      <c r="AH857" s="1">
        <v>0</v>
      </c>
      <c r="AI857" s="1">
        <v>0</v>
      </c>
      <c r="AJ857" s="1">
        <v>0</v>
      </c>
      <c r="AK857" s="1">
        <v>2.2435999999999998</v>
      </c>
      <c r="AL857" s="1">
        <v>2.2435999999999998</v>
      </c>
      <c r="AM857" s="1">
        <v>2.2435999999999998</v>
      </c>
    </row>
    <row r="858" spans="1:39" x14ac:dyDescent="0.3">
      <c r="A858" s="21" t="str">
        <f t="shared" si="13"/>
        <v>HFA601LLHA2026-02-15</v>
      </c>
      <c r="B858" t="e">
        <f>VLOOKUP(A858,Sheet1!A858:B2200,1,FALSE)</f>
        <v>#N/A</v>
      </c>
      <c r="C858" s="3">
        <v>46068</v>
      </c>
      <c r="D858" s="1" t="s">
        <v>57</v>
      </c>
      <c r="E858" s="1" t="s">
        <v>38</v>
      </c>
      <c r="F858" s="1" t="s">
        <v>54</v>
      </c>
      <c r="G858" s="1" t="s">
        <v>39</v>
      </c>
      <c r="H858" s="1" t="s">
        <v>222</v>
      </c>
      <c r="I858" s="1" t="s">
        <v>41</v>
      </c>
      <c r="J858" s="1" t="s">
        <v>42</v>
      </c>
      <c r="K858" s="1" t="s">
        <v>43</v>
      </c>
      <c r="L858" s="1" t="s">
        <v>44</v>
      </c>
      <c r="M858" s="1" t="s">
        <v>45</v>
      </c>
      <c r="N858" s="1" t="s">
        <v>41</v>
      </c>
      <c r="O858" s="1" t="s">
        <v>58</v>
      </c>
      <c r="P858" s="1" t="s">
        <v>59</v>
      </c>
      <c r="Q858" s="1" t="s">
        <v>60</v>
      </c>
      <c r="R858" s="1" t="s">
        <v>45</v>
      </c>
      <c r="S858" s="1">
        <v>342</v>
      </c>
      <c r="T858" s="1">
        <v>0</v>
      </c>
      <c r="U858" s="13">
        <v>4.9305555555555554E-2</v>
      </c>
      <c r="V858" s="11">
        <v>1490</v>
      </c>
      <c r="W858" s="11">
        <v>310</v>
      </c>
      <c r="X858" s="8">
        <v>1800</v>
      </c>
      <c r="Y858" s="1" t="s">
        <v>51</v>
      </c>
      <c r="Z858" s="11">
        <v>1040</v>
      </c>
      <c r="AA858" s="11">
        <v>760</v>
      </c>
      <c r="AB858" s="1">
        <v>0</v>
      </c>
      <c r="AC858" s="1">
        <v>0</v>
      </c>
      <c r="AD858" s="1">
        <v>0</v>
      </c>
      <c r="AE858" s="1">
        <v>0</v>
      </c>
      <c r="AF858" s="1"/>
      <c r="AG858" s="1">
        <v>0</v>
      </c>
      <c r="AH858" s="1">
        <v>0</v>
      </c>
      <c r="AI858" s="1">
        <v>0</v>
      </c>
      <c r="AJ858" s="1">
        <v>0</v>
      </c>
      <c r="AK858" s="1">
        <v>2.4016000000000002</v>
      </c>
      <c r="AL858" s="1">
        <v>2.4016000000000002</v>
      </c>
      <c r="AM858" s="1">
        <v>2.4016000000000002</v>
      </c>
    </row>
    <row r="859" spans="1:39" x14ac:dyDescent="0.3">
      <c r="A859" s="21" t="str">
        <f t="shared" si="13"/>
        <v>HFA602LLER2026-02-15</v>
      </c>
      <c r="B859" t="e">
        <f>VLOOKUP(A859,Sheet1!A859:B2201,1,FALSE)</f>
        <v>#N/A</v>
      </c>
      <c r="C859" s="3">
        <v>46068</v>
      </c>
      <c r="D859" s="1" t="s">
        <v>61</v>
      </c>
      <c r="E859" s="1" t="s">
        <v>38</v>
      </c>
      <c r="F859" s="1" t="s">
        <v>54</v>
      </c>
      <c r="G859" s="1" t="s">
        <v>39</v>
      </c>
      <c r="H859" s="1" t="s">
        <v>222</v>
      </c>
      <c r="I859" s="1" t="s">
        <v>41</v>
      </c>
      <c r="J859" s="1" t="s">
        <v>58</v>
      </c>
      <c r="K859" s="1" t="s">
        <v>59</v>
      </c>
      <c r="L859" s="1" t="s">
        <v>60</v>
      </c>
      <c r="M859" s="1" t="s">
        <v>45</v>
      </c>
      <c r="N859" s="1" t="s">
        <v>41</v>
      </c>
      <c r="O859" s="1" t="s">
        <v>42</v>
      </c>
      <c r="P859" s="1" t="s">
        <v>43</v>
      </c>
      <c r="Q859" s="1" t="s">
        <v>44</v>
      </c>
      <c r="R859" s="1" t="s">
        <v>45</v>
      </c>
      <c r="S859" s="1">
        <v>342</v>
      </c>
      <c r="T859" s="1">
        <v>0</v>
      </c>
      <c r="U859" s="13">
        <v>4.1666666666666664E-2</v>
      </c>
      <c r="V859" s="11">
        <v>1040</v>
      </c>
      <c r="W859" s="11">
        <v>1050</v>
      </c>
      <c r="X859" s="8">
        <v>2090</v>
      </c>
      <c r="Y859" s="1" t="s">
        <v>51</v>
      </c>
      <c r="Z859" s="11">
        <v>1420</v>
      </c>
      <c r="AA859" s="11">
        <v>670</v>
      </c>
      <c r="AB859" s="1">
        <v>0</v>
      </c>
      <c r="AC859" s="1">
        <v>0</v>
      </c>
      <c r="AD859" s="1">
        <v>0</v>
      </c>
      <c r="AE859" s="1">
        <v>0</v>
      </c>
      <c r="AF859" s="1"/>
      <c r="AG859" s="1">
        <v>0</v>
      </c>
      <c r="AH859" s="1">
        <v>0</v>
      </c>
      <c r="AI859" s="1">
        <v>0</v>
      </c>
      <c r="AJ859" s="1">
        <v>0</v>
      </c>
      <c r="AK859" s="1">
        <v>2.1172</v>
      </c>
      <c r="AL859" s="1">
        <v>2.1172</v>
      </c>
      <c r="AM859" s="1">
        <v>2.1172</v>
      </c>
    </row>
    <row r="860" spans="1:39" x14ac:dyDescent="0.3">
      <c r="A860" s="21" t="str">
        <f t="shared" si="13"/>
        <v>HFA805LLHA2026-02-15</v>
      </c>
      <c r="B860" t="e">
        <f>VLOOKUP(A860,Sheet1!A860:B2202,1,FALSE)</f>
        <v>#N/A</v>
      </c>
      <c r="C860" s="3">
        <v>46068</v>
      </c>
      <c r="D860" s="1" t="s">
        <v>114</v>
      </c>
      <c r="E860" s="1" t="s">
        <v>38</v>
      </c>
      <c r="F860" s="1"/>
      <c r="G860" s="1" t="s">
        <v>39</v>
      </c>
      <c r="H860" s="1" t="s">
        <v>222</v>
      </c>
      <c r="I860" s="1" t="s">
        <v>41</v>
      </c>
      <c r="J860" s="1" t="s">
        <v>42</v>
      </c>
      <c r="K860" s="1" t="s">
        <v>43</v>
      </c>
      <c r="L860" s="1" t="s">
        <v>44</v>
      </c>
      <c r="M860" s="1" t="s">
        <v>45</v>
      </c>
      <c r="N860" s="1" t="s">
        <v>67</v>
      </c>
      <c r="O860" s="1" t="s">
        <v>86</v>
      </c>
      <c r="P860" s="1" t="s">
        <v>87</v>
      </c>
      <c r="Q860" s="1" t="s">
        <v>88</v>
      </c>
      <c r="R860" s="1" t="s">
        <v>50</v>
      </c>
      <c r="S860" s="1">
        <v>264</v>
      </c>
      <c r="T860" s="1">
        <v>0</v>
      </c>
      <c r="U860" s="13">
        <v>3.6805555555555557E-2</v>
      </c>
      <c r="V860" s="11">
        <v>1420</v>
      </c>
      <c r="W860" s="11">
        <v>-20</v>
      </c>
      <c r="X860" s="8">
        <v>1400</v>
      </c>
      <c r="Y860" s="1" t="s">
        <v>51</v>
      </c>
      <c r="Z860" s="11">
        <v>890</v>
      </c>
      <c r="AA860" s="11">
        <v>510</v>
      </c>
      <c r="AB860" s="1">
        <v>0</v>
      </c>
      <c r="AC860" s="1">
        <v>0</v>
      </c>
      <c r="AD860" s="1">
        <v>0</v>
      </c>
      <c r="AE860" s="1">
        <v>0</v>
      </c>
      <c r="AF860" s="1"/>
      <c r="AG860" s="1">
        <v>0</v>
      </c>
      <c r="AH860" s="1">
        <v>0</v>
      </c>
      <c r="AI860" s="1">
        <v>0</v>
      </c>
      <c r="AJ860" s="1">
        <v>0</v>
      </c>
      <c r="AK860" s="1">
        <v>1.6115999999999999</v>
      </c>
      <c r="AL860" s="1">
        <v>1.6115999999999999</v>
      </c>
      <c r="AM860" s="1">
        <v>1.6115999999999999</v>
      </c>
    </row>
    <row r="861" spans="1:39" x14ac:dyDescent="0.3">
      <c r="A861" s="21" t="str">
        <f t="shared" si="13"/>
        <v>HFA806LCLK2026-02-15</v>
      </c>
      <c r="B861" t="e">
        <f>VLOOKUP(A861,Sheet1!A861:B2203,1,FALSE)</f>
        <v>#N/A</v>
      </c>
      <c r="C861" s="3">
        <v>46068</v>
      </c>
      <c r="D861" s="1" t="s">
        <v>115</v>
      </c>
      <c r="E861" s="1" t="s">
        <v>38</v>
      </c>
      <c r="F861" s="1"/>
      <c r="G861" s="1" t="s">
        <v>39</v>
      </c>
      <c r="H861" s="1" t="s">
        <v>222</v>
      </c>
      <c r="I861" s="1" t="s">
        <v>67</v>
      </c>
      <c r="J861" s="1" t="s">
        <v>86</v>
      </c>
      <c r="K861" s="1" t="s">
        <v>87</v>
      </c>
      <c r="L861" s="1" t="s">
        <v>88</v>
      </c>
      <c r="M861" s="1" t="s">
        <v>50</v>
      </c>
      <c r="N861" s="1" t="s">
        <v>41</v>
      </c>
      <c r="O861" s="1" t="s">
        <v>42</v>
      </c>
      <c r="P861" s="1" t="s">
        <v>43</v>
      </c>
      <c r="Q861" s="1" t="s">
        <v>44</v>
      </c>
      <c r="R861" s="1" t="s">
        <v>45</v>
      </c>
      <c r="S861" s="1">
        <v>264</v>
      </c>
      <c r="T861" s="1">
        <v>0</v>
      </c>
      <c r="U861" s="13">
        <v>4.3749999999999997E-2</v>
      </c>
      <c r="V861" s="11">
        <v>890</v>
      </c>
      <c r="W861" s="11">
        <v>1310</v>
      </c>
      <c r="X861" s="8">
        <v>2200</v>
      </c>
      <c r="Y861" s="1" t="s">
        <v>51</v>
      </c>
      <c r="Z861" s="11">
        <v>1650</v>
      </c>
      <c r="AA861" s="11">
        <v>550</v>
      </c>
      <c r="AB861" s="1">
        <v>0</v>
      </c>
      <c r="AC861" s="1">
        <v>0</v>
      </c>
      <c r="AD861" s="1">
        <v>0</v>
      </c>
      <c r="AE861" s="1">
        <v>0</v>
      </c>
      <c r="AF861" s="1"/>
      <c r="AG861" s="1">
        <v>0</v>
      </c>
      <c r="AH861" s="1">
        <v>0</v>
      </c>
      <c r="AI861" s="1">
        <v>0</v>
      </c>
      <c r="AJ861" s="1">
        <v>0</v>
      </c>
      <c r="AK861" s="1">
        <v>1.738</v>
      </c>
      <c r="AL861" s="1">
        <v>1.738</v>
      </c>
      <c r="AM861" s="1">
        <v>1.738</v>
      </c>
    </row>
    <row r="862" spans="1:39" x14ac:dyDescent="0.3">
      <c r="A862" s="21" t="str">
        <f t="shared" si="13"/>
        <v>HFA807LLHA2026-02-15</v>
      </c>
      <c r="B862" t="e">
        <f>VLOOKUP(A862,Sheet1!A862:B2204,1,FALSE)</f>
        <v>#N/A</v>
      </c>
      <c r="C862" s="3">
        <v>46068</v>
      </c>
      <c r="D862" s="1" t="s">
        <v>118</v>
      </c>
      <c r="E862" s="1" t="s">
        <v>38</v>
      </c>
      <c r="F862" s="1"/>
      <c r="G862" s="1" t="s">
        <v>39</v>
      </c>
      <c r="H862" s="1" t="s">
        <v>222</v>
      </c>
      <c r="I862" s="1" t="s">
        <v>41</v>
      </c>
      <c r="J862" s="1" t="s">
        <v>42</v>
      </c>
      <c r="K862" s="1" t="s">
        <v>43</v>
      </c>
      <c r="L862" s="1" t="s">
        <v>44</v>
      </c>
      <c r="M862" s="1" t="s">
        <v>45</v>
      </c>
      <c r="N862" s="1" t="s">
        <v>67</v>
      </c>
      <c r="O862" s="1" t="s">
        <v>86</v>
      </c>
      <c r="P862" s="1" t="s">
        <v>87</v>
      </c>
      <c r="Q862" s="1" t="s">
        <v>88</v>
      </c>
      <c r="R862" s="1" t="s">
        <v>50</v>
      </c>
      <c r="S862" s="1">
        <v>264</v>
      </c>
      <c r="T862" s="1">
        <v>0</v>
      </c>
      <c r="U862" s="13">
        <v>3.6111111111111108E-2</v>
      </c>
      <c r="V862" s="11">
        <v>1650</v>
      </c>
      <c r="W862" s="11">
        <v>0</v>
      </c>
      <c r="X862" s="8">
        <v>1650</v>
      </c>
      <c r="Y862" s="1" t="s">
        <v>51</v>
      </c>
      <c r="Z862" s="11">
        <v>1130</v>
      </c>
      <c r="AA862" s="11">
        <v>520</v>
      </c>
      <c r="AB862" s="1">
        <v>0</v>
      </c>
      <c r="AC862" s="1">
        <v>0</v>
      </c>
      <c r="AD862" s="1">
        <v>0</v>
      </c>
      <c r="AE862" s="1">
        <v>0</v>
      </c>
      <c r="AF862" s="1"/>
      <c r="AG862" s="1">
        <v>0</v>
      </c>
      <c r="AH862" s="1">
        <v>0</v>
      </c>
      <c r="AI862" s="1">
        <v>0</v>
      </c>
      <c r="AJ862" s="1">
        <v>0</v>
      </c>
      <c r="AK862" s="1">
        <v>1.6432</v>
      </c>
      <c r="AL862" s="1">
        <v>1.6432</v>
      </c>
      <c r="AM862" s="1">
        <v>1.6432</v>
      </c>
    </row>
    <row r="863" spans="1:39" x14ac:dyDescent="0.3">
      <c r="A863" s="21" t="str">
        <f t="shared" si="13"/>
        <v>HFA808LCLK2026-02-15</v>
      </c>
      <c r="B863" t="e">
        <f>VLOOKUP(A863,Sheet1!A863:B2205,1,FALSE)</f>
        <v>#N/A</v>
      </c>
      <c r="C863" s="3">
        <v>46068</v>
      </c>
      <c r="D863" s="1" t="s">
        <v>119</v>
      </c>
      <c r="E863" s="1" t="s">
        <v>38</v>
      </c>
      <c r="F863" s="1"/>
      <c r="G863" s="1" t="s">
        <v>39</v>
      </c>
      <c r="H863" s="1" t="s">
        <v>222</v>
      </c>
      <c r="I863" s="1" t="s">
        <v>67</v>
      </c>
      <c r="J863" s="1" t="s">
        <v>86</v>
      </c>
      <c r="K863" s="1" t="s">
        <v>87</v>
      </c>
      <c r="L863" s="1" t="s">
        <v>88</v>
      </c>
      <c r="M863" s="1" t="s">
        <v>50</v>
      </c>
      <c r="N863" s="1" t="s">
        <v>41</v>
      </c>
      <c r="O863" s="1" t="s">
        <v>42</v>
      </c>
      <c r="P863" s="1" t="s">
        <v>43</v>
      </c>
      <c r="Q863" s="1" t="s">
        <v>44</v>
      </c>
      <c r="R863" s="1" t="s">
        <v>45</v>
      </c>
      <c r="S863" s="1">
        <v>264</v>
      </c>
      <c r="T863" s="1">
        <v>0</v>
      </c>
      <c r="U863" s="13">
        <v>4.1666666666666664E-2</v>
      </c>
      <c r="V863" s="11">
        <v>1130</v>
      </c>
      <c r="W863" s="11">
        <v>1370</v>
      </c>
      <c r="X863" s="8">
        <v>2500</v>
      </c>
      <c r="Y863" s="1" t="s">
        <v>51</v>
      </c>
      <c r="Z863" s="11">
        <v>1980</v>
      </c>
      <c r="AA863" s="11">
        <v>520</v>
      </c>
      <c r="AB863" s="1">
        <v>0</v>
      </c>
      <c r="AC863" s="1">
        <v>0</v>
      </c>
      <c r="AD863" s="1">
        <v>0</v>
      </c>
      <c r="AE863" s="1">
        <v>0</v>
      </c>
      <c r="AF863" s="1"/>
      <c r="AG863" s="1">
        <v>0</v>
      </c>
      <c r="AH863" s="1">
        <v>0</v>
      </c>
      <c r="AI863" s="1">
        <v>0</v>
      </c>
      <c r="AJ863" s="1">
        <v>0</v>
      </c>
      <c r="AK863" s="1">
        <v>1.6432</v>
      </c>
      <c r="AL863" s="1">
        <v>1.6432</v>
      </c>
      <c r="AM863" s="1">
        <v>1.6432</v>
      </c>
    </row>
    <row r="864" spans="1:39" x14ac:dyDescent="0.3">
      <c r="A864" s="21" t="str">
        <f t="shared" si="13"/>
        <v>HFA801LLHA2026-02-16</v>
      </c>
      <c r="B864" t="e">
        <f>VLOOKUP(A864,Sheet1!A864:B2206,1,FALSE)</f>
        <v>#N/A</v>
      </c>
      <c r="C864" s="3">
        <v>46069</v>
      </c>
      <c r="D864" s="1" t="s">
        <v>133</v>
      </c>
      <c r="E864" s="1" t="s">
        <v>38</v>
      </c>
      <c r="F864" s="1"/>
      <c r="G864" s="1" t="s">
        <v>39</v>
      </c>
      <c r="H864" s="1" t="s">
        <v>222</v>
      </c>
      <c r="I864" s="1" t="s">
        <v>41</v>
      </c>
      <c r="J864" s="1" t="s">
        <v>42</v>
      </c>
      <c r="K864" s="1" t="s">
        <v>43</v>
      </c>
      <c r="L864" s="1" t="s">
        <v>44</v>
      </c>
      <c r="M864" s="1" t="s">
        <v>45</v>
      </c>
      <c r="N864" s="1" t="s">
        <v>67</v>
      </c>
      <c r="O864" s="1" t="s">
        <v>86</v>
      </c>
      <c r="P864" s="1" t="s">
        <v>87</v>
      </c>
      <c r="Q864" s="1" t="s">
        <v>88</v>
      </c>
      <c r="R864" s="1" t="s">
        <v>50</v>
      </c>
      <c r="S864" s="1">
        <v>264</v>
      </c>
      <c r="T864" s="1">
        <v>0</v>
      </c>
      <c r="U864" s="13">
        <v>3.1944444444444442E-2</v>
      </c>
      <c r="V864" s="11">
        <v>1980</v>
      </c>
      <c r="W864" s="11">
        <v>-30</v>
      </c>
      <c r="X864" s="8">
        <v>1950</v>
      </c>
      <c r="Y864" s="1" t="s">
        <v>51</v>
      </c>
      <c r="Z864" s="11">
        <v>1470</v>
      </c>
      <c r="AA864" s="11">
        <v>480</v>
      </c>
      <c r="AB864" s="1">
        <v>0</v>
      </c>
      <c r="AC864" s="1">
        <v>0</v>
      </c>
      <c r="AD864" s="1">
        <v>0</v>
      </c>
      <c r="AE864" s="1">
        <v>0</v>
      </c>
      <c r="AF864" s="1"/>
      <c r="AG864" s="1">
        <v>0</v>
      </c>
      <c r="AH864" s="1">
        <v>0</v>
      </c>
      <c r="AI864" s="1">
        <v>0</v>
      </c>
      <c r="AJ864" s="1">
        <v>0</v>
      </c>
      <c r="AK864" s="1">
        <v>1.5167999999999999</v>
      </c>
      <c r="AL864" s="1">
        <v>1.5167999999999999</v>
      </c>
      <c r="AM864" s="1">
        <v>1.5167999999999999</v>
      </c>
    </row>
    <row r="865" spans="1:39" x14ac:dyDescent="0.3">
      <c r="A865" s="21" t="str">
        <f t="shared" si="13"/>
        <v>HFA802LCLK2026-02-16</v>
      </c>
      <c r="B865" t="e">
        <f>VLOOKUP(A865,Sheet1!A865:B2207,1,FALSE)</f>
        <v>#N/A</v>
      </c>
      <c r="C865" s="3">
        <v>46069</v>
      </c>
      <c r="D865" s="1" t="s">
        <v>135</v>
      </c>
      <c r="E865" s="1" t="s">
        <v>38</v>
      </c>
      <c r="F865" s="1"/>
      <c r="G865" s="1" t="s">
        <v>39</v>
      </c>
      <c r="H865" s="1" t="s">
        <v>222</v>
      </c>
      <c r="I865" s="1" t="s">
        <v>67</v>
      </c>
      <c r="J865" s="1" t="s">
        <v>86</v>
      </c>
      <c r="K865" s="1" t="s">
        <v>87</v>
      </c>
      <c r="L865" s="1" t="s">
        <v>88</v>
      </c>
      <c r="M865" s="1" t="s">
        <v>50</v>
      </c>
      <c r="N865" s="1" t="s">
        <v>41</v>
      </c>
      <c r="O865" s="1" t="s">
        <v>42</v>
      </c>
      <c r="P865" s="1" t="s">
        <v>43</v>
      </c>
      <c r="Q865" s="1" t="s">
        <v>44</v>
      </c>
      <c r="R865" s="1" t="s">
        <v>45</v>
      </c>
      <c r="S865" s="1">
        <v>264</v>
      </c>
      <c r="T865" s="1">
        <v>0</v>
      </c>
      <c r="U865" s="13">
        <v>4.2361111111111106E-2</v>
      </c>
      <c r="V865" s="11">
        <v>1470</v>
      </c>
      <c r="W865" s="11">
        <v>530</v>
      </c>
      <c r="X865" s="8">
        <v>2000</v>
      </c>
      <c r="Y865" s="1" t="s">
        <v>51</v>
      </c>
      <c r="Z865" s="11">
        <v>1460</v>
      </c>
      <c r="AA865" s="11">
        <v>540</v>
      </c>
      <c r="AB865" s="1">
        <v>0</v>
      </c>
      <c r="AC865" s="1">
        <v>0</v>
      </c>
      <c r="AD865" s="1">
        <v>0</v>
      </c>
      <c r="AE865" s="1">
        <v>0</v>
      </c>
      <c r="AF865" s="1"/>
      <c r="AG865" s="1">
        <v>0</v>
      </c>
      <c r="AH865" s="1">
        <v>0</v>
      </c>
      <c r="AI865" s="1">
        <v>0</v>
      </c>
      <c r="AJ865" s="1">
        <v>0</v>
      </c>
      <c r="AK865" s="1">
        <v>1.7063999999999999</v>
      </c>
      <c r="AL865" s="1">
        <v>1.7063999999999999</v>
      </c>
      <c r="AM865" s="1">
        <v>1.7063999999999999</v>
      </c>
    </row>
    <row r="866" spans="1:39" x14ac:dyDescent="0.3">
      <c r="A866" s="21" t="str">
        <f t="shared" si="13"/>
        <v>HFA803LLHA2026-02-16</v>
      </c>
      <c r="B866" t="e">
        <f>VLOOKUP(A866,Sheet1!A866:B2208,1,FALSE)</f>
        <v>#N/A</v>
      </c>
      <c r="C866" s="3">
        <v>46069</v>
      </c>
      <c r="D866" s="1" t="s">
        <v>116</v>
      </c>
      <c r="E866" s="1" t="s">
        <v>38</v>
      </c>
      <c r="F866" s="1"/>
      <c r="G866" s="1" t="s">
        <v>39</v>
      </c>
      <c r="H866" s="1" t="s">
        <v>222</v>
      </c>
      <c r="I866" s="1" t="s">
        <v>41</v>
      </c>
      <c r="J866" s="1" t="s">
        <v>42</v>
      </c>
      <c r="K866" s="1" t="s">
        <v>43</v>
      </c>
      <c r="L866" s="1" t="s">
        <v>44</v>
      </c>
      <c r="M866" s="1" t="s">
        <v>45</v>
      </c>
      <c r="N866" s="1" t="s">
        <v>67</v>
      </c>
      <c r="O866" s="1" t="s">
        <v>86</v>
      </c>
      <c r="P866" s="1" t="s">
        <v>87</v>
      </c>
      <c r="Q866" s="1" t="s">
        <v>88</v>
      </c>
      <c r="R866" s="1" t="s">
        <v>50</v>
      </c>
      <c r="S866" s="1">
        <v>264</v>
      </c>
      <c r="T866" s="1">
        <v>0</v>
      </c>
      <c r="U866" s="13">
        <v>3.5416666666666666E-2</v>
      </c>
      <c r="V866" s="11">
        <v>1460</v>
      </c>
      <c r="W866" s="11">
        <v>-30</v>
      </c>
      <c r="X866" s="8">
        <v>1430</v>
      </c>
      <c r="Y866" s="1" t="s">
        <v>51</v>
      </c>
      <c r="Z866" s="11">
        <v>910</v>
      </c>
      <c r="AA866" s="11">
        <v>520</v>
      </c>
      <c r="AB866" s="1">
        <v>0</v>
      </c>
      <c r="AC866" s="1">
        <v>0</v>
      </c>
      <c r="AD866" s="1">
        <v>0</v>
      </c>
      <c r="AE866" s="1">
        <v>0</v>
      </c>
      <c r="AF866" s="1"/>
      <c r="AG866" s="1">
        <v>0</v>
      </c>
      <c r="AH866" s="1">
        <v>0</v>
      </c>
      <c r="AI866" s="1">
        <v>0</v>
      </c>
      <c r="AJ866" s="1">
        <v>0</v>
      </c>
      <c r="AK866" s="1">
        <v>1.6432</v>
      </c>
      <c r="AL866" s="1">
        <v>1.6432</v>
      </c>
      <c r="AM866" s="1">
        <v>1.6432</v>
      </c>
    </row>
    <row r="867" spans="1:39" x14ac:dyDescent="0.3">
      <c r="A867" s="21" t="str">
        <f t="shared" si="13"/>
        <v>HFA804LCLK2026-02-16</v>
      </c>
      <c r="B867" t="e">
        <f>VLOOKUP(A867,Sheet1!A867:B2209,1,FALSE)</f>
        <v>#N/A</v>
      </c>
      <c r="C867" s="3">
        <v>46069</v>
      </c>
      <c r="D867" s="1" t="s">
        <v>117</v>
      </c>
      <c r="E867" s="1" t="s">
        <v>38</v>
      </c>
      <c r="F867" s="1"/>
      <c r="G867" s="1" t="s">
        <v>39</v>
      </c>
      <c r="H867" s="1" t="s">
        <v>222</v>
      </c>
      <c r="I867" s="1" t="s">
        <v>67</v>
      </c>
      <c r="J867" s="1" t="s">
        <v>86</v>
      </c>
      <c r="K867" s="1" t="s">
        <v>87</v>
      </c>
      <c r="L867" s="1" t="s">
        <v>88</v>
      </c>
      <c r="M867" s="1" t="s">
        <v>50</v>
      </c>
      <c r="N867" s="1" t="s">
        <v>41</v>
      </c>
      <c r="O867" s="1" t="s">
        <v>42</v>
      </c>
      <c r="P867" s="1" t="s">
        <v>43</v>
      </c>
      <c r="Q867" s="1" t="s">
        <v>44</v>
      </c>
      <c r="R867" s="1" t="s">
        <v>45</v>
      </c>
      <c r="S867" s="1">
        <v>264</v>
      </c>
      <c r="T867" s="1">
        <v>0</v>
      </c>
      <c r="U867" s="13">
        <v>4.3055555555555555E-2</v>
      </c>
      <c r="V867" s="11">
        <v>910</v>
      </c>
      <c r="W867" s="11">
        <v>1490</v>
      </c>
      <c r="X867" s="8">
        <v>2400</v>
      </c>
      <c r="Y867" s="1" t="s">
        <v>51</v>
      </c>
      <c r="Z867" s="11">
        <v>1840</v>
      </c>
      <c r="AA867" s="11">
        <v>560</v>
      </c>
      <c r="AB867" s="1">
        <v>0</v>
      </c>
      <c r="AC867" s="1">
        <v>0</v>
      </c>
      <c r="AD867" s="1">
        <v>0</v>
      </c>
      <c r="AE867" s="1">
        <v>0</v>
      </c>
      <c r="AF867" s="1"/>
      <c r="AG867" s="1">
        <v>0</v>
      </c>
      <c r="AH867" s="1">
        <v>0</v>
      </c>
      <c r="AI867" s="1">
        <v>0</v>
      </c>
      <c r="AJ867" s="1">
        <v>0</v>
      </c>
      <c r="AK867" s="1">
        <v>1.7696000000000001</v>
      </c>
      <c r="AL867" s="1">
        <v>1.7696000000000001</v>
      </c>
      <c r="AM867" s="1">
        <v>1.7696000000000001</v>
      </c>
    </row>
    <row r="868" spans="1:39" x14ac:dyDescent="0.3">
      <c r="A868" s="21" t="str">
        <f t="shared" si="13"/>
        <v>HFA601LLHA2026-02-17</v>
      </c>
      <c r="B868" t="e">
        <f>VLOOKUP(A868,Sheet1!A868:B2210,1,FALSE)</f>
        <v>#N/A</v>
      </c>
      <c r="C868" s="3">
        <v>46070</v>
      </c>
      <c r="D868" s="1" t="s">
        <v>57</v>
      </c>
      <c r="E868" s="1" t="s">
        <v>38</v>
      </c>
      <c r="F868" s="1" t="s">
        <v>54</v>
      </c>
      <c r="G868" s="1" t="s">
        <v>39</v>
      </c>
      <c r="H868" s="1" t="s">
        <v>222</v>
      </c>
      <c r="I868" s="1" t="s">
        <v>41</v>
      </c>
      <c r="J868" s="1" t="s">
        <v>42</v>
      </c>
      <c r="K868" s="1" t="s">
        <v>43</v>
      </c>
      <c r="L868" s="1" t="s">
        <v>44</v>
      </c>
      <c r="M868" s="1" t="s">
        <v>45</v>
      </c>
      <c r="N868" s="1" t="s">
        <v>41</v>
      </c>
      <c r="O868" s="1" t="s">
        <v>58</v>
      </c>
      <c r="P868" s="1" t="s">
        <v>59</v>
      </c>
      <c r="Q868" s="1" t="s">
        <v>60</v>
      </c>
      <c r="R868" s="1" t="s">
        <v>45</v>
      </c>
      <c r="S868" s="1">
        <v>342</v>
      </c>
      <c r="T868" s="1">
        <v>0</v>
      </c>
      <c r="U868" s="13">
        <v>4.8611111111111105E-2</v>
      </c>
      <c r="V868" s="11">
        <v>1840</v>
      </c>
      <c r="W868" s="11">
        <v>-40</v>
      </c>
      <c r="X868" s="8">
        <v>1800</v>
      </c>
      <c r="Y868" s="1" t="s">
        <v>51</v>
      </c>
      <c r="Z868" s="11">
        <v>1030</v>
      </c>
      <c r="AA868" s="11">
        <v>770</v>
      </c>
      <c r="AB868" s="1">
        <v>0</v>
      </c>
      <c r="AC868" s="1">
        <v>0</v>
      </c>
      <c r="AD868" s="1">
        <v>0</v>
      </c>
      <c r="AE868" s="1">
        <v>0</v>
      </c>
      <c r="AF868" s="1"/>
      <c r="AG868" s="1">
        <v>0</v>
      </c>
      <c r="AH868" s="1">
        <v>0</v>
      </c>
      <c r="AI868" s="1">
        <v>0</v>
      </c>
      <c r="AJ868" s="1">
        <v>0</v>
      </c>
      <c r="AK868" s="1">
        <v>2.4331999999999998</v>
      </c>
      <c r="AL868" s="1">
        <v>2.4331999999999998</v>
      </c>
      <c r="AM868" s="1">
        <v>2.4331999999999998</v>
      </c>
    </row>
    <row r="869" spans="1:39" x14ac:dyDescent="0.3">
      <c r="A869" s="21" t="str">
        <f t="shared" si="13"/>
        <v>HFA602LLER2026-02-17</v>
      </c>
      <c r="B869" t="e">
        <f>VLOOKUP(A869,Sheet1!A869:B2211,1,FALSE)</f>
        <v>#N/A</v>
      </c>
      <c r="C869" s="3">
        <v>46070</v>
      </c>
      <c r="D869" s="1" t="s">
        <v>61</v>
      </c>
      <c r="E869" s="1" t="s">
        <v>38</v>
      </c>
      <c r="F869" s="1" t="s">
        <v>54</v>
      </c>
      <c r="G869" s="1" t="s">
        <v>39</v>
      </c>
      <c r="H869" s="1" t="s">
        <v>222</v>
      </c>
      <c r="I869" s="1" t="s">
        <v>41</v>
      </c>
      <c r="J869" s="1" t="s">
        <v>58</v>
      </c>
      <c r="K869" s="1" t="s">
        <v>59</v>
      </c>
      <c r="L869" s="1" t="s">
        <v>60</v>
      </c>
      <c r="M869" s="1" t="s">
        <v>45</v>
      </c>
      <c r="N869" s="1" t="s">
        <v>41</v>
      </c>
      <c r="O869" s="1" t="s">
        <v>42</v>
      </c>
      <c r="P869" s="1" t="s">
        <v>43</v>
      </c>
      <c r="Q869" s="1" t="s">
        <v>44</v>
      </c>
      <c r="R869" s="1" t="s">
        <v>45</v>
      </c>
      <c r="S869" s="1">
        <v>342</v>
      </c>
      <c r="T869" s="1">
        <v>0</v>
      </c>
      <c r="U869" s="13">
        <v>3.6111111111111108E-2</v>
      </c>
      <c r="V869" s="11">
        <v>1030</v>
      </c>
      <c r="W869" s="11">
        <v>970</v>
      </c>
      <c r="X869" s="8">
        <v>2000</v>
      </c>
      <c r="Y869" s="1" t="s">
        <v>51</v>
      </c>
      <c r="Z869" s="11">
        <v>1430</v>
      </c>
      <c r="AA869" s="11">
        <v>570</v>
      </c>
      <c r="AB869" s="1">
        <v>0</v>
      </c>
      <c r="AC869" s="1">
        <v>0</v>
      </c>
      <c r="AD869" s="1">
        <v>0</v>
      </c>
      <c r="AE869" s="1">
        <v>0</v>
      </c>
      <c r="AF869" s="1"/>
      <c r="AG869" s="1">
        <v>0</v>
      </c>
      <c r="AH869" s="1">
        <v>0</v>
      </c>
      <c r="AI869" s="1">
        <v>0</v>
      </c>
      <c r="AJ869" s="1">
        <v>0</v>
      </c>
      <c r="AK869" s="1">
        <v>1.8011999999999999</v>
      </c>
      <c r="AL869" s="1">
        <v>1.8011999999999999</v>
      </c>
      <c r="AM869" s="1">
        <v>1.8011999999999999</v>
      </c>
    </row>
    <row r="870" spans="1:39" x14ac:dyDescent="0.3">
      <c r="A870" s="21" t="str">
        <f t="shared" si="13"/>
        <v>HFA803LLHA2026-02-17</v>
      </c>
      <c r="B870" t="e">
        <f>VLOOKUP(A870,Sheet1!A870:B2212,1,FALSE)</f>
        <v>#N/A</v>
      </c>
      <c r="C870" s="3">
        <v>46070</v>
      </c>
      <c r="D870" s="1" t="s">
        <v>116</v>
      </c>
      <c r="E870" s="1" t="s">
        <v>38</v>
      </c>
      <c r="F870" s="1"/>
      <c r="G870" s="1" t="s">
        <v>39</v>
      </c>
      <c r="H870" s="1" t="s">
        <v>222</v>
      </c>
      <c r="I870" s="1" t="s">
        <v>41</v>
      </c>
      <c r="J870" s="1" t="s">
        <v>42</v>
      </c>
      <c r="K870" s="1" t="s">
        <v>43</v>
      </c>
      <c r="L870" s="1" t="s">
        <v>44</v>
      </c>
      <c r="M870" s="1" t="s">
        <v>45</v>
      </c>
      <c r="N870" s="1" t="s">
        <v>67</v>
      </c>
      <c r="O870" s="1" t="s">
        <v>86</v>
      </c>
      <c r="P870" s="1" t="s">
        <v>87</v>
      </c>
      <c r="Q870" s="1" t="s">
        <v>88</v>
      </c>
      <c r="R870" s="1" t="s">
        <v>50</v>
      </c>
      <c r="S870" s="1">
        <v>264</v>
      </c>
      <c r="T870" s="1">
        <v>0</v>
      </c>
      <c r="U870" s="13">
        <v>3.4722222222222224E-2</v>
      </c>
      <c r="V870" s="11">
        <v>1430</v>
      </c>
      <c r="W870" s="11">
        <v>0</v>
      </c>
      <c r="X870" s="8">
        <v>1430</v>
      </c>
      <c r="Y870" s="1" t="s">
        <v>51</v>
      </c>
      <c r="Z870" s="11">
        <v>860</v>
      </c>
      <c r="AA870" s="11">
        <v>570</v>
      </c>
      <c r="AB870" s="1">
        <v>0</v>
      </c>
      <c r="AC870" s="1">
        <v>0</v>
      </c>
      <c r="AD870" s="1">
        <v>0</v>
      </c>
      <c r="AE870" s="1">
        <v>0</v>
      </c>
      <c r="AF870" s="1"/>
      <c r="AG870" s="1">
        <v>0</v>
      </c>
      <c r="AH870" s="1">
        <v>0</v>
      </c>
      <c r="AI870" s="1">
        <v>0</v>
      </c>
      <c r="AJ870" s="1">
        <v>0</v>
      </c>
      <c r="AK870" s="1">
        <v>1.8011999999999999</v>
      </c>
      <c r="AL870" s="1">
        <v>1.8011999999999999</v>
      </c>
      <c r="AM870" s="1">
        <v>1.8011999999999999</v>
      </c>
    </row>
    <row r="871" spans="1:39" x14ac:dyDescent="0.3">
      <c r="A871" s="21" t="str">
        <f t="shared" si="13"/>
        <v>HFA804LCLK2026-02-17</v>
      </c>
      <c r="B871" t="e">
        <f>VLOOKUP(A871,Sheet1!A871:B2213,1,FALSE)</f>
        <v>#N/A</v>
      </c>
      <c r="C871" s="3">
        <v>46070</v>
      </c>
      <c r="D871" s="1" t="s">
        <v>117</v>
      </c>
      <c r="E871" s="1" t="s">
        <v>38</v>
      </c>
      <c r="F871" s="1"/>
      <c r="G871" s="1" t="s">
        <v>39</v>
      </c>
      <c r="H871" s="1" t="s">
        <v>222</v>
      </c>
      <c r="I871" s="1" t="s">
        <v>67</v>
      </c>
      <c r="J871" s="1" t="s">
        <v>86</v>
      </c>
      <c r="K871" s="1" t="s">
        <v>87</v>
      </c>
      <c r="L871" s="1" t="s">
        <v>88</v>
      </c>
      <c r="M871" s="1" t="s">
        <v>50</v>
      </c>
      <c r="N871" s="1" t="s">
        <v>41</v>
      </c>
      <c r="O871" s="1" t="s">
        <v>42</v>
      </c>
      <c r="P871" s="1" t="s">
        <v>43</v>
      </c>
      <c r="Q871" s="1" t="s">
        <v>44</v>
      </c>
      <c r="R871" s="1" t="s">
        <v>45</v>
      </c>
      <c r="S871" s="1">
        <v>264</v>
      </c>
      <c r="T871" s="1">
        <v>0</v>
      </c>
      <c r="U871" s="13">
        <v>3.7499999999999999E-2</v>
      </c>
      <c r="V871" s="11">
        <v>860</v>
      </c>
      <c r="W871" s="11">
        <v>1540</v>
      </c>
      <c r="X871" s="8">
        <v>2400</v>
      </c>
      <c r="Y871" s="1" t="s">
        <v>51</v>
      </c>
      <c r="Z871" s="11">
        <v>1890</v>
      </c>
      <c r="AA871" s="11">
        <v>510</v>
      </c>
      <c r="AB871" s="1">
        <v>0</v>
      </c>
      <c r="AC871" s="1">
        <v>0</v>
      </c>
      <c r="AD871" s="1">
        <v>0</v>
      </c>
      <c r="AE871" s="1">
        <v>0</v>
      </c>
      <c r="AF871" s="1"/>
      <c r="AG871" s="1">
        <v>0</v>
      </c>
      <c r="AH871" s="1">
        <v>0</v>
      </c>
      <c r="AI871" s="1">
        <v>0</v>
      </c>
      <c r="AJ871" s="1">
        <v>0</v>
      </c>
      <c r="AK871" s="1">
        <v>1.6115999999999999</v>
      </c>
      <c r="AL871" s="1">
        <v>1.6115999999999999</v>
      </c>
      <c r="AM871" s="1">
        <v>1.6115999999999999</v>
      </c>
    </row>
    <row r="872" spans="1:39" x14ac:dyDescent="0.3">
      <c r="A872" s="21" t="str">
        <f t="shared" si="13"/>
        <v>HFA601LLHA2026-02-18</v>
      </c>
      <c r="B872" t="e">
        <f>VLOOKUP(A872,Sheet1!A872:B2214,1,FALSE)</f>
        <v>#N/A</v>
      </c>
      <c r="C872" s="3">
        <v>46071</v>
      </c>
      <c r="D872" s="1" t="s">
        <v>57</v>
      </c>
      <c r="E872" s="1" t="s">
        <v>38</v>
      </c>
      <c r="F872" s="1" t="s">
        <v>54</v>
      </c>
      <c r="G872" s="1" t="s">
        <v>39</v>
      </c>
      <c r="H872" s="1" t="s">
        <v>222</v>
      </c>
      <c r="I872" s="1" t="s">
        <v>41</v>
      </c>
      <c r="J872" s="1" t="s">
        <v>42</v>
      </c>
      <c r="K872" s="1" t="s">
        <v>43</v>
      </c>
      <c r="L872" s="1" t="s">
        <v>44</v>
      </c>
      <c r="M872" s="1" t="s">
        <v>45</v>
      </c>
      <c r="N872" s="1" t="s">
        <v>41</v>
      </c>
      <c r="O872" s="1" t="s">
        <v>58</v>
      </c>
      <c r="P872" s="1" t="s">
        <v>59</v>
      </c>
      <c r="Q872" s="1" t="s">
        <v>60</v>
      </c>
      <c r="R872" s="1" t="s">
        <v>45</v>
      </c>
      <c r="S872" s="1">
        <v>342</v>
      </c>
      <c r="T872" s="1">
        <v>0</v>
      </c>
      <c r="U872" s="13">
        <v>4.583333333333333E-2</v>
      </c>
      <c r="V872" s="11">
        <v>1890</v>
      </c>
      <c r="W872" s="11">
        <v>-30</v>
      </c>
      <c r="X872" s="8">
        <v>1860</v>
      </c>
      <c r="Y872" s="1" t="s">
        <v>51</v>
      </c>
      <c r="Z872" s="11">
        <v>1140</v>
      </c>
      <c r="AA872" s="11">
        <v>720</v>
      </c>
      <c r="AB872" s="1">
        <v>0</v>
      </c>
      <c r="AC872" s="1">
        <v>0</v>
      </c>
      <c r="AD872" s="1">
        <v>0</v>
      </c>
      <c r="AE872" s="1">
        <v>0</v>
      </c>
      <c r="AF872" s="1"/>
      <c r="AG872" s="1">
        <v>0</v>
      </c>
      <c r="AH872" s="1">
        <v>0</v>
      </c>
      <c r="AI872" s="1">
        <v>0</v>
      </c>
      <c r="AJ872" s="1">
        <v>0</v>
      </c>
      <c r="AK872" s="1">
        <v>2.2751999999999999</v>
      </c>
      <c r="AL872" s="1">
        <v>2.2751999999999999</v>
      </c>
      <c r="AM872" s="1">
        <v>2.2751999999999999</v>
      </c>
    </row>
    <row r="873" spans="1:39" x14ac:dyDescent="0.3">
      <c r="A873" s="21" t="str">
        <f t="shared" si="13"/>
        <v>HFA602LLER2026-02-18</v>
      </c>
      <c r="B873" t="e">
        <f>VLOOKUP(A873,Sheet1!A873:B2215,1,FALSE)</f>
        <v>#N/A</v>
      </c>
      <c r="C873" s="3">
        <v>46071</v>
      </c>
      <c r="D873" s="1" t="s">
        <v>61</v>
      </c>
      <c r="E873" s="1" t="s">
        <v>38</v>
      </c>
      <c r="F873" s="1" t="s">
        <v>54</v>
      </c>
      <c r="G873" s="1" t="s">
        <v>39</v>
      </c>
      <c r="H873" s="1" t="s">
        <v>222</v>
      </c>
      <c r="I873" s="1" t="s">
        <v>41</v>
      </c>
      <c r="J873" s="1" t="s">
        <v>58</v>
      </c>
      <c r="K873" s="1" t="s">
        <v>59</v>
      </c>
      <c r="L873" s="1" t="s">
        <v>60</v>
      </c>
      <c r="M873" s="1" t="s">
        <v>45</v>
      </c>
      <c r="N873" s="1" t="s">
        <v>41</v>
      </c>
      <c r="O873" s="1" t="s">
        <v>42</v>
      </c>
      <c r="P873" s="1" t="s">
        <v>43</v>
      </c>
      <c r="Q873" s="1" t="s">
        <v>44</v>
      </c>
      <c r="R873" s="1" t="s">
        <v>45</v>
      </c>
      <c r="S873" s="1">
        <v>342</v>
      </c>
      <c r="T873" s="1">
        <v>0</v>
      </c>
      <c r="U873" s="13">
        <v>4.1666666666666664E-2</v>
      </c>
      <c r="V873" s="11">
        <v>1140</v>
      </c>
      <c r="W873" s="11">
        <v>1360</v>
      </c>
      <c r="X873" s="8">
        <v>2500</v>
      </c>
      <c r="Y873" s="1" t="s">
        <v>51</v>
      </c>
      <c r="Z873" s="11">
        <v>1880</v>
      </c>
      <c r="AA873" s="11">
        <v>620</v>
      </c>
      <c r="AB873" s="1">
        <v>0</v>
      </c>
      <c r="AC873" s="1">
        <v>0</v>
      </c>
      <c r="AD873" s="1">
        <v>0</v>
      </c>
      <c r="AE873" s="1">
        <v>0</v>
      </c>
      <c r="AF873" s="1"/>
      <c r="AG873" s="1">
        <v>0</v>
      </c>
      <c r="AH873" s="1">
        <v>0</v>
      </c>
      <c r="AI873" s="1">
        <v>0</v>
      </c>
      <c r="AJ873" s="1">
        <v>0</v>
      </c>
      <c r="AK873" s="1">
        <v>1.9592000000000001</v>
      </c>
      <c r="AL873" s="1">
        <v>1.9592000000000001</v>
      </c>
      <c r="AM873" s="1">
        <v>1.9592000000000001</v>
      </c>
    </row>
    <row r="874" spans="1:39" x14ac:dyDescent="0.3">
      <c r="A874" s="21" t="str">
        <f t="shared" si="13"/>
        <v>HFA605LLHA2026-02-18</v>
      </c>
      <c r="B874" t="e">
        <f>VLOOKUP(A874,Sheet1!A874:B2216,1,FALSE)</f>
        <v>#N/A</v>
      </c>
      <c r="C874" s="3">
        <v>46071</v>
      </c>
      <c r="D874" s="1" t="s">
        <v>62</v>
      </c>
      <c r="E874" s="1" t="s">
        <v>38</v>
      </c>
      <c r="F874" s="1" t="s">
        <v>54</v>
      </c>
      <c r="G874" s="1" t="s">
        <v>39</v>
      </c>
      <c r="H874" s="1" t="s">
        <v>222</v>
      </c>
      <c r="I874" s="1" t="s">
        <v>41</v>
      </c>
      <c r="J874" s="1" t="s">
        <v>42</v>
      </c>
      <c r="K874" s="1" t="s">
        <v>43</v>
      </c>
      <c r="L874" s="1" t="s">
        <v>44</v>
      </c>
      <c r="M874" s="1" t="s">
        <v>45</v>
      </c>
      <c r="N874" s="1" t="s">
        <v>41</v>
      </c>
      <c r="O874" s="1" t="s">
        <v>58</v>
      </c>
      <c r="P874" s="1" t="s">
        <v>59</v>
      </c>
      <c r="Q874" s="1" t="s">
        <v>60</v>
      </c>
      <c r="R874" s="1" t="s">
        <v>45</v>
      </c>
      <c r="S874" s="1">
        <v>342</v>
      </c>
      <c r="T874" s="1">
        <v>0</v>
      </c>
      <c r="U874" s="13">
        <v>4.5138888888888888E-2</v>
      </c>
      <c r="V874" s="11">
        <v>1880</v>
      </c>
      <c r="W874" s="11">
        <v>-10</v>
      </c>
      <c r="X874" s="8">
        <v>1870</v>
      </c>
      <c r="Y874" s="1" t="s">
        <v>51</v>
      </c>
      <c r="Z874" s="11">
        <v>1150</v>
      </c>
      <c r="AA874" s="11">
        <v>720</v>
      </c>
      <c r="AB874" s="1">
        <v>0</v>
      </c>
      <c r="AC874" s="1">
        <v>0</v>
      </c>
      <c r="AD874" s="1">
        <v>0</v>
      </c>
      <c r="AE874" s="1">
        <v>0</v>
      </c>
      <c r="AF874" s="1"/>
      <c r="AG874" s="1">
        <v>0</v>
      </c>
      <c r="AH874" s="1">
        <v>0</v>
      </c>
      <c r="AI874" s="1">
        <v>0</v>
      </c>
      <c r="AJ874" s="1">
        <v>0</v>
      </c>
      <c r="AK874" s="1">
        <v>2.2751999999999999</v>
      </c>
      <c r="AL874" s="1">
        <v>2.2751999999999999</v>
      </c>
      <c r="AM874" s="1">
        <v>2.2751999999999999</v>
      </c>
    </row>
    <row r="875" spans="1:39" x14ac:dyDescent="0.3">
      <c r="A875" s="21" t="str">
        <f t="shared" si="13"/>
        <v>HFA606LLER2026-02-18</v>
      </c>
      <c r="B875" t="e">
        <f>VLOOKUP(A875,Sheet1!A875:B2217,1,FALSE)</f>
        <v>#N/A</v>
      </c>
      <c r="C875" s="3">
        <v>46071</v>
      </c>
      <c r="D875" s="1" t="s">
        <v>63</v>
      </c>
      <c r="E875" s="1" t="s">
        <v>38</v>
      </c>
      <c r="F875" s="1" t="s">
        <v>54</v>
      </c>
      <c r="G875" s="1" t="s">
        <v>39</v>
      </c>
      <c r="H875" s="1" t="s">
        <v>222</v>
      </c>
      <c r="I875" s="1" t="s">
        <v>41</v>
      </c>
      <c r="J875" s="1" t="s">
        <v>58</v>
      </c>
      <c r="K875" s="1" t="s">
        <v>59</v>
      </c>
      <c r="L875" s="1" t="s">
        <v>60</v>
      </c>
      <c r="M875" s="1" t="s">
        <v>45</v>
      </c>
      <c r="N875" s="1" t="s">
        <v>41</v>
      </c>
      <c r="O875" s="1" t="s">
        <v>42</v>
      </c>
      <c r="P875" s="1" t="s">
        <v>43</v>
      </c>
      <c r="Q875" s="1" t="s">
        <v>44</v>
      </c>
      <c r="R875" s="1" t="s">
        <v>45</v>
      </c>
      <c r="S875" s="1">
        <v>342</v>
      </c>
      <c r="T875" s="1">
        <v>0</v>
      </c>
      <c r="U875" s="13">
        <v>4.7222222222222221E-2</v>
      </c>
      <c r="V875" s="11">
        <v>1150</v>
      </c>
      <c r="W875" s="11">
        <v>1350</v>
      </c>
      <c r="X875" s="8">
        <v>2500</v>
      </c>
      <c r="Y875" s="1" t="s">
        <v>51</v>
      </c>
      <c r="Z875" s="11">
        <v>1840</v>
      </c>
      <c r="AA875" s="11">
        <v>660</v>
      </c>
      <c r="AB875" s="1">
        <v>0</v>
      </c>
      <c r="AC875" s="1">
        <v>0</v>
      </c>
      <c r="AD875" s="1">
        <v>0</v>
      </c>
      <c r="AE875" s="1">
        <v>0</v>
      </c>
      <c r="AF875" s="1"/>
      <c r="AG875" s="1">
        <v>0</v>
      </c>
      <c r="AH875" s="1">
        <v>0</v>
      </c>
      <c r="AI875" s="1">
        <v>0</v>
      </c>
      <c r="AJ875" s="1">
        <v>0</v>
      </c>
      <c r="AK875" s="1">
        <v>2.0855999999999999</v>
      </c>
      <c r="AL875" s="1">
        <v>2.0855999999999999</v>
      </c>
      <c r="AM875" s="1">
        <v>2.0855999999999999</v>
      </c>
    </row>
    <row r="876" spans="1:39" x14ac:dyDescent="0.3">
      <c r="A876" s="21" t="str">
        <f t="shared" si="13"/>
        <v>HFA601LLHA2026-02-19</v>
      </c>
      <c r="B876" t="e">
        <f>VLOOKUP(A876,Sheet1!A876:B2218,1,FALSE)</f>
        <v>#N/A</v>
      </c>
      <c r="C876" s="3">
        <v>46072</v>
      </c>
      <c r="D876" s="1" t="s">
        <v>57</v>
      </c>
      <c r="E876" s="1" t="s">
        <v>38</v>
      </c>
      <c r="F876" s="1" t="s">
        <v>54</v>
      </c>
      <c r="G876" s="1" t="s">
        <v>39</v>
      </c>
      <c r="H876" s="1" t="s">
        <v>222</v>
      </c>
      <c r="I876" s="1" t="s">
        <v>41</v>
      </c>
      <c r="J876" s="1" t="s">
        <v>42</v>
      </c>
      <c r="K876" s="1" t="s">
        <v>43</v>
      </c>
      <c r="L876" s="1" t="s">
        <v>44</v>
      </c>
      <c r="M876" s="1" t="s">
        <v>45</v>
      </c>
      <c r="N876" s="1" t="s">
        <v>41</v>
      </c>
      <c r="O876" s="1" t="s">
        <v>58</v>
      </c>
      <c r="P876" s="1" t="s">
        <v>59</v>
      </c>
      <c r="Q876" s="1" t="s">
        <v>60</v>
      </c>
      <c r="R876" s="1" t="s">
        <v>45</v>
      </c>
      <c r="S876" s="1">
        <v>342</v>
      </c>
      <c r="T876" s="1">
        <v>0</v>
      </c>
      <c r="U876" s="13">
        <v>4.6527777777777779E-2</v>
      </c>
      <c r="V876" s="11">
        <v>1840</v>
      </c>
      <c r="W876" s="11">
        <v>-50</v>
      </c>
      <c r="X876" s="8">
        <v>1790</v>
      </c>
      <c r="Y876" s="1" t="s">
        <v>51</v>
      </c>
      <c r="Z876" s="11">
        <v>1030</v>
      </c>
      <c r="AA876" s="11">
        <v>760</v>
      </c>
      <c r="AB876" s="1">
        <v>0</v>
      </c>
      <c r="AC876" s="1">
        <v>0</v>
      </c>
      <c r="AD876" s="1">
        <v>0</v>
      </c>
      <c r="AE876" s="1">
        <v>0</v>
      </c>
      <c r="AF876" s="1"/>
      <c r="AG876" s="1">
        <v>0</v>
      </c>
      <c r="AH876" s="1">
        <v>0</v>
      </c>
      <c r="AI876" s="1">
        <v>0</v>
      </c>
      <c r="AJ876" s="1">
        <v>0</v>
      </c>
      <c r="AK876" s="1">
        <v>2.4016000000000002</v>
      </c>
      <c r="AL876" s="1">
        <v>2.4016000000000002</v>
      </c>
      <c r="AM876" s="1">
        <v>2.4016000000000002</v>
      </c>
    </row>
    <row r="877" spans="1:39" x14ac:dyDescent="0.3">
      <c r="A877" s="21" t="str">
        <f t="shared" si="13"/>
        <v>HFA603LLHA2026-02-19</v>
      </c>
      <c r="B877" t="e">
        <f>VLOOKUP(A877,Sheet1!A877:B2219,1,FALSE)</f>
        <v>#N/A</v>
      </c>
      <c r="C877" s="3">
        <v>46072</v>
      </c>
      <c r="D877" s="1" t="s">
        <v>72</v>
      </c>
      <c r="E877" s="1" t="s">
        <v>38</v>
      </c>
      <c r="F877" s="1" t="s">
        <v>54</v>
      </c>
      <c r="G877" s="1" t="s">
        <v>39</v>
      </c>
      <c r="H877" s="1" t="s">
        <v>222</v>
      </c>
      <c r="I877" s="1" t="s">
        <v>41</v>
      </c>
      <c r="J877" s="1" t="s">
        <v>42</v>
      </c>
      <c r="K877" s="1" t="s">
        <v>43</v>
      </c>
      <c r="L877" s="1" t="s">
        <v>44</v>
      </c>
      <c r="M877" s="1" t="s">
        <v>45</v>
      </c>
      <c r="N877" s="1" t="s">
        <v>41</v>
      </c>
      <c r="O877" s="1" t="s">
        <v>58</v>
      </c>
      <c r="P877" s="1" t="s">
        <v>59</v>
      </c>
      <c r="Q877" s="1" t="s">
        <v>60</v>
      </c>
      <c r="R877" s="1" t="s">
        <v>45</v>
      </c>
      <c r="S877" s="1">
        <v>342</v>
      </c>
      <c r="T877" s="1">
        <v>0</v>
      </c>
      <c r="U877" s="13">
        <v>4.4444444444444439E-2</v>
      </c>
      <c r="V877" s="11">
        <v>1030</v>
      </c>
      <c r="W877" s="11">
        <v>750</v>
      </c>
      <c r="X877" s="8">
        <v>1780</v>
      </c>
      <c r="Y877" s="1" t="s">
        <v>51</v>
      </c>
      <c r="Z877" s="11">
        <v>1010</v>
      </c>
      <c r="AA877" s="11">
        <v>770</v>
      </c>
      <c r="AB877" s="1">
        <v>0</v>
      </c>
      <c r="AC877" s="1">
        <v>0</v>
      </c>
      <c r="AD877" s="1">
        <v>0</v>
      </c>
      <c r="AE877" s="1">
        <v>0</v>
      </c>
      <c r="AF877" s="1"/>
      <c r="AG877" s="1">
        <v>0</v>
      </c>
      <c r="AH877" s="1">
        <v>0</v>
      </c>
      <c r="AI877" s="1">
        <v>0</v>
      </c>
      <c r="AJ877" s="1">
        <v>0</v>
      </c>
      <c r="AK877" s="1">
        <v>2.4331999999999998</v>
      </c>
      <c r="AL877" s="1">
        <v>2.4331999999999998</v>
      </c>
      <c r="AM877" s="1">
        <v>2.4331999999999998</v>
      </c>
    </row>
    <row r="878" spans="1:39" x14ac:dyDescent="0.3">
      <c r="A878" s="21" t="str">
        <f t="shared" si="13"/>
        <v>HFA604LLER2026-02-19</v>
      </c>
      <c r="B878" t="e">
        <f>VLOOKUP(A878,Sheet1!A878:B2220,1,FALSE)</f>
        <v>#N/A</v>
      </c>
      <c r="C878" s="3">
        <v>46072</v>
      </c>
      <c r="D878" s="1" t="s">
        <v>73</v>
      </c>
      <c r="E878" s="1" t="s">
        <v>38</v>
      </c>
      <c r="F878" s="1" t="s">
        <v>54</v>
      </c>
      <c r="G878" s="1" t="s">
        <v>39</v>
      </c>
      <c r="H878" s="1" t="s">
        <v>222</v>
      </c>
      <c r="I878" s="1" t="s">
        <v>41</v>
      </c>
      <c r="J878" s="1" t="s">
        <v>58</v>
      </c>
      <c r="K878" s="1" t="s">
        <v>59</v>
      </c>
      <c r="L878" s="1" t="s">
        <v>60</v>
      </c>
      <c r="M878" s="1" t="s">
        <v>45</v>
      </c>
      <c r="N878" s="1" t="s">
        <v>41</v>
      </c>
      <c r="O878" s="1" t="s">
        <v>42</v>
      </c>
      <c r="P878" s="1" t="s">
        <v>43</v>
      </c>
      <c r="Q878" s="1" t="s">
        <v>44</v>
      </c>
      <c r="R878" s="1" t="s">
        <v>45</v>
      </c>
      <c r="S878" s="1">
        <v>342</v>
      </c>
      <c r="T878" s="1">
        <v>0</v>
      </c>
      <c r="U878" s="13">
        <v>5.0694444444444445E-2</v>
      </c>
      <c r="V878" s="11">
        <v>1010</v>
      </c>
      <c r="W878" s="11">
        <v>1490</v>
      </c>
      <c r="X878" s="8">
        <v>2500</v>
      </c>
      <c r="Y878" s="1" t="s">
        <v>51</v>
      </c>
      <c r="Z878" s="11">
        <v>1750</v>
      </c>
      <c r="AA878" s="11">
        <v>750</v>
      </c>
      <c r="AB878" s="1">
        <v>0</v>
      </c>
      <c r="AC878" s="1">
        <v>0</v>
      </c>
      <c r="AD878" s="1">
        <v>0</v>
      </c>
      <c r="AE878" s="1">
        <v>0</v>
      </c>
      <c r="AF878" s="1"/>
      <c r="AG878" s="1">
        <v>0</v>
      </c>
      <c r="AH878" s="1">
        <v>0</v>
      </c>
      <c r="AI878" s="1">
        <v>0</v>
      </c>
      <c r="AJ878" s="1">
        <v>0</v>
      </c>
      <c r="AK878" s="1">
        <v>2.37</v>
      </c>
      <c r="AL878" s="1">
        <v>2.37</v>
      </c>
      <c r="AM878" s="1">
        <v>2.37</v>
      </c>
    </row>
    <row r="879" spans="1:39" x14ac:dyDescent="0.3">
      <c r="A879" s="21" t="str">
        <f t="shared" si="13"/>
        <v>HFA807LLHA2026-02-19</v>
      </c>
      <c r="B879" t="e">
        <f>VLOOKUP(A879,Sheet1!A879:B2221,1,FALSE)</f>
        <v>#N/A</v>
      </c>
      <c r="C879" s="3">
        <v>46072</v>
      </c>
      <c r="D879" s="1" t="s">
        <v>118</v>
      </c>
      <c r="E879" s="1" t="s">
        <v>38</v>
      </c>
      <c r="F879" s="1"/>
      <c r="G879" s="1" t="s">
        <v>39</v>
      </c>
      <c r="H879" s="1" t="s">
        <v>222</v>
      </c>
      <c r="I879" s="1" t="s">
        <v>41</v>
      </c>
      <c r="J879" s="1" t="s">
        <v>42</v>
      </c>
      <c r="K879" s="1" t="s">
        <v>43</v>
      </c>
      <c r="L879" s="1" t="s">
        <v>44</v>
      </c>
      <c r="M879" s="1" t="s">
        <v>45</v>
      </c>
      <c r="N879" s="1" t="s">
        <v>67</v>
      </c>
      <c r="O879" s="1" t="s">
        <v>86</v>
      </c>
      <c r="P879" s="1" t="s">
        <v>87</v>
      </c>
      <c r="Q879" s="1" t="s">
        <v>88</v>
      </c>
      <c r="R879" s="1" t="s">
        <v>50</v>
      </c>
      <c r="S879" s="1">
        <v>264</v>
      </c>
      <c r="T879" s="1">
        <v>265</v>
      </c>
      <c r="U879" s="13">
        <v>3.6805555555555557E-2</v>
      </c>
      <c r="V879" s="11">
        <v>1750</v>
      </c>
      <c r="W879" s="11">
        <v>0</v>
      </c>
      <c r="X879" s="8">
        <v>1750</v>
      </c>
      <c r="Y879" s="1" t="s">
        <v>51</v>
      </c>
      <c r="Z879" s="11">
        <v>1180</v>
      </c>
      <c r="AA879" s="11">
        <v>570</v>
      </c>
      <c r="AB879" s="1">
        <v>0</v>
      </c>
      <c r="AC879" s="1">
        <v>0</v>
      </c>
      <c r="AD879" s="1">
        <v>0</v>
      </c>
      <c r="AE879" s="1">
        <v>0</v>
      </c>
      <c r="AF879" s="1"/>
      <c r="AG879" s="1">
        <v>0</v>
      </c>
      <c r="AH879" s="1">
        <v>0</v>
      </c>
      <c r="AI879" s="1">
        <v>0</v>
      </c>
      <c r="AJ879" s="1">
        <v>0</v>
      </c>
      <c r="AK879" s="1">
        <v>1.8011999999999999</v>
      </c>
      <c r="AL879" s="1">
        <v>1.8011999999999999</v>
      </c>
      <c r="AM879" s="1">
        <v>1.8011999999999999</v>
      </c>
    </row>
    <row r="880" spans="1:39" x14ac:dyDescent="0.3">
      <c r="A880" s="21" t="str">
        <f t="shared" si="13"/>
        <v>HFA808LCLK2026-02-19</v>
      </c>
      <c r="B880" t="e">
        <f>VLOOKUP(A880,Sheet1!A880:B2222,1,FALSE)</f>
        <v>#N/A</v>
      </c>
      <c r="C880" s="3">
        <v>46072</v>
      </c>
      <c r="D880" s="1" t="s">
        <v>119</v>
      </c>
      <c r="E880" s="1" t="s">
        <v>38</v>
      </c>
      <c r="F880" s="1"/>
      <c r="G880" s="1" t="s">
        <v>39</v>
      </c>
      <c r="H880" s="1" t="s">
        <v>222</v>
      </c>
      <c r="I880" s="1" t="s">
        <v>67</v>
      </c>
      <c r="J880" s="1" t="s">
        <v>86</v>
      </c>
      <c r="K880" s="1" t="s">
        <v>87</v>
      </c>
      <c r="L880" s="1" t="s">
        <v>88</v>
      </c>
      <c r="M880" s="1" t="s">
        <v>50</v>
      </c>
      <c r="N880" s="1" t="s">
        <v>41</v>
      </c>
      <c r="O880" s="1" t="s">
        <v>42</v>
      </c>
      <c r="P880" s="1" t="s">
        <v>43</v>
      </c>
      <c r="Q880" s="1" t="s">
        <v>44</v>
      </c>
      <c r="R880" s="1" t="s">
        <v>45</v>
      </c>
      <c r="S880" s="1">
        <v>264</v>
      </c>
      <c r="T880" s="1">
        <v>265</v>
      </c>
      <c r="U880" s="13">
        <v>3.6111111111111108E-2</v>
      </c>
      <c r="V880" s="11">
        <v>1180</v>
      </c>
      <c r="W880" s="11">
        <v>920</v>
      </c>
      <c r="X880" s="8">
        <v>2100</v>
      </c>
      <c r="Y880" s="1" t="s">
        <v>51</v>
      </c>
      <c r="Z880" s="11">
        <v>1640</v>
      </c>
      <c r="AA880" s="11">
        <v>460</v>
      </c>
      <c r="AB880" s="1">
        <v>0</v>
      </c>
      <c r="AC880" s="1">
        <v>0</v>
      </c>
      <c r="AD880" s="1">
        <v>0</v>
      </c>
      <c r="AE880" s="1">
        <v>0</v>
      </c>
      <c r="AF880" s="1"/>
      <c r="AG880" s="1">
        <v>0</v>
      </c>
      <c r="AH880" s="1">
        <v>0</v>
      </c>
      <c r="AI880" s="1">
        <v>0</v>
      </c>
      <c r="AJ880" s="1">
        <v>0</v>
      </c>
      <c r="AK880" s="1">
        <v>1.4536</v>
      </c>
      <c r="AL880" s="1">
        <v>1.4536</v>
      </c>
      <c r="AM880" s="1">
        <v>1.4536</v>
      </c>
    </row>
    <row r="881" spans="1:39" x14ac:dyDescent="0.3">
      <c r="A881" s="21" t="str">
        <f t="shared" si="13"/>
        <v>HFA701LLHA2026-02-20</v>
      </c>
      <c r="B881" t="e">
        <f>VLOOKUP(A881,Sheet1!A881:B2223,1,FALSE)</f>
        <v>#N/A</v>
      </c>
      <c r="C881" s="3">
        <v>46073</v>
      </c>
      <c r="D881" s="1" t="s">
        <v>53</v>
      </c>
      <c r="E881" s="1" t="s">
        <v>38</v>
      </c>
      <c r="F881" s="1"/>
      <c r="G881" s="1" t="s">
        <v>39</v>
      </c>
      <c r="H881" s="1" t="s">
        <v>222</v>
      </c>
      <c r="I881" s="1" t="s">
        <v>41</v>
      </c>
      <c r="J881" s="1" t="s">
        <v>42</v>
      </c>
      <c r="K881" s="1" t="s">
        <v>43</v>
      </c>
      <c r="L881" s="1" t="s">
        <v>44</v>
      </c>
      <c r="M881" s="1" t="s">
        <v>45</v>
      </c>
      <c r="N881" s="1" t="s">
        <v>46</v>
      </c>
      <c r="O881" s="1" t="s">
        <v>47</v>
      </c>
      <c r="P881" s="1" t="s">
        <v>48</v>
      </c>
      <c r="Q881" s="1" t="s">
        <v>49</v>
      </c>
      <c r="R881" s="1" t="s">
        <v>50</v>
      </c>
      <c r="S881" s="1">
        <v>1157</v>
      </c>
      <c r="T881" s="1">
        <v>0</v>
      </c>
      <c r="U881" s="13">
        <v>0.11944444444444444</v>
      </c>
      <c r="V881" s="11">
        <v>1640</v>
      </c>
      <c r="W881" s="11">
        <v>1160</v>
      </c>
      <c r="X881" s="8">
        <v>2800</v>
      </c>
      <c r="Y881" s="1" t="s">
        <v>51</v>
      </c>
      <c r="Z881" s="11">
        <v>840</v>
      </c>
      <c r="AA881" s="11">
        <v>1960</v>
      </c>
      <c r="AB881" s="1">
        <v>0</v>
      </c>
      <c r="AC881" s="1">
        <v>0</v>
      </c>
      <c r="AD881" s="1">
        <v>0</v>
      </c>
      <c r="AE881" s="1">
        <v>0</v>
      </c>
      <c r="AF881" s="1"/>
      <c r="AG881" s="1">
        <v>0</v>
      </c>
      <c r="AH881" s="1">
        <v>0</v>
      </c>
      <c r="AI881" s="1">
        <v>0</v>
      </c>
      <c r="AJ881" s="1">
        <v>0</v>
      </c>
      <c r="AK881" s="1">
        <v>6.1936</v>
      </c>
      <c r="AL881" s="1">
        <v>6.1936</v>
      </c>
      <c r="AM881" s="1">
        <v>6.1936</v>
      </c>
    </row>
    <row r="882" spans="1:39" x14ac:dyDescent="0.3">
      <c r="A882" s="21" t="str">
        <f t="shared" si="13"/>
        <v>HFA702LGAV2026-02-20</v>
      </c>
      <c r="B882" t="e">
        <f>VLOOKUP(A882,Sheet1!A882:B2224,1,FALSE)</f>
        <v>#N/A</v>
      </c>
      <c r="C882" s="3">
        <v>46073</v>
      </c>
      <c r="D882" s="1" t="s">
        <v>56</v>
      </c>
      <c r="E882" s="1" t="s">
        <v>38</v>
      </c>
      <c r="F882" s="1"/>
      <c r="G882" s="1" t="s">
        <v>39</v>
      </c>
      <c r="H882" s="1" t="s">
        <v>222</v>
      </c>
      <c r="I882" s="1" t="s">
        <v>46</v>
      </c>
      <c r="J882" s="1" t="s">
        <v>47</v>
      </c>
      <c r="K882" s="1" t="s">
        <v>48</v>
      </c>
      <c r="L882" s="1" t="s">
        <v>49</v>
      </c>
      <c r="M882" s="1" t="s">
        <v>50</v>
      </c>
      <c r="N882" s="1" t="s">
        <v>41</v>
      </c>
      <c r="O882" s="1" t="s">
        <v>42</v>
      </c>
      <c r="P882" s="1" t="s">
        <v>43</v>
      </c>
      <c r="Q882" s="1" t="s">
        <v>44</v>
      </c>
      <c r="R882" s="1" t="s">
        <v>45</v>
      </c>
      <c r="S882" s="1">
        <v>1157</v>
      </c>
      <c r="T882" s="1">
        <v>0</v>
      </c>
      <c r="U882" s="13">
        <v>0.1048611111111111</v>
      </c>
      <c r="V882" s="11">
        <v>840</v>
      </c>
      <c r="W882" s="11">
        <v>2360</v>
      </c>
      <c r="X882" s="8">
        <v>3200</v>
      </c>
      <c r="Y882" s="1" t="s">
        <v>51</v>
      </c>
      <c r="Z882" s="11">
        <v>1750</v>
      </c>
      <c r="AA882" s="11">
        <v>1450</v>
      </c>
      <c r="AB882" s="1">
        <v>0</v>
      </c>
      <c r="AC882" s="1">
        <v>0</v>
      </c>
      <c r="AD882" s="1">
        <v>0</v>
      </c>
      <c r="AE882" s="1">
        <v>0</v>
      </c>
      <c r="AF882" s="1"/>
      <c r="AG882" s="1">
        <v>0</v>
      </c>
      <c r="AH882" s="1">
        <v>0</v>
      </c>
      <c r="AI882" s="1">
        <v>0</v>
      </c>
      <c r="AJ882" s="1">
        <v>0</v>
      </c>
      <c r="AK882" s="1">
        <v>4.5819999999999999</v>
      </c>
      <c r="AL882" s="1">
        <v>4.5819999999999999</v>
      </c>
      <c r="AM882" s="1">
        <v>4.5819999999999999</v>
      </c>
    </row>
    <row r="883" spans="1:39" x14ac:dyDescent="0.3">
      <c r="A883" s="21" t="str">
        <f t="shared" si="13"/>
        <v>HFA853LLHA2026-02-21</v>
      </c>
      <c r="B883" t="str">
        <f>VLOOKUP(A883,Sheet1!A883:B2225,1,FALSE)</f>
        <v>HFA853LLHA2026-02-21</v>
      </c>
      <c r="C883" s="3">
        <v>46074</v>
      </c>
      <c r="D883" s="1" t="s">
        <v>223</v>
      </c>
      <c r="E883" s="1" t="s">
        <v>38</v>
      </c>
      <c r="F883" s="1"/>
      <c r="G883" s="1" t="s">
        <v>39</v>
      </c>
      <c r="H883" s="1" t="s">
        <v>222</v>
      </c>
      <c r="I883" s="1" t="s">
        <v>41</v>
      </c>
      <c r="J883" s="1" t="s">
        <v>42</v>
      </c>
      <c r="K883" s="1" t="s">
        <v>43</v>
      </c>
      <c r="L883" s="1" t="s">
        <v>44</v>
      </c>
      <c r="M883" s="1" t="s">
        <v>45</v>
      </c>
      <c r="N883" s="1" t="s">
        <v>67</v>
      </c>
      <c r="O883" s="1" t="s">
        <v>68</v>
      </c>
      <c r="P883" s="1" t="s">
        <v>69</v>
      </c>
      <c r="Q883" s="1" t="s">
        <v>70</v>
      </c>
      <c r="R883" s="1" t="s">
        <v>50</v>
      </c>
      <c r="S883" s="1">
        <v>318</v>
      </c>
      <c r="T883" s="1">
        <v>0</v>
      </c>
      <c r="U883" s="13">
        <v>4.7916666666666663E-2</v>
      </c>
      <c r="V883" s="11">
        <v>1750</v>
      </c>
      <c r="W883" s="11">
        <v>0</v>
      </c>
      <c r="X883" s="8">
        <v>1750</v>
      </c>
      <c r="Y883" s="1" t="s">
        <v>51</v>
      </c>
      <c r="Z883" s="11">
        <v>1000</v>
      </c>
      <c r="AA883" s="11">
        <v>750</v>
      </c>
      <c r="AB883" s="1">
        <v>0</v>
      </c>
      <c r="AC883" s="1">
        <v>0</v>
      </c>
      <c r="AD883" s="1">
        <v>0</v>
      </c>
      <c r="AE883" s="1">
        <v>0</v>
      </c>
      <c r="AF883" s="1"/>
      <c r="AG883" s="1">
        <v>0</v>
      </c>
      <c r="AH883" s="1">
        <v>0</v>
      </c>
      <c r="AI883" s="1">
        <v>0</v>
      </c>
      <c r="AJ883" s="1">
        <v>0</v>
      </c>
      <c r="AK883" s="1">
        <v>2.37</v>
      </c>
      <c r="AL883" s="1">
        <v>2.37</v>
      </c>
      <c r="AM883" s="1">
        <v>2.37</v>
      </c>
    </row>
    <row r="884" spans="1:39" x14ac:dyDescent="0.3">
      <c r="A884" s="21" t="str">
        <f t="shared" si="13"/>
        <v>HFA854LCPH2026-02-21</v>
      </c>
      <c r="B884" t="str">
        <f>VLOOKUP(A884,Sheet1!A884:B2226,1,FALSE)</f>
        <v>HFA854LCPH2026-02-21</v>
      </c>
      <c r="C884" s="3">
        <v>46074</v>
      </c>
      <c r="D884" s="1" t="s">
        <v>224</v>
      </c>
      <c r="E884" s="1" t="s">
        <v>38</v>
      </c>
      <c r="F884" s="1"/>
      <c r="G884" s="1" t="s">
        <v>39</v>
      </c>
      <c r="H884" s="1" t="s">
        <v>222</v>
      </c>
      <c r="I884" s="1" t="s">
        <v>67</v>
      </c>
      <c r="J884" s="1" t="s">
        <v>68</v>
      </c>
      <c r="K884" s="1" t="s">
        <v>69</v>
      </c>
      <c r="L884" s="1" t="s">
        <v>70</v>
      </c>
      <c r="M884" s="1" t="s">
        <v>50</v>
      </c>
      <c r="N884" s="1" t="s">
        <v>41</v>
      </c>
      <c r="O884" s="1" t="s">
        <v>42</v>
      </c>
      <c r="P884" s="1" t="s">
        <v>43</v>
      </c>
      <c r="Q884" s="1" t="s">
        <v>44</v>
      </c>
      <c r="R884" s="1" t="s">
        <v>45</v>
      </c>
      <c r="S884" s="1">
        <v>318</v>
      </c>
      <c r="T884" s="1">
        <v>0</v>
      </c>
      <c r="U884" s="13">
        <v>4.5138888888888888E-2</v>
      </c>
      <c r="V884" s="11">
        <v>1000</v>
      </c>
      <c r="W884" s="11">
        <v>1500</v>
      </c>
      <c r="X884" s="8">
        <v>2500</v>
      </c>
      <c r="Y884" s="1" t="s">
        <v>51</v>
      </c>
      <c r="Z884" s="11">
        <v>1880</v>
      </c>
      <c r="AA884" s="11">
        <v>620</v>
      </c>
      <c r="AB884" s="1">
        <v>0</v>
      </c>
      <c r="AC884" s="1">
        <v>0</v>
      </c>
      <c r="AD884" s="1">
        <v>0</v>
      </c>
      <c r="AE884" s="1">
        <v>0</v>
      </c>
      <c r="AF884" s="1"/>
      <c r="AG884" s="1">
        <v>0</v>
      </c>
      <c r="AH884" s="1">
        <v>0</v>
      </c>
      <c r="AI884" s="1">
        <v>0</v>
      </c>
      <c r="AJ884" s="1">
        <v>0</v>
      </c>
      <c r="AK884" s="1">
        <v>1.9592000000000001</v>
      </c>
      <c r="AL884" s="1">
        <v>1.9592000000000001</v>
      </c>
      <c r="AM884" s="1">
        <v>1.9592000000000001</v>
      </c>
    </row>
    <row r="885" spans="1:39" x14ac:dyDescent="0.3">
      <c r="A885" s="21" t="str">
        <f t="shared" si="13"/>
        <v>HFA603LLHA2026-02-21</v>
      </c>
      <c r="B885" t="e">
        <f>VLOOKUP(A885,Sheet1!A885:B2227,1,FALSE)</f>
        <v>#N/A</v>
      </c>
      <c r="C885" s="3">
        <v>46074</v>
      </c>
      <c r="D885" s="1" t="s">
        <v>72</v>
      </c>
      <c r="E885" s="1" t="s">
        <v>38</v>
      </c>
      <c r="F885" s="1" t="s">
        <v>54</v>
      </c>
      <c r="G885" s="1" t="s">
        <v>39</v>
      </c>
      <c r="H885" s="1" t="s">
        <v>222</v>
      </c>
      <c r="I885" s="1" t="s">
        <v>41</v>
      </c>
      <c r="J885" s="1" t="s">
        <v>42</v>
      </c>
      <c r="K885" s="1" t="s">
        <v>43</v>
      </c>
      <c r="L885" s="1" t="s">
        <v>44</v>
      </c>
      <c r="M885" s="1" t="s">
        <v>45</v>
      </c>
      <c r="N885" s="1" t="s">
        <v>41</v>
      </c>
      <c r="O885" s="1" t="s">
        <v>58</v>
      </c>
      <c r="P885" s="1" t="s">
        <v>59</v>
      </c>
      <c r="Q885" s="1" t="s">
        <v>60</v>
      </c>
      <c r="R885" s="1" t="s">
        <v>45</v>
      </c>
      <c r="S885" s="1">
        <v>342</v>
      </c>
      <c r="T885" s="1">
        <v>0</v>
      </c>
      <c r="U885" s="13">
        <v>5.0694444444444445E-2</v>
      </c>
      <c r="V885" s="11">
        <v>1880</v>
      </c>
      <c r="W885" s="11">
        <v>0</v>
      </c>
      <c r="X885" s="8">
        <v>1880</v>
      </c>
      <c r="Y885" s="1" t="s">
        <v>51</v>
      </c>
      <c r="Z885" s="11">
        <v>1100</v>
      </c>
      <c r="AA885" s="11">
        <v>780</v>
      </c>
      <c r="AB885" s="1">
        <v>0</v>
      </c>
      <c r="AC885" s="1">
        <v>0</v>
      </c>
      <c r="AD885" s="1">
        <v>0</v>
      </c>
      <c r="AE885" s="1">
        <v>0</v>
      </c>
      <c r="AF885" s="1"/>
      <c r="AG885" s="1">
        <v>0</v>
      </c>
      <c r="AH885" s="1">
        <v>0</v>
      </c>
      <c r="AI885" s="1">
        <v>0</v>
      </c>
      <c r="AJ885" s="1">
        <v>0</v>
      </c>
      <c r="AK885" s="1">
        <v>2.4647999999999999</v>
      </c>
      <c r="AL885" s="1">
        <v>2.4647999999999999</v>
      </c>
      <c r="AM885" s="1">
        <v>2.4647999999999999</v>
      </c>
    </row>
    <row r="886" spans="1:39" x14ac:dyDescent="0.3">
      <c r="A886" s="21" t="str">
        <f t="shared" si="13"/>
        <v>HFA604LLER2026-02-21</v>
      </c>
      <c r="B886" t="e">
        <f>VLOOKUP(A886,Sheet1!A886:B2228,1,FALSE)</f>
        <v>#N/A</v>
      </c>
      <c r="C886" s="3">
        <v>46074</v>
      </c>
      <c r="D886" s="1" t="s">
        <v>73</v>
      </c>
      <c r="E886" s="1" t="s">
        <v>38</v>
      </c>
      <c r="F886" s="1" t="s">
        <v>54</v>
      </c>
      <c r="G886" s="1" t="s">
        <v>39</v>
      </c>
      <c r="H886" s="1" t="s">
        <v>222</v>
      </c>
      <c r="I886" s="1" t="s">
        <v>41</v>
      </c>
      <c r="J886" s="1" t="s">
        <v>58</v>
      </c>
      <c r="K886" s="1" t="s">
        <v>59</v>
      </c>
      <c r="L886" s="1" t="s">
        <v>60</v>
      </c>
      <c r="M886" s="1" t="s">
        <v>45</v>
      </c>
      <c r="N886" s="1" t="s">
        <v>41</v>
      </c>
      <c r="O886" s="1" t="s">
        <v>42</v>
      </c>
      <c r="P886" s="1" t="s">
        <v>43</v>
      </c>
      <c r="Q886" s="1" t="s">
        <v>44</v>
      </c>
      <c r="R886" s="1" t="s">
        <v>45</v>
      </c>
      <c r="S886" s="1">
        <v>342</v>
      </c>
      <c r="T886" s="1">
        <v>0</v>
      </c>
      <c r="U886" s="13">
        <v>4.3055555555555555E-2</v>
      </c>
      <c r="V886" s="11">
        <v>1100</v>
      </c>
      <c r="W886" s="11">
        <v>1400</v>
      </c>
      <c r="X886" s="8">
        <v>2500</v>
      </c>
      <c r="Y886" s="1" t="s">
        <v>51</v>
      </c>
      <c r="Z886" s="11">
        <v>1900</v>
      </c>
      <c r="AA886" s="11">
        <v>600</v>
      </c>
      <c r="AB886" s="1">
        <v>0</v>
      </c>
      <c r="AC886" s="1">
        <v>0</v>
      </c>
      <c r="AD886" s="1">
        <v>0</v>
      </c>
      <c r="AE886" s="1">
        <v>0</v>
      </c>
      <c r="AF886" s="1"/>
      <c r="AG886" s="1">
        <v>0</v>
      </c>
      <c r="AH886" s="1">
        <v>0</v>
      </c>
      <c r="AI886" s="1">
        <v>0</v>
      </c>
      <c r="AJ886" s="1">
        <v>0</v>
      </c>
      <c r="AK886" s="1">
        <v>1.8959999999999999</v>
      </c>
      <c r="AL886" s="1">
        <v>1.8959999999999999</v>
      </c>
      <c r="AM886" s="1">
        <v>1.8959999999999999</v>
      </c>
    </row>
    <row r="887" spans="1:39" x14ac:dyDescent="0.3">
      <c r="A887" s="21" t="str">
        <f t="shared" si="13"/>
        <v>HFA601LLHA2026-02-22</v>
      </c>
      <c r="B887" t="e">
        <f>VLOOKUP(A887,Sheet1!A887:B2229,1,FALSE)</f>
        <v>#N/A</v>
      </c>
      <c r="C887" s="3">
        <v>46075</v>
      </c>
      <c r="D887" s="1" t="s">
        <v>57</v>
      </c>
      <c r="E887" s="1" t="s">
        <v>38</v>
      </c>
      <c r="F887" s="1" t="s">
        <v>54</v>
      </c>
      <c r="G887" s="1" t="s">
        <v>39</v>
      </c>
      <c r="H887" s="1" t="s">
        <v>222</v>
      </c>
      <c r="I887" s="1" t="s">
        <v>41</v>
      </c>
      <c r="J887" s="1" t="s">
        <v>42</v>
      </c>
      <c r="K887" s="1" t="s">
        <v>43</v>
      </c>
      <c r="L887" s="1" t="s">
        <v>44</v>
      </c>
      <c r="M887" s="1" t="s">
        <v>45</v>
      </c>
      <c r="N887" s="1" t="s">
        <v>41</v>
      </c>
      <c r="O887" s="1" t="s">
        <v>58</v>
      </c>
      <c r="P887" s="1" t="s">
        <v>59</v>
      </c>
      <c r="Q887" s="1" t="s">
        <v>60</v>
      </c>
      <c r="R887" s="1" t="s">
        <v>45</v>
      </c>
      <c r="S887" s="1">
        <v>342</v>
      </c>
      <c r="T887" s="1">
        <v>0</v>
      </c>
      <c r="U887" s="13">
        <v>4.7222222222222221E-2</v>
      </c>
      <c r="V887" s="11">
        <v>1900</v>
      </c>
      <c r="W887" s="11">
        <v>-20</v>
      </c>
      <c r="X887" s="8">
        <v>1880</v>
      </c>
      <c r="Y887" s="1" t="s">
        <v>51</v>
      </c>
      <c r="Z887" s="11">
        <v>1120</v>
      </c>
      <c r="AA887" s="11">
        <v>760</v>
      </c>
      <c r="AB887" s="1">
        <v>0</v>
      </c>
      <c r="AC887" s="1">
        <v>0</v>
      </c>
      <c r="AD887" s="1">
        <v>0</v>
      </c>
      <c r="AE887" s="1">
        <v>0</v>
      </c>
      <c r="AF887" s="1"/>
      <c r="AG887" s="1">
        <v>0</v>
      </c>
      <c r="AH887" s="1">
        <v>0</v>
      </c>
      <c r="AI887" s="1">
        <v>0</v>
      </c>
      <c r="AJ887" s="1">
        <v>0</v>
      </c>
      <c r="AK887" s="1">
        <v>2.4016000000000002</v>
      </c>
      <c r="AL887" s="1">
        <v>2.4016000000000002</v>
      </c>
      <c r="AM887" s="1">
        <v>2.4016000000000002</v>
      </c>
    </row>
    <row r="888" spans="1:39" x14ac:dyDescent="0.3">
      <c r="A888" s="21" t="str">
        <f t="shared" si="13"/>
        <v>HFA602LLER2026-02-22</v>
      </c>
      <c r="B888" t="e">
        <f>VLOOKUP(A888,Sheet1!A888:B2230,1,FALSE)</f>
        <v>#N/A</v>
      </c>
      <c r="C888" s="3">
        <v>46075</v>
      </c>
      <c r="D888" s="1" t="s">
        <v>61</v>
      </c>
      <c r="E888" s="1" t="s">
        <v>38</v>
      </c>
      <c r="F888" s="1" t="s">
        <v>54</v>
      </c>
      <c r="G888" s="1" t="s">
        <v>39</v>
      </c>
      <c r="H888" s="1" t="s">
        <v>222</v>
      </c>
      <c r="I888" s="1" t="s">
        <v>41</v>
      </c>
      <c r="J888" s="1" t="s">
        <v>58</v>
      </c>
      <c r="K888" s="1" t="s">
        <v>59</v>
      </c>
      <c r="L888" s="1" t="s">
        <v>60</v>
      </c>
      <c r="M888" s="1" t="s">
        <v>45</v>
      </c>
      <c r="N888" s="1" t="s">
        <v>41</v>
      </c>
      <c r="O888" s="1" t="s">
        <v>42</v>
      </c>
      <c r="P888" s="1" t="s">
        <v>43</v>
      </c>
      <c r="Q888" s="1" t="s">
        <v>44</v>
      </c>
      <c r="R888" s="1" t="s">
        <v>45</v>
      </c>
      <c r="S888" s="1">
        <v>342</v>
      </c>
      <c r="T888" s="1">
        <v>0</v>
      </c>
      <c r="U888" s="13">
        <v>4.5138888888888888E-2</v>
      </c>
      <c r="V888" s="11">
        <v>1120</v>
      </c>
      <c r="W888" s="11">
        <v>1380</v>
      </c>
      <c r="X888" s="8">
        <v>2500</v>
      </c>
      <c r="Y888" s="1" t="s">
        <v>51</v>
      </c>
      <c r="Z888" s="11">
        <v>1860</v>
      </c>
      <c r="AA888" s="11">
        <v>640</v>
      </c>
      <c r="AB888" s="1">
        <v>0</v>
      </c>
      <c r="AC888" s="1">
        <v>0</v>
      </c>
      <c r="AD888" s="1">
        <v>0</v>
      </c>
      <c r="AE888" s="1">
        <v>0</v>
      </c>
      <c r="AF888" s="1"/>
      <c r="AG888" s="1">
        <v>0</v>
      </c>
      <c r="AH888" s="1">
        <v>0</v>
      </c>
      <c r="AI888" s="1">
        <v>0</v>
      </c>
      <c r="AJ888" s="1">
        <v>0</v>
      </c>
      <c r="AK888" s="1">
        <v>2.0224000000000002</v>
      </c>
      <c r="AL888" s="1">
        <v>2.0224000000000002</v>
      </c>
      <c r="AM888" s="1">
        <v>2.0224000000000002</v>
      </c>
    </row>
    <row r="889" spans="1:39" x14ac:dyDescent="0.3">
      <c r="A889" s="21" t="str">
        <f t="shared" si="13"/>
        <v>HFA601LLHA2026-02-23</v>
      </c>
      <c r="B889" t="e">
        <f>VLOOKUP(A889,Sheet1!A889:B2231,1,FALSE)</f>
        <v>#N/A</v>
      </c>
      <c r="C889" s="3">
        <v>46076</v>
      </c>
      <c r="D889" s="1" t="s">
        <v>57</v>
      </c>
      <c r="E889" s="1" t="s">
        <v>38</v>
      </c>
      <c r="F889" s="1" t="s">
        <v>54</v>
      </c>
      <c r="G889" s="1" t="s">
        <v>39</v>
      </c>
      <c r="H889" s="1" t="s">
        <v>222</v>
      </c>
      <c r="I889" s="1" t="s">
        <v>41</v>
      </c>
      <c r="J889" s="1" t="s">
        <v>42</v>
      </c>
      <c r="K889" s="1" t="s">
        <v>43</v>
      </c>
      <c r="L889" s="1" t="s">
        <v>44</v>
      </c>
      <c r="M889" s="1" t="s">
        <v>45</v>
      </c>
      <c r="N889" s="1" t="s">
        <v>41</v>
      </c>
      <c r="O889" s="1" t="s">
        <v>58</v>
      </c>
      <c r="P889" s="1" t="s">
        <v>59</v>
      </c>
      <c r="Q889" s="1" t="s">
        <v>60</v>
      </c>
      <c r="R889" s="1" t="s">
        <v>45</v>
      </c>
      <c r="S889" s="1">
        <v>342</v>
      </c>
      <c r="T889" s="1">
        <v>0</v>
      </c>
      <c r="U889" s="13">
        <v>4.7222222222222221E-2</v>
      </c>
      <c r="V889" s="11">
        <v>1860</v>
      </c>
      <c r="W889" s="11">
        <v>140</v>
      </c>
      <c r="X889" s="8">
        <v>2000</v>
      </c>
      <c r="Y889" s="1" t="s">
        <v>51</v>
      </c>
      <c r="Z889" s="11">
        <v>1950</v>
      </c>
      <c r="AA889" s="11">
        <v>50</v>
      </c>
      <c r="AB889" s="1">
        <v>0</v>
      </c>
      <c r="AC889" s="1">
        <v>0</v>
      </c>
      <c r="AD889" s="1">
        <v>0</v>
      </c>
      <c r="AE889" s="1">
        <v>0</v>
      </c>
      <c r="AF889" s="1"/>
      <c r="AG889" s="1">
        <v>0</v>
      </c>
      <c r="AH889" s="1">
        <v>0</v>
      </c>
      <c r="AI889" s="1">
        <v>0</v>
      </c>
      <c r="AJ889" s="1">
        <v>0</v>
      </c>
      <c r="AK889" s="1">
        <v>0.158</v>
      </c>
      <c r="AL889" s="1">
        <v>0.158</v>
      </c>
      <c r="AM889" s="1">
        <v>0.158</v>
      </c>
    </row>
    <row r="890" spans="1:39" x14ac:dyDescent="0.3">
      <c r="A890" s="21" t="str">
        <f t="shared" si="13"/>
        <v>HFA602LLER2026-02-23</v>
      </c>
      <c r="B890" t="e">
        <f>VLOOKUP(A890,Sheet1!A890:B2232,1,FALSE)</f>
        <v>#N/A</v>
      </c>
      <c r="C890" s="3">
        <v>46076</v>
      </c>
      <c r="D890" s="1" t="s">
        <v>61</v>
      </c>
      <c r="E890" s="1" t="s">
        <v>38</v>
      </c>
      <c r="F890" s="1" t="s">
        <v>54</v>
      </c>
      <c r="G890" s="1" t="s">
        <v>39</v>
      </c>
      <c r="H890" s="1" t="s">
        <v>222</v>
      </c>
      <c r="I890" s="1" t="s">
        <v>41</v>
      </c>
      <c r="J890" s="1" t="s">
        <v>58</v>
      </c>
      <c r="K890" s="1" t="s">
        <v>59</v>
      </c>
      <c r="L890" s="1" t="s">
        <v>60</v>
      </c>
      <c r="M890" s="1" t="s">
        <v>45</v>
      </c>
      <c r="N890" s="1" t="s">
        <v>41</v>
      </c>
      <c r="O890" s="1" t="s">
        <v>42</v>
      </c>
      <c r="P890" s="1" t="s">
        <v>43</v>
      </c>
      <c r="Q890" s="1" t="s">
        <v>44</v>
      </c>
      <c r="R890" s="1" t="s">
        <v>45</v>
      </c>
      <c r="S890" s="1">
        <v>342</v>
      </c>
      <c r="T890" s="1">
        <v>0</v>
      </c>
      <c r="U890" s="13">
        <v>3.9583333333333331E-2</v>
      </c>
      <c r="V890" s="11">
        <v>1950</v>
      </c>
      <c r="W890" s="11">
        <v>650</v>
      </c>
      <c r="X890" s="8">
        <v>2600</v>
      </c>
      <c r="Y890" s="1" t="s">
        <v>51</v>
      </c>
      <c r="Z890" s="11">
        <v>2000</v>
      </c>
      <c r="AA890" s="11">
        <v>600</v>
      </c>
      <c r="AB890" s="1">
        <v>0</v>
      </c>
      <c r="AC890" s="1">
        <v>0</v>
      </c>
      <c r="AD890" s="1">
        <v>0</v>
      </c>
      <c r="AE890" s="1">
        <v>0</v>
      </c>
      <c r="AF890" s="1"/>
      <c r="AG890" s="1">
        <v>0</v>
      </c>
      <c r="AH890" s="1">
        <v>0</v>
      </c>
      <c r="AI890" s="1">
        <v>0</v>
      </c>
      <c r="AJ890" s="1">
        <v>0</v>
      </c>
      <c r="AK890" s="1">
        <v>1.8959999999999999</v>
      </c>
      <c r="AL890" s="1">
        <v>1.8959999999999999</v>
      </c>
      <c r="AM890" s="1">
        <v>1.8959999999999999</v>
      </c>
    </row>
    <row r="891" spans="1:39" x14ac:dyDescent="0.3">
      <c r="A891" s="21" t="str">
        <f t="shared" si="13"/>
        <v>HFA703LLHA2026-02-23</v>
      </c>
      <c r="B891" t="e">
        <f>VLOOKUP(A891,Sheet1!A891:B2233,1,FALSE)</f>
        <v>#N/A</v>
      </c>
      <c r="C891" s="3">
        <v>46076</v>
      </c>
      <c r="D891" s="1" t="s">
        <v>37</v>
      </c>
      <c r="E891" s="1" t="s">
        <v>38</v>
      </c>
      <c r="F891" s="1"/>
      <c r="G891" s="1" t="s">
        <v>39</v>
      </c>
      <c r="H891" s="1" t="s">
        <v>222</v>
      </c>
      <c r="I891" s="1" t="s">
        <v>41</v>
      </c>
      <c r="J891" s="1" t="s">
        <v>42</v>
      </c>
      <c r="K891" s="1" t="s">
        <v>43</v>
      </c>
      <c r="L891" s="1" t="s">
        <v>44</v>
      </c>
      <c r="M891" s="1" t="s">
        <v>45</v>
      </c>
      <c r="N891" s="1" t="s">
        <v>46</v>
      </c>
      <c r="O891" s="1" t="s">
        <v>47</v>
      </c>
      <c r="P891" s="1" t="s">
        <v>48</v>
      </c>
      <c r="Q891" s="1" t="s">
        <v>49</v>
      </c>
      <c r="R891" s="1" t="s">
        <v>50</v>
      </c>
      <c r="S891" s="1">
        <v>1157</v>
      </c>
      <c r="T891" s="1">
        <v>0</v>
      </c>
      <c r="U891" s="13">
        <v>0.12430555555555556</v>
      </c>
      <c r="V891" s="11">
        <v>2000</v>
      </c>
      <c r="W891" s="11">
        <v>900</v>
      </c>
      <c r="X891" s="8">
        <v>2900</v>
      </c>
      <c r="Y891" s="1" t="s">
        <v>51</v>
      </c>
      <c r="Z891" s="11">
        <v>960</v>
      </c>
      <c r="AA891" s="11">
        <v>1940</v>
      </c>
      <c r="AB891" s="1">
        <v>0</v>
      </c>
      <c r="AC891" s="1">
        <v>0</v>
      </c>
      <c r="AD891" s="1">
        <v>0</v>
      </c>
      <c r="AE891" s="1">
        <v>0</v>
      </c>
      <c r="AF891" s="1"/>
      <c r="AG891" s="1">
        <v>0</v>
      </c>
      <c r="AH891" s="1">
        <v>0</v>
      </c>
      <c r="AI891" s="1">
        <v>0</v>
      </c>
      <c r="AJ891" s="1">
        <v>0</v>
      </c>
      <c r="AK891" s="1">
        <v>6.1303999999999998</v>
      </c>
      <c r="AL891" s="1">
        <v>6.1303999999999998</v>
      </c>
      <c r="AM891" s="1">
        <v>6.1303999999999998</v>
      </c>
    </row>
    <row r="892" spans="1:39" x14ac:dyDescent="0.3">
      <c r="A892" s="21" t="str">
        <f t="shared" si="13"/>
        <v>HFA704LGAV2026-02-23</v>
      </c>
      <c r="B892" t="e">
        <f>VLOOKUP(A892,Sheet1!A892:B2234,1,FALSE)</f>
        <v>#N/A</v>
      </c>
      <c r="C892" s="3">
        <v>46076</v>
      </c>
      <c r="D892" s="1" t="s">
        <v>52</v>
      </c>
      <c r="E892" s="1" t="s">
        <v>38</v>
      </c>
      <c r="F892" s="1"/>
      <c r="G892" s="1" t="s">
        <v>39</v>
      </c>
      <c r="H892" s="1" t="s">
        <v>222</v>
      </c>
      <c r="I892" s="1" t="s">
        <v>46</v>
      </c>
      <c r="J892" s="1" t="s">
        <v>47</v>
      </c>
      <c r="K892" s="1" t="s">
        <v>48</v>
      </c>
      <c r="L892" s="1" t="s">
        <v>49</v>
      </c>
      <c r="M892" s="1" t="s">
        <v>50</v>
      </c>
      <c r="N892" s="1" t="s">
        <v>41</v>
      </c>
      <c r="O892" s="1" t="s">
        <v>42</v>
      </c>
      <c r="P892" s="1" t="s">
        <v>43</v>
      </c>
      <c r="Q892" s="1" t="s">
        <v>44</v>
      </c>
      <c r="R892" s="1" t="s">
        <v>45</v>
      </c>
      <c r="S892" s="1">
        <v>1157</v>
      </c>
      <c r="T892" s="1">
        <v>0</v>
      </c>
      <c r="U892" s="13">
        <v>0.11319444444444444</v>
      </c>
      <c r="V892" s="11">
        <v>960</v>
      </c>
      <c r="W892" s="11">
        <v>1940</v>
      </c>
      <c r="X892" s="8">
        <v>2900</v>
      </c>
      <c r="Y892" s="1" t="s">
        <v>51</v>
      </c>
      <c r="Z892" s="11">
        <v>1320</v>
      </c>
      <c r="AA892" s="11">
        <v>1580</v>
      </c>
      <c r="AB892" s="1">
        <v>0</v>
      </c>
      <c r="AC892" s="1">
        <v>0</v>
      </c>
      <c r="AD892" s="1">
        <v>0</v>
      </c>
      <c r="AE892" s="1">
        <v>0</v>
      </c>
      <c r="AF892" s="1"/>
      <c r="AG892" s="1">
        <v>0</v>
      </c>
      <c r="AH892" s="1">
        <v>0</v>
      </c>
      <c r="AI892" s="1">
        <v>0</v>
      </c>
      <c r="AJ892" s="1">
        <v>0</v>
      </c>
      <c r="AK892" s="1">
        <v>4.9927999999999999</v>
      </c>
      <c r="AL892" s="1">
        <v>4.9927999999999999</v>
      </c>
      <c r="AM892" s="1">
        <v>4.9927999999999999</v>
      </c>
    </row>
    <row r="893" spans="1:39" x14ac:dyDescent="0.3">
      <c r="A893" s="21" t="str">
        <f t="shared" si="13"/>
        <v>HFA601LLHA2026-02-24</v>
      </c>
      <c r="B893" t="e">
        <f>VLOOKUP(A893,Sheet1!A893:B2235,1,FALSE)</f>
        <v>#N/A</v>
      </c>
      <c r="C893" s="3">
        <v>46077</v>
      </c>
      <c r="D893" s="1" t="s">
        <v>57</v>
      </c>
      <c r="E893" s="1" t="s">
        <v>38</v>
      </c>
      <c r="F893" s="1" t="s">
        <v>54</v>
      </c>
      <c r="G893" s="1" t="s">
        <v>39</v>
      </c>
      <c r="H893" s="1" t="s">
        <v>222</v>
      </c>
      <c r="I893" s="1" t="s">
        <v>41</v>
      </c>
      <c r="J893" s="1" t="s">
        <v>42</v>
      </c>
      <c r="K893" s="1" t="s">
        <v>43</v>
      </c>
      <c r="L893" s="1" t="s">
        <v>44</v>
      </c>
      <c r="M893" s="1" t="s">
        <v>45</v>
      </c>
      <c r="N893" s="1" t="s">
        <v>41</v>
      </c>
      <c r="O893" s="1" t="s">
        <v>58</v>
      </c>
      <c r="P893" s="1" t="s">
        <v>59</v>
      </c>
      <c r="Q893" s="1" t="s">
        <v>60</v>
      </c>
      <c r="R893" s="1" t="s">
        <v>45</v>
      </c>
      <c r="S893" s="1">
        <v>342</v>
      </c>
      <c r="T893" s="1">
        <v>0</v>
      </c>
      <c r="U893" s="13">
        <v>4.3055555555555555E-2</v>
      </c>
      <c r="V893" s="11">
        <v>1320</v>
      </c>
      <c r="W893" s="11">
        <v>470</v>
      </c>
      <c r="X893" s="8">
        <v>1790</v>
      </c>
      <c r="Y893" s="1" t="s">
        <v>51</v>
      </c>
      <c r="Z893" s="11">
        <v>1130</v>
      </c>
      <c r="AA893" s="11">
        <v>660</v>
      </c>
      <c r="AB893" s="1">
        <v>0</v>
      </c>
      <c r="AC893" s="1">
        <v>0</v>
      </c>
      <c r="AD893" s="1">
        <v>0</v>
      </c>
      <c r="AE893" s="1">
        <v>0</v>
      </c>
      <c r="AF893" s="1"/>
      <c r="AG893" s="1">
        <v>0</v>
      </c>
      <c r="AH893" s="1">
        <v>0</v>
      </c>
      <c r="AI893" s="1">
        <v>0</v>
      </c>
      <c r="AJ893" s="1">
        <v>0</v>
      </c>
      <c r="AK893" s="1">
        <v>2.0855999999999999</v>
      </c>
      <c r="AL893" s="1">
        <v>2.0855999999999999</v>
      </c>
      <c r="AM893" s="1">
        <v>2.0855999999999999</v>
      </c>
    </row>
    <row r="894" spans="1:39" x14ac:dyDescent="0.3">
      <c r="A894" s="21" t="str">
        <f t="shared" si="13"/>
        <v>HFA602LLER2026-02-24</v>
      </c>
      <c r="B894" t="e">
        <f>VLOOKUP(A894,Sheet1!A894:B2236,1,FALSE)</f>
        <v>#N/A</v>
      </c>
      <c r="C894" s="3">
        <v>46077</v>
      </c>
      <c r="D894" s="1" t="s">
        <v>61</v>
      </c>
      <c r="E894" s="1" t="s">
        <v>38</v>
      </c>
      <c r="F894" s="1" t="s">
        <v>54</v>
      </c>
      <c r="G894" s="1" t="s">
        <v>39</v>
      </c>
      <c r="H894" s="1" t="s">
        <v>222</v>
      </c>
      <c r="I894" s="1" t="s">
        <v>41</v>
      </c>
      <c r="J894" s="1" t="s">
        <v>58</v>
      </c>
      <c r="K894" s="1" t="s">
        <v>59</v>
      </c>
      <c r="L894" s="1" t="s">
        <v>60</v>
      </c>
      <c r="M894" s="1" t="s">
        <v>45</v>
      </c>
      <c r="N894" s="1" t="s">
        <v>41</v>
      </c>
      <c r="O894" s="1" t="s">
        <v>42</v>
      </c>
      <c r="P894" s="1" t="s">
        <v>43</v>
      </c>
      <c r="Q894" s="1" t="s">
        <v>44</v>
      </c>
      <c r="R894" s="1" t="s">
        <v>45</v>
      </c>
      <c r="S894" s="1">
        <v>342</v>
      </c>
      <c r="T894" s="1">
        <v>0</v>
      </c>
      <c r="U894" s="13">
        <v>4.3055555555555555E-2</v>
      </c>
      <c r="V894" s="11">
        <v>1130</v>
      </c>
      <c r="W894" s="11">
        <v>1070</v>
      </c>
      <c r="X894" s="8">
        <v>2200</v>
      </c>
      <c r="Y894" s="1" t="s">
        <v>51</v>
      </c>
      <c r="Z894" s="11">
        <v>1560</v>
      </c>
      <c r="AA894" s="11">
        <v>640</v>
      </c>
      <c r="AB894" s="1">
        <v>0</v>
      </c>
      <c r="AC894" s="1">
        <v>0</v>
      </c>
      <c r="AD894" s="1">
        <v>0</v>
      </c>
      <c r="AE894" s="1">
        <v>0</v>
      </c>
      <c r="AF894" s="1"/>
      <c r="AG894" s="1">
        <v>0</v>
      </c>
      <c r="AH894" s="1">
        <v>0</v>
      </c>
      <c r="AI894" s="1">
        <v>0</v>
      </c>
      <c r="AJ894" s="1">
        <v>0</v>
      </c>
      <c r="AK894" s="1">
        <v>2.0224000000000002</v>
      </c>
      <c r="AL894" s="1">
        <v>2.0224000000000002</v>
      </c>
      <c r="AM894" s="1">
        <v>2.0224000000000002</v>
      </c>
    </row>
    <row r="895" spans="1:39" x14ac:dyDescent="0.3">
      <c r="A895" s="21" t="str">
        <f t="shared" si="13"/>
        <v>HFA803LLHA2026-02-24</v>
      </c>
      <c r="B895" t="e">
        <f>VLOOKUP(A895,Sheet1!A895:B2237,1,FALSE)</f>
        <v>#N/A</v>
      </c>
      <c r="C895" s="3">
        <v>46077</v>
      </c>
      <c r="D895" s="1" t="s">
        <v>116</v>
      </c>
      <c r="E895" s="1" t="s">
        <v>38</v>
      </c>
      <c r="F895" s="1"/>
      <c r="G895" s="1" t="s">
        <v>39</v>
      </c>
      <c r="H895" s="1" t="s">
        <v>222</v>
      </c>
      <c r="I895" s="1" t="s">
        <v>41</v>
      </c>
      <c r="J895" s="1" t="s">
        <v>42</v>
      </c>
      <c r="K895" s="1" t="s">
        <v>43</v>
      </c>
      <c r="L895" s="1" t="s">
        <v>44</v>
      </c>
      <c r="M895" s="1" t="s">
        <v>45</v>
      </c>
      <c r="N895" s="1" t="s">
        <v>67</v>
      </c>
      <c r="O895" s="1" t="s">
        <v>86</v>
      </c>
      <c r="P895" s="1" t="s">
        <v>87</v>
      </c>
      <c r="Q895" s="1" t="s">
        <v>88</v>
      </c>
      <c r="R895" s="1" t="s">
        <v>50</v>
      </c>
      <c r="S895" s="1">
        <v>264</v>
      </c>
      <c r="T895" s="1">
        <v>0</v>
      </c>
      <c r="U895" s="13">
        <v>3.9583333333333331E-2</v>
      </c>
      <c r="V895" s="11">
        <v>1560</v>
      </c>
      <c r="W895" s="11">
        <v>0</v>
      </c>
      <c r="X895" s="8">
        <v>1560</v>
      </c>
      <c r="Y895" s="1" t="s">
        <v>51</v>
      </c>
      <c r="Z895" s="11">
        <v>900</v>
      </c>
      <c r="AA895" s="11">
        <v>660</v>
      </c>
      <c r="AB895" s="1">
        <v>0</v>
      </c>
      <c r="AC895" s="1">
        <v>0</v>
      </c>
      <c r="AD895" s="1">
        <v>0</v>
      </c>
      <c r="AE895" s="1">
        <v>0</v>
      </c>
      <c r="AF895" s="1"/>
      <c r="AG895" s="1">
        <v>0</v>
      </c>
      <c r="AH895" s="1">
        <v>0</v>
      </c>
      <c r="AI895" s="1">
        <v>0</v>
      </c>
      <c r="AJ895" s="1">
        <v>0</v>
      </c>
      <c r="AK895" s="1">
        <v>2.0855999999999999</v>
      </c>
      <c r="AL895" s="1">
        <v>2.0855999999999999</v>
      </c>
      <c r="AM895" s="1">
        <v>2.0855999999999999</v>
      </c>
    </row>
    <row r="896" spans="1:39" x14ac:dyDescent="0.3">
      <c r="A896" s="21" t="str">
        <f t="shared" si="13"/>
        <v>HFA804LCLK2026-02-24</v>
      </c>
      <c r="B896" t="e">
        <f>VLOOKUP(A896,Sheet1!A896:B2238,1,FALSE)</f>
        <v>#N/A</v>
      </c>
      <c r="C896" s="3">
        <v>46077</v>
      </c>
      <c r="D896" s="1" t="s">
        <v>117</v>
      </c>
      <c r="E896" s="1" t="s">
        <v>38</v>
      </c>
      <c r="F896" s="1"/>
      <c r="G896" s="1" t="s">
        <v>39</v>
      </c>
      <c r="H896" s="1" t="s">
        <v>222</v>
      </c>
      <c r="I896" s="1" t="s">
        <v>67</v>
      </c>
      <c r="J896" s="1" t="s">
        <v>86</v>
      </c>
      <c r="K896" s="1" t="s">
        <v>87</v>
      </c>
      <c r="L896" s="1" t="s">
        <v>88</v>
      </c>
      <c r="M896" s="1" t="s">
        <v>50</v>
      </c>
      <c r="N896" s="1" t="s">
        <v>41</v>
      </c>
      <c r="O896" s="1" t="s">
        <v>42</v>
      </c>
      <c r="P896" s="1" t="s">
        <v>43</v>
      </c>
      <c r="Q896" s="1" t="s">
        <v>44</v>
      </c>
      <c r="R896" s="1" t="s">
        <v>45</v>
      </c>
      <c r="S896" s="1">
        <v>264</v>
      </c>
      <c r="T896" s="1">
        <v>0</v>
      </c>
      <c r="U896" s="13">
        <v>4.027777777777778E-2</v>
      </c>
      <c r="V896" s="11">
        <v>900</v>
      </c>
      <c r="W896" s="11">
        <v>1500</v>
      </c>
      <c r="X896" s="8">
        <v>2400</v>
      </c>
      <c r="Y896" s="1" t="s">
        <v>51</v>
      </c>
      <c r="Z896" s="11">
        <v>1860</v>
      </c>
      <c r="AA896" s="11">
        <v>540</v>
      </c>
      <c r="AB896" s="1">
        <v>0</v>
      </c>
      <c r="AC896" s="1">
        <v>0</v>
      </c>
      <c r="AD896" s="1">
        <v>0</v>
      </c>
      <c r="AE896" s="1">
        <v>0</v>
      </c>
      <c r="AF896" s="1"/>
      <c r="AG896" s="1">
        <v>0</v>
      </c>
      <c r="AH896" s="1">
        <v>0</v>
      </c>
      <c r="AI896" s="1">
        <v>0</v>
      </c>
      <c r="AJ896" s="1">
        <v>0</v>
      </c>
      <c r="AK896" s="1">
        <v>1.7063999999999999</v>
      </c>
      <c r="AL896" s="1">
        <v>1.7063999999999999</v>
      </c>
      <c r="AM896" s="1">
        <v>1.7063999999999999</v>
      </c>
    </row>
    <row r="897" spans="1:39" x14ac:dyDescent="0.3">
      <c r="A897" s="21" t="str">
        <f t="shared" si="13"/>
        <v>HFA601LLHA2026-02-25</v>
      </c>
      <c r="B897" t="e">
        <f>VLOOKUP(A897,Sheet1!A897:B2239,1,FALSE)</f>
        <v>#N/A</v>
      </c>
      <c r="C897" s="3">
        <v>46078</v>
      </c>
      <c r="D897" s="1" t="s">
        <v>57</v>
      </c>
      <c r="E897" s="1" t="s">
        <v>38</v>
      </c>
      <c r="F897" s="1" t="s">
        <v>54</v>
      </c>
      <c r="G897" s="1" t="s">
        <v>39</v>
      </c>
      <c r="H897" s="1" t="s">
        <v>222</v>
      </c>
      <c r="I897" s="1" t="s">
        <v>41</v>
      </c>
      <c r="J897" s="1" t="s">
        <v>42</v>
      </c>
      <c r="K897" s="1" t="s">
        <v>43</v>
      </c>
      <c r="L897" s="1" t="s">
        <v>44</v>
      </c>
      <c r="M897" s="1" t="s">
        <v>45</v>
      </c>
      <c r="N897" s="1" t="s">
        <v>41</v>
      </c>
      <c r="O897" s="1" t="s">
        <v>58</v>
      </c>
      <c r="P897" s="1" t="s">
        <v>59</v>
      </c>
      <c r="Q897" s="1" t="s">
        <v>60</v>
      </c>
      <c r="R897" s="1" t="s">
        <v>45</v>
      </c>
      <c r="S897" s="1">
        <v>342</v>
      </c>
      <c r="T897" s="1">
        <v>0</v>
      </c>
      <c r="U897" s="13">
        <v>4.7222222222222221E-2</v>
      </c>
      <c r="V897" s="11">
        <v>1860</v>
      </c>
      <c r="W897" s="11">
        <v>-10</v>
      </c>
      <c r="X897" s="8">
        <v>1850</v>
      </c>
      <c r="Y897" s="1" t="s">
        <v>51</v>
      </c>
      <c r="Z897" s="11">
        <v>1100</v>
      </c>
      <c r="AA897" s="11">
        <v>750</v>
      </c>
      <c r="AB897" s="1">
        <v>0</v>
      </c>
      <c r="AC897" s="1">
        <v>0</v>
      </c>
      <c r="AD897" s="1">
        <v>0</v>
      </c>
      <c r="AE897" s="1">
        <v>0</v>
      </c>
      <c r="AF897" s="1"/>
      <c r="AG897" s="1">
        <v>0</v>
      </c>
      <c r="AH897" s="1">
        <v>0</v>
      </c>
      <c r="AI897" s="1">
        <v>0</v>
      </c>
      <c r="AJ897" s="1">
        <v>0</v>
      </c>
      <c r="AK897" s="1">
        <v>2.37</v>
      </c>
      <c r="AL897" s="1">
        <v>2.37</v>
      </c>
      <c r="AM897" s="1">
        <v>2.37</v>
      </c>
    </row>
    <row r="898" spans="1:39" x14ac:dyDescent="0.3">
      <c r="A898" s="21" t="str">
        <f t="shared" si="13"/>
        <v>HFA602LLER2026-02-25</v>
      </c>
      <c r="B898" t="e">
        <f>VLOOKUP(A898,Sheet1!A898:B2240,1,FALSE)</f>
        <v>#N/A</v>
      </c>
      <c r="C898" s="3">
        <v>46078</v>
      </c>
      <c r="D898" s="1" t="s">
        <v>61</v>
      </c>
      <c r="E898" s="1" t="s">
        <v>38</v>
      </c>
      <c r="F898" s="1" t="s">
        <v>54</v>
      </c>
      <c r="G898" s="1" t="s">
        <v>39</v>
      </c>
      <c r="H898" s="1" t="s">
        <v>222</v>
      </c>
      <c r="I898" s="1" t="s">
        <v>41</v>
      </c>
      <c r="J898" s="1" t="s">
        <v>58</v>
      </c>
      <c r="K898" s="1" t="s">
        <v>59</v>
      </c>
      <c r="L898" s="1" t="s">
        <v>60</v>
      </c>
      <c r="M898" s="1" t="s">
        <v>45</v>
      </c>
      <c r="N898" s="1" t="s">
        <v>41</v>
      </c>
      <c r="O898" s="1" t="s">
        <v>42</v>
      </c>
      <c r="P898" s="1" t="s">
        <v>43</v>
      </c>
      <c r="Q898" s="1" t="s">
        <v>44</v>
      </c>
      <c r="R898" s="1" t="s">
        <v>45</v>
      </c>
      <c r="S898" s="1">
        <v>342</v>
      </c>
      <c r="T898" s="1">
        <v>0</v>
      </c>
      <c r="U898" s="13">
        <v>4.1666666666666664E-2</v>
      </c>
      <c r="V898" s="11">
        <v>1100</v>
      </c>
      <c r="W898" s="11">
        <v>1200</v>
      </c>
      <c r="X898" s="8">
        <v>2300</v>
      </c>
      <c r="Y898" s="1" t="s">
        <v>51</v>
      </c>
      <c r="Z898" s="11">
        <v>1690</v>
      </c>
      <c r="AA898" s="11">
        <v>610</v>
      </c>
      <c r="AB898" s="1">
        <v>0</v>
      </c>
      <c r="AC898" s="1">
        <v>0</v>
      </c>
      <c r="AD898" s="1">
        <v>0</v>
      </c>
      <c r="AE898" s="1">
        <v>0</v>
      </c>
      <c r="AF898" s="1"/>
      <c r="AG898" s="1">
        <v>0</v>
      </c>
      <c r="AH898" s="1">
        <v>0</v>
      </c>
      <c r="AI898" s="1">
        <v>0</v>
      </c>
      <c r="AJ898" s="1">
        <v>0</v>
      </c>
      <c r="AK898" s="1">
        <v>1.9276</v>
      </c>
      <c r="AL898" s="1">
        <v>1.9276</v>
      </c>
      <c r="AM898" s="1">
        <v>1.9276</v>
      </c>
    </row>
    <row r="899" spans="1:39" x14ac:dyDescent="0.3">
      <c r="A899" s="21" t="str">
        <f t="shared" ref="A899:A962" si="14">CONCATENATE(D899,K899,TEXT(C899,"YYYY-MM-DD"))</f>
        <v>HFA851LLHA2026-02-25</v>
      </c>
      <c r="B899" t="e">
        <f>VLOOKUP(A899,Sheet1!A899:B2241,1,FALSE)</f>
        <v>#N/A</v>
      </c>
      <c r="C899" s="3">
        <v>46078</v>
      </c>
      <c r="D899" s="1" t="s">
        <v>66</v>
      </c>
      <c r="E899" s="1" t="s">
        <v>38</v>
      </c>
      <c r="F899" s="1"/>
      <c r="G899" s="1" t="s">
        <v>39</v>
      </c>
      <c r="H899" s="1" t="s">
        <v>222</v>
      </c>
      <c r="I899" s="1" t="s">
        <v>41</v>
      </c>
      <c r="J899" s="1" t="s">
        <v>42</v>
      </c>
      <c r="K899" s="1" t="s">
        <v>43</v>
      </c>
      <c r="L899" s="1" t="s">
        <v>44</v>
      </c>
      <c r="M899" s="1" t="s">
        <v>45</v>
      </c>
      <c r="N899" s="1" t="s">
        <v>67</v>
      </c>
      <c r="O899" s="1" t="s">
        <v>68</v>
      </c>
      <c r="P899" s="1" t="s">
        <v>69</v>
      </c>
      <c r="Q899" s="1" t="s">
        <v>70</v>
      </c>
      <c r="R899" s="1" t="s">
        <v>50</v>
      </c>
      <c r="S899" s="1">
        <v>318</v>
      </c>
      <c r="T899" s="1">
        <v>0</v>
      </c>
      <c r="U899" s="13">
        <v>4.6527777777777779E-2</v>
      </c>
      <c r="V899" s="11">
        <v>1690</v>
      </c>
      <c r="W899" s="11">
        <v>0</v>
      </c>
      <c r="X899" s="8">
        <v>1690</v>
      </c>
      <c r="Y899" s="1" t="s">
        <v>51</v>
      </c>
      <c r="Z899" s="11">
        <v>910</v>
      </c>
      <c r="AA899" s="11">
        <v>780</v>
      </c>
      <c r="AB899" s="1">
        <v>0</v>
      </c>
      <c r="AC899" s="1">
        <v>0</v>
      </c>
      <c r="AD899" s="1">
        <v>0</v>
      </c>
      <c r="AE899" s="1">
        <v>0</v>
      </c>
      <c r="AF899" s="1"/>
      <c r="AG899" s="1">
        <v>0</v>
      </c>
      <c r="AH899" s="1">
        <v>0</v>
      </c>
      <c r="AI899" s="1">
        <v>0</v>
      </c>
      <c r="AJ899" s="1">
        <v>0</v>
      </c>
      <c r="AK899" s="1">
        <v>2.4647999999999999</v>
      </c>
      <c r="AL899" s="1">
        <v>2.4647999999999999</v>
      </c>
      <c r="AM899" s="1">
        <v>2.4647999999999999</v>
      </c>
    </row>
    <row r="900" spans="1:39" x14ac:dyDescent="0.3">
      <c r="A900" s="21" t="str">
        <f t="shared" si="14"/>
        <v>HFA852LCPH2026-02-25</v>
      </c>
      <c r="B900" t="str">
        <f>VLOOKUP(A900,Sheet1!A900:B2242,1,FALSE)</f>
        <v>HFA852LCPH2026-02-25</v>
      </c>
      <c r="C900" s="3">
        <v>46078</v>
      </c>
      <c r="D900" s="1" t="s">
        <v>71</v>
      </c>
      <c r="E900" s="1" t="s">
        <v>38</v>
      </c>
      <c r="F900" s="1"/>
      <c r="G900" s="1" t="s">
        <v>39</v>
      </c>
      <c r="H900" s="1" t="s">
        <v>222</v>
      </c>
      <c r="I900" s="1" t="s">
        <v>67</v>
      </c>
      <c r="J900" s="1" t="s">
        <v>68</v>
      </c>
      <c r="K900" s="1" t="s">
        <v>69</v>
      </c>
      <c r="L900" s="1" t="s">
        <v>70</v>
      </c>
      <c r="M900" s="1" t="s">
        <v>50</v>
      </c>
      <c r="N900" s="1" t="s">
        <v>41</v>
      </c>
      <c r="O900" s="1" t="s">
        <v>42</v>
      </c>
      <c r="P900" s="1" t="s">
        <v>43</v>
      </c>
      <c r="Q900" s="1" t="s">
        <v>44</v>
      </c>
      <c r="R900" s="1" t="s">
        <v>45</v>
      </c>
      <c r="S900" s="1">
        <v>318</v>
      </c>
      <c r="T900" s="1">
        <v>0</v>
      </c>
      <c r="U900" s="13">
        <v>4.2361111111111106E-2</v>
      </c>
      <c r="V900" s="11">
        <v>910</v>
      </c>
      <c r="W900" s="11">
        <v>1190</v>
      </c>
      <c r="X900" s="8">
        <v>2100</v>
      </c>
      <c r="Y900" s="1" t="s">
        <v>51</v>
      </c>
      <c r="Z900" s="11">
        <v>1430</v>
      </c>
      <c r="AA900" s="11">
        <v>670</v>
      </c>
      <c r="AB900" s="1">
        <v>0</v>
      </c>
      <c r="AC900" s="1">
        <v>0</v>
      </c>
      <c r="AD900" s="1">
        <v>0</v>
      </c>
      <c r="AE900" s="1">
        <v>0</v>
      </c>
      <c r="AF900" s="1"/>
      <c r="AG900" s="1">
        <v>0</v>
      </c>
      <c r="AH900" s="1">
        <v>0</v>
      </c>
      <c r="AI900" s="1">
        <v>0</v>
      </c>
      <c r="AJ900" s="1">
        <v>0</v>
      </c>
      <c r="AK900" s="1">
        <v>2.1172</v>
      </c>
      <c r="AL900" s="1">
        <v>2.1172</v>
      </c>
      <c r="AM900" s="1">
        <v>2.1172</v>
      </c>
    </row>
    <row r="901" spans="1:39" x14ac:dyDescent="0.3">
      <c r="A901" s="21" t="str">
        <f t="shared" si="14"/>
        <v>HFA801LLHA2026-02-26</v>
      </c>
      <c r="B901" t="e">
        <f>VLOOKUP(A901,Sheet1!A901:B2243,1,FALSE)</f>
        <v>#N/A</v>
      </c>
      <c r="C901" s="3">
        <v>46079</v>
      </c>
      <c r="D901" s="1" t="s">
        <v>133</v>
      </c>
      <c r="E901" s="1" t="s">
        <v>38</v>
      </c>
      <c r="F901" s="1"/>
      <c r="G901" s="1" t="s">
        <v>39</v>
      </c>
      <c r="H901" s="1" t="s">
        <v>222</v>
      </c>
      <c r="I901" s="1" t="s">
        <v>41</v>
      </c>
      <c r="J901" s="1" t="s">
        <v>42</v>
      </c>
      <c r="K901" s="1" t="s">
        <v>43</v>
      </c>
      <c r="L901" s="1" t="s">
        <v>44</v>
      </c>
      <c r="M901" s="1" t="s">
        <v>45</v>
      </c>
      <c r="N901" s="1" t="s">
        <v>67</v>
      </c>
      <c r="O901" s="1" t="s">
        <v>86</v>
      </c>
      <c r="P901" s="1" t="s">
        <v>87</v>
      </c>
      <c r="Q901" s="1" t="s">
        <v>88</v>
      </c>
      <c r="R901" s="1" t="s">
        <v>50</v>
      </c>
      <c r="S901" s="1">
        <v>264</v>
      </c>
      <c r="T901" s="1">
        <v>0</v>
      </c>
      <c r="U901" s="13">
        <v>3.888888888888889E-2</v>
      </c>
      <c r="V901" s="11">
        <v>1430</v>
      </c>
      <c r="W901" s="11">
        <v>80</v>
      </c>
      <c r="X901" s="8">
        <v>1510</v>
      </c>
      <c r="Y901" s="1" t="s">
        <v>51</v>
      </c>
      <c r="Z901" s="11">
        <v>910</v>
      </c>
      <c r="AA901" s="11">
        <v>600</v>
      </c>
      <c r="AB901" s="1">
        <v>0</v>
      </c>
      <c r="AC901" s="1">
        <v>0</v>
      </c>
      <c r="AD901" s="1">
        <v>0</v>
      </c>
      <c r="AE901" s="1">
        <v>0</v>
      </c>
      <c r="AF901" s="1"/>
      <c r="AG901" s="1">
        <v>0</v>
      </c>
      <c r="AH901" s="1">
        <v>0</v>
      </c>
      <c r="AI901" s="1">
        <v>0</v>
      </c>
      <c r="AJ901" s="1">
        <v>0</v>
      </c>
      <c r="AK901" s="1">
        <v>1.8959999999999999</v>
      </c>
      <c r="AL901" s="1">
        <v>1.8959999999999999</v>
      </c>
      <c r="AM901" s="1">
        <v>1.8959999999999999</v>
      </c>
    </row>
    <row r="902" spans="1:39" x14ac:dyDescent="0.3">
      <c r="A902" s="21" t="str">
        <f t="shared" si="14"/>
        <v>HFA802LCLK2026-02-26</v>
      </c>
      <c r="B902" t="e">
        <f>VLOOKUP(A902,Sheet1!A902:B2244,1,FALSE)</f>
        <v>#N/A</v>
      </c>
      <c r="C902" s="3">
        <v>46079</v>
      </c>
      <c r="D902" s="1" t="s">
        <v>135</v>
      </c>
      <c r="E902" s="1" t="s">
        <v>38</v>
      </c>
      <c r="F902" s="1"/>
      <c r="G902" s="1" t="s">
        <v>39</v>
      </c>
      <c r="H902" s="1" t="s">
        <v>222</v>
      </c>
      <c r="I902" s="1" t="s">
        <v>67</v>
      </c>
      <c r="J902" s="1" t="s">
        <v>86</v>
      </c>
      <c r="K902" s="1" t="s">
        <v>87</v>
      </c>
      <c r="L902" s="1" t="s">
        <v>88</v>
      </c>
      <c r="M902" s="1" t="s">
        <v>50</v>
      </c>
      <c r="N902" s="1" t="s">
        <v>41</v>
      </c>
      <c r="O902" s="1" t="s">
        <v>42</v>
      </c>
      <c r="P902" s="1" t="s">
        <v>43</v>
      </c>
      <c r="Q902" s="1" t="s">
        <v>44</v>
      </c>
      <c r="R902" s="1" t="s">
        <v>45</v>
      </c>
      <c r="S902" s="1">
        <v>264</v>
      </c>
      <c r="T902" s="1">
        <v>0</v>
      </c>
      <c r="U902" s="13">
        <v>3.6111111111111108E-2</v>
      </c>
      <c r="V902" s="11">
        <v>910</v>
      </c>
      <c r="W902" s="11">
        <v>1190</v>
      </c>
      <c r="X902" s="8">
        <v>2100</v>
      </c>
      <c r="Y902" s="1" t="s">
        <v>51</v>
      </c>
      <c r="Z902" s="11">
        <v>1620</v>
      </c>
      <c r="AA902" s="11">
        <v>480</v>
      </c>
      <c r="AB902" s="1">
        <v>0</v>
      </c>
      <c r="AC902" s="1">
        <v>0</v>
      </c>
      <c r="AD902" s="1">
        <v>0</v>
      </c>
      <c r="AE902" s="1">
        <v>0</v>
      </c>
      <c r="AF902" s="1"/>
      <c r="AG902" s="1">
        <v>0</v>
      </c>
      <c r="AH902" s="1">
        <v>0</v>
      </c>
      <c r="AI902" s="1">
        <v>0</v>
      </c>
      <c r="AJ902" s="1">
        <v>0</v>
      </c>
      <c r="AK902" s="1">
        <v>1.5167999999999999</v>
      </c>
      <c r="AL902" s="1">
        <v>1.5167999999999999</v>
      </c>
      <c r="AM902" s="1">
        <v>1.5167999999999999</v>
      </c>
    </row>
    <row r="903" spans="1:39" x14ac:dyDescent="0.3">
      <c r="A903" s="21" t="str">
        <f t="shared" si="14"/>
        <v>HFA803LLHA2026-02-26</v>
      </c>
      <c r="B903" t="e">
        <f>VLOOKUP(A903,Sheet1!A903:B2245,1,FALSE)</f>
        <v>#N/A</v>
      </c>
      <c r="C903" s="3">
        <v>46079</v>
      </c>
      <c r="D903" s="1" t="s">
        <v>116</v>
      </c>
      <c r="E903" s="1" t="s">
        <v>38</v>
      </c>
      <c r="F903" s="1"/>
      <c r="G903" s="1" t="s">
        <v>39</v>
      </c>
      <c r="H903" s="1" t="s">
        <v>222</v>
      </c>
      <c r="I903" s="1" t="s">
        <v>41</v>
      </c>
      <c r="J903" s="1" t="s">
        <v>42</v>
      </c>
      <c r="K903" s="1" t="s">
        <v>43</v>
      </c>
      <c r="L903" s="1" t="s">
        <v>44</v>
      </c>
      <c r="M903" s="1" t="s">
        <v>45</v>
      </c>
      <c r="N903" s="1" t="s">
        <v>67</v>
      </c>
      <c r="O903" s="1" t="s">
        <v>86</v>
      </c>
      <c r="P903" s="1" t="s">
        <v>87</v>
      </c>
      <c r="Q903" s="1" t="s">
        <v>88</v>
      </c>
      <c r="R903" s="1" t="s">
        <v>50</v>
      </c>
      <c r="S903" s="1">
        <v>264</v>
      </c>
      <c r="T903" s="1">
        <v>0</v>
      </c>
      <c r="U903" s="13">
        <v>3.7499999999999999E-2</v>
      </c>
      <c r="V903" s="11">
        <v>1620</v>
      </c>
      <c r="W903" s="11">
        <v>0</v>
      </c>
      <c r="X903" s="8">
        <v>1620</v>
      </c>
      <c r="Y903" s="1" t="s">
        <v>51</v>
      </c>
      <c r="Z903" s="11">
        <v>1040</v>
      </c>
      <c r="AA903" s="11">
        <v>580</v>
      </c>
      <c r="AB903" s="1">
        <v>0</v>
      </c>
      <c r="AC903" s="1">
        <v>0</v>
      </c>
      <c r="AD903" s="1">
        <v>0</v>
      </c>
      <c r="AE903" s="1">
        <v>0</v>
      </c>
      <c r="AF903" s="1"/>
      <c r="AG903" s="1">
        <v>0</v>
      </c>
      <c r="AH903" s="1">
        <v>0</v>
      </c>
      <c r="AI903" s="1">
        <v>0</v>
      </c>
      <c r="AJ903" s="1">
        <v>0</v>
      </c>
      <c r="AK903" s="1">
        <v>1.8328</v>
      </c>
      <c r="AL903" s="1">
        <v>1.8328</v>
      </c>
      <c r="AM903" s="1">
        <v>1.8328</v>
      </c>
    </row>
    <row r="904" spans="1:39" x14ac:dyDescent="0.3">
      <c r="A904" s="21" t="str">
        <f t="shared" si="14"/>
        <v>HFA804LCLK2026-02-26</v>
      </c>
      <c r="B904" t="e">
        <f>VLOOKUP(A904,Sheet1!A904:B2246,1,FALSE)</f>
        <v>#N/A</v>
      </c>
      <c r="C904" s="3">
        <v>46079</v>
      </c>
      <c r="D904" s="1" t="s">
        <v>117</v>
      </c>
      <c r="E904" s="1" t="s">
        <v>38</v>
      </c>
      <c r="F904" s="1"/>
      <c r="G904" s="1" t="s">
        <v>39</v>
      </c>
      <c r="H904" s="1" t="s">
        <v>222</v>
      </c>
      <c r="I904" s="1" t="s">
        <v>67</v>
      </c>
      <c r="J904" s="1" t="s">
        <v>86</v>
      </c>
      <c r="K904" s="1" t="s">
        <v>87</v>
      </c>
      <c r="L904" s="1" t="s">
        <v>88</v>
      </c>
      <c r="M904" s="1" t="s">
        <v>50</v>
      </c>
      <c r="N904" s="1" t="s">
        <v>41</v>
      </c>
      <c r="O904" s="1" t="s">
        <v>42</v>
      </c>
      <c r="P904" s="1" t="s">
        <v>43</v>
      </c>
      <c r="Q904" s="1" t="s">
        <v>44</v>
      </c>
      <c r="R904" s="1" t="s">
        <v>45</v>
      </c>
      <c r="S904" s="1">
        <v>264</v>
      </c>
      <c r="T904" s="1">
        <v>0</v>
      </c>
      <c r="U904" s="13">
        <v>3.6111111111111108E-2</v>
      </c>
      <c r="V904" s="11">
        <v>1040</v>
      </c>
      <c r="W904" s="11">
        <v>1060</v>
      </c>
      <c r="X904" s="8">
        <v>2100</v>
      </c>
      <c r="Y904" s="1" t="s">
        <v>51</v>
      </c>
      <c r="Z904" s="11">
        <v>1640</v>
      </c>
      <c r="AA904" s="11">
        <v>460</v>
      </c>
      <c r="AB904" s="1">
        <v>0</v>
      </c>
      <c r="AC904" s="1">
        <v>0</v>
      </c>
      <c r="AD904" s="1">
        <v>0</v>
      </c>
      <c r="AE904" s="1">
        <v>0</v>
      </c>
      <c r="AF904" s="1"/>
      <c r="AG904" s="1">
        <v>0</v>
      </c>
      <c r="AH904" s="1">
        <v>0</v>
      </c>
      <c r="AI904" s="1">
        <v>0</v>
      </c>
      <c r="AJ904" s="1">
        <v>0</v>
      </c>
      <c r="AK904" s="1">
        <v>1.4536</v>
      </c>
      <c r="AL904" s="1">
        <v>1.4536</v>
      </c>
      <c r="AM904" s="1">
        <v>1.4536</v>
      </c>
    </row>
    <row r="905" spans="1:39" x14ac:dyDescent="0.3">
      <c r="A905" s="21" t="str">
        <f t="shared" si="14"/>
        <v>HFA807LLHA2026-02-26</v>
      </c>
      <c r="B905" t="e">
        <f>VLOOKUP(A905,Sheet1!A905:B2247,1,FALSE)</f>
        <v>#N/A</v>
      </c>
      <c r="C905" s="3">
        <v>46079</v>
      </c>
      <c r="D905" s="1" t="s">
        <v>118</v>
      </c>
      <c r="E905" s="1" t="s">
        <v>38</v>
      </c>
      <c r="F905" s="1"/>
      <c r="G905" s="1" t="s">
        <v>39</v>
      </c>
      <c r="H905" s="1" t="s">
        <v>222</v>
      </c>
      <c r="I905" s="1" t="s">
        <v>41</v>
      </c>
      <c r="J905" s="1" t="s">
        <v>42</v>
      </c>
      <c r="K905" s="1" t="s">
        <v>43</v>
      </c>
      <c r="L905" s="1" t="s">
        <v>44</v>
      </c>
      <c r="M905" s="1" t="s">
        <v>45</v>
      </c>
      <c r="N905" s="1" t="s">
        <v>67</v>
      </c>
      <c r="O905" s="1" t="s">
        <v>86</v>
      </c>
      <c r="P905" s="1" t="s">
        <v>87</v>
      </c>
      <c r="Q905" s="1" t="s">
        <v>88</v>
      </c>
      <c r="R905" s="1" t="s">
        <v>50</v>
      </c>
      <c r="S905" s="1">
        <v>264</v>
      </c>
      <c r="T905" s="1">
        <v>0</v>
      </c>
      <c r="U905" s="13">
        <v>4.1666666666666664E-2</v>
      </c>
      <c r="V905" s="11">
        <v>1640</v>
      </c>
      <c r="W905" s="11">
        <v>-20</v>
      </c>
      <c r="X905" s="8">
        <v>1620</v>
      </c>
      <c r="Y905" s="1" t="s">
        <v>51</v>
      </c>
      <c r="Z905" s="11">
        <v>960</v>
      </c>
      <c r="AA905" s="11">
        <v>660</v>
      </c>
      <c r="AB905" s="1">
        <v>0</v>
      </c>
      <c r="AC905" s="1">
        <v>0</v>
      </c>
      <c r="AD905" s="1">
        <v>0</v>
      </c>
      <c r="AE905" s="1">
        <v>0</v>
      </c>
      <c r="AF905" s="1"/>
      <c r="AG905" s="1">
        <v>0</v>
      </c>
      <c r="AH905" s="1">
        <v>0</v>
      </c>
      <c r="AI905" s="1">
        <v>0</v>
      </c>
      <c r="AJ905" s="1">
        <v>0</v>
      </c>
      <c r="AK905" s="1">
        <v>2.0855999999999999</v>
      </c>
      <c r="AL905" s="1">
        <v>2.0855999999999999</v>
      </c>
      <c r="AM905" s="1">
        <v>2.0855999999999999</v>
      </c>
    </row>
    <row r="906" spans="1:39" x14ac:dyDescent="0.3">
      <c r="A906" s="21" t="str">
        <f t="shared" si="14"/>
        <v>HFA808LCLK2026-02-26</v>
      </c>
      <c r="B906" t="e">
        <f>VLOOKUP(A906,Sheet1!A906:B2248,1,FALSE)</f>
        <v>#N/A</v>
      </c>
      <c r="C906" s="3">
        <v>46079</v>
      </c>
      <c r="D906" s="1" t="s">
        <v>119</v>
      </c>
      <c r="E906" s="1" t="s">
        <v>38</v>
      </c>
      <c r="F906" s="1"/>
      <c r="G906" s="1" t="s">
        <v>39</v>
      </c>
      <c r="H906" s="1" t="s">
        <v>222</v>
      </c>
      <c r="I906" s="1" t="s">
        <v>67</v>
      </c>
      <c r="J906" s="1" t="s">
        <v>86</v>
      </c>
      <c r="K906" s="1" t="s">
        <v>87</v>
      </c>
      <c r="L906" s="1" t="s">
        <v>88</v>
      </c>
      <c r="M906" s="1" t="s">
        <v>50</v>
      </c>
      <c r="N906" s="1" t="s">
        <v>41</v>
      </c>
      <c r="O906" s="1" t="s">
        <v>42</v>
      </c>
      <c r="P906" s="1" t="s">
        <v>43</v>
      </c>
      <c r="Q906" s="1" t="s">
        <v>44</v>
      </c>
      <c r="R906" s="1" t="s">
        <v>45</v>
      </c>
      <c r="S906" s="1">
        <v>264</v>
      </c>
      <c r="T906" s="1">
        <v>0</v>
      </c>
      <c r="U906" s="13">
        <v>3.8194444444444448E-2</v>
      </c>
      <c r="V906" s="11">
        <v>960</v>
      </c>
      <c r="W906" s="11">
        <v>1440</v>
      </c>
      <c r="X906" s="8">
        <v>2400</v>
      </c>
      <c r="Y906" s="1" t="s">
        <v>51</v>
      </c>
      <c r="Z906" s="11">
        <v>1920</v>
      </c>
      <c r="AA906" s="11">
        <v>480</v>
      </c>
      <c r="AB906" s="1">
        <v>0</v>
      </c>
      <c r="AC906" s="1">
        <v>0</v>
      </c>
      <c r="AD906" s="1">
        <v>0</v>
      </c>
      <c r="AE906" s="1">
        <v>0</v>
      </c>
      <c r="AF906" s="1"/>
      <c r="AG906" s="1">
        <v>0</v>
      </c>
      <c r="AH906" s="1">
        <v>0</v>
      </c>
      <c r="AI906" s="1">
        <v>0</v>
      </c>
      <c r="AJ906" s="1">
        <v>0</v>
      </c>
      <c r="AK906" s="1">
        <v>1.5167999999999999</v>
      </c>
      <c r="AL906" s="1">
        <v>1.5167999999999999</v>
      </c>
      <c r="AM906" s="1">
        <v>1.5167999999999999</v>
      </c>
    </row>
    <row r="907" spans="1:39" x14ac:dyDescent="0.3">
      <c r="A907" s="21" t="str">
        <f t="shared" si="14"/>
        <v>HFA601LLHA2026-02-27</v>
      </c>
      <c r="B907" t="e">
        <f>VLOOKUP(A907,Sheet1!A907:B2249,1,FALSE)</f>
        <v>#N/A</v>
      </c>
      <c r="C907" s="3">
        <v>46080</v>
      </c>
      <c r="D907" s="1" t="s">
        <v>57</v>
      </c>
      <c r="E907" s="1" t="s">
        <v>38</v>
      </c>
      <c r="F907" s="1" t="s">
        <v>54</v>
      </c>
      <c r="G907" s="1" t="s">
        <v>39</v>
      </c>
      <c r="H907" s="1" t="s">
        <v>222</v>
      </c>
      <c r="I907" s="1" t="s">
        <v>41</v>
      </c>
      <c r="J907" s="1" t="s">
        <v>42</v>
      </c>
      <c r="K907" s="1" t="s">
        <v>43</v>
      </c>
      <c r="L907" s="1" t="s">
        <v>44</v>
      </c>
      <c r="M907" s="1" t="s">
        <v>45</v>
      </c>
      <c r="N907" s="1" t="s">
        <v>41</v>
      </c>
      <c r="O907" s="1" t="s">
        <v>58</v>
      </c>
      <c r="P907" s="1" t="s">
        <v>59</v>
      </c>
      <c r="Q907" s="1" t="s">
        <v>60</v>
      </c>
      <c r="R907" s="1" t="s">
        <v>45</v>
      </c>
      <c r="S907" s="1">
        <v>342</v>
      </c>
      <c r="T907" s="1">
        <v>0</v>
      </c>
      <c r="U907" s="13">
        <v>4.0972222222222222E-2</v>
      </c>
      <c r="V907" s="11">
        <v>1920</v>
      </c>
      <c r="W907" s="11">
        <v>-20</v>
      </c>
      <c r="X907" s="8">
        <v>1900</v>
      </c>
      <c r="Y907" s="1" t="s">
        <v>51</v>
      </c>
      <c r="Z907" s="11">
        <v>1270</v>
      </c>
      <c r="AA907" s="11">
        <v>630</v>
      </c>
      <c r="AB907" s="1">
        <v>0</v>
      </c>
      <c r="AC907" s="1">
        <v>0</v>
      </c>
      <c r="AD907" s="1">
        <v>0</v>
      </c>
      <c r="AE907" s="1">
        <v>0</v>
      </c>
      <c r="AF907" s="1"/>
      <c r="AG907" s="1">
        <v>0</v>
      </c>
      <c r="AH907" s="1">
        <v>0</v>
      </c>
      <c r="AI907" s="1">
        <v>0</v>
      </c>
      <c r="AJ907" s="1">
        <v>0</v>
      </c>
      <c r="AK907" s="1">
        <v>1.9907999999999999</v>
      </c>
      <c r="AL907" s="1">
        <v>1.9907999999999999</v>
      </c>
      <c r="AM907" s="1">
        <v>1.9907999999999999</v>
      </c>
    </row>
    <row r="908" spans="1:39" x14ac:dyDescent="0.3">
      <c r="A908" s="21" t="str">
        <f t="shared" si="14"/>
        <v>HFA602LLER2026-02-27</v>
      </c>
      <c r="B908" t="e">
        <f>VLOOKUP(A908,Sheet1!A908:B2250,1,FALSE)</f>
        <v>#N/A</v>
      </c>
      <c r="C908" s="3">
        <v>46080</v>
      </c>
      <c r="D908" s="1" t="s">
        <v>61</v>
      </c>
      <c r="E908" s="1" t="s">
        <v>38</v>
      </c>
      <c r="F908" s="1" t="s">
        <v>54</v>
      </c>
      <c r="G908" s="1" t="s">
        <v>39</v>
      </c>
      <c r="H908" s="1" t="s">
        <v>222</v>
      </c>
      <c r="I908" s="1" t="s">
        <v>41</v>
      </c>
      <c r="J908" s="1" t="s">
        <v>58</v>
      </c>
      <c r="K908" s="1" t="s">
        <v>59</v>
      </c>
      <c r="L908" s="1" t="s">
        <v>60</v>
      </c>
      <c r="M908" s="1" t="s">
        <v>45</v>
      </c>
      <c r="N908" s="1" t="s">
        <v>41</v>
      </c>
      <c r="O908" s="1" t="s">
        <v>42</v>
      </c>
      <c r="P908" s="1" t="s">
        <v>43</v>
      </c>
      <c r="Q908" s="1" t="s">
        <v>44</v>
      </c>
      <c r="R908" s="1" t="s">
        <v>45</v>
      </c>
      <c r="S908" s="1">
        <v>342</v>
      </c>
      <c r="T908" s="1">
        <v>0</v>
      </c>
      <c r="U908" s="13">
        <v>4.9305555555555554E-2</v>
      </c>
      <c r="V908" s="11">
        <v>1270</v>
      </c>
      <c r="W908" s="11">
        <v>1030</v>
      </c>
      <c r="X908" s="8">
        <v>2300</v>
      </c>
      <c r="Y908" s="1" t="s">
        <v>51</v>
      </c>
      <c r="Z908" s="11">
        <v>1600</v>
      </c>
      <c r="AA908" s="11">
        <v>700</v>
      </c>
      <c r="AB908" s="1">
        <v>0</v>
      </c>
      <c r="AC908" s="1">
        <v>0</v>
      </c>
      <c r="AD908" s="1">
        <v>0</v>
      </c>
      <c r="AE908" s="1">
        <v>0</v>
      </c>
      <c r="AF908" s="1"/>
      <c r="AG908" s="1">
        <v>0</v>
      </c>
      <c r="AH908" s="1">
        <v>0</v>
      </c>
      <c r="AI908" s="1">
        <v>0</v>
      </c>
      <c r="AJ908" s="1">
        <v>0</v>
      </c>
      <c r="AK908" s="1">
        <v>2.2120000000000002</v>
      </c>
      <c r="AL908" s="1">
        <v>2.2120000000000002</v>
      </c>
      <c r="AM908" s="1">
        <v>2.2120000000000002</v>
      </c>
    </row>
    <row r="909" spans="1:39" x14ac:dyDescent="0.3">
      <c r="A909" s="21" t="str">
        <f t="shared" si="14"/>
        <v>HFA501LLHA2026-02-28</v>
      </c>
      <c r="B909" t="e">
        <f>VLOOKUP(A909,Sheet1!A909:B2251,1,FALSE)</f>
        <v>#N/A</v>
      </c>
      <c r="C909" s="3">
        <v>46081</v>
      </c>
      <c r="D909" s="1" t="s">
        <v>225</v>
      </c>
      <c r="E909" s="1" t="s">
        <v>38</v>
      </c>
      <c r="F909" s="1"/>
      <c r="G909" s="1" t="s">
        <v>39</v>
      </c>
      <c r="H909" s="1" t="s">
        <v>222</v>
      </c>
      <c r="I909" s="1" t="s">
        <v>41</v>
      </c>
      <c r="J909" s="1" t="s">
        <v>42</v>
      </c>
      <c r="K909" s="1" t="s">
        <v>43</v>
      </c>
      <c r="L909" s="1" t="s">
        <v>44</v>
      </c>
      <c r="M909" s="1" t="s">
        <v>45</v>
      </c>
      <c r="N909" s="1" t="s">
        <v>67</v>
      </c>
      <c r="O909" s="1" t="s">
        <v>86</v>
      </c>
      <c r="P909" s="1" t="s">
        <v>87</v>
      </c>
      <c r="Q909" s="1" t="s">
        <v>88</v>
      </c>
      <c r="R909" s="1" t="s">
        <v>50</v>
      </c>
      <c r="S909" s="1">
        <v>264</v>
      </c>
      <c r="T909" s="1">
        <v>265</v>
      </c>
      <c r="U909" s="13">
        <v>7.8472222222222221E-2</v>
      </c>
      <c r="V909" s="11">
        <v>1600</v>
      </c>
      <c r="W909" s="11">
        <v>0</v>
      </c>
      <c r="X909" s="8">
        <v>1600</v>
      </c>
      <c r="Y909" s="1" t="s">
        <v>51</v>
      </c>
      <c r="Z909" s="11">
        <v>1000</v>
      </c>
      <c r="AA909" s="11">
        <v>600</v>
      </c>
      <c r="AB909" s="1">
        <v>0</v>
      </c>
      <c r="AC909" s="1">
        <v>0</v>
      </c>
      <c r="AD909" s="1">
        <v>0</v>
      </c>
      <c r="AE909" s="1">
        <v>0</v>
      </c>
      <c r="AF909" s="1"/>
      <c r="AG909" s="1">
        <v>0</v>
      </c>
      <c r="AH909" s="1">
        <v>0</v>
      </c>
      <c r="AI909" s="1">
        <v>0</v>
      </c>
      <c r="AJ909" s="1">
        <v>0</v>
      </c>
      <c r="AK909" s="1">
        <v>1.8959999999999999</v>
      </c>
      <c r="AL909" s="1">
        <v>1.8959999999999999</v>
      </c>
      <c r="AM909" s="1">
        <v>1.8959999999999999</v>
      </c>
    </row>
    <row r="910" spans="1:39" x14ac:dyDescent="0.3">
      <c r="A910" s="21" t="str">
        <f t="shared" si="14"/>
        <v>HFA104LCLK2026-03-05</v>
      </c>
      <c r="B910" t="e">
        <f>VLOOKUP(A910,Sheet1!A910:B2252,1,FALSE)</f>
        <v>#N/A</v>
      </c>
      <c r="C910" s="3">
        <v>46086</v>
      </c>
      <c r="D910" s="1" t="s">
        <v>175</v>
      </c>
      <c r="E910" s="1" t="s">
        <v>38</v>
      </c>
      <c r="F910" s="1"/>
      <c r="G910" s="1" t="s">
        <v>39</v>
      </c>
      <c r="H910" s="1" t="s">
        <v>222</v>
      </c>
      <c r="I910" s="1" t="s">
        <v>67</v>
      </c>
      <c r="J910" s="1" t="s">
        <v>86</v>
      </c>
      <c r="K910" s="1" t="s">
        <v>87</v>
      </c>
      <c r="L910" s="1" t="s">
        <v>88</v>
      </c>
      <c r="M910" s="1" t="s">
        <v>50</v>
      </c>
      <c r="N910" s="1" t="s">
        <v>41</v>
      </c>
      <c r="O910" s="1" t="s">
        <v>82</v>
      </c>
      <c r="P910" s="1" t="s">
        <v>83</v>
      </c>
      <c r="Q910" s="1" t="s">
        <v>84</v>
      </c>
      <c r="R910" s="1" t="s">
        <v>45</v>
      </c>
      <c r="S910" s="1">
        <v>339</v>
      </c>
      <c r="T910" s="1">
        <v>339</v>
      </c>
      <c r="U910" s="13">
        <v>5.4166666666666669E-2</v>
      </c>
      <c r="V910" s="11">
        <v>1000</v>
      </c>
      <c r="W910" s="11">
        <v>1500</v>
      </c>
      <c r="X910" s="8">
        <v>2500</v>
      </c>
      <c r="Y910" s="1" t="s">
        <v>51</v>
      </c>
      <c r="Z910" s="11">
        <v>1780</v>
      </c>
      <c r="AA910" s="11">
        <v>720</v>
      </c>
      <c r="AB910" s="1">
        <v>0</v>
      </c>
      <c r="AC910" s="1">
        <v>0</v>
      </c>
      <c r="AD910" s="1">
        <v>0</v>
      </c>
      <c r="AE910" s="1">
        <v>0</v>
      </c>
      <c r="AF910" s="1"/>
      <c r="AG910" s="1">
        <v>0</v>
      </c>
      <c r="AH910" s="1">
        <v>0</v>
      </c>
      <c r="AI910" s="1">
        <v>0</v>
      </c>
      <c r="AJ910" s="1">
        <v>0</v>
      </c>
      <c r="AK910" s="1">
        <v>2.2751999999999999</v>
      </c>
      <c r="AL910" s="1">
        <v>2.2751999999999999</v>
      </c>
      <c r="AM910" s="1">
        <v>2.2751999999999999</v>
      </c>
    </row>
    <row r="911" spans="1:39" x14ac:dyDescent="0.3">
      <c r="A911" s="21" t="str">
        <f t="shared" si="14"/>
        <v>HFA103LLBG2026-03-05</v>
      </c>
      <c r="B911" t="e">
        <f>VLOOKUP(A911,Sheet1!A911:B2253,1,FALSE)</f>
        <v>#N/A</v>
      </c>
      <c r="C911" s="3">
        <v>46086</v>
      </c>
      <c r="D911" s="1" t="s">
        <v>226</v>
      </c>
      <c r="E911" s="1" t="s">
        <v>38</v>
      </c>
      <c r="F911" s="1"/>
      <c r="G911" s="1" t="s">
        <v>39</v>
      </c>
      <c r="H911" s="1" t="s">
        <v>222</v>
      </c>
      <c r="I911" s="1" t="s">
        <v>41</v>
      </c>
      <c r="J911" s="1" t="s">
        <v>82</v>
      </c>
      <c r="K911" s="1" t="s">
        <v>83</v>
      </c>
      <c r="L911" s="1" t="s">
        <v>84</v>
      </c>
      <c r="M911" s="1" t="s">
        <v>45</v>
      </c>
      <c r="N911" s="1" t="s">
        <v>67</v>
      </c>
      <c r="O911" s="1" t="s">
        <v>86</v>
      </c>
      <c r="P911" s="1" t="s">
        <v>87</v>
      </c>
      <c r="Q911" s="1" t="s">
        <v>88</v>
      </c>
      <c r="R911" s="1" t="s">
        <v>50</v>
      </c>
      <c r="S911" s="1">
        <v>339</v>
      </c>
      <c r="T911" s="1">
        <v>339</v>
      </c>
      <c r="U911" s="13">
        <v>5.486111111111111E-2</v>
      </c>
      <c r="V911" s="11">
        <v>1780</v>
      </c>
      <c r="W911" s="11">
        <v>0</v>
      </c>
      <c r="X911" s="8">
        <v>1780</v>
      </c>
      <c r="Y911" s="1" t="s">
        <v>51</v>
      </c>
      <c r="Z911" s="11">
        <v>960</v>
      </c>
      <c r="AA911" s="11">
        <v>820</v>
      </c>
      <c r="AB911" s="1">
        <v>0</v>
      </c>
      <c r="AC911" s="1">
        <v>0</v>
      </c>
      <c r="AD911" s="1">
        <v>0</v>
      </c>
      <c r="AE911" s="1">
        <v>0</v>
      </c>
      <c r="AF911" s="1"/>
      <c r="AG911" s="1">
        <v>0</v>
      </c>
      <c r="AH911" s="1">
        <v>0</v>
      </c>
      <c r="AI911" s="1">
        <v>0</v>
      </c>
      <c r="AJ911" s="1">
        <v>0</v>
      </c>
      <c r="AK911" s="1">
        <v>2.5912000000000002</v>
      </c>
      <c r="AL911" s="1">
        <v>2.5912000000000002</v>
      </c>
      <c r="AM911" s="1">
        <v>2.5912000000000002</v>
      </c>
    </row>
    <row r="912" spans="1:39" x14ac:dyDescent="0.3">
      <c r="A912" s="21" t="str">
        <f t="shared" si="14"/>
        <v>HFA108ALCLK2026-03-06</v>
      </c>
      <c r="B912" t="e">
        <f>VLOOKUP(A912,Sheet1!A912:B2254,1,FALSE)</f>
        <v>#N/A</v>
      </c>
      <c r="C912" s="3">
        <v>46087</v>
      </c>
      <c r="D912" s="1" t="s">
        <v>227</v>
      </c>
      <c r="E912" s="1" t="s">
        <v>38</v>
      </c>
      <c r="F912" s="1"/>
      <c r="G912" s="1" t="s">
        <v>39</v>
      </c>
      <c r="H912" s="1" t="s">
        <v>222</v>
      </c>
      <c r="I912" s="1" t="s">
        <v>67</v>
      </c>
      <c r="J912" s="1" t="s">
        <v>86</v>
      </c>
      <c r="K912" s="1" t="s">
        <v>87</v>
      </c>
      <c r="L912" s="1" t="s">
        <v>88</v>
      </c>
      <c r="M912" s="1" t="s">
        <v>50</v>
      </c>
      <c r="N912" s="1" t="s">
        <v>46</v>
      </c>
      <c r="O912" s="1" t="s">
        <v>47</v>
      </c>
      <c r="P912" s="1" t="s">
        <v>48</v>
      </c>
      <c r="Q912" s="1" t="s">
        <v>49</v>
      </c>
      <c r="R912" s="1" t="s">
        <v>50</v>
      </c>
      <c r="S912" s="1">
        <v>932</v>
      </c>
      <c r="T912" s="1">
        <v>932</v>
      </c>
      <c r="U912" s="13">
        <v>0.10347222222222222</v>
      </c>
      <c r="V912" s="11">
        <v>960</v>
      </c>
      <c r="W912" s="11">
        <v>1640</v>
      </c>
      <c r="X912" s="8">
        <v>2600</v>
      </c>
      <c r="Y912" s="1" t="s">
        <v>51</v>
      </c>
      <c r="Z912" s="11">
        <v>1070</v>
      </c>
      <c r="AA912" s="11">
        <v>1530</v>
      </c>
      <c r="AB912" s="1">
        <v>0</v>
      </c>
      <c r="AC912" s="1">
        <v>0</v>
      </c>
      <c r="AD912" s="1">
        <v>0</v>
      </c>
      <c r="AE912" s="1">
        <v>0</v>
      </c>
      <c r="AF912" s="1"/>
      <c r="AG912" s="1">
        <v>0</v>
      </c>
      <c r="AH912" s="1">
        <v>0</v>
      </c>
      <c r="AI912" s="1">
        <v>0</v>
      </c>
      <c r="AJ912" s="1">
        <v>0</v>
      </c>
      <c r="AK912" s="1">
        <v>4.8348000000000004</v>
      </c>
      <c r="AL912" s="1">
        <v>4.8348000000000004</v>
      </c>
      <c r="AM912" s="1">
        <v>4.8348000000000004</v>
      </c>
    </row>
    <row r="913" spans="1:39" x14ac:dyDescent="0.3">
      <c r="A913" s="21" t="str">
        <f t="shared" si="14"/>
        <v>HFA108LGAV2026-03-06</v>
      </c>
      <c r="B913" t="e">
        <f>VLOOKUP(A913,Sheet1!A913:B2255,1,FALSE)</f>
        <v>#N/A</v>
      </c>
      <c r="C913" s="3">
        <v>46087</v>
      </c>
      <c r="D913" s="1" t="s">
        <v>228</v>
      </c>
      <c r="E913" s="1" t="s">
        <v>38</v>
      </c>
      <c r="F913" s="1"/>
      <c r="G913" s="1" t="s">
        <v>39</v>
      </c>
      <c r="H913" s="1" t="s">
        <v>222</v>
      </c>
      <c r="I913" s="1" t="s">
        <v>46</v>
      </c>
      <c r="J913" s="1" t="s">
        <v>47</v>
      </c>
      <c r="K913" s="1" t="s">
        <v>48</v>
      </c>
      <c r="L913" s="1" t="s">
        <v>49</v>
      </c>
      <c r="M913" s="1" t="s">
        <v>50</v>
      </c>
      <c r="N913" s="1" t="s">
        <v>41</v>
      </c>
      <c r="O913" s="1" t="s">
        <v>82</v>
      </c>
      <c r="P913" s="1" t="s">
        <v>83</v>
      </c>
      <c r="Q913" s="1" t="s">
        <v>84</v>
      </c>
      <c r="R913" s="1" t="s">
        <v>45</v>
      </c>
      <c r="S913" s="1">
        <v>1195</v>
      </c>
      <c r="T913" s="1">
        <v>1195</v>
      </c>
      <c r="U913" s="13">
        <v>0.11527777777777777</v>
      </c>
      <c r="V913" s="11">
        <v>1070</v>
      </c>
      <c r="W913" s="11">
        <v>1930</v>
      </c>
      <c r="X913" s="8">
        <v>3000</v>
      </c>
      <c r="Y913" s="1" t="s">
        <v>51</v>
      </c>
      <c r="Z913" s="11">
        <v>1470</v>
      </c>
      <c r="AA913" s="11">
        <v>1530</v>
      </c>
      <c r="AB913" s="1">
        <v>0</v>
      </c>
      <c r="AC913" s="1">
        <v>0</v>
      </c>
      <c r="AD913" s="1">
        <v>0</v>
      </c>
      <c r="AE913" s="1">
        <v>0</v>
      </c>
      <c r="AF913" s="1"/>
      <c r="AG913" s="1">
        <v>0</v>
      </c>
      <c r="AH913" s="1">
        <v>0</v>
      </c>
      <c r="AI913" s="1">
        <v>0</v>
      </c>
      <c r="AJ913" s="1">
        <v>0</v>
      </c>
      <c r="AK913" s="1">
        <v>4.8348000000000004</v>
      </c>
      <c r="AL913" s="1">
        <v>4.8348000000000004</v>
      </c>
      <c r="AM913" s="1">
        <v>4.8348000000000004</v>
      </c>
    </row>
    <row r="914" spans="1:39" x14ac:dyDescent="0.3">
      <c r="A914" s="21" t="str">
        <f t="shared" si="14"/>
        <v>HFA107LLBG2026-03-06</v>
      </c>
      <c r="B914" t="e">
        <f>VLOOKUP(A914,Sheet1!A914:B2256,1,FALSE)</f>
        <v>#N/A</v>
      </c>
      <c r="C914" s="3">
        <v>46087</v>
      </c>
      <c r="D914" s="1" t="s">
        <v>229</v>
      </c>
      <c r="E914" s="1" t="s">
        <v>38</v>
      </c>
      <c r="F914" s="1"/>
      <c r="G914" s="1" t="s">
        <v>39</v>
      </c>
      <c r="H914" s="1" t="s">
        <v>222</v>
      </c>
      <c r="I914" s="1" t="s">
        <v>41</v>
      </c>
      <c r="J914" s="1" t="s">
        <v>82</v>
      </c>
      <c r="K914" s="1" t="s">
        <v>83</v>
      </c>
      <c r="L914" s="1" t="s">
        <v>84</v>
      </c>
      <c r="M914" s="1" t="s">
        <v>45</v>
      </c>
      <c r="N914" s="1" t="s">
        <v>67</v>
      </c>
      <c r="O914" s="1" t="s">
        <v>86</v>
      </c>
      <c r="P914" s="1" t="s">
        <v>87</v>
      </c>
      <c r="Q914" s="1" t="s">
        <v>88</v>
      </c>
      <c r="R914" s="1" t="s">
        <v>50</v>
      </c>
      <c r="S914" s="1">
        <v>339</v>
      </c>
      <c r="T914" s="1">
        <v>339</v>
      </c>
      <c r="U914" s="13">
        <v>5.5555555555555552E-2</v>
      </c>
      <c r="V914" s="11">
        <v>1470</v>
      </c>
      <c r="W914" s="11">
        <v>230</v>
      </c>
      <c r="X914" s="8">
        <v>1700</v>
      </c>
      <c r="Y914" s="1" t="s">
        <v>51</v>
      </c>
      <c r="Z914" s="11">
        <v>870</v>
      </c>
      <c r="AA914" s="11">
        <v>830</v>
      </c>
      <c r="AB914" s="1">
        <v>0</v>
      </c>
      <c r="AC914" s="1">
        <v>0</v>
      </c>
      <c r="AD914" s="1">
        <v>0</v>
      </c>
      <c r="AE914" s="1">
        <v>0</v>
      </c>
      <c r="AF914" s="1"/>
      <c r="AG914" s="1">
        <v>0</v>
      </c>
      <c r="AH914" s="1">
        <v>0</v>
      </c>
      <c r="AI914" s="1">
        <v>0</v>
      </c>
      <c r="AJ914" s="1">
        <v>0</v>
      </c>
      <c r="AK914" s="1">
        <v>2.6227999999999998</v>
      </c>
      <c r="AL914" s="1">
        <v>2.6227999999999998</v>
      </c>
      <c r="AM914" s="1">
        <v>2.6227999999999998</v>
      </c>
    </row>
    <row r="915" spans="1:39" x14ac:dyDescent="0.3">
      <c r="A915" s="21" t="str">
        <f t="shared" si="14"/>
        <v>HFA114LCLK2026-03-07</v>
      </c>
      <c r="B915" t="e">
        <f>VLOOKUP(A915,Sheet1!A915:B2257,1,FALSE)</f>
        <v>#N/A</v>
      </c>
      <c r="C915" s="3">
        <v>46088</v>
      </c>
      <c r="D915" s="1" t="s">
        <v>230</v>
      </c>
      <c r="E915" s="1" t="s">
        <v>38</v>
      </c>
      <c r="F915" s="1"/>
      <c r="G915" s="1" t="s">
        <v>39</v>
      </c>
      <c r="H915" s="1" t="s">
        <v>222</v>
      </c>
      <c r="I915" s="1" t="s">
        <v>67</v>
      </c>
      <c r="J915" s="1" t="s">
        <v>86</v>
      </c>
      <c r="K915" s="1" t="s">
        <v>87</v>
      </c>
      <c r="L915" s="1" t="s">
        <v>88</v>
      </c>
      <c r="M915" s="1" t="s">
        <v>50</v>
      </c>
      <c r="N915" s="1" t="s">
        <v>41</v>
      </c>
      <c r="O915" s="1" t="s">
        <v>82</v>
      </c>
      <c r="P915" s="1" t="s">
        <v>83</v>
      </c>
      <c r="Q915" s="1" t="s">
        <v>84</v>
      </c>
      <c r="R915" s="1" t="s">
        <v>45</v>
      </c>
      <c r="S915" s="1">
        <v>339</v>
      </c>
      <c r="T915" s="1">
        <v>0</v>
      </c>
      <c r="U915" s="13">
        <v>5.1388888888888887E-2</v>
      </c>
      <c r="V915" s="11">
        <v>870</v>
      </c>
      <c r="W915" s="11">
        <v>1630</v>
      </c>
      <c r="X915" s="8">
        <v>2500</v>
      </c>
      <c r="Y915" s="1" t="s">
        <v>51</v>
      </c>
      <c r="Z915" s="11">
        <v>1840</v>
      </c>
      <c r="AA915" s="11">
        <v>660</v>
      </c>
      <c r="AB915" s="1">
        <v>0</v>
      </c>
      <c r="AC915" s="1">
        <v>0</v>
      </c>
      <c r="AD915" s="1">
        <v>0</v>
      </c>
      <c r="AE915" s="1">
        <v>0</v>
      </c>
      <c r="AF915" s="1"/>
      <c r="AG915" s="1">
        <v>0</v>
      </c>
      <c r="AH915" s="1">
        <v>0</v>
      </c>
      <c r="AI915" s="1">
        <v>0</v>
      </c>
      <c r="AJ915" s="1">
        <v>0</v>
      </c>
      <c r="AK915" s="1">
        <v>2.0855999999999999</v>
      </c>
      <c r="AL915" s="1">
        <v>2.0855999999999999</v>
      </c>
      <c r="AM915" s="1">
        <v>2.0855999999999999</v>
      </c>
    </row>
    <row r="916" spans="1:39" x14ac:dyDescent="0.3">
      <c r="A916" s="21" t="str">
        <f t="shared" si="14"/>
        <v>HFA113LLBG2026-03-07</v>
      </c>
      <c r="B916" t="e">
        <f>VLOOKUP(A916,Sheet1!A916:B2258,1,FALSE)</f>
        <v>#N/A</v>
      </c>
      <c r="C916" s="3">
        <v>46088</v>
      </c>
      <c r="D916" s="1" t="s">
        <v>231</v>
      </c>
      <c r="E916" s="1" t="s">
        <v>38</v>
      </c>
      <c r="F916" s="1"/>
      <c r="G916" s="1" t="s">
        <v>39</v>
      </c>
      <c r="H916" s="1" t="s">
        <v>222</v>
      </c>
      <c r="I916" s="1" t="s">
        <v>41</v>
      </c>
      <c r="J916" s="1" t="s">
        <v>82</v>
      </c>
      <c r="K916" s="1" t="s">
        <v>83</v>
      </c>
      <c r="L916" s="1" t="s">
        <v>84</v>
      </c>
      <c r="M916" s="1" t="s">
        <v>45</v>
      </c>
      <c r="N916" s="1" t="s">
        <v>67</v>
      </c>
      <c r="O916" s="1" t="s">
        <v>86</v>
      </c>
      <c r="P916" s="1" t="s">
        <v>87</v>
      </c>
      <c r="Q916" s="1" t="s">
        <v>88</v>
      </c>
      <c r="R916" s="1" t="s">
        <v>50</v>
      </c>
      <c r="S916" s="1">
        <v>339</v>
      </c>
      <c r="T916" s="1">
        <v>0</v>
      </c>
      <c r="U916" s="13">
        <v>5.6944444444444443E-2</v>
      </c>
      <c r="V916" s="11">
        <v>1840</v>
      </c>
      <c r="W916" s="11">
        <v>0</v>
      </c>
      <c r="X916" s="8">
        <v>1840</v>
      </c>
      <c r="Y916" s="1" t="s">
        <v>51</v>
      </c>
      <c r="Z916" s="11">
        <v>1040</v>
      </c>
      <c r="AA916" s="11">
        <v>800</v>
      </c>
      <c r="AB916" s="1">
        <v>0</v>
      </c>
      <c r="AC916" s="1">
        <v>0</v>
      </c>
      <c r="AD916" s="1">
        <v>0</v>
      </c>
      <c r="AE916" s="1">
        <v>0</v>
      </c>
      <c r="AF916" s="1"/>
      <c r="AG916" s="1">
        <v>0</v>
      </c>
      <c r="AH916" s="1">
        <v>0</v>
      </c>
      <c r="AI916" s="1">
        <v>0</v>
      </c>
      <c r="AJ916" s="1">
        <v>0</v>
      </c>
      <c r="AK916" s="1">
        <v>2.528</v>
      </c>
      <c r="AL916" s="1">
        <v>2.528</v>
      </c>
      <c r="AM916" s="1">
        <v>2.528</v>
      </c>
    </row>
    <row r="917" spans="1:39" x14ac:dyDescent="0.3">
      <c r="A917" s="21" t="str">
        <f t="shared" si="14"/>
        <v>HFA126LCLK2026-03-07</v>
      </c>
      <c r="B917" t="e">
        <f>VLOOKUP(A917,Sheet1!A917:B2259,1,FALSE)</f>
        <v>#N/A</v>
      </c>
      <c r="C917" s="3">
        <v>46088</v>
      </c>
      <c r="D917" s="1" t="s">
        <v>232</v>
      </c>
      <c r="E917" s="1" t="s">
        <v>38</v>
      </c>
      <c r="F917" s="1"/>
      <c r="G917" s="1" t="s">
        <v>39</v>
      </c>
      <c r="H917" s="1" t="s">
        <v>222</v>
      </c>
      <c r="I917" s="1" t="s">
        <v>67</v>
      </c>
      <c r="J917" s="1" t="s">
        <v>86</v>
      </c>
      <c r="K917" s="1" t="s">
        <v>87</v>
      </c>
      <c r="L917" s="1" t="s">
        <v>88</v>
      </c>
      <c r="M917" s="1" t="s">
        <v>50</v>
      </c>
      <c r="N917" s="1" t="s">
        <v>41</v>
      </c>
      <c r="O917" s="1" t="s">
        <v>82</v>
      </c>
      <c r="P917" s="1" t="s">
        <v>83</v>
      </c>
      <c r="Q917" s="1" t="s">
        <v>84</v>
      </c>
      <c r="R917" s="1" t="s">
        <v>45</v>
      </c>
      <c r="S917" s="1">
        <v>339</v>
      </c>
      <c r="T917" s="1">
        <v>0</v>
      </c>
      <c r="U917" s="13">
        <v>5.0694444444444445E-2</v>
      </c>
      <c r="V917" s="11">
        <v>1040</v>
      </c>
      <c r="W917" s="11">
        <v>1360</v>
      </c>
      <c r="X917" s="8">
        <v>2400</v>
      </c>
      <c r="Y917" s="1" t="s">
        <v>51</v>
      </c>
      <c r="Z917" s="11">
        <v>1700</v>
      </c>
      <c r="AA917" s="11">
        <v>700</v>
      </c>
      <c r="AB917" s="1">
        <v>0</v>
      </c>
      <c r="AC917" s="1">
        <v>0</v>
      </c>
      <c r="AD917" s="1">
        <v>0</v>
      </c>
      <c r="AE917" s="1">
        <v>0</v>
      </c>
      <c r="AF917" s="1"/>
      <c r="AG917" s="1">
        <v>0</v>
      </c>
      <c r="AH917" s="1">
        <v>0</v>
      </c>
      <c r="AI917" s="1">
        <v>0</v>
      </c>
      <c r="AJ917" s="1">
        <v>0</v>
      </c>
      <c r="AK917" s="1">
        <v>2.2120000000000002</v>
      </c>
      <c r="AL917" s="1">
        <v>2.2120000000000002</v>
      </c>
      <c r="AM917" s="1">
        <v>2.2120000000000002</v>
      </c>
    </row>
    <row r="918" spans="1:39" x14ac:dyDescent="0.3">
      <c r="A918" s="21" t="str">
        <f t="shared" si="14"/>
        <v>HFA125LLBG2026-03-07</v>
      </c>
      <c r="B918" t="e">
        <f>VLOOKUP(A918,Sheet1!A918:B2260,1,FALSE)</f>
        <v>#N/A</v>
      </c>
      <c r="C918" s="3">
        <v>46088</v>
      </c>
      <c r="D918" s="1" t="s">
        <v>233</v>
      </c>
      <c r="E918" s="1" t="s">
        <v>38</v>
      </c>
      <c r="F918" s="1"/>
      <c r="G918" s="1" t="s">
        <v>39</v>
      </c>
      <c r="H918" s="1" t="s">
        <v>222</v>
      </c>
      <c r="I918" s="1" t="s">
        <v>41</v>
      </c>
      <c r="J918" s="1" t="s">
        <v>82</v>
      </c>
      <c r="K918" s="1" t="s">
        <v>83</v>
      </c>
      <c r="L918" s="1" t="s">
        <v>84</v>
      </c>
      <c r="M918" s="1" t="s">
        <v>45</v>
      </c>
      <c r="N918" s="1" t="s">
        <v>67</v>
      </c>
      <c r="O918" s="1" t="s">
        <v>86</v>
      </c>
      <c r="P918" s="1" t="s">
        <v>87</v>
      </c>
      <c r="Q918" s="1" t="s">
        <v>88</v>
      </c>
      <c r="R918" s="1" t="s">
        <v>50</v>
      </c>
      <c r="S918" s="1">
        <v>339</v>
      </c>
      <c r="T918" s="1">
        <v>0</v>
      </c>
      <c r="U918" s="13">
        <v>5.6944444444444443E-2</v>
      </c>
      <c r="V918" s="11">
        <v>1700</v>
      </c>
      <c r="W918" s="11">
        <v>300</v>
      </c>
      <c r="X918" s="8">
        <v>2000</v>
      </c>
      <c r="Y918" s="1" t="s">
        <v>51</v>
      </c>
      <c r="Z918" s="11">
        <v>1200</v>
      </c>
      <c r="AA918" s="11">
        <v>800</v>
      </c>
      <c r="AB918" s="1">
        <v>0</v>
      </c>
      <c r="AC918" s="1">
        <v>0</v>
      </c>
      <c r="AD918" s="1">
        <v>0</v>
      </c>
      <c r="AE918" s="1">
        <v>0</v>
      </c>
      <c r="AF918" s="1"/>
      <c r="AG918" s="1">
        <v>0</v>
      </c>
      <c r="AH918" s="1">
        <v>0</v>
      </c>
      <c r="AI918" s="1">
        <v>0</v>
      </c>
      <c r="AJ918" s="1">
        <v>0</v>
      </c>
      <c r="AK918" s="1">
        <v>2.528</v>
      </c>
      <c r="AL918" s="1">
        <v>2.528</v>
      </c>
      <c r="AM918" s="1">
        <v>2.528</v>
      </c>
    </row>
    <row r="919" spans="1:39" x14ac:dyDescent="0.3">
      <c r="A919" s="21" t="str">
        <f t="shared" si="14"/>
        <v>HFA124LCLK2026-03-07</v>
      </c>
      <c r="B919" t="e">
        <f>VLOOKUP(A919,Sheet1!A919:B2261,1,FALSE)</f>
        <v>#N/A</v>
      </c>
      <c r="C919" s="3">
        <v>46088</v>
      </c>
      <c r="D919" s="1" t="s">
        <v>234</v>
      </c>
      <c r="E919" s="1" t="s">
        <v>38</v>
      </c>
      <c r="F919" s="1"/>
      <c r="G919" s="1" t="s">
        <v>39</v>
      </c>
      <c r="H919" s="1" t="s">
        <v>222</v>
      </c>
      <c r="I919" s="1" t="s">
        <v>67</v>
      </c>
      <c r="J919" s="1" t="s">
        <v>86</v>
      </c>
      <c r="K919" s="1" t="s">
        <v>87</v>
      </c>
      <c r="L919" s="1" t="s">
        <v>88</v>
      </c>
      <c r="M919" s="1" t="s">
        <v>50</v>
      </c>
      <c r="N919" s="1" t="s">
        <v>41</v>
      </c>
      <c r="O919" s="1" t="s">
        <v>82</v>
      </c>
      <c r="P919" s="1" t="s">
        <v>83</v>
      </c>
      <c r="Q919" s="1" t="s">
        <v>84</v>
      </c>
      <c r="R919" s="1" t="s">
        <v>45</v>
      </c>
      <c r="S919" s="1">
        <v>339</v>
      </c>
      <c r="T919" s="1">
        <v>0</v>
      </c>
      <c r="U919" s="13">
        <v>6.25E-2</v>
      </c>
      <c r="V919" s="11">
        <v>1200</v>
      </c>
      <c r="W919" s="11">
        <v>1300</v>
      </c>
      <c r="X919" s="8">
        <v>2500</v>
      </c>
      <c r="Y919" s="1" t="s">
        <v>51</v>
      </c>
      <c r="Z919" s="11">
        <v>1740</v>
      </c>
      <c r="AA919" s="11">
        <v>760</v>
      </c>
      <c r="AB919" s="1">
        <v>0</v>
      </c>
      <c r="AC919" s="1">
        <v>0</v>
      </c>
      <c r="AD919" s="1">
        <v>0</v>
      </c>
      <c r="AE919" s="1">
        <v>0</v>
      </c>
      <c r="AF919" s="1"/>
      <c r="AG919" s="1">
        <v>0</v>
      </c>
      <c r="AH919" s="1">
        <v>0</v>
      </c>
      <c r="AI919" s="1">
        <v>0</v>
      </c>
      <c r="AJ919" s="1">
        <v>0</v>
      </c>
      <c r="AK919" s="1">
        <v>2.4016000000000002</v>
      </c>
      <c r="AL919" s="1">
        <v>2.4016000000000002</v>
      </c>
      <c r="AM919" s="1">
        <v>2.4016000000000002</v>
      </c>
    </row>
    <row r="920" spans="1:39" x14ac:dyDescent="0.3">
      <c r="A920" s="21" t="str">
        <f t="shared" si="14"/>
        <v>HFA123LLBG2026-03-07</v>
      </c>
      <c r="B920" t="e">
        <f>VLOOKUP(A920,Sheet1!A920:B2262,1,FALSE)</f>
        <v>#N/A</v>
      </c>
      <c r="C920" s="3">
        <v>46088</v>
      </c>
      <c r="D920" s="1" t="s">
        <v>235</v>
      </c>
      <c r="E920" s="1" t="s">
        <v>38</v>
      </c>
      <c r="F920" s="1"/>
      <c r="G920" s="1" t="s">
        <v>39</v>
      </c>
      <c r="H920" s="1" t="s">
        <v>222</v>
      </c>
      <c r="I920" s="1" t="s">
        <v>41</v>
      </c>
      <c r="J920" s="1" t="s">
        <v>82</v>
      </c>
      <c r="K920" s="1" t="s">
        <v>83</v>
      </c>
      <c r="L920" s="1" t="s">
        <v>84</v>
      </c>
      <c r="M920" s="1" t="s">
        <v>45</v>
      </c>
      <c r="N920" s="1" t="s">
        <v>67</v>
      </c>
      <c r="O920" s="1" t="s">
        <v>86</v>
      </c>
      <c r="P920" s="1" t="s">
        <v>87</v>
      </c>
      <c r="Q920" s="1" t="s">
        <v>88</v>
      </c>
      <c r="R920" s="1" t="s">
        <v>50</v>
      </c>
      <c r="S920" s="1">
        <v>339</v>
      </c>
      <c r="T920" s="1">
        <v>339</v>
      </c>
      <c r="U920" s="13">
        <v>6.4583333333333326E-2</v>
      </c>
      <c r="V920" s="11">
        <v>1740</v>
      </c>
      <c r="W920" s="11">
        <v>0</v>
      </c>
      <c r="X920" s="8">
        <v>1740</v>
      </c>
      <c r="Y920" s="1" t="s">
        <v>51</v>
      </c>
      <c r="Z920" s="11">
        <v>800</v>
      </c>
      <c r="AA920" s="11">
        <v>940</v>
      </c>
      <c r="AB920" s="1">
        <v>0</v>
      </c>
      <c r="AC920" s="1">
        <v>0</v>
      </c>
      <c r="AD920" s="1">
        <v>0</v>
      </c>
      <c r="AE920" s="1">
        <v>0</v>
      </c>
      <c r="AF920" s="1"/>
      <c r="AG920" s="1">
        <v>0</v>
      </c>
      <c r="AH920" s="1">
        <v>0</v>
      </c>
      <c r="AI920" s="1">
        <v>0</v>
      </c>
      <c r="AJ920" s="1">
        <v>0</v>
      </c>
      <c r="AK920" s="1">
        <v>2.9704000000000002</v>
      </c>
      <c r="AL920" s="1">
        <v>2.9704000000000002</v>
      </c>
      <c r="AM920" s="1">
        <v>2.9704000000000002</v>
      </c>
    </row>
    <row r="921" spans="1:39" x14ac:dyDescent="0.3">
      <c r="A921" s="21" t="str">
        <f t="shared" si="14"/>
        <v>HFA148LCLK2026-03-09</v>
      </c>
      <c r="B921" t="e">
        <f>VLOOKUP(A921,Sheet1!A921:B2263,1,FALSE)</f>
        <v>#N/A</v>
      </c>
      <c r="C921" s="3">
        <v>46090</v>
      </c>
      <c r="D921" s="1" t="s">
        <v>236</v>
      </c>
      <c r="E921" s="1" t="s">
        <v>38</v>
      </c>
      <c r="F921" s="1"/>
      <c r="G921" s="1" t="s">
        <v>39</v>
      </c>
      <c r="H921" s="1" t="s">
        <v>222</v>
      </c>
      <c r="I921" s="1" t="s">
        <v>67</v>
      </c>
      <c r="J921" s="1" t="s">
        <v>86</v>
      </c>
      <c r="K921" s="1" t="s">
        <v>87</v>
      </c>
      <c r="L921" s="1" t="s">
        <v>88</v>
      </c>
      <c r="M921" s="1" t="s">
        <v>50</v>
      </c>
      <c r="N921" s="1" t="s">
        <v>41</v>
      </c>
      <c r="O921" s="1" t="s">
        <v>82</v>
      </c>
      <c r="P921" s="1" t="s">
        <v>83</v>
      </c>
      <c r="Q921" s="1" t="s">
        <v>84</v>
      </c>
      <c r="R921" s="1" t="s">
        <v>45</v>
      </c>
      <c r="S921" s="1">
        <v>339</v>
      </c>
      <c r="T921" s="1">
        <v>0</v>
      </c>
      <c r="U921" s="13">
        <v>4.8611111111111105E-2</v>
      </c>
      <c r="V921" s="11">
        <v>800</v>
      </c>
      <c r="W921" s="11">
        <v>1700</v>
      </c>
      <c r="X921" s="8">
        <v>2500</v>
      </c>
      <c r="Y921" s="1" t="s">
        <v>51</v>
      </c>
      <c r="Z921" s="11">
        <v>1850</v>
      </c>
      <c r="AA921" s="11">
        <v>650</v>
      </c>
      <c r="AB921" s="1">
        <v>0</v>
      </c>
      <c r="AC921" s="1">
        <v>0</v>
      </c>
      <c r="AD921" s="1">
        <v>0</v>
      </c>
      <c r="AE921" s="1">
        <v>0</v>
      </c>
      <c r="AF921" s="1"/>
      <c r="AG921" s="1">
        <v>0</v>
      </c>
      <c r="AH921" s="1">
        <v>0</v>
      </c>
      <c r="AI921" s="1">
        <v>0</v>
      </c>
      <c r="AJ921" s="1">
        <v>0</v>
      </c>
      <c r="AK921" s="1">
        <v>2.0539999999999998</v>
      </c>
      <c r="AL921" s="1">
        <v>2.0539999999999998</v>
      </c>
      <c r="AM921" s="1">
        <v>2.0539999999999998</v>
      </c>
    </row>
    <row r="922" spans="1:39" x14ac:dyDescent="0.3">
      <c r="A922" s="21" t="str">
        <f t="shared" si="14"/>
        <v>HFA149LLBG2026-03-09</v>
      </c>
      <c r="B922" t="e">
        <f>VLOOKUP(A922,Sheet1!A922:B2264,1,FALSE)</f>
        <v>#N/A</v>
      </c>
      <c r="C922" s="3">
        <v>46090</v>
      </c>
      <c r="D922" s="1" t="s">
        <v>237</v>
      </c>
      <c r="E922" s="1" t="s">
        <v>38</v>
      </c>
      <c r="F922" s="1"/>
      <c r="G922" s="1" t="s">
        <v>39</v>
      </c>
      <c r="H922" s="1" t="s">
        <v>222</v>
      </c>
      <c r="I922" s="1" t="s">
        <v>41</v>
      </c>
      <c r="J922" s="1" t="s">
        <v>82</v>
      </c>
      <c r="K922" s="1" t="s">
        <v>83</v>
      </c>
      <c r="L922" s="1" t="s">
        <v>84</v>
      </c>
      <c r="M922" s="1" t="s">
        <v>45</v>
      </c>
      <c r="N922" s="1" t="s">
        <v>46</v>
      </c>
      <c r="O922" s="1" t="s">
        <v>47</v>
      </c>
      <c r="P922" s="1" t="s">
        <v>48</v>
      </c>
      <c r="Q922" s="1" t="s">
        <v>49</v>
      </c>
      <c r="R922" s="1" t="s">
        <v>50</v>
      </c>
      <c r="S922" s="1">
        <v>1195</v>
      </c>
      <c r="T922" s="1">
        <v>0</v>
      </c>
      <c r="U922" s="13">
        <v>0.13541666666666666</v>
      </c>
      <c r="V922" s="11">
        <v>1850</v>
      </c>
      <c r="W922" s="11">
        <v>850</v>
      </c>
      <c r="X922" s="8">
        <v>2700</v>
      </c>
      <c r="Y922" s="1" t="s">
        <v>51</v>
      </c>
      <c r="Z922" s="11">
        <v>640</v>
      </c>
      <c r="AA922" s="11">
        <v>2060</v>
      </c>
      <c r="AB922" s="1">
        <v>0</v>
      </c>
      <c r="AC922" s="1">
        <v>0</v>
      </c>
      <c r="AD922" s="1">
        <v>0</v>
      </c>
      <c r="AE922" s="1">
        <v>0</v>
      </c>
      <c r="AF922" s="1"/>
      <c r="AG922" s="1">
        <v>0</v>
      </c>
      <c r="AH922" s="1">
        <v>0</v>
      </c>
      <c r="AI922" s="1">
        <v>0</v>
      </c>
      <c r="AJ922" s="1">
        <v>0</v>
      </c>
      <c r="AK922" s="1">
        <v>6.5095999999999998</v>
      </c>
      <c r="AL922" s="1">
        <v>6.5095999999999998</v>
      </c>
      <c r="AM922" s="1">
        <v>6.5095999999999998</v>
      </c>
    </row>
    <row r="923" spans="1:39" x14ac:dyDescent="0.3">
      <c r="A923" s="21" t="str">
        <f t="shared" si="14"/>
        <v>HFA146LGAV2026-03-09</v>
      </c>
      <c r="B923" t="e">
        <f>VLOOKUP(A923,Sheet1!A923:B2265,1,FALSE)</f>
        <v>#N/A</v>
      </c>
      <c r="C923" s="3">
        <v>46090</v>
      </c>
      <c r="D923" s="1" t="s">
        <v>238</v>
      </c>
      <c r="E923" s="1" t="s">
        <v>38</v>
      </c>
      <c r="F923" s="1"/>
      <c r="G923" s="1" t="s">
        <v>39</v>
      </c>
      <c r="H923" s="1" t="s">
        <v>222</v>
      </c>
      <c r="I923" s="1" t="s">
        <v>46</v>
      </c>
      <c r="J923" s="1" t="s">
        <v>47</v>
      </c>
      <c r="K923" s="1" t="s">
        <v>48</v>
      </c>
      <c r="L923" s="1" t="s">
        <v>49</v>
      </c>
      <c r="M923" s="1" t="s">
        <v>50</v>
      </c>
      <c r="N923" s="1" t="s">
        <v>41</v>
      </c>
      <c r="O923" s="1" t="s">
        <v>82</v>
      </c>
      <c r="P923" s="1" t="s">
        <v>83</v>
      </c>
      <c r="Q923" s="1" t="s">
        <v>84</v>
      </c>
      <c r="R923" s="1" t="s">
        <v>45</v>
      </c>
      <c r="S923" s="1">
        <v>1195</v>
      </c>
      <c r="T923" s="1">
        <v>0</v>
      </c>
      <c r="U923" s="13">
        <v>0.11527777777777777</v>
      </c>
      <c r="V923" s="11">
        <v>640</v>
      </c>
      <c r="W923" s="11">
        <v>2360</v>
      </c>
      <c r="X923" s="8">
        <v>3000</v>
      </c>
      <c r="Y923" s="1" t="s">
        <v>51</v>
      </c>
      <c r="Z923" s="11">
        <v>1440</v>
      </c>
      <c r="AA923" s="11">
        <v>1560</v>
      </c>
      <c r="AB923" s="1">
        <v>0</v>
      </c>
      <c r="AC923" s="1">
        <v>0</v>
      </c>
      <c r="AD923" s="1">
        <v>0</v>
      </c>
      <c r="AE923" s="1">
        <v>0</v>
      </c>
      <c r="AF923" s="1"/>
      <c r="AG923" s="1">
        <v>0</v>
      </c>
      <c r="AH923" s="1">
        <v>0</v>
      </c>
      <c r="AI923" s="1">
        <v>0</v>
      </c>
      <c r="AJ923" s="1">
        <v>0</v>
      </c>
      <c r="AK923" s="1">
        <v>4.9295999999999998</v>
      </c>
      <c r="AL923" s="1">
        <v>4.9295999999999998</v>
      </c>
      <c r="AM923" s="1">
        <v>4.9295999999999998</v>
      </c>
    </row>
    <row r="924" spans="1:39" x14ac:dyDescent="0.3">
      <c r="A924" s="21" t="str">
        <f t="shared" si="14"/>
        <v>HFA147LLBG2026-03-09</v>
      </c>
      <c r="B924" t="e">
        <f>VLOOKUP(A924,Sheet1!A924:B2266,1,FALSE)</f>
        <v>#N/A</v>
      </c>
      <c r="C924" s="3">
        <v>46090</v>
      </c>
      <c r="D924" s="1" t="s">
        <v>239</v>
      </c>
      <c r="E924" s="1" t="s">
        <v>38</v>
      </c>
      <c r="F924" s="1"/>
      <c r="G924" s="1" t="s">
        <v>39</v>
      </c>
      <c r="H924" s="1" t="s">
        <v>222</v>
      </c>
      <c r="I924" s="1" t="s">
        <v>41</v>
      </c>
      <c r="J924" s="1" t="s">
        <v>82</v>
      </c>
      <c r="K924" s="1" t="s">
        <v>83</v>
      </c>
      <c r="L924" s="1" t="s">
        <v>84</v>
      </c>
      <c r="M924" s="1" t="s">
        <v>45</v>
      </c>
      <c r="N924" s="1" t="s">
        <v>67</v>
      </c>
      <c r="O924" s="1" t="s">
        <v>86</v>
      </c>
      <c r="P924" s="1" t="s">
        <v>87</v>
      </c>
      <c r="Q924" s="1" t="s">
        <v>88</v>
      </c>
      <c r="R924" s="1" t="s">
        <v>50</v>
      </c>
      <c r="S924" s="1">
        <v>339</v>
      </c>
      <c r="T924" s="1">
        <v>0</v>
      </c>
      <c r="U924" s="13">
        <v>6.5277777777777768E-2</v>
      </c>
      <c r="V924" s="11">
        <v>1440</v>
      </c>
      <c r="W924" s="11">
        <v>460</v>
      </c>
      <c r="X924" s="8">
        <v>1900</v>
      </c>
      <c r="Y924" s="1" t="s">
        <v>51</v>
      </c>
      <c r="Z924" s="11">
        <v>1030</v>
      </c>
      <c r="AA924" s="11">
        <v>870</v>
      </c>
      <c r="AB924" s="1">
        <v>0</v>
      </c>
      <c r="AC924" s="1">
        <v>0</v>
      </c>
      <c r="AD924" s="1">
        <v>0</v>
      </c>
      <c r="AE924" s="1">
        <v>0</v>
      </c>
      <c r="AF924" s="1"/>
      <c r="AG924" s="1">
        <v>0</v>
      </c>
      <c r="AH924" s="1">
        <v>0</v>
      </c>
      <c r="AI924" s="1">
        <v>0</v>
      </c>
      <c r="AJ924" s="1">
        <v>0</v>
      </c>
      <c r="AK924" s="1">
        <v>2.7492000000000001</v>
      </c>
      <c r="AL924" s="1">
        <v>2.7492000000000001</v>
      </c>
      <c r="AM924" s="1">
        <v>2.7492000000000001</v>
      </c>
    </row>
    <row r="925" spans="1:39" x14ac:dyDescent="0.3">
      <c r="A925" s="21" t="str">
        <f t="shared" si="14"/>
        <v>HFA152LCLK2026-03-10</v>
      </c>
      <c r="B925" t="e">
        <f>VLOOKUP(A925,Sheet1!A925:B2267,1,FALSE)</f>
        <v>#N/A</v>
      </c>
      <c r="C925" s="3">
        <v>46091</v>
      </c>
      <c r="D925" s="1" t="s">
        <v>240</v>
      </c>
      <c r="E925" s="1" t="s">
        <v>38</v>
      </c>
      <c r="F925" s="1"/>
      <c r="G925" s="1" t="s">
        <v>39</v>
      </c>
      <c r="H925" s="1" t="s">
        <v>222</v>
      </c>
      <c r="I925" s="1" t="s">
        <v>67</v>
      </c>
      <c r="J925" s="1" t="s">
        <v>86</v>
      </c>
      <c r="K925" s="1" t="s">
        <v>87</v>
      </c>
      <c r="L925" s="1" t="s">
        <v>88</v>
      </c>
      <c r="M925" s="1" t="s">
        <v>50</v>
      </c>
      <c r="N925" s="1" t="s">
        <v>41</v>
      </c>
      <c r="O925" s="1" t="s">
        <v>82</v>
      </c>
      <c r="P925" s="1" t="s">
        <v>83</v>
      </c>
      <c r="Q925" s="1" t="s">
        <v>84</v>
      </c>
      <c r="R925" s="1" t="s">
        <v>45</v>
      </c>
      <c r="S925" s="1">
        <v>339</v>
      </c>
      <c r="T925" s="1">
        <v>0</v>
      </c>
      <c r="U925" s="13">
        <v>5.9027777777777776E-2</v>
      </c>
      <c r="V925" s="11">
        <v>1030</v>
      </c>
      <c r="W925" s="11">
        <v>1470</v>
      </c>
      <c r="X925" s="8">
        <v>2500</v>
      </c>
      <c r="Y925" s="1" t="s">
        <v>51</v>
      </c>
      <c r="Z925" s="11">
        <v>1900</v>
      </c>
      <c r="AA925" s="11">
        <v>600</v>
      </c>
      <c r="AB925" s="1">
        <v>0</v>
      </c>
      <c r="AC925" s="1">
        <v>0</v>
      </c>
      <c r="AD925" s="1">
        <v>0</v>
      </c>
      <c r="AE925" s="1">
        <v>0</v>
      </c>
      <c r="AF925" s="1"/>
      <c r="AG925" s="1">
        <v>0</v>
      </c>
      <c r="AH925" s="1">
        <v>0</v>
      </c>
      <c r="AI925" s="1">
        <v>0</v>
      </c>
      <c r="AJ925" s="1">
        <v>0</v>
      </c>
      <c r="AK925" s="1">
        <v>1.8959999999999999</v>
      </c>
      <c r="AL925" s="1">
        <v>1.8959999999999999</v>
      </c>
      <c r="AM925" s="1">
        <v>1.8959999999999999</v>
      </c>
    </row>
    <row r="926" spans="1:39" x14ac:dyDescent="0.3">
      <c r="A926" s="21" t="str">
        <f t="shared" si="14"/>
        <v>HFA153LLBG2026-03-10</v>
      </c>
      <c r="B926" t="e">
        <f>VLOOKUP(A926,Sheet1!A926:B2268,1,FALSE)</f>
        <v>#N/A</v>
      </c>
      <c r="C926" s="3">
        <v>46091</v>
      </c>
      <c r="D926" s="1" t="s">
        <v>241</v>
      </c>
      <c r="E926" s="1" t="s">
        <v>38</v>
      </c>
      <c r="F926" s="1"/>
      <c r="G926" s="1" t="s">
        <v>39</v>
      </c>
      <c r="H926" s="1" t="s">
        <v>222</v>
      </c>
      <c r="I926" s="1" t="s">
        <v>41</v>
      </c>
      <c r="J926" s="1" t="s">
        <v>82</v>
      </c>
      <c r="K926" s="1" t="s">
        <v>83</v>
      </c>
      <c r="L926" s="1" t="s">
        <v>84</v>
      </c>
      <c r="M926" s="1" t="s">
        <v>45</v>
      </c>
      <c r="N926" s="1" t="s">
        <v>46</v>
      </c>
      <c r="O926" s="1" t="s">
        <v>47</v>
      </c>
      <c r="P926" s="1" t="s">
        <v>48</v>
      </c>
      <c r="Q926" s="1" t="s">
        <v>49</v>
      </c>
      <c r="R926" s="1" t="s">
        <v>50</v>
      </c>
      <c r="S926" s="1">
        <v>1195</v>
      </c>
      <c r="T926" s="1">
        <v>0</v>
      </c>
      <c r="U926" s="13">
        <v>0.16458333333333333</v>
      </c>
      <c r="V926" s="11">
        <v>1900</v>
      </c>
      <c r="W926" s="11">
        <v>600</v>
      </c>
      <c r="X926" s="8">
        <v>2500</v>
      </c>
      <c r="Y926" s="1" t="s">
        <v>51</v>
      </c>
      <c r="Z926" s="11">
        <v>500</v>
      </c>
      <c r="AA926" s="11">
        <v>2000</v>
      </c>
      <c r="AB926" s="1">
        <v>0</v>
      </c>
      <c r="AC926" s="1">
        <v>0</v>
      </c>
      <c r="AD926" s="1">
        <v>0</v>
      </c>
      <c r="AE926" s="1">
        <v>0</v>
      </c>
      <c r="AF926" s="1"/>
      <c r="AG926" s="1">
        <v>0</v>
      </c>
      <c r="AH926" s="1">
        <v>0</v>
      </c>
      <c r="AI926" s="1">
        <v>0</v>
      </c>
      <c r="AJ926" s="1">
        <v>0</v>
      </c>
      <c r="AK926" s="1">
        <v>6.32</v>
      </c>
      <c r="AL926" s="1">
        <v>6.32</v>
      </c>
      <c r="AM926" s="1">
        <v>6.32</v>
      </c>
    </row>
    <row r="927" spans="1:39" x14ac:dyDescent="0.3">
      <c r="A927" s="21" t="str">
        <f t="shared" si="14"/>
        <v>HFA156LGAV2026-03-10</v>
      </c>
      <c r="B927" t="e">
        <f>VLOOKUP(A927,Sheet1!A927:B2269,1,FALSE)</f>
        <v>#N/A</v>
      </c>
      <c r="C927" s="3">
        <v>46091</v>
      </c>
      <c r="D927" s="1" t="s">
        <v>169</v>
      </c>
      <c r="E927" s="1" t="s">
        <v>38</v>
      </c>
      <c r="F927" s="1"/>
      <c r="G927" s="1" t="s">
        <v>39</v>
      </c>
      <c r="H927" s="1" t="s">
        <v>222</v>
      </c>
      <c r="I927" s="1" t="s">
        <v>46</v>
      </c>
      <c r="J927" s="1" t="s">
        <v>47</v>
      </c>
      <c r="K927" s="1" t="s">
        <v>48</v>
      </c>
      <c r="L927" s="1" t="s">
        <v>49</v>
      </c>
      <c r="M927" s="1" t="s">
        <v>50</v>
      </c>
      <c r="N927" s="1" t="s">
        <v>41</v>
      </c>
      <c r="O927" s="1" t="s">
        <v>82</v>
      </c>
      <c r="P927" s="1" t="s">
        <v>83</v>
      </c>
      <c r="Q927" s="1" t="s">
        <v>84</v>
      </c>
      <c r="R927" s="1" t="s">
        <v>45</v>
      </c>
      <c r="S927" s="1">
        <v>1195</v>
      </c>
      <c r="T927" s="1">
        <v>0</v>
      </c>
      <c r="U927" s="13">
        <v>0.11458333333333333</v>
      </c>
      <c r="V927" s="11">
        <v>500</v>
      </c>
      <c r="W927" s="11">
        <v>2500</v>
      </c>
      <c r="X927" s="8">
        <v>3000</v>
      </c>
      <c r="Y927" s="1" t="s">
        <v>51</v>
      </c>
      <c r="Z927" s="11">
        <v>1480</v>
      </c>
      <c r="AA927" s="11">
        <v>1520</v>
      </c>
      <c r="AB927" s="1">
        <v>0</v>
      </c>
      <c r="AC927" s="1">
        <v>0</v>
      </c>
      <c r="AD927" s="1">
        <v>0</v>
      </c>
      <c r="AE927" s="1">
        <v>0</v>
      </c>
      <c r="AF927" s="1"/>
      <c r="AG927" s="1">
        <v>0</v>
      </c>
      <c r="AH927" s="1">
        <v>0</v>
      </c>
      <c r="AI927" s="1">
        <v>0</v>
      </c>
      <c r="AJ927" s="1">
        <v>0</v>
      </c>
      <c r="AK927" s="1">
        <v>4.8032000000000004</v>
      </c>
      <c r="AL927" s="1">
        <v>4.8032000000000004</v>
      </c>
      <c r="AM927" s="1">
        <v>4.8032000000000004</v>
      </c>
    </row>
    <row r="928" spans="1:39" x14ac:dyDescent="0.3">
      <c r="A928" s="21" t="str">
        <f t="shared" si="14"/>
        <v>HFA157LLBG2026-03-10</v>
      </c>
      <c r="B928" t="e">
        <f>VLOOKUP(A928,Sheet1!A928:B2270,1,FALSE)</f>
        <v>#N/A</v>
      </c>
      <c r="C928" s="3">
        <v>46091</v>
      </c>
      <c r="D928" s="1" t="s">
        <v>105</v>
      </c>
      <c r="E928" s="1" t="s">
        <v>38</v>
      </c>
      <c r="F928" s="1"/>
      <c r="G928" s="1" t="s">
        <v>39</v>
      </c>
      <c r="H928" s="1" t="s">
        <v>222</v>
      </c>
      <c r="I928" s="1" t="s">
        <v>41</v>
      </c>
      <c r="J928" s="1" t="s">
        <v>82</v>
      </c>
      <c r="K928" s="1" t="s">
        <v>83</v>
      </c>
      <c r="L928" s="1" t="s">
        <v>84</v>
      </c>
      <c r="M928" s="1" t="s">
        <v>45</v>
      </c>
      <c r="N928" s="1" t="s">
        <v>67</v>
      </c>
      <c r="O928" s="1" t="s">
        <v>86</v>
      </c>
      <c r="P928" s="1" t="s">
        <v>87</v>
      </c>
      <c r="Q928" s="1" t="s">
        <v>88</v>
      </c>
      <c r="R928" s="1" t="s">
        <v>50</v>
      </c>
      <c r="S928" s="1">
        <v>339</v>
      </c>
      <c r="T928" s="1">
        <v>0</v>
      </c>
      <c r="U928" s="13">
        <v>6.041666666666666E-2</v>
      </c>
      <c r="V928" s="11">
        <v>1480</v>
      </c>
      <c r="W928" s="11">
        <v>420</v>
      </c>
      <c r="X928" s="8">
        <v>1900</v>
      </c>
      <c r="Y928" s="1" t="s">
        <v>51</v>
      </c>
      <c r="Z928" s="11">
        <v>1070</v>
      </c>
      <c r="AA928" s="11">
        <v>830</v>
      </c>
      <c r="AB928" s="1">
        <v>0</v>
      </c>
      <c r="AC928" s="1">
        <v>0</v>
      </c>
      <c r="AD928" s="1">
        <v>0</v>
      </c>
      <c r="AE928" s="1">
        <v>0</v>
      </c>
      <c r="AF928" s="1"/>
      <c r="AG928" s="1">
        <v>0</v>
      </c>
      <c r="AH928" s="1">
        <v>0</v>
      </c>
      <c r="AI928" s="1">
        <v>0</v>
      </c>
      <c r="AJ928" s="1">
        <v>0</v>
      </c>
      <c r="AK928" s="1">
        <v>2.6227999999999998</v>
      </c>
      <c r="AL928" s="1">
        <v>2.6227999999999998</v>
      </c>
      <c r="AM928" s="1">
        <v>2.6227999999999998</v>
      </c>
    </row>
    <row r="929" spans="1:39" x14ac:dyDescent="0.3">
      <c r="A929" s="21" t="str">
        <f t="shared" si="14"/>
        <v>HFA160LCLK2026-03-11</v>
      </c>
      <c r="B929" t="e">
        <f>VLOOKUP(A929,Sheet1!A929:B2271,1,FALSE)</f>
        <v>#N/A</v>
      </c>
      <c r="C929" s="3">
        <v>46092</v>
      </c>
      <c r="D929" s="1" t="s">
        <v>242</v>
      </c>
      <c r="E929" s="1" t="s">
        <v>38</v>
      </c>
      <c r="F929" s="1"/>
      <c r="G929" s="1" t="s">
        <v>39</v>
      </c>
      <c r="H929" s="1" t="s">
        <v>222</v>
      </c>
      <c r="I929" s="1" t="s">
        <v>67</v>
      </c>
      <c r="J929" s="1" t="s">
        <v>86</v>
      </c>
      <c r="K929" s="1" t="s">
        <v>87</v>
      </c>
      <c r="L929" s="1" t="s">
        <v>88</v>
      </c>
      <c r="M929" s="1" t="s">
        <v>50</v>
      </c>
      <c r="N929" s="1" t="s">
        <v>41</v>
      </c>
      <c r="O929" s="1" t="s">
        <v>82</v>
      </c>
      <c r="P929" s="1" t="s">
        <v>83</v>
      </c>
      <c r="Q929" s="1" t="s">
        <v>84</v>
      </c>
      <c r="R929" s="1" t="s">
        <v>45</v>
      </c>
      <c r="S929" s="1">
        <v>339</v>
      </c>
      <c r="T929" s="1">
        <v>0</v>
      </c>
      <c r="U929" s="13">
        <v>5.5555555555555552E-2</v>
      </c>
      <c r="V929" s="11">
        <v>1070</v>
      </c>
      <c r="W929" s="11">
        <v>1130</v>
      </c>
      <c r="X929" s="8">
        <v>2200</v>
      </c>
      <c r="Y929" s="1" t="s">
        <v>51</v>
      </c>
      <c r="Z929" s="11">
        <v>1420</v>
      </c>
      <c r="AA929" s="11">
        <v>780</v>
      </c>
      <c r="AB929" s="1">
        <v>0</v>
      </c>
      <c r="AC929" s="1">
        <v>0</v>
      </c>
      <c r="AD929" s="1">
        <v>0</v>
      </c>
      <c r="AE929" s="1">
        <v>0</v>
      </c>
      <c r="AF929" s="1"/>
      <c r="AG929" s="1">
        <v>0</v>
      </c>
      <c r="AH929" s="1">
        <v>0</v>
      </c>
      <c r="AI929" s="1">
        <v>0</v>
      </c>
      <c r="AJ929" s="1">
        <v>0</v>
      </c>
      <c r="AK929" s="1">
        <v>2.4647999999999999</v>
      </c>
      <c r="AL929" s="1">
        <v>2.4647999999999999</v>
      </c>
      <c r="AM929" s="1">
        <v>2.4647999999999999</v>
      </c>
    </row>
    <row r="930" spans="1:39" x14ac:dyDescent="0.3">
      <c r="A930" s="21" t="str">
        <f t="shared" si="14"/>
        <v>HFA161LLBG2026-03-11</v>
      </c>
      <c r="B930" t="e">
        <f>VLOOKUP(A930,Sheet1!A930:B2272,1,FALSE)</f>
        <v>#N/A</v>
      </c>
      <c r="C930" s="3">
        <v>46092</v>
      </c>
      <c r="D930" s="1" t="s">
        <v>243</v>
      </c>
      <c r="E930" s="1" t="s">
        <v>38</v>
      </c>
      <c r="F930" s="1"/>
      <c r="G930" s="1" t="s">
        <v>39</v>
      </c>
      <c r="H930" s="1" t="s">
        <v>222</v>
      </c>
      <c r="I930" s="1" t="s">
        <v>41</v>
      </c>
      <c r="J930" s="1" t="s">
        <v>82</v>
      </c>
      <c r="K930" s="1" t="s">
        <v>83</v>
      </c>
      <c r="L930" s="1" t="s">
        <v>84</v>
      </c>
      <c r="M930" s="1" t="s">
        <v>45</v>
      </c>
      <c r="N930" s="1" t="s">
        <v>46</v>
      </c>
      <c r="O930" s="1" t="s">
        <v>47</v>
      </c>
      <c r="P930" s="1" t="s">
        <v>48</v>
      </c>
      <c r="Q930" s="1" t="s">
        <v>49</v>
      </c>
      <c r="R930" s="1" t="s">
        <v>50</v>
      </c>
      <c r="S930" s="1">
        <v>1195</v>
      </c>
      <c r="T930" s="1">
        <v>0</v>
      </c>
      <c r="U930" s="13">
        <v>0.12708333333333333</v>
      </c>
      <c r="V930" s="11">
        <v>1420</v>
      </c>
      <c r="W930" s="11">
        <v>980</v>
      </c>
      <c r="X930" s="8">
        <v>2400</v>
      </c>
      <c r="Y930" s="1" t="s">
        <v>51</v>
      </c>
      <c r="Z930" s="11">
        <v>610</v>
      </c>
      <c r="AA930" s="11">
        <v>1790</v>
      </c>
      <c r="AB930" s="1">
        <v>0</v>
      </c>
      <c r="AC930" s="1">
        <v>0</v>
      </c>
      <c r="AD930" s="1">
        <v>0</v>
      </c>
      <c r="AE930" s="1">
        <v>0</v>
      </c>
      <c r="AF930" s="1"/>
      <c r="AG930" s="1">
        <v>0</v>
      </c>
      <c r="AH930" s="1">
        <v>0</v>
      </c>
      <c r="AI930" s="1">
        <v>0</v>
      </c>
      <c r="AJ930" s="1">
        <v>0</v>
      </c>
      <c r="AK930" s="1">
        <v>5.6563999999999997</v>
      </c>
      <c r="AL930" s="1">
        <v>5.6563999999999997</v>
      </c>
      <c r="AM930" s="1">
        <v>5.6563999999999997</v>
      </c>
    </row>
    <row r="931" spans="1:39" x14ac:dyDescent="0.3">
      <c r="A931" s="21" t="str">
        <f t="shared" si="14"/>
        <v>HFA162LGAV2026-03-11</v>
      </c>
      <c r="B931" t="e">
        <f>VLOOKUP(A931,Sheet1!A931:B2273,1,FALSE)</f>
        <v>#N/A</v>
      </c>
      <c r="C931" s="3">
        <v>46092</v>
      </c>
      <c r="D931" s="1" t="s">
        <v>244</v>
      </c>
      <c r="E931" s="1" t="s">
        <v>38</v>
      </c>
      <c r="F931" s="1"/>
      <c r="G931" s="1" t="s">
        <v>39</v>
      </c>
      <c r="H931" s="1" t="s">
        <v>222</v>
      </c>
      <c r="I931" s="1" t="s">
        <v>46</v>
      </c>
      <c r="J931" s="1" t="s">
        <v>47</v>
      </c>
      <c r="K931" s="1" t="s">
        <v>48</v>
      </c>
      <c r="L931" s="1" t="s">
        <v>49</v>
      </c>
      <c r="M931" s="1" t="s">
        <v>50</v>
      </c>
      <c r="N931" s="1" t="s">
        <v>41</v>
      </c>
      <c r="O931" s="1" t="s">
        <v>82</v>
      </c>
      <c r="P931" s="1" t="s">
        <v>83</v>
      </c>
      <c r="Q931" s="1" t="s">
        <v>84</v>
      </c>
      <c r="R931" s="1" t="s">
        <v>45</v>
      </c>
      <c r="S931" s="1">
        <v>1195</v>
      </c>
      <c r="T931" s="1">
        <v>0</v>
      </c>
      <c r="U931" s="13">
        <v>0.12430555555555556</v>
      </c>
      <c r="V931" s="11">
        <v>610</v>
      </c>
      <c r="W931" s="11">
        <v>2290</v>
      </c>
      <c r="X931" s="8">
        <v>2900</v>
      </c>
      <c r="Y931" s="1" t="s">
        <v>51</v>
      </c>
      <c r="Z931" s="11">
        <v>1210</v>
      </c>
      <c r="AA931" s="11">
        <v>1690</v>
      </c>
      <c r="AB931" s="1">
        <v>0</v>
      </c>
      <c r="AC931" s="1">
        <v>0</v>
      </c>
      <c r="AD931" s="1">
        <v>0</v>
      </c>
      <c r="AE931" s="1">
        <v>0</v>
      </c>
      <c r="AF931" s="1"/>
      <c r="AG931" s="1">
        <v>0</v>
      </c>
      <c r="AH931" s="1">
        <v>0</v>
      </c>
      <c r="AI931" s="1">
        <v>0</v>
      </c>
      <c r="AJ931" s="1">
        <v>0</v>
      </c>
      <c r="AK931" s="1">
        <v>5.3403999999999998</v>
      </c>
      <c r="AL931" s="1">
        <v>5.3403999999999998</v>
      </c>
      <c r="AM931" s="1">
        <v>5.3403999999999998</v>
      </c>
    </row>
    <row r="932" spans="1:39" x14ac:dyDescent="0.3">
      <c r="A932" s="21" t="str">
        <f t="shared" si="14"/>
        <v>HFA163LLBG2026-03-11</v>
      </c>
      <c r="B932" t="e">
        <f>VLOOKUP(A932,Sheet1!A932:B2274,1,FALSE)</f>
        <v>#N/A</v>
      </c>
      <c r="C932" s="3">
        <v>46092</v>
      </c>
      <c r="D932" s="1" t="s">
        <v>245</v>
      </c>
      <c r="E932" s="1" t="s">
        <v>38</v>
      </c>
      <c r="F932" s="1"/>
      <c r="G932" s="1" t="s">
        <v>39</v>
      </c>
      <c r="H932" s="1" t="s">
        <v>222</v>
      </c>
      <c r="I932" s="1" t="s">
        <v>41</v>
      </c>
      <c r="J932" s="1" t="s">
        <v>82</v>
      </c>
      <c r="K932" s="1" t="s">
        <v>83</v>
      </c>
      <c r="L932" s="1" t="s">
        <v>84</v>
      </c>
      <c r="M932" s="1" t="s">
        <v>45</v>
      </c>
      <c r="N932" s="1" t="s">
        <v>46</v>
      </c>
      <c r="O932" s="1" t="s">
        <v>47</v>
      </c>
      <c r="P932" s="1" t="s">
        <v>48</v>
      </c>
      <c r="Q932" s="1" t="s">
        <v>49</v>
      </c>
      <c r="R932" s="1" t="s">
        <v>50</v>
      </c>
      <c r="S932" s="1">
        <v>1195</v>
      </c>
      <c r="T932" s="1">
        <v>1195</v>
      </c>
      <c r="U932" s="13">
        <v>0.12847222222222221</v>
      </c>
      <c r="V932" s="11">
        <v>1210</v>
      </c>
      <c r="W932" s="11">
        <v>1490</v>
      </c>
      <c r="X932" s="8">
        <v>2700</v>
      </c>
      <c r="Y932" s="1" t="s">
        <v>51</v>
      </c>
      <c r="Z932" s="11">
        <v>750</v>
      </c>
      <c r="AA932" s="11">
        <v>1950</v>
      </c>
      <c r="AB932" s="1">
        <v>0</v>
      </c>
      <c r="AC932" s="1">
        <v>0</v>
      </c>
      <c r="AD932" s="1">
        <v>0</v>
      </c>
      <c r="AE932" s="1">
        <v>0</v>
      </c>
      <c r="AF932" s="1"/>
      <c r="AG932" s="1">
        <v>0</v>
      </c>
      <c r="AH932" s="1">
        <v>0</v>
      </c>
      <c r="AI932" s="1">
        <v>0</v>
      </c>
      <c r="AJ932" s="1">
        <v>0</v>
      </c>
      <c r="AK932" s="1">
        <v>6.1619999999999999</v>
      </c>
      <c r="AL932" s="1">
        <v>6.1619999999999999</v>
      </c>
      <c r="AM932" s="1">
        <v>6.1619999999999999</v>
      </c>
    </row>
    <row r="933" spans="1:39" x14ac:dyDescent="0.3">
      <c r="A933" s="21" t="str">
        <f t="shared" si="14"/>
        <v>HFA170LGAV2026-03-12</v>
      </c>
      <c r="B933" t="e">
        <f>VLOOKUP(A933,Sheet1!A933:B2275,1,FALSE)</f>
        <v>#N/A</v>
      </c>
      <c r="C933" s="3">
        <v>46093</v>
      </c>
      <c r="D933" s="1" t="s">
        <v>246</v>
      </c>
      <c r="E933" s="1" t="s">
        <v>38</v>
      </c>
      <c r="F933" s="1"/>
      <c r="G933" s="1" t="s">
        <v>39</v>
      </c>
      <c r="H933" s="1" t="s">
        <v>222</v>
      </c>
      <c r="I933" s="1" t="s">
        <v>46</v>
      </c>
      <c r="J933" s="1" t="s">
        <v>47</v>
      </c>
      <c r="K933" s="1" t="s">
        <v>48</v>
      </c>
      <c r="L933" s="1" t="s">
        <v>49</v>
      </c>
      <c r="M933" s="1" t="s">
        <v>50</v>
      </c>
      <c r="N933" s="1" t="s">
        <v>41</v>
      </c>
      <c r="O933" s="1" t="s">
        <v>82</v>
      </c>
      <c r="P933" s="1" t="s">
        <v>83</v>
      </c>
      <c r="Q933" s="1" t="s">
        <v>84</v>
      </c>
      <c r="R933" s="1" t="s">
        <v>45</v>
      </c>
      <c r="S933" s="1">
        <v>1195</v>
      </c>
      <c r="T933" s="1">
        <v>0</v>
      </c>
      <c r="U933" s="13">
        <v>0.11527777777777777</v>
      </c>
      <c r="V933" s="11">
        <v>750</v>
      </c>
      <c r="W933" s="11">
        <v>2150</v>
      </c>
      <c r="X933" s="8">
        <v>2900</v>
      </c>
      <c r="Y933" s="1" t="s">
        <v>51</v>
      </c>
      <c r="Z933" s="11">
        <v>1330</v>
      </c>
      <c r="AA933" s="11">
        <v>1570</v>
      </c>
      <c r="AB933" s="1">
        <v>0</v>
      </c>
      <c r="AC933" s="1">
        <v>0</v>
      </c>
      <c r="AD933" s="1">
        <v>0</v>
      </c>
      <c r="AE933" s="1">
        <v>0</v>
      </c>
      <c r="AF933" s="1"/>
      <c r="AG933" s="1">
        <v>0</v>
      </c>
      <c r="AH933" s="1">
        <v>0</v>
      </c>
      <c r="AI933" s="1">
        <v>0</v>
      </c>
      <c r="AJ933" s="1">
        <v>0</v>
      </c>
      <c r="AK933" s="1">
        <v>4.9611999999999998</v>
      </c>
      <c r="AL933" s="1">
        <v>4.9611999999999998</v>
      </c>
      <c r="AM933" s="1">
        <v>4.9611999999999998</v>
      </c>
    </row>
    <row r="934" spans="1:39" x14ac:dyDescent="0.3">
      <c r="A934" s="21" t="str">
        <f t="shared" si="14"/>
        <v>HFA171LLBG2026-03-12</v>
      </c>
      <c r="B934" t="e">
        <f>VLOOKUP(A934,Sheet1!A934:B2276,1,FALSE)</f>
        <v>#N/A</v>
      </c>
      <c r="C934" s="3">
        <v>46093</v>
      </c>
      <c r="D934" s="1" t="s">
        <v>247</v>
      </c>
      <c r="E934" s="1" t="s">
        <v>38</v>
      </c>
      <c r="F934" s="1"/>
      <c r="G934" s="1" t="s">
        <v>39</v>
      </c>
      <c r="H934" s="1" t="s">
        <v>222</v>
      </c>
      <c r="I934" s="1" t="s">
        <v>41</v>
      </c>
      <c r="J934" s="1" t="s">
        <v>82</v>
      </c>
      <c r="K934" s="1" t="s">
        <v>83</v>
      </c>
      <c r="L934" s="1" t="s">
        <v>84</v>
      </c>
      <c r="M934" s="1" t="s">
        <v>45</v>
      </c>
      <c r="N934" s="1" t="s">
        <v>67</v>
      </c>
      <c r="O934" s="1" t="s">
        <v>86</v>
      </c>
      <c r="P934" s="1" t="s">
        <v>87</v>
      </c>
      <c r="Q934" s="1" t="s">
        <v>88</v>
      </c>
      <c r="R934" s="1" t="s">
        <v>50</v>
      </c>
      <c r="S934" s="1">
        <v>339</v>
      </c>
      <c r="T934" s="1">
        <v>0</v>
      </c>
      <c r="U934" s="13">
        <v>4.9999999999999996E-2</v>
      </c>
      <c r="V934" s="11">
        <v>1330</v>
      </c>
      <c r="W934" s="11">
        <v>570</v>
      </c>
      <c r="X934" s="8">
        <v>1900</v>
      </c>
      <c r="Y934" s="1" t="s">
        <v>51</v>
      </c>
      <c r="Z934" s="11">
        <v>1130</v>
      </c>
      <c r="AA934" s="11">
        <v>770</v>
      </c>
      <c r="AB934" s="1">
        <v>0</v>
      </c>
      <c r="AC934" s="1">
        <v>0</v>
      </c>
      <c r="AD934" s="1">
        <v>0</v>
      </c>
      <c r="AE934" s="1">
        <v>0</v>
      </c>
      <c r="AF934" s="1"/>
      <c r="AG934" s="1">
        <v>0</v>
      </c>
      <c r="AH934" s="1">
        <v>0</v>
      </c>
      <c r="AI934" s="1">
        <v>0</v>
      </c>
      <c r="AJ934" s="1">
        <v>0</v>
      </c>
      <c r="AK934" s="1">
        <v>2.4331999999999998</v>
      </c>
      <c r="AL934" s="1">
        <v>2.4331999999999998</v>
      </c>
      <c r="AM934" s="1">
        <v>2.4331999999999998</v>
      </c>
    </row>
    <row r="935" spans="1:39" x14ac:dyDescent="0.3">
      <c r="A935" s="21" t="str">
        <f t="shared" si="14"/>
        <v>HFA172LCLK2026-03-12</v>
      </c>
      <c r="B935" t="e">
        <f>VLOOKUP(A935,Sheet1!A935:B2277,1,FALSE)</f>
        <v>#N/A</v>
      </c>
      <c r="C935" s="3">
        <v>46093</v>
      </c>
      <c r="D935" s="1" t="s">
        <v>248</v>
      </c>
      <c r="E935" s="1" t="s">
        <v>38</v>
      </c>
      <c r="F935" s="1"/>
      <c r="G935" s="1" t="s">
        <v>39</v>
      </c>
      <c r="H935" s="1" t="s">
        <v>222</v>
      </c>
      <c r="I935" s="1" t="s">
        <v>67</v>
      </c>
      <c r="J935" s="1" t="s">
        <v>86</v>
      </c>
      <c r="K935" s="1" t="s">
        <v>87</v>
      </c>
      <c r="L935" s="1" t="s">
        <v>88</v>
      </c>
      <c r="M935" s="1" t="s">
        <v>50</v>
      </c>
      <c r="N935" s="1" t="s">
        <v>41</v>
      </c>
      <c r="O935" s="1" t="s">
        <v>82</v>
      </c>
      <c r="P935" s="1" t="s">
        <v>83</v>
      </c>
      <c r="Q935" s="1" t="s">
        <v>84</v>
      </c>
      <c r="R935" s="1" t="s">
        <v>45</v>
      </c>
      <c r="S935" s="1">
        <v>339</v>
      </c>
      <c r="T935" s="1">
        <v>0</v>
      </c>
      <c r="U935" s="13">
        <v>4.8611111111111105E-2</v>
      </c>
      <c r="V935" s="11">
        <v>1130</v>
      </c>
      <c r="W935" s="11">
        <v>1070</v>
      </c>
      <c r="X935" s="8">
        <v>2200</v>
      </c>
      <c r="Y935" s="1" t="s">
        <v>51</v>
      </c>
      <c r="Z935" s="11">
        <v>1520</v>
      </c>
      <c r="AA935" s="11">
        <v>680</v>
      </c>
      <c r="AB935" s="1">
        <v>0</v>
      </c>
      <c r="AC935" s="1">
        <v>0</v>
      </c>
      <c r="AD935" s="1">
        <v>0</v>
      </c>
      <c r="AE935" s="1">
        <v>0</v>
      </c>
      <c r="AF935" s="1"/>
      <c r="AG935" s="1">
        <v>0</v>
      </c>
      <c r="AH935" s="1">
        <v>0</v>
      </c>
      <c r="AI935" s="1">
        <v>0</v>
      </c>
      <c r="AJ935" s="1">
        <v>0</v>
      </c>
      <c r="AK935" s="1">
        <v>2.1488</v>
      </c>
      <c r="AL935" s="1">
        <v>2.1488</v>
      </c>
      <c r="AM935" s="1">
        <v>2.1488</v>
      </c>
    </row>
    <row r="936" spans="1:39" x14ac:dyDescent="0.3">
      <c r="A936" s="21" t="str">
        <f t="shared" si="14"/>
        <v>HFA173LLBG2026-03-12</v>
      </c>
      <c r="B936" t="e">
        <f>VLOOKUP(A936,Sheet1!A936:B2278,1,FALSE)</f>
        <v>#N/A</v>
      </c>
      <c r="C936" s="3">
        <v>46093</v>
      </c>
      <c r="D936" s="1" t="s">
        <v>249</v>
      </c>
      <c r="E936" s="1" t="s">
        <v>38</v>
      </c>
      <c r="F936" s="1"/>
      <c r="G936" s="1" t="s">
        <v>39</v>
      </c>
      <c r="H936" s="1" t="s">
        <v>222</v>
      </c>
      <c r="I936" s="1" t="s">
        <v>41</v>
      </c>
      <c r="J936" s="1" t="s">
        <v>82</v>
      </c>
      <c r="K936" s="1" t="s">
        <v>83</v>
      </c>
      <c r="L936" s="1" t="s">
        <v>84</v>
      </c>
      <c r="M936" s="1" t="s">
        <v>45</v>
      </c>
      <c r="N936" s="1" t="s">
        <v>46</v>
      </c>
      <c r="O936" s="1" t="s">
        <v>47</v>
      </c>
      <c r="P936" s="1" t="s">
        <v>48</v>
      </c>
      <c r="Q936" s="1" t="s">
        <v>49</v>
      </c>
      <c r="R936" s="1" t="s">
        <v>50</v>
      </c>
      <c r="S936" s="1">
        <v>1195</v>
      </c>
      <c r="T936" s="1">
        <v>0</v>
      </c>
      <c r="U936" s="13">
        <v>0.1423611111111111</v>
      </c>
      <c r="V936" s="11">
        <v>1520</v>
      </c>
      <c r="W936" s="11">
        <v>1080</v>
      </c>
      <c r="X936" s="8">
        <v>2600</v>
      </c>
      <c r="Y936" s="1" t="s">
        <v>51</v>
      </c>
      <c r="Z936" s="11">
        <v>780</v>
      </c>
      <c r="AA936" s="11">
        <v>1820</v>
      </c>
      <c r="AB936" s="1">
        <v>0</v>
      </c>
      <c r="AC936" s="1">
        <v>0</v>
      </c>
      <c r="AD936" s="1">
        <v>0</v>
      </c>
      <c r="AE936" s="1">
        <v>0</v>
      </c>
      <c r="AF936" s="1"/>
      <c r="AG936" s="1">
        <v>0</v>
      </c>
      <c r="AH936" s="1">
        <v>0</v>
      </c>
      <c r="AI936" s="1">
        <v>0</v>
      </c>
      <c r="AJ936" s="1">
        <v>0</v>
      </c>
      <c r="AK936" s="1">
        <v>5.7511999999999999</v>
      </c>
      <c r="AL936" s="1">
        <v>5.7511999999999999</v>
      </c>
      <c r="AM936" s="1">
        <v>5.7511999999999999</v>
      </c>
    </row>
    <row r="937" spans="1:39" x14ac:dyDescent="0.3">
      <c r="A937" s="21" t="str">
        <f t="shared" si="14"/>
        <v>HFA173ALGAV2026-03-12</v>
      </c>
      <c r="B937" t="e">
        <f>VLOOKUP(A937,Sheet1!A937:B2279,1,FALSE)</f>
        <v>#N/A</v>
      </c>
      <c r="C937" s="3">
        <v>46093</v>
      </c>
      <c r="D937" s="1" t="s">
        <v>250</v>
      </c>
      <c r="E937" s="1" t="s">
        <v>38</v>
      </c>
      <c r="F937" s="1"/>
      <c r="G937" s="1" t="s">
        <v>39</v>
      </c>
      <c r="H937" s="1" t="s">
        <v>222</v>
      </c>
      <c r="I937" s="1" t="s">
        <v>46</v>
      </c>
      <c r="J937" s="1" t="s">
        <v>47</v>
      </c>
      <c r="K937" s="1" t="s">
        <v>48</v>
      </c>
      <c r="L937" s="1" t="s">
        <v>49</v>
      </c>
      <c r="M937" s="1" t="s">
        <v>50</v>
      </c>
      <c r="N937" s="1" t="s">
        <v>75</v>
      </c>
      <c r="O937" s="1" t="s">
        <v>76</v>
      </c>
      <c r="P937" s="1" t="s">
        <v>77</v>
      </c>
      <c r="Q937" s="1" t="s">
        <v>78</v>
      </c>
      <c r="R937" s="1" t="s">
        <v>50</v>
      </c>
      <c r="S937" s="1">
        <v>530</v>
      </c>
      <c r="T937" s="1">
        <v>530</v>
      </c>
      <c r="U937" s="13">
        <v>6.1111111111111109E-2</v>
      </c>
      <c r="V937" s="11">
        <v>780</v>
      </c>
      <c r="W937" s="11">
        <v>1120</v>
      </c>
      <c r="X937" s="8">
        <v>1900</v>
      </c>
      <c r="Y937" s="1" t="s">
        <v>51</v>
      </c>
      <c r="Z937" s="11">
        <v>990</v>
      </c>
      <c r="AA937" s="11">
        <v>910</v>
      </c>
      <c r="AB937" s="1">
        <v>0</v>
      </c>
      <c r="AC937" s="1">
        <v>0</v>
      </c>
      <c r="AD937" s="1">
        <v>0</v>
      </c>
      <c r="AE937" s="1">
        <v>0</v>
      </c>
      <c r="AF937" s="1"/>
      <c r="AG937" s="1">
        <v>0</v>
      </c>
      <c r="AH937" s="1">
        <v>0</v>
      </c>
      <c r="AI937" s="1">
        <v>0</v>
      </c>
      <c r="AJ937" s="1">
        <v>0</v>
      </c>
      <c r="AK937" s="1">
        <v>2.8755999999999999</v>
      </c>
      <c r="AL937" s="1">
        <v>2.8755999999999999</v>
      </c>
      <c r="AM937" s="1">
        <v>2.8755999999999999</v>
      </c>
    </row>
    <row r="938" spans="1:39" x14ac:dyDescent="0.3">
      <c r="A938" s="21" t="str">
        <f t="shared" si="14"/>
        <v>HFA182LBSF2026-03-13</v>
      </c>
      <c r="B938" t="e">
        <f>VLOOKUP(A938,Sheet1!A938:B2280,1,FALSE)</f>
        <v>#N/A</v>
      </c>
      <c r="C938" s="3">
        <v>46094</v>
      </c>
      <c r="D938" s="1" t="s">
        <v>251</v>
      </c>
      <c r="E938" s="1" t="s">
        <v>38</v>
      </c>
      <c r="F938" s="1"/>
      <c r="G938" s="1" t="s">
        <v>39</v>
      </c>
      <c r="H938" s="1" t="s">
        <v>222</v>
      </c>
      <c r="I938" s="1" t="s">
        <v>75</v>
      </c>
      <c r="J938" s="1" t="s">
        <v>76</v>
      </c>
      <c r="K938" s="1" t="s">
        <v>77</v>
      </c>
      <c r="L938" s="1" t="s">
        <v>78</v>
      </c>
      <c r="M938" s="1" t="s">
        <v>50</v>
      </c>
      <c r="N938" s="1" t="s">
        <v>41</v>
      </c>
      <c r="O938" s="1" t="s">
        <v>82</v>
      </c>
      <c r="P938" s="1" t="s">
        <v>83</v>
      </c>
      <c r="Q938" s="1" t="s">
        <v>84</v>
      </c>
      <c r="R938" s="1" t="s">
        <v>45</v>
      </c>
      <c r="S938" s="1">
        <v>1559</v>
      </c>
      <c r="T938" s="1">
        <v>1559</v>
      </c>
      <c r="U938" s="13">
        <v>0.15833333333333333</v>
      </c>
      <c r="V938" s="11">
        <v>990</v>
      </c>
      <c r="W938" s="11">
        <v>2810</v>
      </c>
      <c r="X938" s="8">
        <v>3800</v>
      </c>
      <c r="Y938" s="1" t="s">
        <v>51</v>
      </c>
      <c r="Z938" s="11">
        <v>1680</v>
      </c>
      <c r="AA938" s="11">
        <v>2120</v>
      </c>
      <c r="AB938" s="1">
        <v>0</v>
      </c>
      <c r="AC938" s="1">
        <v>0</v>
      </c>
      <c r="AD938" s="1">
        <v>0</v>
      </c>
      <c r="AE938" s="1">
        <v>0</v>
      </c>
      <c r="AF938" s="1"/>
      <c r="AG938" s="1">
        <v>0</v>
      </c>
      <c r="AH938" s="1">
        <v>0</v>
      </c>
      <c r="AI938" s="1">
        <v>0</v>
      </c>
      <c r="AJ938" s="1">
        <v>0</v>
      </c>
      <c r="AK938" s="1">
        <v>6.6992000000000003</v>
      </c>
      <c r="AL938" s="1">
        <v>6.6992000000000003</v>
      </c>
      <c r="AM938" s="1">
        <v>6.6992000000000003</v>
      </c>
    </row>
    <row r="939" spans="1:39" x14ac:dyDescent="0.3">
      <c r="A939" s="21" t="str">
        <f t="shared" si="14"/>
        <v>HFA179LLBG2026-03-13</v>
      </c>
      <c r="B939" t="e">
        <f>VLOOKUP(A939,Sheet1!A939:B2281,1,FALSE)</f>
        <v>#N/A</v>
      </c>
      <c r="C939" s="3">
        <v>46094</v>
      </c>
      <c r="D939" s="1" t="s">
        <v>252</v>
      </c>
      <c r="E939" s="1" t="s">
        <v>38</v>
      </c>
      <c r="F939" s="1"/>
      <c r="G939" s="1" t="s">
        <v>39</v>
      </c>
      <c r="H939" s="1" t="s">
        <v>222</v>
      </c>
      <c r="I939" s="1" t="s">
        <v>41</v>
      </c>
      <c r="J939" s="1" t="s">
        <v>82</v>
      </c>
      <c r="K939" s="1" t="s">
        <v>83</v>
      </c>
      <c r="L939" s="1" t="s">
        <v>84</v>
      </c>
      <c r="M939" s="1" t="s">
        <v>45</v>
      </c>
      <c r="N939" s="1" t="s">
        <v>67</v>
      </c>
      <c r="O939" s="1" t="s">
        <v>86</v>
      </c>
      <c r="P939" s="1" t="s">
        <v>87</v>
      </c>
      <c r="Q939" s="1" t="s">
        <v>88</v>
      </c>
      <c r="R939" s="1" t="s">
        <v>50</v>
      </c>
      <c r="S939" s="1">
        <v>339</v>
      </c>
      <c r="T939" s="1">
        <v>339</v>
      </c>
      <c r="U939" s="13">
        <v>5.4166666666666669E-2</v>
      </c>
      <c r="V939" s="11">
        <v>1680</v>
      </c>
      <c r="W939" s="11">
        <v>320</v>
      </c>
      <c r="X939" s="8">
        <v>2000</v>
      </c>
      <c r="Y939" s="1" t="s">
        <v>51</v>
      </c>
      <c r="Z939" s="11">
        <v>1240</v>
      </c>
      <c r="AA939" s="11">
        <v>760</v>
      </c>
      <c r="AB939" s="1">
        <v>0</v>
      </c>
      <c r="AC939" s="1">
        <v>0</v>
      </c>
      <c r="AD939" s="1">
        <v>0</v>
      </c>
      <c r="AE939" s="1">
        <v>0</v>
      </c>
      <c r="AF939" s="1"/>
      <c r="AG939" s="1">
        <v>0</v>
      </c>
      <c r="AH939" s="1">
        <v>0</v>
      </c>
      <c r="AI939" s="1">
        <v>0</v>
      </c>
      <c r="AJ939" s="1">
        <v>0</v>
      </c>
      <c r="AK939" s="1">
        <v>2.4016000000000002</v>
      </c>
      <c r="AL939" s="1">
        <v>2.4016000000000002</v>
      </c>
      <c r="AM939" s="1">
        <v>2.4016000000000002</v>
      </c>
    </row>
    <row r="940" spans="1:39" x14ac:dyDescent="0.3">
      <c r="A940" s="21" t="str">
        <f t="shared" si="14"/>
        <v>HFA190LCLK2026-03-14</v>
      </c>
      <c r="B940" t="e">
        <f>VLOOKUP(A940,Sheet1!A940:B2282,1,FALSE)</f>
        <v>#N/A</v>
      </c>
      <c r="C940" s="3">
        <v>46095</v>
      </c>
      <c r="D940" s="1" t="s">
        <v>253</v>
      </c>
      <c r="E940" s="1" t="s">
        <v>38</v>
      </c>
      <c r="F940" s="1"/>
      <c r="G940" s="1" t="s">
        <v>39</v>
      </c>
      <c r="H940" s="1" t="s">
        <v>222</v>
      </c>
      <c r="I940" s="1" t="s">
        <v>67</v>
      </c>
      <c r="J940" s="1" t="s">
        <v>86</v>
      </c>
      <c r="K940" s="1" t="s">
        <v>87</v>
      </c>
      <c r="L940" s="1" t="s">
        <v>88</v>
      </c>
      <c r="M940" s="1" t="s">
        <v>50</v>
      </c>
      <c r="N940" s="1" t="s">
        <v>41</v>
      </c>
      <c r="O940" s="1" t="s">
        <v>82</v>
      </c>
      <c r="P940" s="1" t="s">
        <v>83</v>
      </c>
      <c r="Q940" s="1" t="s">
        <v>84</v>
      </c>
      <c r="R940" s="1" t="s">
        <v>45</v>
      </c>
      <c r="S940" s="1">
        <v>339</v>
      </c>
      <c r="T940" s="1">
        <v>339</v>
      </c>
      <c r="U940" s="13">
        <v>6.6666666666666666E-2</v>
      </c>
      <c r="V940" s="11">
        <v>1240</v>
      </c>
      <c r="W940" s="11">
        <v>1460</v>
      </c>
      <c r="X940" s="8">
        <v>2700</v>
      </c>
      <c r="Y940" s="1" t="s">
        <v>51</v>
      </c>
      <c r="Z940" s="11">
        <v>1810</v>
      </c>
      <c r="AA940" s="11">
        <v>890</v>
      </c>
      <c r="AB940" s="1">
        <v>0</v>
      </c>
      <c r="AC940" s="1">
        <v>0</v>
      </c>
      <c r="AD940" s="1">
        <v>0</v>
      </c>
      <c r="AE940" s="1">
        <v>0</v>
      </c>
      <c r="AF940" s="1"/>
      <c r="AG940" s="1">
        <v>0</v>
      </c>
      <c r="AH940" s="1">
        <v>0</v>
      </c>
      <c r="AI940" s="1">
        <v>0</v>
      </c>
      <c r="AJ940" s="1">
        <v>0</v>
      </c>
      <c r="AK940" s="1">
        <v>2.8123999999999998</v>
      </c>
      <c r="AL940" s="1">
        <v>2.8123999999999998</v>
      </c>
      <c r="AM940" s="1">
        <v>2.8123999999999998</v>
      </c>
    </row>
    <row r="941" spans="1:39" x14ac:dyDescent="0.3">
      <c r="A941" s="21" t="str">
        <f t="shared" si="14"/>
        <v>HFA191LLBG2026-03-14</v>
      </c>
      <c r="B941" t="e">
        <f>VLOOKUP(A941,Sheet1!A941:B2283,1,FALSE)</f>
        <v>#N/A</v>
      </c>
      <c r="C941" s="3">
        <v>46095</v>
      </c>
      <c r="D941" s="1" t="s">
        <v>254</v>
      </c>
      <c r="E941" s="1" t="s">
        <v>38</v>
      </c>
      <c r="F941" s="1"/>
      <c r="G941" s="1" t="s">
        <v>39</v>
      </c>
      <c r="H941" s="1" t="s">
        <v>222</v>
      </c>
      <c r="I941" s="1" t="s">
        <v>41</v>
      </c>
      <c r="J941" s="1" t="s">
        <v>82</v>
      </c>
      <c r="K941" s="1" t="s">
        <v>83</v>
      </c>
      <c r="L941" s="1" t="s">
        <v>84</v>
      </c>
      <c r="M941" s="1" t="s">
        <v>45</v>
      </c>
      <c r="N941" s="1" t="s">
        <v>67</v>
      </c>
      <c r="O941" s="1" t="s">
        <v>86</v>
      </c>
      <c r="P941" s="1" t="s">
        <v>87</v>
      </c>
      <c r="Q941" s="1" t="s">
        <v>88</v>
      </c>
      <c r="R941" s="1" t="s">
        <v>50</v>
      </c>
      <c r="S941" s="1">
        <v>339</v>
      </c>
      <c r="T941" s="1">
        <v>0</v>
      </c>
      <c r="U941" s="13">
        <v>6.6666666666666666E-2</v>
      </c>
      <c r="V941" s="11">
        <v>1810</v>
      </c>
      <c r="W941" s="11">
        <v>-10</v>
      </c>
      <c r="X941" s="8">
        <v>1800</v>
      </c>
      <c r="Y941" s="1" t="s">
        <v>51</v>
      </c>
      <c r="Z941" s="11">
        <v>1050</v>
      </c>
      <c r="AA941" s="11">
        <v>750</v>
      </c>
      <c r="AB941" s="1">
        <v>0</v>
      </c>
      <c r="AC941" s="1">
        <v>0</v>
      </c>
      <c r="AD941" s="1">
        <v>0</v>
      </c>
      <c r="AE941" s="1">
        <v>0</v>
      </c>
      <c r="AF941" s="1"/>
      <c r="AG941" s="1">
        <v>0</v>
      </c>
      <c r="AH941" s="1">
        <v>0</v>
      </c>
      <c r="AI941" s="1">
        <v>0</v>
      </c>
      <c r="AJ941" s="1">
        <v>0</v>
      </c>
      <c r="AK941" s="1">
        <v>2.37</v>
      </c>
      <c r="AL941" s="1">
        <v>2.37</v>
      </c>
      <c r="AM941" s="1">
        <v>2.37</v>
      </c>
    </row>
    <row r="942" spans="1:39" x14ac:dyDescent="0.3">
      <c r="A942" s="21" t="str">
        <f t="shared" si="14"/>
        <v>HFA198LCLK2026-03-15</v>
      </c>
      <c r="B942" t="e">
        <f>VLOOKUP(A942,Sheet1!A942:B2284,1,FALSE)</f>
        <v>#N/A</v>
      </c>
      <c r="C942" s="3">
        <v>46096</v>
      </c>
      <c r="D942" s="1" t="s">
        <v>255</v>
      </c>
      <c r="E942" s="1" t="s">
        <v>38</v>
      </c>
      <c r="F942" s="1"/>
      <c r="G942" s="1" t="s">
        <v>39</v>
      </c>
      <c r="H942" s="1" t="s">
        <v>222</v>
      </c>
      <c r="I942" s="1" t="s">
        <v>67</v>
      </c>
      <c r="J942" s="1" t="s">
        <v>86</v>
      </c>
      <c r="K942" s="1" t="s">
        <v>87</v>
      </c>
      <c r="L942" s="1" t="s">
        <v>88</v>
      </c>
      <c r="M942" s="1" t="s">
        <v>50</v>
      </c>
      <c r="N942" s="1" t="s">
        <v>41</v>
      </c>
      <c r="O942" s="1" t="s">
        <v>82</v>
      </c>
      <c r="P942" s="1" t="s">
        <v>83</v>
      </c>
      <c r="Q942" s="1" t="s">
        <v>84</v>
      </c>
      <c r="R942" s="1" t="s">
        <v>45</v>
      </c>
      <c r="S942" s="1">
        <v>339</v>
      </c>
      <c r="T942" s="1">
        <v>0</v>
      </c>
      <c r="U942" s="13">
        <v>7.2916666666666657E-2</v>
      </c>
      <c r="V942" s="11">
        <v>1050</v>
      </c>
      <c r="W942" s="11">
        <v>1550</v>
      </c>
      <c r="X942" s="8">
        <v>2600</v>
      </c>
      <c r="Y942" s="1" t="s">
        <v>51</v>
      </c>
      <c r="Z942" s="11">
        <v>1680</v>
      </c>
      <c r="AA942" s="11">
        <v>920</v>
      </c>
      <c r="AB942" s="1">
        <v>0</v>
      </c>
      <c r="AC942" s="1">
        <v>0</v>
      </c>
      <c r="AD942" s="1">
        <v>0</v>
      </c>
      <c r="AE942" s="1">
        <v>0</v>
      </c>
      <c r="AF942" s="1"/>
      <c r="AG942" s="1">
        <v>0</v>
      </c>
      <c r="AH942" s="1">
        <v>0</v>
      </c>
      <c r="AI942" s="1">
        <v>0</v>
      </c>
      <c r="AJ942" s="1">
        <v>0</v>
      </c>
      <c r="AK942" s="1">
        <v>2.9072</v>
      </c>
      <c r="AL942" s="1">
        <v>2.9072</v>
      </c>
      <c r="AM942" s="1">
        <v>2.9072</v>
      </c>
    </row>
    <row r="943" spans="1:39" x14ac:dyDescent="0.3">
      <c r="A943" s="21" t="str">
        <f t="shared" si="14"/>
        <v>HFA199LLBG2026-03-15</v>
      </c>
      <c r="B943" t="e">
        <f>VLOOKUP(A943,Sheet1!A943:B2285,1,FALSE)</f>
        <v>#N/A</v>
      </c>
      <c r="C943" s="3">
        <v>46096</v>
      </c>
      <c r="D943" s="1" t="s">
        <v>256</v>
      </c>
      <c r="E943" s="1" t="s">
        <v>38</v>
      </c>
      <c r="F943" s="1"/>
      <c r="G943" s="1" t="s">
        <v>39</v>
      </c>
      <c r="H943" s="1" t="s">
        <v>222</v>
      </c>
      <c r="I943" s="1" t="s">
        <v>41</v>
      </c>
      <c r="J943" s="1" t="s">
        <v>82</v>
      </c>
      <c r="K943" s="1" t="s">
        <v>83</v>
      </c>
      <c r="L943" s="1" t="s">
        <v>84</v>
      </c>
      <c r="M943" s="1" t="s">
        <v>45</v>
      </c>
      <c r="N943" s="1" t="s">
        <v>46</v>
      </c>
      <c r="O943" s="1" t="s">
        <v>47</v>
      </c>
      <c r="P943" s="1" t="s">
        <v>48</v>
      </c>
      <c r="Q943" s="1" t="s">
        <v>49</v>
      </c>
      <c r="R943" s="1" t="s">
        <v>50</v>
      </c>
      <c r="S943" s="1">
        <v>1195</v>
      </c>
      <c r="T943" s="1">
        <v>0</v>
      </c>
      <c r="U943" s="13">
        <v>0.13680555555555557</v>
      </c>
      <c r="V943" s="11">
        <v>1680</v>
      </c>
      <c r="W943" s="11">
        <v>920</v>
      </c>
      <c r="X943" s="8">
        <v>2600</v>
      </c>
      <c r="Y943" s="1" t="s">
        <v>51</v>
      </c>
      <c r="Z943" s="11">
        <v>690</v>
      </c>
      <c r="AA943" s="11">
        <v>1910</v>
      </c>
      <c r="AB943" s="1">
        <v>0</v>
      </c>
      <c r="AC943" s="1">
        <v>0</v>
      </c>
      <c r="AD943" s="1">
        <v>0</v>
      </c>
      <c r="AE943" s="1">
        <v>0</v>
      </c>
      <c r="AF943" s="1"/>
      <c r="AG943" s="1">
        <v>0</v>
      </c>
      <c r="AH943" s="1">
        <v>0</v>
      </c>
      <c r="AI943" s="1">
        <v>0</v>
      </c>
      <c r="AJ943" s="1">
        <v>0</v>
      </c>
      <c r="AK943" s="1">
        <v>6.0355999999999996</v>
      </c>
      <c r="AL943" s="1">
        <v>6.0355999999999996</v>
      </c>
      <c r="AM943" s="1">
        <v>6.0355999999999996</v>
      </c>
    </row>
    <row r="944" spans="1:39" x14ac:dyDescent="0.3">
      <c r="A944" s="21" t="str">
        <f t="shared" si="14"/>
        <v>HFA202LGAV2026-03-15</v>
      </c>
      <c r="B944" t="e">
        <f>VLOOKUP(A944,Sheet1!A944:B2286,1,FALSE)</f>
        <v>#N/A</v>
      </c>
      <c r="C944" s="3">
        <v>46096</v>
      </c>
      <c r="D944" s="1" t="s">
        <v>64</v>
      </c>
      <c r="E944" s="1" t="s">
        <v>38</v>
      </c>
      <c r="F944" s="1"/>
      <c r="G944" s="1" t="s">
        <v>39</v>
      </c>
      <c r="H944" s="1" t="s">
        <v>222</v>
      </c>
      <c r="I944" s="1" t="s">
        <v>46</v>
      </c>
      <c r="J944" s="1" t="s">
        <v>47</v>
      </c>
      <c r="K944" s="1" t="s">
        <v>48</v>
      </c>
      <c r="L944" s="1" t="s">
        <v>49</v>
      </c>
      <c r="M944" s="1" t="s">
        <v>50</v>
      </c>
      <c r="N944" s="1" t="s">
        <v>41</v>
      </c>
      <c r="O944" s="1" t="s">
        <v>82</v>
      </c>
      <c r="P944" s="1" t="s">
        <v>83</v>
      </c>
      <c r="Q944" s="1" t="s">
        <v>84</v>
      </c>
      <c r="R944" s="1" t="s">
        <v>45</v>
      </c>
      <c r="S944" s="1">
        <v>1195</v>
      </c>
      <c r="T944" s="1">
        <v>0</v>
      </c>
      <c r="U944" s="13">
        <v>0.10625</v>
      </c>
      <c r="V944" s="11">
        <v>690</v>
      </c>
      <c r="W944" s="11">
        <v>2810</v>
      </c>
      <c r="X944" s="8">
        <v>3500</v>
      </c>
      <c r="Y944" s="1" t="s">
        <v>51</v>
      </c>
      <c r="Z944" s="11">
        <v>2040</v>
      </c>
      <c r="AA944" s="11">
        <v>1460</v>
      </c>
      <c r="AB944" s="1">
        <v>0</v>
      </c>
      <c r="AC944" s="1">
        <v>0</v>
      </c>
      <c r="AD944" s="1">
        <v>0</v>
      </c>
      <c r="AE944" s="1">
        <v>0</v>
      </c>
      <c r="AF944" s="1"/>
      <c r="AG944" s="1">
        <v>0</v>
      </c>
      <c r="AH944" s="1">
        <v>0</v>
      </c>
      <c r="AI944" s="1">
        <v>0</v>
      </c>
      <c r="AJ944" s="1">
        <v>0</v>
      </c>
      <c r="AK944" s="1">
        <v>4.6135999999999999</v>
      </c>
      <c r="AL944" s="1">
        <v>4.6135999999999999</v>
      </c>
      <c r="AM944" s="1">
        <v>4.6135999999999999</v>
      </c>
    </row>
    <row r="945" spans="1:39" x14ac:dyDescent="0.3">
      <c r="A945" s="21" t="str">
        <f t="shared" si="14"/>
        <v>HFA203LLBG2026-03-15</v>
      </c>
      <c r="B945" t="e">
        <f>VLOOKUP(A945,Sheet1!A945:B2287,1,FALSE)</f>
        <v>#N/A</v>
      </c>
      <c r="C945" s="3">
        <v>46096</v>
      </c>
      <c r="D945" s="1" t="s">
        <v>257</v>
      </c>
      <c r="E945" s="1" t="s">
        <v>38</v>
      </c>
      <c r="F945" s="1"/>
      <c r="G945" s="1" t="s">
        <v>39</v>
      </c>
      <c r="H945" s="1" t="s">
        <v>222</v>
      </c>
      <c r="I945" s="1" t="s">
        <v>41</v>
      </c>
      <c r="J945" s="1" t="s">
        <v>82</v>
      </c>
      <c r="K945" s="1" t="s">
        <v>83</v>
      </c>
      <c r="L945" s="1" t="s">
        <v>84</v>
      </c>
      <c r="M945" s="1" t="s">
        <v>45</v>
      </c>
      <c r="N945" s="1" t="s">
        <v>67</v>
      </c>
      <c r="O945" s="1" t="s">
        <v>86</v>
      </c>
      <c r="P945" s="1" t="s">
        <v>87</v>
      </c>
      <c r="Q945" s="1" t="s">
        <v>88</v>
      </c>
      <c r="R945" s="1" t="s">
        <v>50</v>
      </c>
      <c r="S945" s="1">
        <v>339</v>
      </c>
      <c r="T945" s="1">
        <v>339</v>
      </c>
      <c r="U945" s="13">
        <v>5.2083333333333329E-2</v>
      </c>
      <c r="V945" s="11">
        <v>2040</v>
      </c>
      <c r="W945" s="11">
        <v>-10</v>
      </c>
      <c r="X945" s="8">
        <v>2030</v>
      </c>
      <c r="Y945" s="1" t="s">
        <v>51</v>
      </c>
      <c r="Z945" s="11">
        <v>1350</v>
      </c>
      <c r="AA945" s="11">
        <v>680</v>
      </c>
      <c r="AB945" s="1">
        <v>0</v>
      </c>
      <c r="AC945" s="1">
        <v>0</v>
      </c>
      <c r="AD945" s="1">
        <v>0</v>
      </c>
      <c r="AE945" s="1">
        <v>0</v>
      </c>
      <c r="AF945" s="1"/>
      <c r="AG945" s="1">
        <v>0</v>
      </c>
      <c r="AH945" s="1">
        <v>0</v>
      </c>
      <c r="AI945" s="1">
        <v>0</v>
      </c>
      <c r="AJ945" s="1">
        <v>0</v>
      </c>
      <c r="AK945" s="1">
        <v>2.1488</v>
      </c>
      <c r="AL945" s="1">
        <v>2.1488</v>
      </c>
      <c r="AM945" s="1">
        <v>2.1488</v>
      </c>
    </row>
    <row r="946" spans="1:39" x14ac:dyDescent="0.3">
      <c r="A946" s="21" t="str">
        <f t="shared" si="14"/>
        <v>HFA204LCLK2026-03-16</v>
      </c>
      <c r="B946" t="e">
        <f>VLOOKUP(A946,Sheet1!A946:B2288,1,FALSE)</f>
        <v>#N/A</v>
      </c>
      <c r="C946" s="3">
        <v>46097</v>
      </c>
      <c r="D946" s="1" t="s">
        <v>113</v>
      </c>
      <c r="E946" s="1" t="s">
        <v>38</v>
      </c>
      <c r="F946" s="1"/>
      <c r="G946" s="1" t="s">
        <v>39</v>
      </c>
      <c r="H946" s="1" t="s">
        <v>222</v>
      </c>
      <c r="I946" s="1" t="s">
        <v>67</v>
      </c>
      <c r="J946" s="1" t="s">
        <v>86</v>
      </c>
      <c r="K946" s="1" t="s">
        <v>87</v>
      </c>
      <c r="L946" s="1" t="s">
        <v>88</v>
      </c>
      <c r="M946" s="1" t="s">
        <v>50</v>
      </c>
      <c r="N946" s="1" t="s">
        <v>41</v>
      </c>
      <c r="O946" s="1" t="s">
        <v>82</v>
      </c>
      <c r="P946" s="1" t="s">
        <v>83</v>
      </c>
      <c r="Q946" s="1" t="s">
        <v>84</v>
      </c>
      <c r="R946" s="1" t="s">
        <v>45</v>
      </c>
      <c r="S946" s="1">
        <v>339</v>
      </c>
      <c r="T946" s="1">
        <v>0</v>
      </c>
      <c r="U946" s="13">
        <v>4.583333333333333E-2</v>
      </c>
      <c r="V946" s="11">
        <v>1350</v>
      </c>
      <c r="W946" s="11">
        <v>2150</v>
      </c>
      <c r="X946" s="8">
        <v>3500</v>
      </c>
      <c r="Y946" s="1" t="s">
        <v>51</v>
      </c>
      <c r="Z946" s="11">
        <v>2900</v>
      </c>
      <c r="AA946" s="11">
        <v>600</v>
      </c>
      <c r="AB946" s="1">
        <v>0</v>
      </c>
      <c r="AC946" s="1">
        <v>0</v>
      </c>
      <c r="AD946" s="1">
        <v>0</v>
      </c>
      <c r="AE946" s="1">
        <v>0</v>
      </c>
      <c r="AF946" s="1"/>
      <c r="AG946" s="1">
        <v>0</v>
      </c>
      <c r="AH946" s="1">
        <v>0</v>
      </c>
      <c r="AI946" s="1">
        <v>0</v>
      </c>
      <c r="AJ946" s="1">
        <v>0</v>
      </c>
      <c r="AK946" s="1">
        <v>1.8959999999999999</v>
      </c>
      <c r="AL946" s="1">
        <v>1.8959999999999999</v>
      </c>
      <c r="AM946" s="1">
        <v>1.8959999999999999</v>
      </c>
    </row>
    <row r="947" spans="1:39" x14ac:dyDescent="0.3">
      <c r="A947" s="21" t="str">
        <f t="shared" si="14"/>
        <v>HFA205LLBG2026-03-16</v>
      </c>
      <c r="B947" t="e">
        <f>VLOOKUP(A947,Sheet1!A947:B2289,1,FALSE)</f>
        <v>#N/A</v>
      </c>
      <c r="C947" s="3">
        <v>46097</v>
      </c>
      <c r="D947" s="1" t="s">
        <v>258</v>
      </c>
      <c r="E947" s="1" t="s">
        <v>38</v>
      </c>
      <c r="F947" s="1"/>
      <c r="G947" s="1" t="s">
        <v>39</v>
      </c>
      <c r="H947" s="1" t="s">
        <v>222</v>
      </c>
      <c r="I947" s="1" t="s">
        <v>41</v>
      </c>
      <c r="J947" s="1" t="s">
        <v>82</v>
      </c>
      <c r="K947" s="1" t="s">
        <v>83</v>
      </c>
      <c r="L947" s="1" t="s">
        <v>84</v>
      </c>
      <c r="M947" s="1" t="s">
        <v>45</v>
      </c>
      <c r="N947" s="1" t="s">
        <v>46</v>
      </c>
      <c r="O947" s="1" t="s">
        <v>47</v>
      </c>
      <c r="P947" s="1" t="s">
        <v>48</v>
      </c>
      <c r="Q947" s="1" t="s">
        <v>49</v>
      </c>
      <c r="R947" s="1" t="s">
        <v>50</v>
      </c>
      <c r="S947" s="1">
        <v>1195</v>
      </c>
      <c r="T947" s="1">
        <v>0</v>
      </c>
      <c r="U947" s="13">
        <v>0.13680555555555557</v>
      </c>
      <c r="V947" s="11">
        <v>2900</v>
      </c>
      <c r="W947" s="11">
        <v>0</v>
      </c>
      <c r="X947" s="8">
        <v>2900</v>
      </c>
      <c r="Y947" s="1" t="s">
        <v>51</v>
      </c>
      <c r="Z947" s="11">
        <v>950</v>
      </c>
      <c r="AA947" s="11">
        <v>1950</v>
      </c>
      <c r="AB947" s="1">
        <v>0</v>
      </c>
      <c r="AC947" s="1">
        <v>0</v>
      </c>
      <c r="AD947" s="1">
        <v>0</v>
      </c>
      <c r="AE947" s="1">
        <v>0</v>
      </c>
      <c r="AF947" s="1"/>
      <c r="AG947" s="1">
        <v>0</v>
      </c>
      <c r="AH947" s="1">
        <v>0</v>
      </c>
      <c r="AI947" s="1">
        <v>0</v>
      </c>
      <c r="AJ947" s="1">
        <v>0</v>
      </c>
      <c r="AK947" s="1">
        <v>6.1619999999999999</v>
      </c>
      <c r="AL947" s="1">
        <v>6.1619999999999999</v>
      </c>
      <c r="AM947" s="1">
        <v>6.1619999999999999</v>
      </c>
    </row>
    <row r="948" spans="1:39" x14ac:dyDescent="0.3">
      <c r="A948" s="21" t="str">
        <f t="shared" si="14"/>
        <v>HFA208LCLK2026-03-16</v>
      </c>
      <c r="B948" t="e">
        <f>VLOOKUP(A948,Sheet1!A948:B2290,1,FALSE)</f>
        <v>#N/A</v>
      </c>
      <c r="C948" s="3">
        <v>46097</v>
      </c>
      <c r="D948" s="1" t="s">
        <v>136</v>
      </c>
      <c r="E948" s="1" t="s">
        <v>38</v>
      </c>
      <c r="F948" s="1"/>
      <c r="G948" s="1" t="s">
        <v>39</v>
      </c>
      <c r="H948" s="1" t="s">
        <v>222</v>
      </c>
      <c r="I948" s="1" t="s">
        <v>67</v>
      </c>
      <c r="J948" s="1" t="s">
        <v>86</v>
      </c>
      <c r="K948" s="1" t="s">
        <v>87</v>
      </c>
      <c r="L948" s="1" t="s">
        <v>88</v>
      </c>
      <c r="M948" s="1" t="s">
        <v>50</v>
      </c>
      <c r="N948" s="1" t="s">
        <v>41</v>
      </c>
      <c r="O948" s="1" t="s">
        <v>82</v>
      </c>
      <c r="P948" s="1" t="s">
        <v>83</v>
      </c>
      <c r="Q948" s="1" t="s">
        <v>84</v>
      </c>
      <c r="R948" s="1" t="s">
        <v>45</v>
      </c>
      <c r="S948" s="1">
        <v>339</v>
      </c>
      <c r="T948" s="1">
        <v>0</v>
      </c>
      <c r="U948" s="13">
        <v>0.10763888888888888</v>
      </c>
      <c r="V948" s="11">
        <v>950</v>
      </c>
      <c r="W948" s="11">
        <v>2550</v>
      </c>
      <c r="X948" s="8">
        <v>3500</v>
      </c>
      <c r="Y948" s="1" t="s">
        <v>51</v>
      </c>
      <c r="Z948" s="11">
        <v>2050</v>
      </c>
      <c r="AA948" s="11">
        <v>1450</v>
      </c>
      <c r="AB948" s="1">
        <v>0</v>
      </c>
      <c r="AC948" s="1">
        <v>0</v>
      </c>
      <c r="AD948" s="1">
        <v>0</v>
      </c>
      <c r="AE948" s="1">
        <v>0</v>
      </c>
      <c r="AF948" s="1"/>
      <c r="AG948" s="1">
        <v>0</v>
      </c>
      <c r="AH948" s="1">
        <v>0</v>
      </c>
      <c r="AI948" s="1">
        <v>0</v>
      </c>
      <c r="AJ948" s="1">
        <v>0</v>
      </c>
      <c r="AK948" s="1">
        <v>4.5819999999999999</v>
      </c>
      <c r="AL948" s="1">
        <v>4.5819999999999999</v>
      </c>
      <c r="AM948" s="1">
        <v>4.5819999999999999</v>
      </c>
    </row>
    <row r="949" spans="1:39" x14ac:dyDescent="0.3">
      <c r="A949" s="21" t="str">
        <f t="shared" si="14"/>
        <v>HFA209LLBG2026-03-16</v>
      </c>
      <c r="B949" t="e">
        <f>VLOOKUP(A949,Sheet1!A949:B2291,1,FALSE)</f>
        <v>#N/A</v>
      </c>
      <c r="C949" s="3">
        <v>46097</v>
      </c>
      <c r="D949" s="1" t="s">
        <v>259</v>
      </c>
      <c r="E949" s="1" t="s">
        <v>38</v>
      </c>
      <c r="F949" s="1"/>
      <c r="G949" s="1" t="s">
        <v>39</v>
      </c>
      <c r="H949" s="1" t="s">
        <v>222</v>
      </c>
      <c r="I949" s="1" t="s">
        <v>41</v>
      </c>
      <c r="J949" s="1" t="s">
        <v>82</v>
      </c>
      <c r="K949" s="1" t="s">
        <v>83</v>
      </c>
      <c r="L949" s="1" t="s">
        <v>84</v>
      </c>
      <c r="M949" s="1" t="s">
        <v>45</v>
      </c>
      <c r="N949" s="1" t="s">
        <v>67</v>
      </c>
      <c r="O949" s="1" t="s">
        <v>86</v>
      </c>
      <c r="P949" s="1" t="s">
        <v>87</v>
      </c>
      <c r="Q949" s="1" t="s">
        <v>88</v>
      </c>
      <c r="R949" s="1" t="s">
        <v>50</v>
      </c>
      <c r="S949" s="1">
        <v>339</v>
      </c>
      <c r="T949" s="1">
        <v>0</v>
      </c>
      <c r="U949" s="13">
        <v>5.486111111111111E-2</v>
      </c>
      <c r="V949" s="11">
        <v>2050</v>
      </c>
      <c r="W949" s="11">
        <v>0</v>
      </c>
      <c r="X949" s="8">
        <v>2050</v>
      </c>
      <c r="Y949" s="1" t="s">
        <v>51</v>
      </c>
      <c r="Z949" s="11">
        <v>1300</v>
      </c>
      <c r="AA949" s="11">
        <v>750</v>
      </c>
      <c r="AB949" s="1">
        <v>0</v>
      </c>
      <c r="AC949" s="1">
        <v>0</v>
      </c>
      <c r="AD949" s="1">
        <v>0</v>
      </c>
      <c r="AE949" s="1">
        <v>0</v>
      </c>
      <c r="AF949" s="1"/>
      <c r="AG949" s="1">
        <v>0</v>
      </c>
      <c r="AH949" s="1">
        <v>0</v>
      </c>
      <c r="AI949" s="1">
        <v>0</v>
      </c>
      <c r="AJ949" s="1">
        <v>0</v>
      </c>
      <c r="AK949" s="1">
        <v>2.37</v>
      </c>
      <c r="AL949" s="1">
        <v>2.37</v>
      </c>
      <c r="AM949" s="1">
        <v>2.37</v>
      </c>
    </row>
    <row r="950" spans="1:39" x14ac:dyDescent="0.3">
      <c r="A950" s="21" t="str">
        <f t="shared" si="14"/>
        <v>HFA214LCLK2026-03-17</v>
      </c>
      <c r="B950" t="e">
        <f>VLOOKUP(A950,Sheet1!A950:B2292,1,FALSE)</f>
        <v>#N/A</v>
      </c>
      <c r="C950" s="3">
        <v>46098</v>
      </c>
      <c r="D950" s="1" t="s">
        <v>260</v>
      </c>
      <c r="E950" s="1" t="s">
        <v>38</v>
      </c>
      <c r="F950" s="1"/>
      <c r="G950" s="1" t="s">
        <v>39</v>
      </c>
      <c r="H950" s="1" t="s">
        <v>222</v>
      </c>
      <c r="I950" s="1" t="s">
        <v>67</v>
      </c>
      <c r="J950" s="1" t="s">
        <v>86</v>
      </c>
      <c r="K950" s="1" t="s">
        <v>87</v>
      </c>
      <c r="L950" s="1" t="s">
        <v>88</v>
      </c>
      <c r="M950" s="1" t="s">
        <v>50</v>
      </c>
      <c r="N950" s="1" t="s">
        <v>41</v>
      </c>
      <c r="O950" s="1" t="s">
        <v>82</v>
      </c>
      <c r="P950" s="1" t="s">
        <v>83</v>
      </c>
      <c r="Q950" s="1" t="s">
        <v>84</v>
      </c>
      <c r="R950" s="1" t="s">
        <v>45</v>
      </c>
      <c r="S950" s="1">
        <v>339</v>
      </c>
      <c r="T950" s="1">
        <v>339</v>
      </c>
      <c r="U950" s="13">
        <v>4.7222222222222221E-2</v>
      </c>
      <c r="V950" s="11">
        <v>1300</v>
      </c>
      <c r="W950" s="11">
        <v>1300</v>
      </c>
      <c r="X950" s="8">
        <v>2600</v>
      </c>
      <c r="Y950" s="1" t="s">
        <v>51</v>
      </c>
      <c r="Z950" s="11">
        <v>1950</v>
      </c>
      <c r="AA950" s="11">
        <v>650</v>
      </c>
      <c r="AB950" s="1">
        <v>0</v>
      </c>
      <c r="AC950" s="1">
        <v>0</v>
      </c>
      <c r="AD950" s="1">
        <v>0</v>
      </c>
      <c r="AE950" s="1">
        <v>0</v>
      </c>
      <c r="AF950" s="1"/>
      <c r="AG950" s="1">
        <v>0</v>
      </c>
      <c r="AH950" s="1">
        <v>0</v>
      </c>
      <c r="AI950" s="1">
        <v>0</v>
      </c>
      <c r="AJ950" s="1">
        <v>0</v>
      </c>
      <c r="AK950" s="1">
        <v>2.0539999999999998</v>
      </c>
      <c r="AL950" s="1">
        <v>2.0539999999999998</v>
      </c>
      <c r="AM950" s="1">
        <v>2.0539999999999998</v>
      </c>
    </row>
    <row r="951" spans="1:39" x14ac:dyDescent="0.3">
      <c r="A951" s="21" t="str">
        <f t="shared" si="14"/>
        <v>HFA215LLBG2026-03-17</v>
      </c>
      <c r="B951" t="e">
        <f>VLOOKUP(A951,Sheet1!A951:B2293,1,FALSE)</f>
        <v>#N/A</v>
      </c>
      <c r="C951" s="3">
        <v>46098</v>
      </c>
      <c r="D951" s="1" t="s">
        <v>261</v>
      </c>
      <c r="E951" s="1" t="s">
        <v>38</v>
      </c>
      <c r="F951" s="1"/>
      <c r="G951" s="1" t="s">
        <v>39</v>
      </c>
      <c r="H951" s="1" t="s">
        <v>222</v>
      </c>
      <c r="I951" s="1" t="s">
        <v>41</v>
      </c>
      <c r="J951" s="1" t="s">
        <v>82</v>
      </c>
      <c r="K951" s="1" t="s">
        <v>83</v>
      </c>
      <c r="L951" s="1" t="s">
        <v>84</v>
      </c>
      <c r="M951" s="1" t="s">
        <v>45</v>
      </c>
      <c r="N951" s="1" t="s">
        <v>67</v>
      </c>
      <c r="O951" s="1" t="s">
        <v>86</v>
      </c>
      <c r="P951" s="1" t="s">
        <v>87</v>
      </c>
      <c r="Q951" s="1" t="s">
        <v>88</v>
      </c>
      <c r="R951" s="1" t="s">
        <v>50</v>
      </c>
      <c r="S951" s="1">
        <v>339</v>
      </c>
      <c r="T951" s="1">
        <v>339</v>
      </c>
      <c r="U951" s="13">
        <v>5.5555555555555552E-2</v>
      </c>
      <c r="V951" s="11">
        <v>1950</v>
      </c>
      <c r="W951" s="11">
        <v>0</v>
      </c>
      <c r="X951" s="8">
        <v>1950</v>
      </c>
      <c r="Y951" s="1" t="s">
        <v>51</v>
      </c>
      <c r="Z951" s="11">
        <v>1150</v>
      </c>
      <c r="AA951" s="11">
        <v>800</v>
      </c>
      <c r="AB951" s="1">
        <v>0</v>
      </c>
      <c r="AC951" s="1">
        <v>0</v>
      </c>
      <c r="AD951" s="1">
        <v>0</v>
      </c>
      <c r="AE951" s="1">
        <v>0</v>
      </c>
      <c r="AF951" s="1"/>
      <c r="AG951" s="1">
        <v>0</v>
      </c>
      <c r="AH951" s="1">
        <v>0</v>
      </c>
      <c r="AI951" s="1">
        <v>0</v>
      </c>
      <c r="AJ951" s="1">
        <v>0</v>
      </c>
      <c r="AK951" s="1">
        <v>2.528</v>
      </c>
      <c r="AL951" s="1">
        <v>2.528</v>
      </c>
      <c r="AM951" s="1">
        <v>2.528</v>
      </c>
    </row>
    <row r="952" spans="1:39" x14ac:dyDescent="0.3">
      <c r="A952" s="21" t="str">
        <f t="shared" si="14"/>
        <v>HFA232LCLK2026-03-19</v>
      </c>
      <c r="B952" t="e">
        <f>VLOOKUP(A952,Sheet1!A952:B2294,1,FALSE)</f>
        <v>#N/A</v>
      </c>
      <c r="C952" s="3">
        <v>46100</v>
      </c>
      <c r="D952" s="1" t="s">
        <v>262</v>
      </c>
      <c r="E952" s="1" t="s">
        <v>38</v>
      </c>
      <c r="F952" s="1"/>
      <c r="G952" s="1" t="s">
        <v>39</v>
      </c>
      <c r="H952" s="1" t="s">
        <v>222</v>
      </c>
      <c r="I952" s="1" t="s">
        <v>67</v>
      </c>
      <c r="J952" s="1" t="s">
        <v>86</v>
      </c>
      <c r="K952" s="1" t="s">
        <v>87</v>
      </c>
      <c r="L952" s="1" t="s">
        <v>88</v>
      </c>
      <c r="M952" s="1" t="s">
        <v>50</v>
      </c>
      <c r="N952" s="1" t="s">
        <v>41</v>
      </c>
      <c r="O952" s="1" t="s">
        <v>82</v>
      </c>
      <c r="P952" s="1" t="s">
        <v>83</v>
      </c>
      <c r="Q952" s="1" t="s">
        <v>84</v>
      </c>
      <c r="R952" s="1" t="s">
        <v>45</v>
      </c>
      <c r="S952" s="1">
        <v>339</v>
      </c>
      <c r="T952" s="1">
        <v>0</v>
      </c>
      <c r="U952" s="13">
        <v>9.722222222222221E-2</v>
      </c>
      <c r="V952" s="11">
        <v>1150</v>
      </c>
      <c r="W952" s="11">
        <v>1150</v>
      </c>
      <c r="X952" s="8">
        <v>2300</v>
      </c>
      <c r="Y952" s="1" t="s">
        <v>51</v>
      </c>
      <c r="Z952" s="11">
        <v>1740</v>
      </c>
      <c r="AA952" s="11">
        <v>560</v>
      </c>
      <c r="AB952" s="1">
        <v>0</v>
      </c>
      <c r="AC952" s="1">
        <v>0</v>
      </c>
      <c r="AD952" s="1">
        <v>0</v>
      </c>
      <c r="AE952" s="1">
        <v>0</v>
      </c>
      <c r="AF952" s="1"/>
      <c r="AG952" s="1">
        <v>0</v>
      </c>
      <c r="AH952" s="1">
        <v>0</v>
      </c>
      <c r="AI952" s="1">
        <v>0</v>
      </c>
      <c r="AJ952" s="1">
        <v>0</v>
      </c>
      <c r="AK952" s="1">
        <v>1.7696000000000001</v>
      </c>
      <c r="AL952" s="1">
        <v>1.7696000000000001</v>
      </c>
      <c r="AM952" s="1">
        <v>1.7696000000000001</v>
      </c>
    </row>
    <row r="953" spans="1:39" x14ac:dyDescent="0.3">
      <c r="A953" s="21" t="str">
        <f t="shared" si="14"/>
        <v>HFA233LLBG2026-03-19</v>
      </c>
      <c r="B953" t="e">
        <f>VLOOKUP(A953,Sheet1!A953:B2295,1,FALSE)</f>
        <v>#N/A</v>
      </c>
      <c r="C953" s="3">
        <v>46100</v>
      </c>
      <c r="D953" s="1" t="s">
        <v>263</v>
      </c>
      <c r="E953" s="1" t="s">
        <v>38</v>
      </c>
      <c r="F953" s="1"/>
      <c r="G953" s="1" t="s">
        <v>39</v>
      </c>
      <c r="H953" s="1" t="s">
        <v>222</v>
      </c>
      <c r="I953" s="1" t="s">
        <v>41</v>
      </c>
      <c r="J953" s="1" t="s">
        <v>82</v>
      </c>
      <c r="K953" s="1" t="s">
        <v>83</v>
      </c>
      <c r="L953" s="1" t="s">
        <v>84</v>
      </c>
      <c r="M953" s="1" t="s">
        <v>45</v>
      </c>
      <c r="N953" s="1" t="s">
        <v>67</v>
      </c>
      <c r="O953" s="1" t="s">
        <v>86</v>
      </c>
      <c r="P953" s="1" t="s">
        <v>87</v>
      </c>
      <c r="Q953" s="1" t="s">
        <v>88</v>
      </c>
      <c r="R953" s="1" t="s">
        <v>50</v>
      </c>
      <c r="S953" s="1">
        <v>339</v>
      </c>
      <c r="T953" s="1">
        <v>0</v>
      </c>
      <c r="U953" s="13">
        <v>5.8333333333333334E-2</v>
      </c>
      <c r="V953" s="11">
        <v>1740</v>
      </c>
      <c r="W953" s="11">
        <v>560</v>
      </c>
      <c r="X953" s="8">
        <v>2300</v>
      </c>
      <c r="Y953" s="1" t="s">
        <v>51</v>
      </c>
      <c r="Z953" s="11">
        <v>1540</v>
      </c>
      <c r="AA953" s="11">
        <v>760</v>
      </c>
      <c r="AB953" s="1">
        <v>0</v>
      </c>
      <c r="AC953" s="1">
        <v>0</v>
      </c>
      <c r="AD953" s="1">
        <v>0</v>
      </c>
      <c r="AE953" s="1">
        <v>0</v>
      </c>
      <c r="AF953" s="1"/>
      <c r="AG953" s="1">
        <v>0</v>
      </c>
      <c r="AH953" s="1">
        <v>0</v>
      </c>
      <c r="AI953" s="1">
        <v>0</v>
      </c>
      <c r="AJ953" s="1">
        <v>0</v>
      </c>
      <c r="AK953" s="1">
        <v>2.4016000000000002</v>
      </c>
      <c r="AL953" s="1">
        <v>2.4016000000000002</v>
      </c>
      <c r="AM953" s="1">
        <v>2.4016000000000002</v>
      </c>
    </row>
    <row r="954" spans="1:39" x14ac:dyDescent="0.3">
      <c r="A954" s="21" t="str">
        <f t="shared" si="14"/>
        <v>HFA236LCLK2026-03-20</v>
      </c>
      <c r="B954" t="e">
        <f>VLOOKUP(A954,Sheet1!A954:B2296,1,FALSE)</f>
        <v>#N/A</v>
      </c>
      <c r="C954" s="3">
        <v>46101</v>
      </c>
      <c r="D954" s="1" t="s">
        <v>264</v>
      </c>
      <c r="E954" s="1" t="s">
        <v>38</v>
      </c>
      <c r="F954" s="1"/>
      <c r="G954" s="1" t="s">
        <v>39</v>
      </c>
      <c r="H954" s="1" t="s">
        <v>222</v>
      </c>
      <c r="I954" s="1" t="s">
        <v>67</v>
      </c>
      <c r="J954" s="1" t="s">
        <v>86</v>
      </c>
      <c r="K954" s="1" t="s">
        <v>87</v>
      </c>
      <c r="L954" s="1" t="s">
        <v>88</v>
      </c>
      <c r="M954" s="1" t="s">
        <v>50</v>
      </c>
      <c r="N954" s="1" t="s">
        <v>41</v>
      </c>
      <c r="O954" s="1" t="s">
        <v>82</v>
      </c>
      <c r="P954" s="1" t="s">
        <v>83</v>
      </c>
      <c r="Q954" s="1" t="s">
        <v>84</v>
      </c>
      <c r="R954" s="1" t="s">
        <v>45</v>
      </c>
      <c r="S954" s="1">
        <v>339</v>
      </c>
      <c r="T954" s="1">
        <v>339</v>
      </c>
      <c r="U954" s="13">
        <v>4.7222222222222221E-2</v>
      </c>
      <c r="V954" s="11">
        <v>1540</v>
      </c>
      <c r="W954" s="11">
        <v>1960</v>
      </c>
      <c r="X954" s="8">
        <v>3500</v>
      </c>
      <c r="Y954" s="1" t="s">
        <v>51</v>
      </c>
      <c r="Z954" s="11">
        <v>2870</v>
      </c>
      <c r="AA954" s="11">
        <v>630</v>
      </c>
      <c r="AB954" s="1">
        <v>0</v>
      </c>
      <c r="AC954" s="1">
        <v>0</v>
      </c>
      <c r="AD954" s="1">
        <v>0</v>
      </c>
      <c r="AE954" s="1">
        <v>0</v>
      </c>
      <c r="AF954" s="1"/>
      <c r="AG954" s="1">
        <v>0</v>
      </c>
      <c r="AH954" s="1">
        <v>0</v>
      </c>
      <c r="AI954" s="1">
        <v>0</v>
      </c>
      <c r="AJ954" s="1">
        <v>0</v>
      </c>
      <c r="AK954" s="1">
        <v>1.9907999999999999</v>
      </c>
      <c r="AL954" s="1">
        <v>1.9907999999999999</v>
      </c>
      <c r="AM954" s="1">
        <v>1.9907999999999999</v>
      </c>
    </row>
    <row r="955" spans="1:39" x14ac:dyDescent="0.3">
      <c r="A955" s="21" t="str">
        <f t="shared" si="14"/>
        <v>HFA237LLBG2026-03-20</v>
      </c>
      <c r="B955" t="e">
        <f>VLOOKUP(A955,Sheet1!A955:B2297,1,FALSE)</f>
        <v>#N/A</v>
      </c>
      <c r="C955" s="3">
        <v>46101</v>
      </c>
      <c r="D955" s="1" t="s">
        <v>265</v>
      </c>
      <c r="E955" s="1" t="s">
        <v>38</v>
      </c>
      <c r="F955" s="1"/>
      <c r="G955" s="1" t="s">
        <v>39</v>
      </c>
      <c r="H955" s="1" t="s">
        <v>222</v>
      </c>
      <c r="I955" s="1" t="s">
        <v>41</v>
      </c>
      <c r="J955" s="1" t="s">
        <v>82</v>
      </c>
      <c r="K955" s="1" t="s">
        <v>83</v>
      </c>
      <c r="L955" s="1" t="s">
        <v>84</v>
      </c>
      <c r="M955" s="1" t="s">
        <v>45</v>
      </c>
      <c r="N955" s="1" t="s">
        <v>46</v>
      </c>
      <c r="O955" s="1" t="s">
        <v>47</v>
      </c>
      <c r="P955" s="1" t="s">
        <v>48</v>
      </c>
      <c r="Q955" s="1" t="s">
        <v>49</v>
      </c>
      <c r="R955" s="1" t="s">
        <v>50</v>
      </c>
      <c r="S955" s="1">
        <v>1195</v>
      </c>
      <c r="T955" s="1">
        <v>1195</v>
      </c>
      <c r="U955" s="13">
        <v>0.13125000000000001</v>
      </c>
      <c r="V955" s="11">
        <v>2870</v>
      </c>
      <c r="W955" s="11">
        <v>0</v>
      </c>
      <c r="X955" s="8">
        <v>2870</v>
      </c>
      <c r="Y955" s="1" t="s">
        <v>51</v>
      </c>
      <c r="Z955" s="11">
        <v>980</v>
      </c>
      <c r="AA955" s="11">
        <v>1890</v>
      </c>
      <c r="AB955" s="1">
        <v>0</v>
      </c>
      <c r="AC955" s="1">
        <v>0</v>
      </c>
      <c r="AD955" s="1">
        <v>0</v>
      </c>
      <c r="AE955" s="1">
        <v>0</v>
      </c>
      <c r="AF955" s="1"/>
      <c r="AG955" s="1">
        <v>0</v>
      </c>
      <c r="AH955" s="1">
        <v>0</v>
      </c>
      <c r="AI955" s="1">
        <v>0</v>
      </c>
      <c r="AJ955" s="1">
        <v>0</v>
      </c>
      <c r="AK955" s="1">
        <v>5.9724000000000004</v>
      </c>
      <c r="AL955" s="1">
        <v>5.9724000000000004</v>
      </c>
      <c r="AM955" s="1">
        <v>5.9724000000000004</v>
      </c>
    </row>
    <row r="956" spans="1:39" x14ac:dyDescent="0.3">
      <c r="A956" s="21" t="str">
        <f t="shared" si="14"/>
        <v>HFA242LGAV2026-03-20</v>
      </c>
      <c r="B956" t="e">
        <f>VLOOKUP(A956,Sheet1!A956:B2298,1,FALSE)</f>
        <v>#N/A</v>
      </c>
      <c r="C956" s="3">
        <v>46101</v>
      </c>
      <c r="D956" s="1" t="s">
        <v>266</v>
      </c>
      <c r="E956" s="1" t="s">
        <v>38</v>
      </c>
      <c r="F956" s="1"/>
      <c r="G956" s="1" t="s">
        <v>39</v>
      </c>
      <c r="H956" s="1" t="s">
        <v>222</v>
      </c>
      <c r="I956" s="1" t="s">
        <v>46</v>
      </c>
      <c r="J956" s="1" t="s">
        <v>47</v>
      </c>
      <c r="K956" s="1" t="s">
        <v>48</v>
      </c>
      <c r="L956" s="1" t="s">
        <v>49</v>
      </c>
      <c r="M956" s="1" t="s">
        <v>50</v>
      </c>
      <c r="N956" s="1" t="s">
        <v>41</v>
      </c>
      <c r="O956" s="1" t="s">
        <v>82</v>
      </c>
      <c r="P956" s="1" t="s">
        <v>83</v>
      </c>
      <c r="Q956" s="1" t="s">
        <v>84</v>
      </c>
      <c r="R956" s="1" t="s">
        <v>45</v>
      </c>
      <c r="S956" s="1">
        <v>1195</v>
      </c>
      <c r="T956" s="1">
        <v>1195</v>
      </c>
      <c r="U956" s="13">
        <v>0.10972222222222222</v>
      </c>
      <c r="V956" s="11">
        <v>980</v>
      </c>
      <c r="W956" s="11">
        <v>2820</v>
      </c>
      <c r="X956" s="8">
        <v>3800</v>
      </c>
      <c r="Y956" s="1" t="s">
        <v>51</v>
      </c>
      <c r="Z956" s="11">
        <v>2440</v>
      </c>
      <c r="AA956" s="11">
        <v>1360</v>
      </c>
      <c r="AB956" s="1">
        <v>0</v>
      </c>
      <c r="AC956" s="1">
        <v>0</v>
      </c>
      <c r="AD956" s="1">
        <v>0</v>
      </c>
      <c r="AE956" s="1">
        <v>0</v>
      </c>
      <c r="AF956" s="1"/>
      <c r="AG956" s="1">
        <v>0</v>
      </c>
      <c r="AH956" s="1">
        <v>0</v>
      </c>
      <c r="AI956" s="1">
        <v>0</v>
      </c>
      <c r="AJ956" s="1">
        <v>0</v>
      </c>
      <c r="AK956" s="1">
        <v>4.2976000000000001</v>
      </c>
      <c r="AL956" s="1">
        <v>4.2976000000000001</v>
      </c>
      <c r="AM956" s="1">
        <v>4.2976000000000001</v>
      </c>
    </row>
    <row r="957" spans="1:39" x14ac:dyDescent="0.3">
      <c r="A957" s="21" t="str">
        <f t="shared" si="14"/>
        <v>HFA243LLBG2026-03-20</v>
      </c>
      <c r="B957" t="e">
        <f>VLOOKUP(A957,Sheet1!A957:B2299,1,FALSE)</f>
        <v>#N/A</v>
      </c>
      <c r="C957" s="3">
        <v>46101</v>
      </c>
      <c r="D957" s="1" t="s">
        <v>267</v>
      </c>
      <c r="E957" s="1" t="s">
        <v>38</v>
      </c>
      <c r="F957" s="1"/>
      <c r="G957" s="1" t="s">
        <v>39</v>
      </c>
      <c r="H957" s="1" t="s">
        <v>222</v>
      </c>
      <c r="I957" s="1" t="s">
        <v>41</v>
      </c>
      <c r="J957" s="1" t="s">
        <v>82</v>
      </c>
      <c r="K957" s="1" t="s">
        <v>83</v>
      </c>
      <c r="L957" s="1" t="s">
        <v>84</v>
      </c>
      <c r="M957" s="1" t="s">
        <v>45</v>
      </c>
      <c r="N957" s="1" t="s">
        <v>67</v>
      </c>
      <c r="O957" s="1" t="s">
        <v>86</v>
      </c>
      <c r="P957" s="1" t="s">
        <v>87</v>
      </c>
      <c r="Q957" s="1" t="s">
        <v>88</v>
      </c>
      <c r="R957" s="1" t="s">
        <v>50</v>
      </c>
      <c r="S957" s="1">
        <v>339</v>
      </c>
      <c r="T957" s="1">
        <v>339</v>
      </c>
      <c r="U957" s="13">
        <v>5.9722222222222218E-2</v>
      </c>
      <c r="V957" s="11">
        <v>2440</v>
      </c>
      <c r="W957" s="11">
        <v>0</v>
      </c>
      <c r="X957" s="8">
        <v>2440</v>
      </c>
      <c r="Y957" s="1" t="s">
        <v>51</v>
      </c>
      <c r="Z957" s="11">
        <v>1870</v>
      </c>
      <c r="AA957" s="11">
        <v>570</v>
      </c>
      <c r="AB957" s="1">
        <v>0</v>
      </c>
      <c r="AC957" s="1">
        <v>0</v>
      </c>
      <c r="AD957" s="1">
        <v>0</v>
      </c>
      <c r="AE957" s="1">
        <v>0</v>
      </c>
      <c r="AF957" s="1"/>
      <c r="AG957" s="1">
        <v>0</v>
      </c>
      <c r="AH957" s="1">
        <v>0</v>
      </c>
      <c r="AI957" s="1">
        <v>0</v>
      </c>
      <c r="AJ957" s="1">
        <v>0</v>
      </c>
      <c r="AK957" s="1">
        <v>1.8011999999999999</v>
      </c>
      <c r="AL957" s="1">
        <v>1.8011999999999999</v>
      </c>
      <c r="AM957" s="1">
        <v>1.8011999999999999</v>
      </c>
    </row>
    <row r="958" spans="1:39" x14ac:dyDescent="0.3">
      <c r="A958" s="21" t="str">
        <f t="shared" si="14"/>
        <v>HFA252LCLK2026-03-21</v>
      </c>
      <c r="B958" t="e">
        <f>VLOOKUP(A958,Sheet1!A958:B2300,1,FALSE)</f>
        <v>#N/A</v>
      </c>
      <c r="C958" s="3">
        <v>46102</v>
      </c>
      <c r="D958" s="1" t="s">
        <v>268</v>
      </c>
      <c r="E958" s="1" t="s">
        <v>38</v>
      </c>
      <c r="F958" s="1"/>
      <c r="G958" s="1" t="s">
        <v>39</v>
      </c>
      <c r="H958" s="1" t="s">
        <v>222</v>
      </c>
      <c r="I958" s="1" t="s">
        <v>67</v>
      </c>
      <c r="J958" s="1" t="s">
        <v>86</v>
      </c>
      <c r="K958" s="1" t="s">
        <v>87</v>
      </c>
      <c r="L958" s="1" t="s">
        <v>88</v>
      </c>
      <c r="M958" s="1" t="s">
        <v>50</v>
      </c>
      <c r="N958" s="1" t="s">
        <v>41</v>
      </c>
      <c r="O958" s="1" t="s">
        <v>82</v>
      </c>
      <c r="P958" s="1" t="s">
        <v>83</v>
      </c>
      <c r="Q958" s="1" t="s">
        <v>84</v>
      </c>
      <c r="R958" s="1" t="s">
        <v>45</v>
      </c>
      <c r="S958" s="1">
        <v>339</v>
      </c>
      <c r="T958" s="1">
        <v>339</v>
      </c>
      <c r="U958" s="13">
        <v>4.8611111111111105E-2</v>
      </c>
      <c r="V958" s="11">
        <v>1870</v>
      </c>
      <c r="W958" s="11">
        <v>930</v>
      </c>
      <c r="X958" s="8">
        <v>2800</v>
      </c>
      <c r="Y958" s="1" t="s">
        <v>51</v>
      </c>
      <c r="Z958" s="11">
        <v>2200</v>
      </c>
      <c r="AA958" s="11">
        <v>600</v>
      </c>
      <c r="AB958" s="1">
        <v>0</v>
      </c>
      <c r="AC958" s="1">
        <v>0</v>
      </c>
      <c r="AD958" s="1">
        <v>0</v>
      </c>
      <c r="AE958" s="1">
        <v>0</v>
      </c>
      <c r="AF958" s="1"/>
      <c r="AG958" s="1">
        <v>0</v>
      </c>
      <c r="AH958" s="1">
        <v>0</v>
      </c>
      <c r="AI958" s="1">
        <v>0</v>
      </c>
      <c r="AJ958" s="1">
        <v>0</v>
      </c>
      <c r="AK958" s="1">
        <v>1.8959999999999999</v>
      </c>
      <c r="AL958" s="1">
        <v>1.8959999999999999</v>
      </c>
      <c r="AM958" s="1">
        <v>1.8959999999999999</v>
      </c>
    </row>
    <row r="959" spans="1:39" x14ac:dyDescent="0.3">
      <c r="A959" s="21" t="str">
        <f t="shared" si="14"/>
        <v>HFA253LLBG2026-03-21</v>
      </c>
      <c r="B959" t="e">
        <f>VLOOKUP(A959,Sheet1!A959:B2301,1,FALSE)</f>
        <v>#N/A</v>
      </c>
      <c r="C959" s="3">
        <v>46102</v>
      </c>
      <c r="D959" s="1" t="s">
        <v>269</v>
      </c>
      <c r="E959" s="1" t="s">
        <v>38</v>
      </c>
      <c r="F959" s="1"/>
      <c r="G959" s="1" t="s">
        <v>39</v>
      </c>
      <c r="H959" s="1" t="s">
        <v>222</v>
      </c>
      <c r="I959" s="1" t="s">
        <v>41</v>
      </c>
      <c r="J959" s="1" t="s">
        <v>82</v>
      </c>
      <c r="K959" s="1" t="s">
        <v>83</v>
      </c>
      <c r="L959" s="1" t="s">
        <v>84</v>
      </c>
      <c r="M959" s="1" t="s">
        <v>45</v>
      </c>
      <c r="N959" s="1" t="s">
        <v>67</v>
      </c>
      <c r="O959" s="1" t="s">
        <v>86</v>
      </c>
      <c r="P959" s="1" t="s">
        <v>87</v>
      </c>
      <c r="Q959" s="1" t="s">
        <v>88</v>
      </c>
      <c r="R959" s="1" t="s">
        <v>50</v>
      </c>
      <c r="S959" s="1">
        <v>339</v>
      </c>
      <c r="T959" s="1">
        <v>339</v>
      </c>
      <c r="U959" s="13">
        <v>6.25E-2</v>
      </c>
      <c r="V959" s="11">
        <v>2200</v>
      </c>
      <c r="W959" s="11">
        <v>0</v>
      </c>
      <c r="X959" s="8">
        <v>2200</v>
      </c>
      <c r="Y959" s="1" t="s">
        <v>51</v>
      </c>
      <c r="Z959" s="11">
        <v>1350</v>
      </c>
      <c r="AA959" s="11">
        <v>850</v>
      </c>
      <c r="AB959" s="1">
        <v>0</v>
      </c>
      <c r="AC959" s="1">
        <v>0</v>
      </c>
      <c r="AD959" s="1">
        <v>0</v>
      </c>
      <c r="AE959" s="1">
        <v>0</v>
      </c>
      <c r="AF959" s="1"/>
      <c r="AG959" s="1">
        <v>0</v>
      </c>
      <c r="AH959" s="1">
        <v>0</v>
      </c>
      <c r="AI959" s="1">
        <v>0</v>
      </c>
      <c r="AJ959" s="1">
        <v>0</v>
      </c>
      <c r="AK959" s="1">
        <v>2.6859999999999999</v>
      </c>
      <c r="AL959" s="1">
        <v>2.6859999999999999</v>
      </c>
      <c r="AM959" s="1">
        <v>2.6859999999999999</v>
      </c>
    </row>
    <row r="960" spans="1:39" x14ac:dyDescent="0.3">
      <c r="A960" s="21" t="str">
        <f t="shared" si="14"/>
        <v>HFA254LCLK2026-03-21</v>
      </c>
      <c r="B960" t="e">
        <f>VLOOKUP(A960,Sheet1!A960:B2302,1,FALSE)</f>
        <v>#N/A</v>
      </c>
      <c r="C960" s="3">
        <v>46102</v>
      </c>
      <c r="D960" s="1" t="s">
        <v>270</v>
      </c>
      <c r="E960" s="1" t="s">
        <v>38</v>
      </c>
      <c r="F960" s="1"/>
      <c r="G960" s="1" t="s">
        <v>39</v>
      </c>
      <c r="H960" s="1" t="s">
        <v>222</v>
      </c>
      <c r="I960" s="1" t="s">
        <v>67</v>
      </c>
      <c r="J960" s="1" t="s">
        <v>86</v>
      </c>
      <c r="K960" s="1" t="s">
        <v>87</v>
      </c>
      <c r="L960" s="1" t="s">
        <v>88</v>
      </c>
      <c r="M960" s="1" t="s">
        <v>50</v>
      </c>
      <c r="N960" s="1" t="s">
        <v>41</v>
      </c>
      <c r="O960" s="1" t="s">
        <v>82</v>
      </c>
      <c r="P960" s="1" t="s">
        <v>83</v>
      </c>
      <c r="Q960" s="1" t="s">
        <v>84</v>
      </c>
      <c r="R960" s="1" t="s">
        <v>45</v>
      </c>
      <c r="S960" s="1">
        <v>339</v>
      </c>
      <c r="T960" s="1">
        <v>339</v>
      </c>
      <c r="U960" s="13">
        <v>6.25E-2</v>
      </c>
      <c r="V960" s="11">
        <v>1350</v>
      </c>
      <c r="W960" s="11">
        <v>1550</v>
      </c>
      <c r="X960" s="8">
        <v>2900</v>
      </c>
      <c r="Y960" s="1" t="s">
        <v>51</v>
      </c>
      <c r="Z960" s="11">
        <v>2160</v>
      </c>
      <c r="AA960" s="11">
        <v>740</v>
      </c>
      <c r="AB960" s="1">
        <v>0</v>
      </c>
      <c r="AC960" s="1">
        <v>0</v>
      </c>
      <c r="AD960" s="1">
        <v>0</v>
      </c>
      <c r="AE960" s="1">
        <v>0</v>
      </c>
      <c r="AF960" s="1"/>
      <c r="AG960" s="1">
        <v>0</v>
      </c>
      <c r="AH960" s="1">
        <v>0</v>
      </c>
      <c r="AI960" s="1">
        <v>0</v>
      </c>
      <c r="AJ960" s="1">
        <v>0</v>
      </c>
      <c r="AK960" s="1">
        <v>2.3384</v>
      </c>
      <c r="AL960" s="1">
        <v>2.3384</v>
      </c>
      <c r="AM960" s="1">
        <v>2.3384</v>
      </c>
    </row>
    <row r="961" spans="1:39" x14ac:dyDescent="0.3">
      <c r="A961" s="21" t="str">
        <f t="shared" si="14"/>
        <v>HFA255LLBG2026-03-21</v>
      </c>
      <c r="B961" t="e">
        <f>VLOOKUP(A961,Sheet1!A961:B2303,1,FALSE)</f>
        <v>#N/A</v>
      </c>
      <c r="C961" s="3">
        <v>46102</v>
      </c>
      <c r="D961" s="1" t="s">
        <v>271</v>
      </c>
      <c r="E961" s="1" t="s">
        <v>38</v>
      </c>
      <c r="F961" s="1"/>
      <c r="G961" s="1" t="s">
        <v>39</v>
      </c>
      <c r="H961" s="1" t="s">
        <v>222</v>
      </c>
      <c r="I961" s="1" t="s">
        <v>41</v>
      </c>
      <c r="J961" s="1" t="s">
        <v>82</v>
      </c>
      <c r="K961" s="1" t="s">
        <v>83</v>
      </c>
      <c r="L961" s="1" t="s">
        <v>84</v>
      </c>
      <c r="M961" s="1" t="s">
        <v>45</v>
      </c>
      <c r="N961" s="1" t="s">
        <v>67</v>
      </c>
      <c r="O961" s="1" t="s">
        <v>86</v>
      </c>
      <c r="P961" s="1" t="s">
        <v>87</v>
      </c>
      <c r="Q961" s="1" t="s">
        <v>88</v>
      </c>
      <c r="R961" s="1" t="s">
        <v>50</v>
      </c>
      <c r="S961" s="1">
        <v>339</v>
      </c>
      <c r="T961" s="1">
        <v>339</v>
      </c>
      <c r="U961" s="13">
        <v>6.6666666666666666E-2</v>
      </c>
      <c r="V961" s="11">
        <v>2160</v>
      </c>
      <c r="W961" s="11">
        <v>0</v>
      </c>
      <c r="X961" s="8">
        <v>2160</v>
      </c>
      <c r="Y961" s="1" t="s">
        <v>51</v>
      </c>
      <c r="Z961" s="11">
        <v>1300</v>
      </c>
      <c r="AA961" s="11">
        <v>860</v>
      </c>
      <c r="AB961" s="1">
        <v>0</v>
      </c>
      <c r="AC961" s="1">
        <v>0</v>
      </c>
      <c r="AD961" s="1">
        <v>0</v>
      </c>
      <c r="AE961" s="1">
        <v>0</v>
      </c>
      <c r="AF961" s="1"/>
      <c r="AG961" s="1">
        <v>0</v>
      </c>
      <c r="AH961" s="1">
        <v>0</v>
      </c>
      <c r="AI961" s="1">
        <v>0</v>
      </c>
      <c r="AJ961" s="1">
        <v>0</v>
      </c>
      <c r="AK961" s="1">
        <v>2.7176</v>
      </c>
      <c r="AL961" s="1">
        <v>2.7176</v>
      </c>
      <c r="AM961" s="1">
        <v>2.7176</v>
      </c>
    </row>
    <row r="962" spans="1:39" x14ac:dyDescent="0.3">
      <c r="A962" s="21" t="str">
        <f t="shared" si="14"/>
        <v>HFA264LCLK2026-03-24</v>
      </c>
      <c r="B962" t="e">
        <f>VLOOKUP(A962,Sheet1!A962:B2304,1,FALSE)</f>
        <v>#N/A</v>
      </c>
      <c r="C962" s="3">
        <v>46105</v>
      </c>
      <c r="D962" s="1" t="s">
        <v>272</v>
      </c>
      <c r="E962" s="1" t="s">
        <v>38</v>
      </c>
      <c r="F962" s="1"/>
      <c r="G962" s="1" t="s">
        <v>39</v>
      </c>
      <c r="H962" s="1" t="s">
        <v>222</v>
      </c>
      <c r="I962" s="1" t="s">
        <v>67</v>
      </c>
      <c r="J962" s="1" t="s">
        <v>86</v>
      </c>
      <c r="K962" s="1" t="s">
        <v>87</v>
      </c>
      <c r="L962" s="1" t="s">
        <v>88</v>
      </c>
      <c r="M962" s="1" t="s">
        <v>50</v>
      </c>
      <c r="N962" s="1" t="s">
        <v>41</v>
      </c>
      <c r="O962" s="1" t="s">
        <v>82</v>
      </c>
      <c r="P962" s="1" t="s">
        <v>83</v>
      </c>
      <c r="Q962" s="1" t="s">
        <v>84</v>
      </c>
      <c r="R962" s="1" t="s">
        <v>45</v>
      </c>
      <c r="S962" s="1">
        <v>339</v>
      </c>
      <c r="T962" s="1">
        <v>0</v>
      </c>
      <c r="U962" s="13">
        <v>4.7222222222222221E-2</v>
      </c>
      <c r="V962" s="11">
        <v>1300</v>
      </c>
      <c r="W962" s="11">
        <v>1500</v>
      </c>
      <c r="X962" s="8">
        <v>2800</v>
      </c>
      <c r="Y962" s="1" t="s">
        <v>51</v>
      </c>
      <c r="Z962" s="11">
        <v>2160</v>
      </c>
      <c r="AA962" s="11">
        <v>640</v>
      </c>
      <c r="AB962" s="1">
        <v>0</v>
      </c>
      <c r="AC962" s="1">
        <v>0</v>
      </c>
      <c r="AD962" s="1">
        <v>0</v>
      </c>
      <c r="AE962" s="1">
        <v>0</v>
      </c>
      <c r="AF962" s="1"/>
      <c r="AG962" s="1">
        <v>0</v>
      </c>
      <c r="AH962" s="1">
        <v>0</v>
      </c>
      <c r="AI962" s="1">
        <v>0</v>
      </c>
      <c r="AJ962" s="1">
        <v>0</v>
      </c>
      <c r="AK962" s="1">
        <v>2.0224000000000002</v>
      </c>
      <c r="AL962" s="1">
        <v>2.0224000000000002</v>
      </c>
      <c r="AM962" s="1">
        <v>2.0224000000000002</v>
      </c>
    </row>
    <row r="963" spans="1:39" x14ac:dyDescent="0.3">
      <c r="A963" s="21" t="str">
        <f t="shared" ref="A963:A978" si="15">CONCATENATE(D963,K963,TEXT(C963,"YYYY-MM-DD"))</f>
        <v>HFA267LLBG2026-03-24</v>
      </c>
      <c r="B963" t="e">
        <f>VLOOKUP(A963,Sheet1!A963:B2305,1,FALSE)</f>
        <v>#N/A</v>
      </c>
      <c r="C963" s="3">
        <v>46105</v>
      </c>
      <c r="D963" s="1" t="s">
        <v>273</v>
      </c>
      <c r="E963" s="1" t="s">
        <v>38</v>
      </c>
      <c r="F963" s="1"/>
      <c r="G963" s="1" t="s">
        <v>39</v>
      </c>
      <c r="H963" s="1" t="s">
        <v>222</v>
      </c>
      <c r="I963" s="1" t="s">
        <v>41</v>
      </c>
      <c r="J963" s="1" t="s">
        <v>82</v>
      </c>
      <c r="K963" s="1" t="s">
        <v>83</v>
      </c>
      <c r="L963" s="1" t="s">
        <v>84</v>
      </c>
      <c r="M963" s="1" t="s">
        <v>45</v>
      </c>
      <c r="N963" s="1" t="s">
        <v>67</v>
      </c>
      <c r="O963" s="1" t="s">
        <v>86</v>
      </c>
      <c r="P963" s="1" t="s">
        <v>87</v>
      </c>
      <c r="Q963" s="1" t="s">
        <v>88</v>
      </c>
      <c r="R963" s="1" t="s">
        <v>50</v>
      </c>
      <c r="S963" s="1">
        <v>339</v>
      </c>
      <c r="T963" s="1">
        <v>0</v>
      </c>
      <c r="U963" s="13">
        <v>6.3888888888888884E-2</v>
      </c>
      <c r="V963" s="11">
        <v>2160</v>
      </c>
      <c r="W963" s="11">
        <v>0</v>
      </c>
      <c r="X963" s="8">
        <v>2160</v>
      </c>
      <c r="Y963" s="1" t="s">
        <v>51</v>
      </c>
      <c r="Z963" s="11">
        <v>1210</v>
      </c>
      <c r="AA963" s="11">
        <v>950</v>
      </c>
      <c r="AB963" s="1">
        <v>0</v>
      </c>
      <c r="AC963" s="1">
        <v>0</v>
      </c>
      <c r="AD963" s="1">
        <v>0</v>
      </c>
      <c r="AE963" s="1">
        <v>0</v>
      </c>
      <c r="AF963" s="1"/>
      <c r="AG963" s="1">
        <v>0</v>
      </c>
      <c r="AH963" s="1">
        <v>0</v>
      </c>
      <c r="AI963" s="1">
        <v>0</v>
      </c>
      <c r="AJ963" s="1">
        <v>0</v>
      </c>
      <c r="AK963" s="1">
        <v>3.0019999999999998</v>
      </c>
      <c r="AL963" s="1">
        <v>3.0019999999999998</v>
      </c>
      <c r="AM963" s="1">
        <v>3.0019999999999998</v>
      </c>
    </row>
    <row r="964" spans="1:39" x14ac:dyDescent="0.3">
      <c r="A964" s="21" t="str">
        <f t="shared" si="15"/>
        <v>HFA268LCLK2026-03-25</v>
      </c>
      <c r="B964" t="e">
        <f>VLOOKUP(A964,Sheet1!A964:B2306,1,FALSE)</f>
        <v>#N/A</v>
      </c>
      <c r="C964" s="3">
        <v>46106</v>
      </c>
      <c r="D964" s="1" t="s">
        <v>274</v>
      </c>
      <c r="E964" s="1" t="s">
        <v>38</v>
      </c>
      <c r="F964" s="1"/>
      <c r="G964" s="1" t="s">
        <v>39</v>
      </c>
      <c r="H964" s="1" t="s">
        <v>222</v>
      </c>
      <c r="I964" s="1" t="s">
        <v>67</v>
      </c>
      <c r="J964" s="1" t="s">
        <v>86</v>
      </c>
      <c r="K964" s="1" t="s">
        <v>87</v>
      </c>
      <c r="L964" s="1" t="s">
        <v>88</v>
      </c>
      <c r="M964" s="1" t="s">
        <v>50</v>
      </c>
      <c r="N964" s="1" t="s">
        <v>41</v>
      </c>
      <c r="O964" s="1" t="s">
        <v>82</v>
      </c>
      <c r="P964" s="1" t="s">
        <v>83</v>
      </c>
      <c r="Q964" s="1" t="s">
        <v>84</v>
      </c>
      <c r="R964" s="1" t="s">
        <v>45</v>
      </c>
      <c r="S964" s="1">
        <v>339</v>
      </c>
      <c r="T964" s="1">
        <v>339</v>
      </c>
      <c r="U964" s="13">
        <v>4.7916666666666663E-2</v>
      </c>
      <c r="V964" s="11">
        <v>1210</v>
      </c>
      <c r="W964" s="11">
        <v>1590</v>
      </c>
      <c r="X964" s="8">
        <v>2800</v>
      </c>
      <c r="Y964" s="1" t="s">
        <v>51</v>
      </c>
      <c r="Z964" s="11">
        <v>2180</v>
      </c>
      <c r="AA964" s="11">
        <v>620</v>
      </c>
      <c r="AB964" s="1">
        <v>0</v>
      </c>
      <c r="AC964" s="1">
        <v>0</v>
      </c>
      <c r="AD964" s="1">
        <v>0</v>
      </c>
      <c r="AE964" s="1">
        <v>0</v>
      </c>
      <c r="AF964" s="1"/>
      <c r="AG964" s="1">
        <v>0</v>
      </c>
      <c r="AH964" s="1">
        <v>0</v>
      </c>
      <c r="AI964" s="1">
        <v>0</v>
      </c>
      <c r="AJ964" s="1">
        <v>0</v>
      </c>
      <c r="AK964" s="1">
        <v>1.9592000000000001</v>
      </c>
      <c r="AL964" s="1">
        <v>1.9592000000000001</v>
      </c>
      <c r="AM964" s="1">
        <v>1.9592000000000001</v>
      </c>
    </row>
    <row r="965" spans="1:39" x14ac:dyDescent="0.3">
      <c r="A965" s="21" t="str">
        <f t="shared" si="15"/>
        <v>HFA271LLBG2026-03-25</v>
      </c>
      <c r="B965" t="e">
        <f>VLOOKUP(A965,Sheet1!A965:B2307,1,FALSE)</f>
        <v>#N/A</v>
      </c>
      <c r="C965" s="3">
        <v>46106</v>
      </c>
      <c r="D965" s="1" t="s">
        <v>275</v>
      </c>
      <c r="E965" s="1" t="s">
        <v>38</v>
      </c>
      <c r="F965" s="1"/>
      <c r="G965" s="1" t="s">
        <v>39</v>
      </c>
      <c r="H965" s="1" t="s">
        <v>222</v>
      </c>
      <c r="I965" s="1" t="s">
        <v>41</v>
      </c>
      <c r="J965" s="1" t="s">
        <v>82</v>
      </c>
      <c r="K965" s="1" t="s">
        <v>83</v>
      </c>
      <c r="L965" s="1" t="s">
        <v>84</v>
      </c>
      <c r="M965" s="1" t="s">
        <v>45</v>
      </c>
      <c r="N965" s="1" t="s">
        <v>67</v>
      </c>
      <c r="O965" s="1" t="s">
        <v>86</v>
      </c>
      <c r="P965" s="1" t="s">
        <v>87</v>
      </c>
      <c r="Q965" s="1" t="s">
        <v>88</v>
      </c>
      <c r="R965" s="1" t="s">
        <v>50</v>
      </c>
      <c r="S965" s="1">
        <v>339</v>
      </c>
      <c r="T965" s="1">
        <v>339</v>
      </c>
      <c r="U965" s="13">
        <v>5.486111111111111E-2</v>
      </c>
      <c r="V965" s="11">
        <v>2180</v>
      </c>
      <c r="W965" s="11">
        <v>0</v>
      </c>
      <c r="X965" s="8">
        <v>2180</v>
      </c>
      <c r="Y965" s="1" t="s">
        <v>51</v>
      </c>
      <c r="Z965" s="11">
        <v>1470</v>
      </c>
      <c r="AA965" s="11">
        <v>710</v>
      </c>
      <c r="AB965" s="1">
        <v>0</v>
      </c>
      <c r="AC965" s="1">
        <v>0</v>
      </c>
      <c r="AD965" s="1">
        <v>0</v>
      </c>
      <c r="AE965" s="1">
        <v>0</v>
      </c>
      <c r="AF965" s="1"/>
      <c r="AG965" s="1">
        <v>0</v>
      </c>
      <c r="AH965" s="1">
        <v>0</v>
      </c>
      <c r="AI965" s="1">
        <v>0</v>
      </c>
      <c r="AJ965" s="1">
        <v>0</v>
      </c>
      <c r="AK965" s="1">
        <v>2.2435999999999998</v>
      </c>
      <c r="AL965" s="1">
        <v>2.2435999999999998</v>
      </c>
      <c r="AM965" s="1">
        <v>2.2435999999999998</v>
      </c>
    </row>
    <row r="966" spans="1:39" x14ac:dyDescent="0.3">
      <c r="A966" s="21" t="str">
        <f t="shared" si="15"/>
        <v>HFA272LCLK2026-03-26</v>
      </c>
      <c r="B966" t="e">
        <f>VLOOKUP(A966,Sheet1!A966:B2308,1,FALSE)</f>
        <v>#N/A</v>
      </c>
      <c r="C966" s="3">
        <v>46107</v>
      </c>
      <c r="D966" s="1" t="s">
        <v>276</v>
      </c>
      <c r="E966" s="1" t="s">
        <v>38</v>
      </c>
      <c r="F966" s="1"/>
      <c r="G966" s="1" t="s">
        <v>39</v>
      </c>
      <c r="H966" s="1" t="s">
        <v>222</v>
      </c>
      <c r="I966" s="1" t="s">
        <v>67</v>
      </c>
      <c r="J966" s="1" t="s">
        <v>86</v>
      </c>
      <c r="K966" s="1" t="s">
        <v>87</v>
      </c>
      <c r="L966" s="1" t="s">
        <v>88</v>
      </c>
      <c r="M966" s="1" t="s">
        <v>50</v>
      </c>
      <c r="N966" s="1" t="s">
        <v>41</v>
      </c>
      <c r="O966" s="1" t="s">
        <v>82</v>
      </c>
      <c r="P966" s="1" t="s">
        <v>83</v>
      </c>
      <c r="Q966" s="1" t="s">
        <v>84</v>
      </c>
      <c r="R966" s="1" t="s">
        <v>45</v>
      </c>
      <c r="S966" s="1">
        <v>339</v>
      </c>
      <c r="T966" s="1">
        <v>339</v>
      </c>
      <c r="U966" s="13">
        <v>4.4444444444444439E-2</v>
      </c>
      <c r="V966" s="11">
        <v>1470</v>
      </c>
      <c r="W966" s="11">
        <v>830</v>
      </c>
      <c r="X966" s="8">
        <v>2300</v>
      </c>
      <c r="Y966" s="1" t="s">
        <v>51</v>
      </c>
      <c r="Z966" s="11">
        <v>1730</v>
      </c>
      <c r="AA966" s="11">
        <v>570</v>
      </c>
      <c r="AB966" s="1">
        <v>0</v>
      </c>
      <c r="AC966" s="1">
        <v>0</v>
      </c>
      <c r="AD966" s="1">
        <v>0</v>
      </c>
      <c r="AE966" s="1">
        <v>0</v>
      </c>
      <c r="AF966" s="1"/>
      <c r="AG966" s="1">
        <v>0</v>
      </c>
      <c r="AH966" s="1">
        <v>0</v>
      </c>
      <c r="AI966" s="1">
        <v>0</v>
      </c>
      <c r="AJ966" s="1">
        <v>0</v>
      </c>
      <c r="AK966" s="1">
        <v>1.8011999999999999</v>
      </c>
      <c r="AL966" s="1">
        <v>1.8011999999999999</v>
      </c>
      <c r="AM966" s="1">
        <v>1.8011999999999999</v>
      </c>
    </row>
    <row r="967" spans="1:39" x14ac:dyDescent="0.3">
      <c r="A967" s="21" t="str">
        <f t="shared" si="15"/>
        <v>HFA275LLBG2026-03-26</v>
      </c>
      <c r="B967" t="e">
        <f>VLOOKUP(A967,Sheet1!A967:B2309,1,FALSE)</f>
        <v>#N/A</v>
      </c>
      <c r="C967" s="3">
        <v>46107</v>
      </c>
      <c r="D967" s="1" t="s">
        <v>277</v>
      </c>
      <c r="E967" s="1" t="s">
        <v>38</v>
      </c>
      <c r="F967" s="1"/>
      <c r="G967" s="1" t="s">
        <v>39</v>
      </c>
      <c r="H967" s="1" t="s">
        <v>222</v>
      </c>
      <c r="I967" s="1" t="s">
        <v>41</v>
      </c>
      <c r="J967" s="1" t="s">
        <v>82</v>
      </c>
      <c r="K967" s="1" t="s">
        <v>83</v>
      </c>
      <c r="L967" s="1" t="s">
        <v>84</v>
      </c>
      <c r="M967" s="1" t="s">
        <v>45</v>
      </c>
      <c r="N967" s="1" t="s">
        <v>67</v>
      </c>
      <c r="O967" s="1" t="s">
        <v>86</v>
      </c>
      <c r="P967" s="1" t="s">
        <v>87</v>
      </c>
      <c r="Q967" s="1" t="s">
        <v>88</v>
      </c>
      <c r="R967" s="1" t="s">
        <v>50</v>
      </c>
      <c r="S967" s="1">
        <v>339</v>
      </c>
      <c r="T967" s="1">
        <v>339</v>
      </c>
      <c r="U967" s="13">
        <v>5.486111111111111E-2</v>
      </c>
      <c r="V967" s="11">
        <v>1730</v>
      </c>
      <c r="W967" s="11">
        <v>270</v>
      </c>
      <c r="X967" s="8">
        <v>2000</v>
      </c>
      <c r="Y967" s="1" t="s">
        <v>51</v>
      </c>
      <c r="Z967" s="11">
        <v>1250</v>
      </c>
      <c r="AA967" s="11">
        <v>750</v>
      </c>
      <c r="AB967" s="1">
        <v>0</v>
      </c>
      <c r="AC967" s="1">
        <v>0</v>
      </c>
      <c r="AD967" s="1">
        <v>0</v>
      </c>
      <c r="AE967" s="1">
        <v>0</v>
      </c>
      <c r="AF967" s="1"/>
      <c r="AG967" s="1">
        <v>0</v>
      </c>
      <c r="AH967" s="1">
        <v>0</v>
      </c>
      <c r="AI967" s="1">
        <v>0</v>
      </c>
      <c r="AJ967" s="1">
        <v>0</v>
      </c>
      <c r="AK967" s="1">
        <v>2.37</v>
      </c>
      <c r="AL967" s="1">
        <v>2.37</v>
      </c>
      <c r="AM967" s="1">
        <v>2.37</v>
      </c>
    </row>
    <row r="968" spans="1:39" x14ac:dyDescent="0.3">
      <c r="A968" s="21" t="str">
        <f t="shared" si="15"/>
        <v>HFA276LCLK2026-03-27</v>
      </c>
      <c r="B968" t="e">
        <f>VLOOKUP(A968,Sheet1!A968:B2310,1,FALSE)</f>
        <v>#N/A</v>
      </c>
      <c r="C968" s="3">
        <v>46108</v>
      </c>
      <c r="D968" s="1" t="s">
        <v>278</v>
      </c>
      <c r="E968" s="1" t="s">
        <v>38</v>
      </c>
      <c r="F968" s="1"/>
      <c r="G968" s="1" t="s">
        <v>39</v>
      </c>
      <c r="H968" s="1" t="s">
        <v>222</v>
      </c>
      <c r="I968" s="1" t="s">
        <v>67</v>
      </c>
      <c r="J968" s="1" t="s">
        <v>86</v>
      </c>
      <c r="K968" s="1" t="s">
        <v>87</v>
      </c>
      <c r="L968" s="1" t="s">
        <v>88</v>
      </c>
      <c r="M968" s="1" t="s">
        <v>50</v>
      </c>
      <c r="N968" s="1" t="s">
        <v>41</v>
      </c>
      <c r="O968" s="1" t="s">
        <v>82</v>
      </c>
      <c r="P968" s="1" t="s">
        <v>83</v>
      </c>
      <c r="Q968" s="1" t="s">
        <v>84</v>
      </c>
      <c r="R968" s="1" t="s">
        <v>45</v>
      </c>
      <c r="S968" s="1">
        <v>339</v>
      </c>
      <c r="T968" s="1">
        <v>0</v>
      </c>
      <c r="U968" s="13">
        <v>5.6944444444444443E-2</v>
      </c>
      <c r="V968" s="11">
        <v>1250</v>
      </c>
      <c r="W968" s="11">
        <v>1650</v>
      </c>
      <c r="X968" s="8">
        <v>2900</v>
      </c>
      <c r="Y968" s="1" t="s">
        <v>51</v>
      </c>
      <c r="Z968" s="11">
        <v>2200</v>
      </c>
      <c r="AA968" s="11">
        <v>700</v>
      </c>
      <c r="AB968" s="1">
        <v>0</v>
      </c>
      <c r="AC968" s="1">
        <v>0</v>
      </c>
      <c r="AD968" s="1">
        <v>0</v>
      </c>
      <c r="AE968" s="1">
        <v>0</v>
      </c>
      <c r="AF968" s="1"/>
      <c r="AG968" s="1">
        <v>0</v>
      </c>
      <c r="AH968" s="1">
        <v>0</v>
      </c>
      <c r="AI968" s="1">
        <v>0</v>
      </c>
      <c r="AJ968" s="1">
        <v>0</v>
      </c>
      <c r="AK968" s="1">
        <v>2.2120000000000002</v>
      </c>
      <c r="AL968" s="1">
        <v>2.2120000000000002</v>
      </c>
      <c r="AM968" s="1">
        <v>2.2120000000000002</v>
      </c>
    </row>
    <row r="969" spans="1:39" x14ac:dyDescent="0.3">
      <c r="A969" s="21" t="str">
        <f t="shared" si="15"/>
        <v>HFA285LLBG2026-03-27</v>
      </c>
      <c r="B969" t="e">
        <f>VLOOKUP(A969,Sheet1!A969:B2311,1,FALSE)</f>
        <v>#N/A</v>
      </c>
      <c r="C969" s="3">
        <v>46108</v>
      </c>
      <c r="D969" s="1" t="s">
        <v>279</v>
      </c>
      <c r="E969" s="1" t="s">
        <v>38</v>
      </c>
      <c r="F969" s="1"/>
      <c r="G969" s="1" t="s">
        <v>39</v>
      </c>
      <c r="H969" s="1" t="s">
        <v>222</v>
      </c>
      <c r="I969" s="1" t="s">
        <v>41</v>
      </c>
      <c r="J969" s="1" t="s">
        <v>82</v>
      </c>
      <c r="K969" s="1" t="s">
        <v>83</v>
      </c>
      <c r="L969" s="1" t="s">
        <v>84</v>
      </c>
      <c r="M969" s="1" t="s">
        <v>45</v>
      </c>
      <c r="N969" s="1" t="s">
        <v>67</v>
      </c>
      <c r="O969" s="1" t="s">
        <v>86</v>
      </c>
      <c r="P969" s="1" t="s">
        <v>87</v>
      </c>
      <c r="Q969" s="1" t="s">
        <v>88</v>
      </c>
      <c r="R969" s="1" t="s">
        <v>50</v>
      </c>
      <c r="S969" s="1">
        <v>339</v>
      </c>
      <c r="T969" s="1">
        <v>339</v>
      </c>
      <c r="U969" s="13">
        <v>5.4166666666666669E-2</v>
      </c>
      <c r="V969" s="11">
        <v>2200</v>
      </c>
      <c r="W969" s="11">
        <v>0</v>
      </c>
      <c r="X969" s="8">
        <v>2200</v>
      </c>
      <c r="Y969" s="1" t="s">
        <v>51</v>
      </c>
      <c r="Z969" s="11">
        <v>1440</v>
      </c>
      <c r="AA969" s="11">
        <v>760</v>
      </c>
      <c r="AB969" s="1">
        <v>0</v>
      </c>
      <c r="AC969" s="1">
        <v>0</v>
      </c>
      <c r="AD969" s="1">
        <v>0</v>
      </c>
      <c r="AE969" s="1">
        <v>0</v>
      </c>
      <c r="AF969" s="1"/>
      <c r="AG969" s="1">
        <v>0</v>
      </c>
      <c r="AH969" s="1">
        <v>0</v>
      </c>
      <c r="AI969" s="1">
        <v>0</v>
      </c>
      <c r="AJ969" s="1">
        <v>0</v>
      </c>
      <c r="AK969" s="1">
        <v>2.4016000000000002</v>
      </c>
      <c r="AL969" s="1">
        <v>2.4016000000000002</v>
      </c>
      <c r="AM969" s="1">
        <v>2.4016000000000002</v>
      </c>
    </row>
    <row r="970" spans="1:39" x14ac:dyDescent="0.3">
      <c r="A970" s="21" t="str">
        <f t="shared" si="15"/>
        <v>HFA290LCLK2026-03-28</v>
      </c>
      <c r="B970" t="e">
        <f>VLOOKUP(A970,Sheet1!A970:B2312,1,FALSE)</f>
        <v>#N/A</v>
      </c>
      <c r="C970" s="3">
        <v>46109</v>
      </c>
      <c r="D970" s="1" t="s">
        <v>280</v>
      </c>
      <c r="E970" s="1" t="s">
        <v>38</v>
      </c>
      <c r="F970" s="1"/>
      <c r="G970" s="1" t="s">
        <v>39</v>
      </c>
      <c r="H970" s="1" t="s">
        <v>222</v>
      </c>
      <c r="I970" s="1" t="s">
        <v>67</v>
      </c>
      <c r="J970" s="1" t="s">
        <v>86</v>
      </c>
      <c r="K970" s="1" t="s">
        <v>87</v>
      </c>
      <c r="L970" s="1" t="s">
        <v>88</v>
      </c>
      <c r="M970" s="1" t="s">
        <v>50</v>
      </c>
      <c r="N970" s="1" t="s">
        <v>41</v>
      </c>
      <c r="O970" s="1" t="s">
        <v>82</v>
      </c>
      <c r="P970" s="1" t="s">
        <v>83</v>
      </c>
      <c r="Q970" s="1" t="s">
        <v>84</v>
      </c>
      <c r="R970" s="1" t="s">
        <v>45</v>
      </c>
      <c r="S970" s="1">
        <v>339</v>
      </c>
      <c r="T970" s="1">
        <v>339</v>
      </c>
      <c r="U970" s="13">
        <v>5.6249999999999994E-2</v>
      </c>
      <c r="V970" s="11">
        <v>1440</v>
      </c>
      <c r="W970" s="11">
        <v>1360</v>
      </c>
      <c r="X970" s="8">
        <v>2800</v>
      </c>
      <c r="Y970" s="1" t="s">
        <v>51</v>
      </c>
      <c r="Z970" s="11">
        <v>2080</v>
      </c>
      <c r="AA970" s="11">
        <v>720</v>
      </c>
      <c r="AB970" s="1">
        <v>0</v>
      </c>
      <c r="AC970" s="1">
        <v>0</v>
      </c>
      <c r="AD970" s="1">
        <v>0</v>
      </c>
      <c r="AE970" s="1">
        <v>0</v>
      </c>
      <c r="AF970" s="1"/>
      <c r="AG970" s="1">
        <v>0</v>
      </c>
      <c r="AH970" s="1">
        <v>0</v>
      </c>
      <c r="AI970" s="1">
        <v>0</v>
      </c>
      <c r="AJ970" s="1">
        <v>0</v>
      </c>
      <c r="AK970" s="1">
        <v>2.2751999999999999</v>
      </c>
      <c r="AL970" s="1">
        <v>2.2751999999999999</v>
      </c>
      <c r="AM970" s="1">
        <v>2.2751999999999999</v>
      </c>
    </row>
    <row r="971" spans="1:39" x14ac:dyDescent="0.3">
      <c r="A971" s="21" t="str">
        <f t="shared" si="15"/>
        <v>HFA291LLBG2026-03-28</v>
      </c>
      <c r="B971" t="e">
        <f>VLOOKUP(A971,Sheet1!A971:B2313,1,FALSE)</f>
        <v>#N/A</v>
      </c>
      <c r="C971" s="3">
        <v>46109</v>
      </c>
      <c r="D971" s="1" t="s">
        <v>281</v>
      </c>
      <c r="E971" s="1" t="s">
        <v>38</v>
      </c>
      <c r="F971" s="1"/>
      <c r="G971" s="1" t="s">
        <v>39</v>
      </c>
      <c r="H971" s="1" t="s">
        <v>222</v>
      </c>
      <c r="I971" s="1" t="s">
        <v>41</v>
      </c>
      <c r="J971" s="1" t="s">
        <v>82</v>
      </c>
      <c r="K971" s="1" t="s">
        <v>83</v>
      </c>
      <c r="L971" s="1" t="s">
        <v>84</v>
      </c>
      <c r="M971" s="1" t="s">
        <v>45</v>
      </c>
      <c r="N971" s="1" t="s">
        <v>67</v>
      </c>
      <c r="O971" s="1" t="s">
        <v>86</v>
      </c>
      <c r="P971" s="1" t="s">
        <v>87</v>
      </c>
      <c r="Q971" s="1" t="s">
        <v>88</v>
      </c>
      <c r="R971" s="1" t="s">
        <v>50</v>
      </c>
      <c r="S971" s="1">
        <v>339</v>
      </c>
      <c r="T971" s="1">
        <v>339</v>
      </c>
      <c r="U971" s="13">
        <v>6.1111111111111109E-2</v>
      </c>
      <c r="V971" s="11">
        <v>2080</v>
      </c>
      <c r="W971" s="11">
        <v>0</v>
      </c>
      <c r="X971" s="8">
        <v>2080</v>
      </c>
      <c r="Y971" s="1" t="s">
        <v>51</v>
      </c>
      <c r="Z971" s="11">
        <v>1290</v>
      </c>
      <c r="AA971" s="11">
        <v>790</v>
      </c>
      <c r="AB971" s="1">
        <v>0</v>
      </c>
      <c r="AC971" s="1">
        <v>0</v>
      </c>
      <c r="AD971" s="1">
        <v>0</v>
      </c>
      <c r="AE971" s="1">
        <v>0</v>
      </c>
      <c r="AF971" s="1"/>
      <c r="AG971" s="1">
        <v>0</v>
      </c>
      <c r="AH971" s="1">
        <v>0</v>
      </c>
      <c r="AI971" s="1">
        <v>0</v>
      </c>
      <c r="AJ971" s="1">
        <v>0</v>
      </c>
      <c r="AK971" s="1">
        <v>2.4964</v>
      </c>
      <c r="AL971" s="1">
        <v>2.4964</v>
      </c>
      <c r="AM971" s="1">
        <v>2.4964</v>
      </c>
    </row>
    <row r="972" spans="1:39" x14ac:dyDescent="0.3">
      <c r="A972" s="21" t="str">
        <f t="shared" si="15"/>
        <v>HFA102LCLK2026-03-29</v>
      </c>
      <c r="B972" t="e">
        <f>VLOOKUP(A972,Sheet1!A972:B2314,1,FALSE)</f>
        <v>#N/A</v>
      </c>
      <c r="C972" s="3">
        <v>46110</v>
      </c>
      <c r="D972" s="1" t="s">
        <v>138</v>
      </c>
      <c r="E972" s="1" t="s">
        <v>38</v>
      </c>
      <c r="F972" s="1"/>
      <c r="G972" s="1" t="s">
        <v>39</v>
      </c>
      <c r="H972" s="1" t="s">
        <v>222</v>
      </c>
      <c r="I972" s="1" t="s">
        <v>67</v>
      </c>
      <c r="J972" s="1" t="s">
        <v>86</v>
      </c>
      <c r="K972" s="1" t="s">
        <v>87</v>
      </c>
      <c r="L972" s="1" t="s">
        <v>88</v>
      </c>
      <c r="M972" s="1" t="s">
        <v>50</v>
      </c>
      <c r="N972" s="1" t="s">
        <v>41</v>
      </c>
      <c r="O972" s="1" t="s">
        <v>82</v>
      </c>
      <c r="P972" s="1" t="s">
        <v>83</v>
      </c>
      <c r="Q972" s="1" t="s">
        <v>84</v>
      </c>
      <c r="R972" s="1" t="s">
        <v>45</v>
      </c>
      <c r="S972" s="1">
        <v>339</v>
      </c>
      <c r="T972" s="1">
        <v>339</v>
      </c>
      <c r="U972" s="13">
        <v>5.2777777777777778E-2</v>
      </c>
      <c r="V972" s="11">
        <v>1290</v>
      </c>
      <c r="W972" s="11">
        <v>1510</v>
      </c>
      <c r="X972" s="8">
        <v>2800</v>
      </c>
      <c r="Y972" s="1" t="s">
        <v>51</v>
      </c>
      <c r="Z972" s="11">
        <v>2120</v>
      </c>
      <c r="AA972" s="11">
        <v>680</v>
      </c>
      <c r="AB972" s="1">
        <v>0</v>
      </c>
      <c r="AC972" s="1">
        <v>0</v>
      </c>
      <c r="AD972" s="1">
        <v>0</v>
      </c>
      <c r="AE972" s="1">
        <v>0</v>
      </c>
      <c r="AF972" s="1"/>
      <c r="AG972" s="1">
        <v>0</v>
      </c>
      <c r="AH972" s="1">
        <v>0</v>
      </c>
      <c r="AI972" s="1">
        <v>0</v>
      </c>
      <c r="AJ972" s="1">
        <v>0</v>
      </c>
      <c r="AK972" s="1">
        <v>2.1488</v>
      </c>
      <c r="AL972" s="1">
        <v>2.1488</v>
      </c>
      <c r="AM972" s="1">
        <v>2.1488</v>
      </c>
    </row>
    <row r="973" spans="1:39" x14ac:dyDescent="0.3">
      <c r="A973" s="21" t="str">
        <f t="shared" si="15"/>
        <v>HFA107LLBG2026-03-29</v>
      </c>
      <c r="B973" t="e">
        <f>VLOOKUP(A973,Sheet1!A973:B2315,1,FALSE)</f>
        <v>#N/A</v>
      </c>
      <c r="C973" s="3">
        <v>46110</v>
      </c>
      <c r="D973" s="1" t="s">
        <v>229</v>
      </c>
      <c r="E973" s="1" t="s">
        <v>38</v>
      </c>
      <c r="F973" s="1"/>
      <c r="G973" s="1" t="s">
        <v>39</v>
      </c>
      <c r="H973" s="1" t="s">
        <v>222</v>
      </c>
      <c r="I973" s="1" t="s">
        <v>41</v>
      </c>
      <c r="J973" s="1" t="s">
        <v>82</v>
      </c>
      <c r="K973" s="1" t="s">
        <v>83</v>
      </c>
      <c r="L973" s="1" t="s">
        <v>84</v>
      </c>
      <c r="M973" s="1" t="s">
        <v>45</v>
      </c>
      <c r="N973" s="1" t="s">
        <v>67</v>
      </c>
      <c r="O973" s="1" t="s">
        <v>86</v>
      </c>
      <c r="P973" s="1" t="s">
        <v>87</v>
      </c>
      <c r="Q973" s="1" t="s">
        <v>88</v>
      </c>
      <c r="R973" s="1" t="s">
        <v>50</v>
      </c>
      <c r="S973" s="1">
        <v>339</v>
      </c>
      <c r="T973" s="1">
        <v>339</v>
      </c>
      <c r="U973" s="13">
        <v>5.4166666666666669E-2</v>
      </c>
      <c r="V973" s="11">
        <v>2120</v>
      </c>
      <c r="W973" s="11">
        <v>-10</v>
      </c>
      <c r="X973" s="8">
        <v>2110</v>
      </c>
      <c r="Y973" s="1" t="s">
        <v>51</v>
      </c>
      <c r="Z973" s="11">
        <v>1330</v>
      </c>
      <c r="AA973" s="11">
        <v>780</v>
      </c>
      <c r="AB973" s="1">
        <v>0</v>
      </c>
      <c r="AC973" s="1">
        <v>0</v>
      </c>
      <c r="AD973" s="1">
        <v>0</v>
      </c>
      <c r="AE973" s="1">
        <v>0</v>
      </c>
      <c r="AF973" s="1"/>
      <c r="AG973" s="1">
        <v>0</v>
      </c>
      <c r="AH973" s="1">
        <v>0</v>
      </c>
      <c r="AI973" s="1">
        <v>0</v>
      </c>
      <c r="AJ973" s="1">
        <v>0</v>
      </c>
      <c r="AK973" s="1">
        <v>2.4647999999999999</v>
      </c>
      <c r="AL973" s="1">
        <v>2.4647999999999999</v>
      </c>
      <c r="AM973" s="1">
        <v>2.4647999999999999</v>
      </c>
    </row>
    <row r="974" spans="1:39" x14ac:dyDescent="0.3">
      <c r="A974" s="21" t="str">
        <f t="shared" si="15"/>
        <v>HFA104LCLK2026-03-30</v>
      </c>
      <c r="B974" t="e">
        <f>VLOOKUP(A974,Sheet1!A974:B2316,1,FALSE)</f>
        <v>#N/A</v>
      </c>
      <c r="C974" s="3">
        <v>46111</v>
      </c>
      <c r="D974" s="1" t="s">
        <v>175</v>
      </c>
      <c r="E974" s="1" t="s">
        <v>38</v>
      </c>
      <c r="F974" s="1"/>
      <c r="G974" s="1" t="s">
        <v>39</v>
      </c>
      <c r="H974" s="1" t="s">
        <v>222</v>
      </c>
      <c r="I974" s="1" t="s">
        <v>67</v>
      </c>
      <c r="J974" s="1" t="s">
        <v>86</v>
      </c>
      <c r="K974" s="1" t="s">
        <v>87</v>
      </c>
      <c r="L974" s="1" t="s">
        <v>88</v>
      </c>
      <c r="M974" s="1" t="s">
        <v>50</v>
      </c>
      <c r="N974" s="1" t="s">
        <v>41</v>
      </c>
      <c r="O974" s="1" t="s">
        <v>82</v>
      </c>
      <c r="P974" s="1" t="s">
        <v>83</v>
      </c>
      <c r="Q974" s="1" t="s">
        <v>84</v>
      </c>
      <c r="R974" s="1" t="s">
        <v>45</v>
      </c>
      <c r="S974" s="1">
        <v>339</v>
      </c>
      <c r="T974" s="1">
        <v>339</v>
      </c>
      <c r="U974" s="13">
        <v>4.6527777777777779E-2</v>
      </c>
      <c r="V974" s="11">
        <v>1330</v>
      </c>
      <c r="W974" s="11">
        <v>1470</v>
      </c>
      <c r="X974" s="8">
        <v>2800</v>
      </c>
      <c r="Y974" s="1" t="s">
        <v>51</v>
      </c>
      <c r="Z974" s="11">
        <v>2230</v>
      </c>
      <c r="AA974" s="11">
        <v>570</v>
      </c>
      <c r="AB974" s="1">
        <v>0</v>
      </c>
      <c r="AC974" s="1">
        <v>0</v>
      </c>
      <c r="AD974" s="1">
        <v>0</v>
      </c>
      <c r="AE974" s="1">
        <v>0</v>
      </c>
      <c r="AF974" s="1"/>
      <c r="AG974" s="1">
        <v>0</v>
      </c>
      <c r="AH974" s="1">
        <v>0</v>
      </c>
      <c r="AI974" s="1">
        <v>0</v>
      </c>
      <c r="AJ974" s="1">
        <v>0</v>
      </c>
      <c r="AK974" s="1">
        <v>1.8011999999999999</v>
      </c>
      <c r="AL974" s="1">
        <v>1.8011999999999999</v>
      </c>
      <c r="AM974" s="1">
        <v>1.8011999999999999</v>
      </c>
    </row>
    <row r="975" spans="1:39" x14ac:dyDescent="0.3">
      <c r="A975" s="21" t="str">
        <f t="shared" si="15"/>
        <v>HFA105LLBG2026-03-30</v>
      </c>
      <c r="B975" t="e">
        <f>VLOOKUP(A975,Sheet1!A975:B2317,1,FALSE)</f>
        <v>#N/A</v>
      </c>
      <c r="C975" s="3">
        <v>46111</v>
      </c>
      <c r="D975" s="1" t="s">
        <v>141</v>
      </c>
      <c r="E975" s="1" t="s">
        <v>38</v>
      </c>
      <c r="F975" s="1"/>
      <c r="G975" s="1" t="s">
        <v>39</v>
      </c>
      <c r="H975" s="1" t="s">
        <v>222</v>
      </c>
      <c r="I975" s="1" t="s">
        <v>41</v>
      </c>
      <c r="J975" s="1" t="s">
        <v>82</v>
      </c>
      <c r="K975" s="1" t="s">
        <v>83</v>
      </c>
      <c r="L975" s="1" t="s">
        <v>84</v>
      </c>
      <c r="M975" s="1" t="s">
        <v>45</v>
      </c>
      <c r="N975" s="1" t="s">
        <v>67</v>
      </c>
      <c r="O975" s="1" t="s">
        <v>86</v>
      </c>
      <c r="P975" s="1" t="s">
        <v>87</v>
      </c>
      <c r="Q975" s="1" t="s">
        <v>88</v>
      </c>
      <c r="R975" s="1" t="s">
        <v>50</v>
      </c>
      <c r="S975" s="1">
        <v>339</v>
      </c>
      <c r="T975" s="1">
        <v>339</v>
      </c>
      <c r="U975" s="13">
        <v>6.6666666666666666E-2</v>
      </c>
      <c r="V975" s="11">
        <v>2230</v>
      </c>
      <c r="W975" s="11">
        <v>-60</v>
      </c>
      <c r="X975" s="8">
        <v>2170</v>
      </c>
      <c r="Y975" s="1" t="s">
        <v>51</v>
      </c>
      <c r="Z975" s="11">
        <v>1230</v>
      </c>
      <c r="AA975" s="11">
        <v>940</v>
      </c>
      <c r="AB975" s="1">
        <v>0</v>
      </c>
      <c r="AC975" s="1">
        <v>0</v>
      </c>
      <c r="AD975" s="1">
        <v>0</v>
      </c>
      <c r="AE975" s="1">
        <v>0</v>
      </c>
      <c r="AF975" s="1"/>
      <c r="AG975" s="1">
        <v>0</v>
      </c>
      <c r="AH975" s="1">
        <v>0</v>
      </c>
      <c r="AI975" s="1">
        <v>0</v>
      </c>
      <c r="AJ975" s="1">
        <v>0</v>
      </c>
      <c r="AK975" s="1">
        <v>2.9704000000000002</v>
      </c>
      <c r="AL975" s="1">
        <v>2.9704000000000002</v>
      </c>
      <c r="AM975" s="1">
        <v>2.9704000000000002</v>
      </c>
    </row>
    <row r="976" spans="1:39" x14ac:dyDescent="0.3">
      <c r="A976" s="21" t="str">
        <f t="shared" si="15"/>
        <v>HFA131LFBF2026-03-14</v>
      </c>
      <c r="B976" t="e">
        <f>VLOOKUP(A976,Sheet1!A976:B2318,1,FALSE)</f>
        <v>#N/A</v>
      </c>
      <c r="C976" s="3">
        <v>46095</v>
      </c>
      <c r="D976" s="1" t="s">
        <v>129</v>
      </c>
      <c r="E976" s="1" t="s">
        <v>38</v>
      </c>
      <c r="F976" s="1"/>
      <c r="G976" s="1" t="s">
        <v>39</v>
      </c>
      <c r="H976" s="1" t="s">
        <v>282</v>
      </c>
      <c r="I976" s="1" t="s">
        <v>130</v>
      </c>
      <c r="J976" s="1" t="s">
        <v>131</v>
      </c>
      <c r="K976" s="1" t="s">
        <v>132</v>
      </c>
      <c r="L976" s="1"/>
      <c r="M976" s="1" t="s">
        <v>50</v>
      </c>
      <c r="N976" s="1" t="s">
        <v>67</v>
      </c>
      <c r="O976" s="1" t="s">
        <v>86</v>
      </c>
      <c r="P976" s="1" t="s">
        <v>87</v>
      </c>
      <c r="Q976" s="1" t="s">
        <v>88</v>
      </c>
      <c r="R976" s="1" t="s">
        <v>50</v>
      </c>
      <c r="S976" s="1">
        <v>2927</v>
      </c>
      <c r="T976" s="1">
        <v>2926</v>
      </c>
      <c r="U976" s="4">
        <v>0.25555555555555554</v>
      </c>
      <c r="V976" s="1">
        <v>0</v>
      </c>
      <c r="W976" s="1">
        <v>4920</v>
      </c>
      <c r="X976" s="1">
        <v>4920</v>
      </c>
      <c r="Y976" s="1" t="s">
        <v>51</v>
      </c>
      <c r="Z976" s="1">
        <v>1350</v>
      </c>
      <c r="AA976" s="1">
        <v>3570</v>
      </c>
      <c r="AB976" s="1">
        <v>0</v>
      </c>
      <c r="AC976" s="1">
        <v>0</v>
      </c>
      <c r="AD976" s="1">
        <v>0</v>
      </c>
      <c r="AE976" s="1">
        <v>0</v>
      </c>
      <c r="AF976" s="1"/>
      <c r="AG976" s="1">
        <v>0</v>
      </c>
      <c r="AH976" s="1">
        <v>0</v>
      </c>
      <c r="AI976" s="1">
        <v>0</v>
      </c>
      <c r="AJ976" s="1">
        <v>0</v>
      </c>
      <c r="AK976" s="1">
        <v>11.2812</v>
      </c>
      <c r="AL976" s="1">
        <v>11.2812</v>
      </c>
      <c r="AM976" s="1">
        <v>11.2812</v>
      </c>
    </row>
    <row r="977" spans="1:39" x14ac:dyDescent="0.3">
      <c r="A977" s="21" t="str">
        <f t="shared" si="15"/>
        <v>HFA238LCLK2026-03-20</v>
      </c>
      <c r="B977" t="e">
        <f>VLOOKUP(A977,Sheet1!A977:B2319,1,FALSE)</f>
        <v>#N/A</v>
      </c>
      <c r="C977" s="3">
        <v>46101</v>
      </c>
      <c r="D977" s="1" t="s">
        <v>283</v>
      </c>
      <c r="E977" s="1" t="s">
        <v>38</v>
      </c>
      <c r="F977" s="1"/>
      <c r="G977" s="1" t="s">
        <v>39</v>
      </c>
      <c r="H977" s="1" t="s">
        <v>282</v>
      </c>
      <c r="I977" s="1" t="s">
        <v>67</v>
      </c>
      <c r="J977" s="1" t="s">
        <v>86</v>
      </c>
      <c r="K977" s="1" t="s">
        <v>87</v>
      </c>
      <c r="L977" s="1" t="s">
        <v>88</v>
      </c>
      <c r="M977" s="1" t="s">
        <v>50</v>
      </c>
      <c r="N977" s="1" t="s">
        <v>41</v>
      </c>
      <c r="O977" s="1" t="s">
        <v>82</v>
      </c>
      <c r="P977" s="1" t="s">
        <v>83</v>
      </c>
      <c r="Q977" s="1" t="s">
        <v>84</v>
      </c>
      <c r="R977" s="1" t="s">
        <v>45</v>
      </c>
      <c r="S977" s="1">
        <v>339</v>
      </c>
      <c r="T977" s="1">
        <v>339</v>
      </c>
      <c r="U977" s="4">
        <v>8.0555555555555547E-2</v>
      </c>
      <c r="V977" s="1">
        <v>1350</v>
      </c>
      <c r="W977" s="1">
        <v>1850</v>
      </c>
      <c r="X977" s="1">
        <v>3200</v>
      </c>
      <c r="Y977" s="1" t="s">
        <v>51</v>
      </c>
      <c r="Z977" s="1">
        <v>2280</v>
      </c>
      <c r="AA977" s="1">
        <v>920</v>
      </c>
      <c r="AB977" s="1">
        <v>0</v>
      </c>
      <c r="AC977" s="1">
        <v>0</v>
      </c>
      <c r="AD977" s="1">
        <v>0</v>
      </c>
      <c r="AE977" s="1">
        <v>0</v>
      </c>
      <c r="AF977" s="1"/>
      <c r="AG977" s="1">
        <v>0</v>
      </c>
      <c r="AH977" s="1">
        <v>0</v>
      </c>
      <c r="AI977" s="1">
        <v>0</v>
      </c>
      <c r="AJ977" s="1">
        <v>0</v>
      </c>
      <c r="AK977" s="1">
        <v>2.9072</v>
      </c>
      <c r="AL977" s="1">
        <v>2.9072</v>
      </c>
      <c r="AM977" s="1">
        <v>2.9072</v>
      </c>
    </row>
    <row r="978" spans="1:39" x14ac:dyDescent="0.3">
      <c r="A978" s="21" t="str">
        <f t="shared" si="15"/>
        <v>HFA239LLBG2026-03-20</v>
      </c>
      <c r="B978" t="e">
        <f>VLOOKUP(A978,Sheet1!A978:B2320,1,FALSE)</f>
        <v>#N/A</v>
      </c>
      <c r="C978" s="3">
        <v>46101</v>
      </c>
      <c r="D978" s="1" t="s">
        <v>284</v>
      </c>
      <c r="E978" s="1" t="s">
        <v>38</v>
      </c>
      <c r="F978" s="1"/>
      <c r="G978" s="1" t="s">
        <v>39</v>
      </c>
      <c r="H978" s="1" t="s">
        <v>282</v>
      </c>
      <c r="I978" s="1" t="s">
        <v>41</v>
      </c>
      <c r="J978" s="1" t="s">
        <v>82</v>
      </c>
      <c r="K978" s="1" t="s">
        <v>83</v>
      </c>
      <c r="L978" s="1" t="s">
        <v>84</v>
      </c>
      <c r="M978" s="1" t="s">
        <v>45</v>
      </c>
      <c r="N978" s="1" t="s">
        <v>67</v>
      </c>
      <c r="O978" s="1" t="s">
        <v>86</v>
      </c>
      <c r="P978" s="1" t="s">
        <v>87</v>
      </c>
      <c r="Q978" s="1" t="s">
        <v>88</v>
      </c>
      <c r="R978" s="1" t="s">
        <v>50</v>
      </c>
      <c r="S978" s="1">
        <v>339</v>
      </c>
      <c r="T978" s="1">
        <v>339</v>
      </c>
      <c r="U978" s="4">
        <v>7.7777777777777779E-2</v>
      </c>
      <c r="V978" s="1">
        <v>2280</v>
      </c>
      <c r="W978" s="1">
        <v>-220</v>
      </c>
      <c r="X978" s="1">
        <v>2060</v>
      </c>
      <c r="Y978" s="1" t="s">
        <v>51</v>
      </c>
      <c r="Z978" s="1">
        <v>1030</v>
      </c>
      <c r="AA978" s="1">
        <v>1030</v>
      </c>
      <c r="AB978" s="1">
        <v>0</v>
      </c>
      <c r="AC978" s="1">
        <v>0</v>
      </c>
      <c r="AD978" s="1">
        <v>0</v>
      </c>
      <c r="AE978" s="1">
        <v>0</v>
      </c>
      <c r="AF978" s="1"/>
      <c r="AG978" s="1">
        <v>0</v>
      </c>
      <c r="AH978" s="1">
        <v>0</v>
      </c>
      <c r="AI978" s="1">
        <v>0</v>
      </c>
      <c r="AJ978" s="1">
        <v>0</v>
      </c>
      <c r="AK978" s="1">
        <v>3.2547999999999999</v>
      </c>
      <c r="AL978" s="1">
        <v>3.2547999999999999</v>
      </c>
      <c r="AM978" s="1">
        <v>3.2547999999999999</v>
      </c>
    </row>
  </sheetData>
  <autoFilter ref="A1:AM978" xr:uid="{8C5B6745-FC50-4749-A509-674B7A1649A8}"/>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42F0-CF7A-4B04-8253-CB4A554B4A21}">
  <sheetPr filterMode="1"/>
  <dimension ref="A1:AY1344"/>
  <sheetViews>
    <sheetView tabSelected="1" workbookViewId="0">
      <selection activeCell="A121" sqref="A121:XFD121"/>
    </sheetView>
  </sheetViews>
  <sheetFormatPr defaultRowHeight="14.4" x14ac:dyDescent="0.3"/>
  <cols>
    <col min="1" max="1" width="44.21875" style="21" customWidth="1"/>
    <col min="7" max="7" width="22.88671875" customWidth="1"/>
    <col min="13" max="13" width="8.88671875" style="17"/>
  </cols>
  <sheetData>
    <row r="1" spans="1:51" x14ac:dyDescent="0.3">
      <c r="A1" s="20" t="s">
        <v>6496</v>
      </c>
      <c r="B1" s="14" t="s">
        <v>285</v>
      </c>
      <c r="C1" s="14" t="s">
        <v>286</v>
      </c>
      <c r="D1" s="14" t="s">
        <v>287</v>
      </c>
      <c r="E1" s="14" t="s">
        <v>288</v>
      </c>
      <c r="F1" s="14" t="s">
        <v>289</v>
      </c>
      <c r="G1" s="14" t="s">
        <v>290</v>
      </c>
      <c r="H1" s="14" t="s">
        <v>291</v>
      </c>
      <c r="I1" s="14" t="s">
        <v>292</v>
      </c>
      <c r="J1" s="14" t="s">
        <v>293</v>
      </c>
      <c r="K1" s="14" t="s">
        <v>294</v>
      </c>
      <c r="L1" s="14" t="s">
        <v>295</v>
      </c>
      <c r="M1" s="16" t="s">
        <v>296</v>
      </c>
      <c r="N1" s="14" t="s">
        <v>297</v>
      </c>
      <c r="O1" s="14" t="s">
        <v>298</v>
      </c>
      <c r="P1" s="14" t="s">
        <v>299</v>
      </c>
      <c r="Q1" s="14" t="s">
        <v>300</v>
      </c>
      <c r="R1" s="14" t="s">
        <v>301</v>
      </c>
      <c r="S1" s="14" t="s">
        <v>302</v>
      </c>
      <c r="T1" s="14" t="s">
        <v>303</v>
      </c>
      <c r="U1" s="14" t="s">
        <v>304</v>
      </c>
      <c r="V1" s="14" t="s">
        <v>305</v>
      </c>
      <c r="W1" s="14" t="s">
        <v>306</v>
      </c>
      <c r="X1" s="14" t="s">
        <v>307</v>
      </c>
      <c r="Y1" s="14" t="s">
        <v>308</v>
      </c>
      <c r="Z1" s="14" t="s">
        <v>309</v>
      </c>
      <c r="AA1" s="14" t="s">
        <v>310</v>
      </c>
      <c r="AB1" s="14" t="s">
        <v>311</v>
      </c>
      <c r="AC1" s="14" t="s">
        <v>312</v>
      </c>
      <c r="AD1" s="14" t="s">
        <v>313</v>
      </c>
      <c r="AE1" s="14" t="s">
        <v>314</v>
      </c>
      <c r="AF1" s="14" t="s">
        <v>315</v>
      </c>
      <c r="AG1" s="14" t="s">
        <v>316</v>
      </c>
      <c r="AH1" s="14" t="s">
        <v>317</v>
      </c>
      <c r="AI1" s="14" t="s">
        <v>318</v>
      </c>
      <c r="AJ1" s="14" t="s">
        <v>319</v>
      </c>
      <c r="AK1" s="14" t="s">
        <v>320</v>
      </c>
      <c r="AL1" s="14" t="s">
        <v>321</v>
      </c>
      <c r="AM1" s="14" t="s">
        <v>322</v>
      </c>
      <c r="AN1" s="14" t="s">
        <v>323</v>
      </c>
      <c r="AO1" s="14" t="s">
        <v>324</v>
      </c>
      <c r="AP1" s="14" t="s">
        <v>325</v>
      </c>
      <c r="AQ1" s="14" t="s">
        <v>326</v>
      </c>
      <c r="AR1" s="14" t="s">
        <v>327</v>
      </c>
      <c r="AS1" s="14" t="s">
        <v>328</v>
      </c>
      <c r="AT1" s="14" t="s">
        <v>329</v>
      </c>
      <c r="AU1" s="14" t="s">
        <v>330</v>
      </c>
      <c r="AV1" s="14" t="s">
        <v>331</v>
      </c>
      <c r="AW1" s="14" t="s">
        <v>332</v>
      </c>
      <c r="AX1" s="14" t="s">
        <v>333</v>
      </c>
      <c r="AY1" s="14" t="s">
        <v>334</v>
      </c>
    </row>
    <row r="2" spans="1:51" hidden="1" x14ac:dyDescent="0.3">
      <c r="A2" t="str">
        <f>CONCATENATE(I2,E2,LEFT(G2,10))</f>
        <v>HFA101LLBG2026-03-04</v>
      </c>
      <c r="B2" s="14" t="s">
        <v>2155</v>
      </c>
      <c r="C2" s="14" t="s">
        <v>841</v>
      </c>
      <c r="D2" s="14" t="s">
        <v>688</v>
      </c>
      <c r="E2" s="14" t="s">
        <v>83</v>
      </c>
      <c r="F2" s="14" t="s">
        <v>87</v>
      </c>
      <c r="G2" s="14" t="s">
        <v>2156</v>
      </c>
      <c r="H2" s="14" t="s">
        <v>371</v>
      </c>
      <c r="I2" s="14" t="s">
        <v>139</v>
      </c>
      <c r="J2" s="14" t="s">
        <v>69</v>
      </c>
      <c r="K2" s="14" t="s">
        <v>471</v>
      </c>
      <c r="L2" s="14" t="s">
        <v>542</v>
      </c>
      <c r="M2" s="16"/>
      <c r="N2" s="14"/>
      <c r="O2" s="14" t="s">
        <v>1847</v>
      </c>
      <c r="P2" s="14">
        <v>140</v>
      </c>
      <c r="Q2" s="14">
        <v>0</v>
      </c>
      <c r="R2" s="14">
        <v>500</v>
      </c>
      <c r="S2" s="14"/>
      <c r="T2" s="14"/>
      <c r="U2" s="14"/>
      <c r="V2" s="14"/>
      <c r="W2" s="14">
        <v>1007</v>
      </c>
      <c r="X2" s="14">
        <v>80</v>
      </c>
      <c r="Y2" s="14">
        <v>927</v>
      </c>
      <c r="Z2" s="14">
        <v>643</v>
      </c>
      <c r="AA2" s="14">
        <v>323</v>
      </c>
      <c r="AB2" s="14">
        <v>231</v>
      </c>
      <c r="AC2" s="14">
        <v>42</v>
      </c>
      <c r="AD2" s="14">
        <v>46</v>
      </c>
      <c r="AE2" s="14">
        <v>1650</v>
      </c>
      <c r="AF2" s="14">
        <v>5000</v>
      </c>
      <c r="AG2" s="14">
        <v>3183</v>
      </c>
      <c r="AH2" s="14">
        <v>0</v>
      </c>
      <c r="AI2" s="14">
        <v>73</v>
      </c>
      <c r="AJ2" s="14">
        <v>133</v>
      </c>
      <c r="AK2" s="14" t="s">
        <v>2156</v>
      </c>
      <c r="AL2" s="14" t="s">
        <v>2157</v>
      </c>
      <c r="AM2" s="14">
        <v>299.85000000000002</v>
      </c>
      <c r="AN2" s="14">
        <v>183.03</v>
      </c>
      <c r="AO2" s="14">
        <v>73.5</v>
      </c>
      <c r="AP2" s="14">
        <v>15650</v>
      </c>
      <c r="AQ2" s="14">
        <v>15570</v>
      </c>
      <c r="AR2" s="14">
        <v>23000</v>
      </c>
      <c r="AS2" s="14">
        <v>14000</v>
      </c>
      <c r="AT2" s="14">
        <v>14643</v>
      </c>
      <c r="AU2" s="14">
        <v>-17</v>
      </c>
      <c r="AV2" s="14">
        <v>334.87</v>
      </c>
      <c r="AW2" s="14">
        <v>23.67</v>
      </c>
      <c r="AX2" s="14">
        <v>2.13</v>
      </c>
      <c r="AY2" s="14" t="b">
        <v>0</v>
      </c>
    </row>
    <row r="3" spans="1:51" hidden="1" x14ac:dyDescent="0.3">
      <c r="A3" t="str">
        <f>CONCATENATE(I3,E3,LEFT(G3,10))</f>
        <v>HFA101LLBG2026-03-05</v>
      </c>
      <c r="B3" s="14" t="s">
        <v>1851</v>
      </c>
      <c r="C3" s="14" t="s">
        <v>336</v>
      </c>
      <c r="D3" s="14" t="s">
        <v>337</v>
      </c>
      <c r="E3" s="14" t="s">
        <v>83</v>
      </c>
      <c r="F3" s="14" t="s">
        <v>87</v>
      </c>
      <c r="G3" s="14" t="s">
        <v>1852</v>
      </c>
      <c r="H3" s="14" t="s">
        <v>371</v>
      </c>
      <c r="I3" s="14" t="s">
        <v>139</v>
      </c>
      <c r="J3" s="14" t="s">
        <v>69</v>
      </c>
      <c r="K3" s="14" t="s">
        <v>471</v>
      </c>
      <c r="L3" s="14" t="s">
        <v>542</v>
      </c>
      <c r="M3" s="16" t="s">
        <v>1853</v>
      </c>
      <c r="N3" s="14" t="s">
        <v>768</v>
      </c>
      <c r="O3" s="14" t="s">
        <v>1854</v>
      </c>
      <c r="P3" s="14">
        <v>160</v>
      </c>
      <c r="Q3" s="14">
        <v>4</v>
      </c>
      <c r="R3" s="14">
        <v>700</v>
      </c>
      <c r="S3" s="14" t="s">
        <v>1855</v>
      </c>
      <c r="T3" s="14" t="s">
        <v>1856</v>
      </c>
      <c r="U3" s="14">
        <v>1.0727777777777701</v>
      </c>
      <c r="V3" s="14">
        <v>1.53</v>
      </c>
      <c r="W3" s="14">
        <v>950</v>
      </c>
      <c r="X3" s="14">
        <v>80</v>
      </c>
      <c r="Y3" s="14">
        <v>870</v>
      </c>
      <c r="Z3" s="14">
        <v>697</v>
      </c>
      <c r="AA3" s="14">
        <v>321</v>
      </c>
      <c r="AB3" s="14">
        <v>233</v>
      </c>
      <c r="AC3" s="14">
        <v>100</v>
      </c>
      <c r="AD3" s="14">
        <v>44</v>
      </c>
      <c r="AE3" s="14">
        <v>1647</v>
      </c>
      <c r="AF3" s="14">
        <v>5000</v>
      </c>
      <c r="AG3" s="14">
        <v>3002</v>
      </c>
      <c r="AH3" s="14">
        <v>0</v>
      </c>
      <c r="AI3" s="14">
        <v>72</v>
      </c>
      <c r="AJ3" s="14">
        <v>136</v>
      </c>
      <c r="AK3" s="14" t="s">
        <v>1852</v>
      </c>
      <c r="AL3" s="14" t="s">
        <v>1857</v>
      </c>
      <c r="AM3" s="14">
        <v>299.85000000000002</v>
      </c>
      <c r="AN3" s="14">
        <v>183.03</v>
      </c>
      <c r="AO3" s="14">
        <v>73.5</v>
      </c>
      <c r="AP3" s="14">
        <v>15847</v>
      </c>
      <c r="AQ3" s="14">
        <v>15767</v>
      </c>
      <c r="AR3" s="14">
        <v>23000</v>
      </c>
      <c r="AS3" s="14">
        <v>14200</v>
      </c>
      <c r="AT3" s="14">
        <v>14897</v>
      </c>
      <c r="AU3" s="14">
        <v>-8</v>
      </c>
      <c r="AV3" s="14">
        <v>301.58999999999997</v>
      </c>
      <c r="AW3" s="14">
        <v>18.41</v>
      </c>
      <c r="AX3" s="14">
        <v>1.7</v>
      </c>
      <c r="AY3" s="14" t="b">
        <v>0</v>
      </c>
    </row>
    <row r="4" spans="1:51" hidden="1" x14ac:dyDescent="0.3">
      <c r="A4" t="str">
        <f>CONCATENATE(I4,E4,LEFT(G4,10))</f>
        <v>HFA102LCLK2026-03-05</v>
      </c>
      <c r="B4" s="14" t="s">
        <v>1865</v>
      </c>
      <c r="C4" s="14" t="s">
        <v>336</v>
      </c>
      <c r="D4" s="14" t="s">
        <v>337</v>
      </c>
      <c r="E4" s="14" t="s">
        <v>87</v>
      </c>
      <c r="F4" s="14" t="s">
        <v>83</v>
      </c>
      <c r="G4" s="14" t="s">
        <v>1866</v>
      </c>
      <c r="H4" s="14" t="s">
        <v>371</v>
      </c>
      <c r="I4" s="14" t="s">
        <v>138</v>
      </c>
      <c r="J4" s="14" t="s">
        <v>87</v>
      </c>
      <c r="K4" s="14" t="s">
        <v>471</v>
      </c>
      <c r="L4" s="14" t="s">
        <v>341</v>
      </c>
      <c r="M4" s="16" t="s">
        <v>1867</v>
      </c>
      <c r="N4" s="14" t="s">
        <v>768</v>
      </c>
      <c r="O4" s="14" t="s">
        <v>1868</v>
      </c>
      <c r="P4" s="14">
        <v>130</v>
      </c>
      <c r="Q4" s="14">
        <v>2</v>
      </c>
      <c r="R4" s="14">
        <v>7000</v>
      </c>
      <c r="S4" s="14" t="s">
        <v>1869</v>
      </c>
      <c r="T4" s="14" t="s">
        <v>1870</v>
      </c>
      <c r="U4" s="14">
        <v>0.95750000000000002</v>
      </c>
      <c r="V4" s="14">
        <v>1.23027777777777</v>
      </c>
      <c r="W4" s="14">
        <v>894</v>
      </c>
      <c r="X4" s="14">
        <v>80</v>
      </c>
      <c r="Y4" s="14">
        <v>814</v>
      </c>
      <c r="Z4" s="14">
        <v>1606</v>
      </c>
      <c r="AA4" s="14">
        <v>986</v>
      </c>
      <c r="AB4" s="14">
        <v>293</v>
      </c>
      <c r="AC4" s="14">
        <v>278</v>
      </c>
      <c r="AD4" s="14">
        <v>49</v>
      </c>
      <c r="AE4" s="14">
        <v>2500</v>
      </c>
      <c r="AF4" s="14">
        <v>5000</v>
      </c>
      <c r="AG4" s="14">
        <v>2826</v>
      </c>
      <c r="AH4" s="14">
        <v>0</v>
      </c>
      <c r="AI4" s="14">
        <v>63</v>
      </c>
      <c r="AJ4" s="14">
        <v>193</v>
      </c>
      <c r="AK4" s="14" t="s">
        <v>1866</v>
      </c>
      <c r="AL4" s="14" t="s">
        <v>1871</v>
      </c>
      <c r="AM4" s="14">
        <v>264.72000000000003</v>
      </c>
      <c r="AN4" s="14">
        <v>183.03</v>
      </c>
      <c r="AO4" s="14">
        <v>299.85000000000002</v>
      </c>
      <c r="AP4" s="14">
        <v>23000</v>
      </c>
      <c r="AQ4" s="14">
        <v>22920</v>
      </c>
      <c r="AR4" s="14">
        <v>23000</v>
      </c>
      <c r="AS4" s="14">
        <v>20500</v>
      </c>
      <c r="AT4" s="14">
        <v>22106</v>
      </c>
      <c r="AU4" s="14">
        <v>7</v>
      </c>
      <c r="AV4" s="14">
        <v>307.76</v>
      </c>
      <c r="AW4" s="14">
        <v>12.44</v>
      </c>
      <c r="AX4" s="14">
        <v>2.2799999999999998</v>
      </c>
      <c r="AY4" s="14" t="b">
        <v>0</v>
      </c>
    </row>
    <row r="5" spans="1:51" hidden="1" x14ac:dyDescent="0.3">
      <c r="A5" t="str">
        <f>CONCATENATE(I5,E5,LEFT(G5,10))</f>
        <v>HFA102LCLK2026-03-29</v>
      </c>
      <c r="B5" s="14" t="s">
        <v>4595</v>
      </c>
      <c r="C5" s="14" t="s">
        <v>336</v>
      </c>
      <c r="D5" s="14" t="s">
        <v>337</v>
      </c>
      <c r="E5" s="14" t="s">
        <v>87</v>
      </c>
      <c r="F5" s="14" t="s">
        <v>83</v>
      </c>
      <c r="G5" s="14" t="s">
        <v>4596</v>
      </c>
      <c r="H5" s="14" t="s">
        <v>339</v>
      </c>
      <c r="I5" s="14" t="s">
        <v>138</v>
      </c>
      <c r="J5" s="14" t="s">
        <v>87</v>
      </c>
      <c r="K5" s="14" t="s">
        <v>471</v>
      </c>
      <c r="L5" s="14" t="s">
        <v>341</v>
      </c>
      <c r="M5" s="16" t="s">
        <v>4597</v>
      </c>
      <c r="N5" s="14"/>
      <c r="O5" s="14" t="s">
        <v>509</v>
      </c>
      <c r="P5" s="14">
        <v>150</v>
      </c>
      <c r="Q5" s="14">
        <v>2</v>
      </c>
      <c r="R5" s="14">
        <v>7000</v>
      </c>
      <c r="S5" s="14" t="s">
        <v>4598</v>
      </c>
      <c r="T5" s="14" t="s">
        <v>4599</v>
      </c>
      <c r="U5" s="14">
        <v>0.99194444444444396</v>
      </c>
      <c r="V5" s="14">
        <v>1.2538888888888799</v>
      </c>
      <c r="W5" s="14">
        <v>947</v>
      </c>
      <c r="X5" s="14">
        <v>80</v>
      </c>
      <c r="Y5" s="14">
        <v>867</v>
      </c>
      <c r="Z5" s="14">
        <v>1653</v>
      </c>
      <c r="AA5" s="14">
        <v>997</v>
      </c>
      <c r="AB5" s="14">
        <v>292</v>
      </c>
      <c r="AC5" s="14">
        <v>315</v>
      </c>
      <c r="AD5" s="14">
        <v>49</v>
      </c>
      <c r="AE5" s="14">
        <v>2600</v>
      </c>
      <c r="AF5" s="14">
        <v>5000</v>
      </c>
      <c r="AG5" s="14">
        <v>2992</v>
      </c>
      <c r="AH5" s="14">
        <v>0</v>
      </c>
      <c r="AI5" s="14">
        <v>69</v>
      </c>
      <c r="AJ5" s="14">
        <v>211</v>
      </c>
      <c r="AK5" s="14" t="s">
        <v>4596</v>
      </c>
      <c r="AL5" s="14" t="s">
        <v>4600</v>
      </c>
      <c r="AM5" s="14">
        <v>278.31</v>
      </c>
      <c r="AN5" s="14">
        <v>183.03</v>
      </c>
      <c r="AO5" s="14">
        <v>300.19</v>
      </c>
      <c r="AP5" s="14">
        <v>22925</v>
      </c>
      <c r="AQ5" s="14">
        <v>22845</v>
      </c>
      <c r="AR5" s="14">
        <v>23000</v>
      </c>
      <c r="AS5" s="14">
        <v>20325</v>
      </c>
      <c r="AT5" s="14">
        <v>21978</v>
      </c>
      <c r="AU5" s="14">
        <v>-4</v>
      </c>
      <c r="AV5" s="14">
        <v>249.7</v>
      </c>
      <c r="AW5" s="14">
        <v>51.93</v>
      </c>
      <c r="AX5" s="14">
        <v>0.74</v>
      </c>
      <c r="AY5" s="14" t="b">
        <v>0</v>
      </c>
    </row>
    <row r="6" spans="1:51" hidden="1" x14ac:dyDescent="0.3">
      <c r="A6" t="str">
        <f>CONCATENATE(I6,E6,LEFT(G6,10))</f>
        <v>HFA103LLBG2026-03-05</v>
      </c>
      <c r="B6" s="14" t="s">
        <v>1845</v>
      </c>
      <c r="C6" s="14" t="s">
        <v>336</v>
      </c>
      <c r="D6" s="14" t="s">
        <v>337</v>
      </c>
      <c r="E6" s="14" t="s">
        <v>83</v>
      </c>
      <c r="F6" s="14" t="s">
        <v>87</v>
      </c>
      <c r="G6" s="14" t="s">
        <v>1846</v>
      </c>
      <c r="H6" s="14" t="s">
        <v>339</v>
      </c>
      <c r="I6" s="14" t="s">
        <v>226</v>
      </c>
      <c r="J6" s="14" t="s">
        <v>69</v>
      </c>
      <c r="K6" s="14" t="s">
        <v>471</v>
      </c>
      <c r="L6" s="14" t="s">
        <v>341</v>
      </c>
      <c r="M6" s="16" t="s">
        <v>1646</v>
      </c>
      <c r="N6" s="14" t="s">
        <v>768</v>
      </c>
      <c r="O6" s="14" t="s">
        <v>1847</v>
      </c>
      <c r="P6" s="14">
        <v>160</v>
      </c>
      <c r="Q6" s="14">
        <v>3</v>
      </c>
      <c r="R6" s="14">
        <v>700</v>
      </c>
      <c r="S6" s="14" t="s">
        <v>1848</v>
      </c>
      <c r="T6" s="14" t="s">
        <v>1849</v>
      </c>
      <c r="U6" s="14">
        <v>1.0425</v>
      </c>
      <c r="V6" s="14">
        <v>1.3227777777777701</v>
      </c>
      <c r="W6" s="14">
        <v>929</v>
      </c>
      <c r="X6" s="14">
        <v>80</v>
      </c>
      <c r="Y6" s="14">
        <v>849</v>
      </c>
      <c r="Z6" s="14">
        <v>690</v>
      </c>
      <c r="AA6" s="14">
        <v>315</v>
      </c>
      <c r="AB6" s="14">
        <v>232</v>
      </c>
      <c r="AC6" s="14">
        <v>100</v>
      </c>
      <c r="AD6" s="14">
        <v>42</v>
      </c>
      <c r="AE6" s="14">
        <v>1619</v>
      </c>
      <c r="AF6" s="14">
        <v>5000</v>
      </c>
      <c r="AG6" s="14">
        <v>2936</v>
      </c>
      <c r="AH6" s="14">
        <v>0</v>
      </c>
      <c r="AI6" s="14">
        <v>72</v>
      </c>
      <c r="AJ6" s="14">
        <v>136</v>
      </c>
      <c r="AK6" s="14" t="s">
        <v>1846</v>
      </c>
      <c r="AL6" s="14" t="s">
        <v>1850</v>
      </c>
      <c r="AM6" s="14">
        <v>299.85000000000002</v>
      </c>
      <c r="AN6" s="14">
        <v>183.03</v>
      </c>
      <c r="AO6" s="14">
        <v>73.5</v>
      </c>
      <c r="AP6" s="14">
        <v>15644</v>
      </c>
      <c r="AQ6" s="14">
        <v>15564</v>
      </c>
      <c r="AR6" s="14">
        <v>23000</v>
      </c>
      <c r="AS6" s="14">
        <v>14025</v>
      </c>
      <c r="AT6" s="14">
        <v>14715</v>
      </c>
      <c r="AU6" s="14">
        <v>-8</v>
      </c>
      <c r="AV6" s="14">
        <v>302.48</v>
      </c>
      <c r="AW6" s="14">
        <v>18.899999999999999</v>
      </c>
      <c r="AX6" s="14">
        <v>1.7</v>
      </c>
      <c r="AY6" s="14" t="b">
        <v>0</v>
      </c>
    </row>
    <row r="7" spans="1:51" hidden="1" x14ac:dyDescent="0.3">
      <c r="A7" t="str">
        <f>CONCATENATE(I7,E7,LEFT(G7,10))</f>
        <v>HFA104LCLK2026-03-05</v>
      </c>
      <c r="B7" s="14" t="s">
        <v>1858</v>
      </c>
      <c r="C7" s="14" t="s">
        <v>336</v>
      </c>
      <c r="D7" s="14" t="s">
        <v>337</v>
      </c>
      <c r="E7" s="14" t="s">
        <v>87</v>
      </c>
      <c r="F7" s="14" t="s">
        <v>83</v>
      </c>
      <c r="G7" s="14" t="s">
        <v>1859</v>
      </c>
      <c r="H7" s="14" t="s">
        <v>339</v>
      </c>
      <c r="I7" s="14" t="s">
        <v>175</v>
      </c>
      <c r="J7" s="14" t="s">
        <v>87</v>
      </c>
      <c r="K7" s="14" t="s">
        <v>471</v>
      </c>
      <c r="L7" s="14" t="s">
        <v>341</v>
      </c>
      <c r="M7" s="16" t="s">
        <v>1860</v>
      </c>
      <c r="N7" s="14" t="s">
        <v>768</v>
      </c>
      <c r="O7" s="14" t="s">
        <v>1861</v>
      </c>
      <c r="P7" s="14">
        <v>130</v>
      </c>
      <c r="Q7" s="14">
        <v>2</v>
      </c>
      <c r="R7" s="14">
        <v>0</v>
      </c>
      <c r="S7" s="14" t="s">
        <v>1862</v>
      </c>
      <c r="T7" s="14" t="s">
        <v>1863</v>
      </c>
      <c r="U7" s="14">
        <v>3.97472222222222</v>
      </c>
      <c r="V7" s="14">
        <v>1.29805555555555</v>
      </c>
      <c r="W7" s="14">
        <v>863</v>
      </c>
      <c r="X7" s="14">
        <v>80</v>
      </c>
      <c r="Y7" s="14">
        <v>783</v>
      </c>
      <c r="Z7" s="14">
        <v>1637</v>
      </c>
      <c r="AA7" s="14">
        <v>950</v>
      </c>
      <c r="AB7" s="14">
        <v>278</v>
      </c>
      <c r="AC7" s="14">
        <v>363</v>
      </c>
      <c r="AD7" s="14">
        <v>46</v>
      </c>
      <c r="AE7" s="14">
        <v>2500</v>
      </c>
      <c r="AF7" s="14">
        <v>5000</v>
      </c>
      <c r="AG7" s="14">
        <v>2727</v>
      </c>
      <c r="AH7" s="14">
        <v>0</v>
      </c>
      <c r="AI7" s="14">
        <v>62</v>
      </c>
      <c r="AJ7" s="14">
        <v>198</v>
      </c>
      <c r="AK7" s="14" t="s">
        <v>1859</v>
      </c>
      <c r="AL7" s="14" t="s">
        <v>1864</v>
      </c>
      <c r="AM7" s="14">
        <v>264.72000000000003</v>
      </c>
      <c r="AN7" s="14">
        <v>183.03</v>
      </c>
      <c r="AO7" s="14">
        <v>299.85000000000002</v>
      </c>
      <c r="AP7" s="14">
        <v>21494</v>
      </c>
      <c r="AQ7" s="14">
        <v>21414</v>
      </c>
      <c r="AR7" s="14">
        <v>23000</v>
      </c>
      <c r="AS7" s="14">
        <v>18994</v>
      </c>
      <c r="AT7" s="14">
        <v>20631</v>
      </c>
      <c r="AU7" s="14">
        <v>7</v>
      </c>
      <c r="AV7" s="14">
        <v>304.82</v>
      </c>
      <c r="AW7" s="14">
        <v>12.32</v>
      </c>
      <c r="AX7" s="14">
        <v>2.19</v>
      </c>
      <c r="AY7" s="14" t="b">
        <v>0</v>
      </c>
    </row>
    <row r="8" spans="1:51" hidden="1" x14ac:dyDescent="0.3">
      <c r="A8" t="str">
        <f>CONCATENATE(I8,E8,LEFT(G8,10))</f>
        <v>HFA104LCLK2026-03-30</v>
      </c>
      <c r="B8" s="14" t="s">
        <v>2944</v>
      </c>
      <c r="C8" s="14" t="s">
        <v>336</v>
      </c>
      <c r="D8" s="14" t="s">
        <v>337</v>
      </c>
      <c r="E8" s="14" t="s">
        <v>87</v>
      </c>
      <c r="F8" s="14" t="s">
        <v>83</v>
      </c>
      <c r="G8" s="14" t="s">
        <v>2945</v>
      </c>
      <c r="H8" s="14" t="s">
        <v>436</v>
      </c>
      <c r="I8" s="14" t="s">
        <v>175</v>
      </c>
      <c r="J8" s="14" t="s">
        <v>87</v>
      </c>
      <c r="K8" s="14" t="s">
        <v>471</v>
      </c>
      <c r="L8" s="14" t="s">
        <v>341</v>
      </c>
      <c r="M8" s="16" t="s">
        <v>2946</v>
      </c>
      <c r="N8" s="14" t="s">
        <v>359</v>
      </c>
      <c r="O8" s="14" t="s">
        <v>509</v>
      </c>
      <c r="P8" s="14">
        <v>150</v>
      </c>
      <c r="Q8" s="14">
        <v>2</v>
      </c>
      <c r="R8" s="14">
        <v>2700</v>
      </c>
      <c r="S8" s="14" t="s">
        <v>2947</v>
      </c>
      <c r="T8" s="14" t="s">
        <v>2948</v>
      </c>
      <c r="U8" s="14">
        <v>0.86833333333333296</v>
      </c>
      <c r="V8" s="14">
        <v>1.1127777777777701</v>
      </c>
      <c r="W8" s="14">
        <v>877</v>
      </c>
      <c r="X8" s="14">
        <v>80</v>
      </c>
      <c r="Y8" s="14">
        <v>797</v>
      </c>
      <c r="Z8" s="14">
        <v>1923</v>
      </c>
      <c r="AA8" s="14">
        <v>949</v>
      </c>
      <c r="AB8" s="14">
        <v>254</v>
      </c>
      <c r="AC8" s="14">
        <v>678</v>
      </c>
      <c r="AD8" s="14">
        <v>42</v>
      </c>
      <c r="AE8" s="14">
        <v>2800</v>
      </c>
      <c r="AF8" s="14">
        <v>5000</v>
      </c>
      <c r="AG8" s="14">
        <v>2770</v>
      </c>
      <c r="AH8" s="14">
        <v>0</v>
      </c>
      <c r="AI8" s="14">
        <v>65</v>
      </c>
      <c r="AJ8" s="14">
        <v>234</v>
      </c>
      <c r="AK8" s="14" t="s">
        <v>2945</v>
      </c>
      <c r="AL8" s="14" t="s">
        <v>2949</v>
      </c>
      <c r="AM8" s="14">
        <v>278.31</v>
      </c>
      <c r="AN8" s="14">
        <v>183.03</v>
      </c>
      <c r="AO8" s="14">
        <v>300.19</v>
      </c>
      <c r="AP8" s="14">
        <v>18705</v>
      </c>
      <c r="AQ8" s="14">
        <v>18625</v>
      </c>
      <c r="AR8" s="14">
        <v>23000</v>
      </c>
      <c r="AS8" s="14">
        <v>15905</v>
      </c>
      <c r="AT8" s="14">
        <v>17828</v>
      </c>
      <c r="AU8" s="14">
        <v>9</v>
      </c>
      <c r="AV8" s="14">
        <v>283.97000000000003</v>
      </c>
      <c r="AW8" s="14">
        <v>44.58</v>
      </c>
      <c r="AX8" s="14">
        <v>2.76</v>
      </c>
      <c r="AY8" s="14" t="b">
        <v>0</v>
      </c>
    </row>
    <row r="9" spans="1:51" hidden="1" x14ac:dyDescent="0.3">
      <c r="A9" t="str">
        <f>CONCATENATE(I9,E9,LEFT(G9,10))</f>
        <v>HFA104LCLK2026-03-31</v>
      </c>
      <c r="B9" s="14" t="s">
        <v>680</v>
      </c>
      <c r="C9" s="14" t="s">
        <v>336</v>
      </c>
      <c r="D9" s="14" t="s">
        <v>337</v>
      </c>
      <c r="E9" s="14" t="s">
        <v>87</v>
      </c>
      <c r="F9" s="14" t="s">
        <v>83</v>
      </c>
      <c r="G9" s="14" t="s">
        <v>681</v>
      </c>
      <c r="H9" s="14" t="s">
        <v>371</v>
      </c>
      <c r="I9" s="14" t="s">
        <v>175</v>
      </c>
      <c r="J9" s="14" t="s">
        <v>87</v>
      </c>
      <c r="K9" s="14" t="s">
        <v>471</v>
      </c>
      <c r="L9" s="14" t="s">
        <v>341</v>
      </c>
      <c r="M9" s="16" t="s">
        <v>682</v>
      </c>
      <c r="N9" s="14"/>
      <c r="O9" s="14" t="s">
        <v>683</v>
      </c>
      <c r="P9" s="14">
        <v>150</v>
      </c>
      <c r="Q9" s="14">
        <v>4</v>
      </c>
      <c r="R9" s="14">
        <v>2500</v>
      </c>
      <c r="S9" s="14" t="s">
        <v>684</v>
      </c>
      <c r="T9" s="14" t="s">
        <v>685</v>
      </c>
      <c r="U9" s="14">
        <v>0.89888888888888796</v>
      </c>
      <c r="V9" s="14">
        <v>1.1913888888888799</v>
      </c>
      <c r="W9" s="14">
        <v>899</v>
      </c>
      <c r="X9" s="14">
        <v>80</v>
      </c>
      <c r="Y9" s="14">
        <v>819</v>
      </c>
      <c r="Z9" s="14">
        <v>1901</v>
      </c>
      <c r="AA9" s="14">
        <v>942</v>
      </c>
      <c r="AB9" s="14">
        <v>255</v>
      </c>
      <c r="AC9" s="14">
        <v>662</v>
      </c>
      <c r="AD9" s="14">
        <v>42</v>
      </c>
      <c r="AE9" s="14">
        <v>2800</v>
      </c>
      <c r="AF9" s="14">
        <v>5000</v>
      </c>
      <c r="AG9" s="14">
        <v>2842</v>
      </c>
      <c r="AH9" s="14">
        <v>0</v>
      </c>
      <c r="AI9" s="14">
        <v>67</v>
      </c>
      <c r="AJ9" s="14">
        <v>233</v>
      </c>
      <c r="AK9" s="14" t="s">
        <v>681</v>
      </c>
      <c r="AL9" s="14" t="s">
        <v>686</v>
      </c>
      <c r="AM9" s="14">
        <v>278.31</v>
      </c>
      <c r="AN9" s="14">
        <v>183.03</v>
      </c>
      <c r="AO9" s="14">
        <v>300.19</v>
      </c>
      <c r="AP9" s="14">
        <v>18800</v>
      </c>
      <c r="AQ9" s="14">
        <v>18720</v>
      </c>
      <c r="AR9" s="14">
        <v>23000</v>
      </c>
      <c r="AS9" s="14">
        <v>16000</v>
      </c>
      <c r="AT9" s="14">
        <v>17901</v>
      </c>
      <c r="AU9" s="14">
        <v>2</v>
      </c>
      <c r="AV9" s="14">
        <v>265.37</v>
      </c>
      <c r="AW9" s="14">
        <v>34.520000000000003</v>
      </c>
      <c r="AX9" s="14">
        <v>5.5</v>
      </c>
      <c r="AY9" s="14" t="b">
        <v>0</v>
      </c>
    </row>
    <row r="10" spans="1:51" hidden="1" x14ac:dyDescent="0.3">
      <c r="A10" t="str">
        <f>CONCATENATE(I10,E10,LEFT(G10,10))</f>
        <v>HFA105LLBG2026-03-06</v>
      </c>
      <c r="B10" s="14" t="s">
        <v>3318</v>
      </c>
      <c r="C10" s="14" t="s">
        <v>336</v>
      </c>
      <c r="D10" s="14" t="s">
        <v>337</v>
      </c>
      <c r="E10" s="14" t="s">
        <v>83</v>
      </c>
      <c r="F10" s="14" t="s">
        <v>87</v>
      </c>
      <c r="G10" s="14" t="s">
        <v>3319</v>
      </c>
      <c r="H10" s="14" t="s">
        <v>371</v>
      </c>
      <c r="I10" s="14" t="s">
        <v>141</v>
      </c>
      <c r="J10" s="14" t="s">
        <v>69</v>
      </c>
      <c r="K10" s="14" t="s">
        <v>471</v>
      </c>
      <c r="L10" s="14" t="s">
        <v>341</v>
      </c>
      <c r="M10" s="16" t="s">
        <v>1646</v>
      </c>
      <c r="N10" s="14" t="s">
        <v>768</v>
      </c>
      <c r="O10" s="14" t="s">
        <v>3320</v>
      </c>
      <c r="P10" s="14">
        <v>160</v>
      </c>
      <c r="Q10" s="14">
        <v>3</v>
      </c>
      <c r="R10" s="14">
        <v>700</v>
      </c>
      <c r="S10" s="14" t="s">
        <v>3321</v>
      </c>
      <c r="T10" s="14" t="s">
        <v>3322</v>
      </c>
      <c r="U10" s="14">
        <v>0.94750000000000001</v>
      </c>
      <c r="V10" s="14">
        <v>1.69305555555555</v>
      </c>
      <c r="W10" s="14">
        <v>982</v>
      </c>
      <c r="X10" s="14">
        <v>80</v>
      </c>
      <c r="Y10" s="14">
        <v>902</v>
      </c>
      <c r="Z10" s="14">
        <v>603</v>
      </c>
      <c r="AA10" s="14">
        <v>326</v>
      </c>
      <c r="AB10" s="14">
        <v>232</v>
      </c>
      <c r="AC10" s="14">
        <v>0</v>
      </c>
      <c r="AD10" s="14">
        <v>45</v>
      </c>
      <c r="AE10" s="14">
        <v>1585</v>
      </c>
      <c r="AF10" s="14">
        <v>5000</v>
      </c>
      <c r="AG10" s="14">
        <v>3103</v>
      </c>
      <c r="AH10" s="14">
        <v>0</v>
      </c>
      <c r="AI10" s="14">
        <v>75</v>
      </c>
      <c r="AJ10" s="14">
        <v>131</v>
      </c>
      <c r="AK10" s="14" t="s">
        <v>3319</v>
      </c>
      <c r="AL10" s="14" t="s">
        <v>3323</v>
      </c>
      <c r="AM10" s="14">
        <v>299.85000000000002</v>
      </c>
      <c r="AN10" s="14">
        <v>183.03</v>
      </c>
      <c r="AO10" s="14">
        <v>73.5</v>
      </c>
      <c r="AP10" s="14">
        <v>15785</v>
      </c>
      <c r="AQ10" s="14">
        <v>15705</v>
      </c>
      <c r="AR10" s="14">
        <v>23000</v>
      </c>
      <c r="AS10" s="14">
        <v>14200</v>
      </c>
      <c r="AT10" s="14">
        <v>14803</v>
      </c>
      <c r="AU10" s="14">
        <v>-19</v>
      </c>
      <c r="AV10" s="14">
        <v>299.29000000000002</v>
      </c>
      <c r="AW10" s="14">
        <v>27.12</v>
      </c>
      <c r="AX10" s="14">
        <v>2.14</v>
      </c>
      <c r="AY10" s="14" t="b">
        <v>0</v>
      </c>
    </row>
    <row r="11" spans="1:51" hidden="1" x14ac:dyDescent="0.3">
      <c r="A11" t="str">
        <f>CONCATENATE(I11,E11,LEFT(G11,10))</f>
        <v>HFA105LLBG2026-03-30</v>
      </c>
      <c r="B11" s="14" t="s">
        <v>2938</v>
      </c>
      <c r="C11" s="14" t="s">
        <v>336</v>
      </c>
      <c r="D11" s="14" t="s">
        <v>337</v>
      </c>
      <c r="E11" s="14" t="s">
        <v>83</v>
      </c>
      <c r="F11" s="14" t="s">
        <v>87</v>
      </c>
      <c r="G11" s="14" t="s">
        <v>2939</v>
      </c>
      <c r="H11" s="14" t="s">
        <v>339</v>
      </c>
      <c r="I11" s="14" t="s">
        <v>141</v>
      </c>
      <c r="J11" s="14" t="s">
        <v>69</v>
      </c>
      <c r="K11" s="14" t="s">
        <v>471</v>
      </c>
      <c r="L11" s="14" t="s">
        <v>341</v>
      </c>
      <c r="M11" s="16" t="s">
        <v>2940</v>
      </c>
      <c r="N11" s="14"/>
      <c r="O11" s="14" t="s">
        <v>676</v>
      </c>
      <c r="P11" s="14">
        <v>160</v>
      </c>
      <c r="Q11" s="14">
        <v>2</v>
      </c>
      <c r="R11" s="14">
        <v>6100</v>
      </c>
      <c r="S11" s="14" t="s">
        <v>2941</v>
      </c>
      <c r="T11" s="14" t="s">
        <v>2942</v>
      </c>
      <c r="U11" s="14">
        <v>1.3702777777777699</v>
      </c>
      <c r="V11" s="14">
        <v>1.58694444444444</v>
      </c>
      <c r="W11" s="14">
        <v>1008</v>
      </c>
      <c r="X11" s="14">
        <v>80</v>
      </c>
      <c r="Y11" s="14">
        <v>928</v>
      </c>
      <c r="Z11" s="14">
        <v>968</v>
      </c>
      <c r="AA11" s="14">
        <v>345</v>
      </c>
      <c r="AB11" s="14">
        <v>277</v>
      </c>
      <c r="AC11" s="14">
        <v>300</v>
      </c>
      <c r="AD11" s="14">
        <v>46</v>
      </c>
      <c r="AE11" s="14">
        <v>1975</v>
      </c>
      <c r="AF11" s="14">
        <v>5000</v>
      </c>
      <c r="AG11" s="14">
        <v>3184</v>
      </c>
      <c r="AH11" s="14">
        <v>0</v>
      </c>
      <c r="AI11" s="14">
        <v>78</v>
      </c>
      <c r="AJ11" s="14">
        <v>161</v>
      </c>
      <c r="AK11" s="14" t="s">
        <v>2939</v>
      </c>
      <c r="AL11" s="14" t="s">
        <v>2943</v>
      </c>
      <c r="AM11" s="14">
        <v>301.74</v>
      </c>
      <c r="AN11" s="14">
        <v>183.03</v>
      </c>
      <c r="AO11" s="14">
        <v>73.5</v>
      </c>
      <c r="AP11" s="14">
        <v>21400</v>
      </c>
      <c r="AQ11" s="14">
        <v>21320</v>
      </c>
      <c r="AR11" s="14">
        <v>23000</v>
      </c>
      <c r="AS11" s="14">
        <v>19425</v>
      </c>
      <c r="AT11" s="14">
        <v>20393</v>
      </c>
      <c r="AU11" s="14">
        <v>-18</v>
      </c>
      <c r="AV11" s="14">
        <v>283.39999999999998</v>
      </c>
      <c r="AW11" s="14">
        <v>42.83</v>
      </c>
      <c r="AX11" s="14">
        <v>4.2300000000000004</v>
      </c>
      <c r="AY11" s="14" t="b">
        <v>0</v>
      </c>
    </row>
    <row r="12" spans="1:51" hidden="1" x14ac:dyDescent="0.3">
      <c r="A12" t="str">
        <f>CONCATENATE(I12,E12,LEFT(G12,10))</f>
        <v>HFA105LLBG2026-03-31</v>
      </c>
      <c r="B12" s="14" t="s">
        <v>672</v>
      </c>
      <c r="C12" s="14" t="s">
        <v>336</v>
      </c>
      <c r="D12" s="14" t="s">
        <v>337</v>
      </c>
      <c r="E12" s="14" t="s">
        <v>83</v>
      </c>
      <c r="F12" s="14" t="s">
        <v>87</v>
      </c>
      <c r="G12" s="14" t="s">
        <v>673</v>
      </c>
      <c r="H12" s="14" t="s">
        <v>371</v>
      </c>
      <c r="I12" s="14" t="s">
        <v>141</v>
      </c>
      <c r="J12" s="14" t="s">
        <v>69</v>
      </c>
      <c r="K12" s="14" t="s">
        <v>471</v>
      </c>
      <c r="L12" s="14" t="s">
        <v>341</v>
      </c>
      <c r="M12" s="16" t="s">
        <v>674</v>
      </c>
      <c r="N12" s="14" t="s">
        <v>675</v>
      </c>
      <c r="O12" s="14" t="s">
        <v>676</v>
      </c>
      <c r="P12" s="14">
        <v>160</v>
      </c>
      <c r="Q12" s="14">
        <v>3</v>
      </c>
      <c r="R12" s="14">
        <v>6200</v>
      </c>
      <c r="S12" s="14" t="s">
        <v>677</v>
      </c>
      <c r="T12" s="14" t="s">
        <v>678</v>
      </c>
      <c r="U12" s="14">
        <v>0.95388888888888801</v>
      </c>
      <c r="V12" s="14">
        <v>1.4280555555555501</v>
      </c>
      <c r="W12" s="14">
        <v>1021</v>
      </c>
      <c r="X12" s="14">
        <v>80</v>
      </c>
      <c r="Y12" s="14">
        <v>941</v>
      </c>
      <c r="Z12" s="14">
        <v>966</v>
      </c>
      <c r="AA12" s="14">
        <v>340</v>
      </c>
      <c r="AB12" s="14">
        <v>279</v>
      </c>
      <c r="AC12" s="14">
        <v>300</v>
      </c>
      <c r="AD12" s="14">
        <v>47</v>
      </c>
      <c r="AE12" s="14">
        <v>1987</v>
      </c>
      <c r="AF12" s="14">
        <v>5000</v>
      </c>
      <c r="AG12" s="14">
        <v>3227</v>
      </c>
      <c r="AH12" s="14">
        <v>0</v>
      </c>
      <c r="AI12" s="14">
        <v>79</v>
      </c>
      <c r="AJ12" s="14">
        <v>160</v>
      </c>
      <c r="AK12" s="14" t="s">
        <v>673</v>
      </c>
      <c r="AL12" s="14" t="s">
        <v>679</v>
      </c>
      <c r="AM12" s="14">
        <v>301.74</v>
      </c>
      <c r="AN12" s="14">
        <v>183.03</v>
      </c>
      <c r="AO12" s="14">
        <v>73.5</v>
      </c>
      <c r="AP12" s="14">
        <v>21687</v>
      </c>
      <c r="AQ12" s="14">
        <v>21607</v>
      </c>
      <c r="AR12" s="14">
        <v>23000</v>
      </c>
      <c r="AS12" s="14">
        <v>19700</v>
      </c>
      <c r="AT12" s="14">
        <v>20666</v>
      </c>
      <c r="AU12" s="14">
        <v>-17</v>
      </c>
      <c r="AV12" s="14">
        <v>276.81</v>
      </c>
      <c r="AW12" s="14">
        <v>47.52</v>
      </c>
      <c r="AX12" s="14">
        <v>5.8</v>
      </c>
      <c r="AY12" s="14" t="b">
        <v>0</v>
      </c>
    </row>
    <row r="13" spans="1:51" hidden="1" x14ac:dyDescent="0.3">
      <c r="A13" t="str">
        <f>CONCATENATE(I13,E13,LEFT(G13,10))</f>
        <v>HFA106LCLK2026-03-06</v>
      </c>
      <c r="B13" s="14" t="s">
        <v>3341</v>
      </c>
      <c r="C13" s="14" t="s">
        <v>336</v>
      </c>
      <c r="D13" s="14" t="s">
        <v>337</v>
      </c>
      <c r="E13" s="14" t="s">
        <v>87</v>
      </c>
      <c r="F13" s="14" t="s">
        <v>83</v>
      </c>
      <c r="G13" s="14" t="s">
        <v>3342</v>
      </c>
      <c r="H13" s="14" t="s">
        <v>371</v>
      </c>
      <c r="I13" s="14" t="s">
        <v>140</v>
      </c>
      <c r="J13" s="14" t="s">
        <v>87</v>
      </c>
      <c r="K13" s="14" t="s">
        <v>471</v>
      </c>
      <c r="L13" s="14" t="s">
        <v>341</v>
      </c>
      <c r="M13" s="16" t="s">
        <v>3343</v>
      </c>
      <c r="N13" s="14"/>
      <c r="O13" s="14" t="s">
        <v>3344</v>
      </c>
      <c r="P13" s="14">
        <v>150</v>
      </c>
      <c r="Q13" s="14">
        <v>2</v>
      </c>
      <c r="R13" s="14">
        <v>0</v>
      </c>
      <c r="S13" s="14" t="s">
        <v>3345</v>
      </c>
      <c r="T13" s="14" t="s">
        <v>3346</v>
      </c>
      <c r="U13" s="14">
        <v>1.3316666666666599</v>
      </c>
      <c r="V13" s="14">
        <v>1.6272222222222199</v>
      </c>
      <c r="W13" s="14">
        <v>864</v>
      </c>
      <c r="X13" s="14">
        <v>80</v>
      </c>
      <c r="Y13" s="14">
        <v>784</v>
      </c>
      <c r="Z13" s="14">
        <v>1636</v>
      </c>
      <c r="AA13" s="14">
        <v>759</v>
      </c>
      <c r="AB13" s="14">
        <v>281</v>
      </c>
      <c r="AC13" s="14">
        <v>549</v>
      </c>
      <c r="AD13" s="14">
        <v>47</v>
      </c>
      <c r="AE13" s="14">
        <v>2500</v>
      </c>
      <c r="AF13" s="14">
        <v>5000</v>
      </c>
      <c r="AG13" s="14">
        <v>2730</v>
      </c>
      <c r="AH13" s="14">
        <v>0</v>
      </c>
      <c r="AI13" s="14">
        <v>61</v>
      </c>
      <c r="AJ13" s="14">
        <v>199</v>
      </c>
      <c r="AK13" s="14" t="s">
        <v>3342</v>
      </c>
      <c r="AL13" s="14" t="s">
        <v>3347</v>
      </c>
      <c r="AM13" s="14">
        <v>264.92</v>
      </c>
      <c r="AN13" s="14">
        <v>183.03</v>
      </c>
      <c r="AO13" s="14">
        <v>215.32</v>
      </c>
      <c r="AP13" s="14">
        <v>21781</v>
      </c>
      <c r="AQ13" s="14">
        <v>21701</v>
      </c>
      <c r="AR13" s="14">
        <v>23000</v>
      </c>
      <c r="AS13" s="14">
        <v>19281</v>
      </c>
      <c r="AT13" s="14">
        <v>20917</v>
      </c>
      <c r="AU13" s="14">
        <v>12</v>
      </c>
      <c r="AV13" s="14">
        <v>300.29000000000002</v>
      </c>
      <c r="AW13" s="14">
        <v>26.28</v>
      </c>
      <c r="AX13" s="14">
        <v>0.69</v>
      </c>
      <c r="AY13" s="14" t="b">
        <v>0</v>
      </c>
    </row>
    <row r="14" spans="1:51" hidden="1" x14ac:dyDescent="0.3">
      <c r="A14" t="str">
        <f>CONCATENATE(I14,E14,LEFT(G14,10))</f>
        <v>HFA107LLBG2026-03-06</v>
      </c>
      <c r="B14" s="14" t="s">
        <v>3335</v>
      </c>
      <c r="C14" s="14" t="s">
        <v>336</v>
      </c>
      <c r="D14" s="14" t="s">
        <v>337</v>
      </c>
      <c r="E14" s="14" t="s">
        <v>83</v>
      </c>
      <c r="F14" s="14" t="s">
        <v>87</v>
      </c>
      <c r="G14" s="14" t="s">
        <v>3336</v>
      </c>
      <c r="H14" s="14" t="s">
        <v>339</v>
      </c>
      <c r="I14" s="14" t="s">
        <v>229</v>
      </c>
      <c r="J14" s="14" t="s">
        <v>69</v>
      </c>
      <c r="K14" s="14" t="s">
        <v>471</v>
      </c>
      <c r="L14" s="14" t="s">
        <v>341</v>
      </c>
      <c r="M14" s="16" t="s">
        <v>3337</v>
      </c>
      <c r="N14" s="14" t="s">
        <v>768</v>
      </c>
      <c r="O14" s="14" t="s">
        <v>1854</v>
      </c>
      <c r="P14" s="14">
        <v>160</v>
      </c>
      <c r="Q14" s="14">
        <v>4</v>
      </c>
      <c r="R14" s="14">
        <v>900</v>
      </c>
      <c r="S14" s="14" t="s">
        <v>3338</v>
      </c>
      <c r="T14" s="14" t="s">
        <v>3339</v>
      </c>
      <c r="U14" s="14">
        <v>0.97638888888888797</v>
      </c>
      <c r="V14" s="14">
        <v>1.3327777777777701</v>
      </c>
      <c r="W14" s="14">
        <v>974</v>
      </c>
      <c r="X14" s="14">
        <v>80</v>
      </c>
      <c r="Y14" s="14">
        <v>894</v>
      </c>
      <c r="Z14" s="14">
        <v>699</v>
      </c>
      <c r="AA14" s="14">
        <v>321</v>
      </c>
      <c r="AB14" s="14">
        <v>233</v>
      </c>
      <c r="AC14" s="14">
        <v>100</v>
      </c>
      <c r="AD14" s="14">
        <v>45</v>
      </c>
      <c r="AE14" s="14">
        <v>1672</v>
      </c>
      <c r="AF14" s="14">
        <v>5000</v>
      </c>
      <c r="AG14" s="14">
        <v>3077</v>
      </c>
      <c r="AH14" s="14">
        <v>0</v>
      </c>
      <c r="AI14" s="14">
        <v>76</v>
      </c>
      <c r="AJ14" s="14">
        <v>141</v>
      </c>
      <c r="AK14" s="14" t="s">
        <v>3336</v>
      </c>
      <c r="AL14" s="14" t="s">
        <v>3340</v>
      </c>
      <c r="AM14" s="14">
        <v>299.85000000000002</v>
      </c>
      <c r="AN14" s="14">
        <v>183.03</v>
      </c>
      <c r="AO14" s="14">
        <v>73.5</v>
      </c>
      <c r="AP14" s="14">
        <v>15897</v>
      </c>
      <c r="AQ14" s="14">
        <v>15817</v>
      </c>
      <c r="AR14" s="14">
        <v>23000</v>
      </c>
      <c r="AS14" s="14">
        <v>14225</v>
      </c>
      <c r="AT14" s="14">
        <v>14924</v>
      </c>
      <c r="AU14" s="14">
        <v>-23</v>
      </c>
      <c r="AV14" s="14">
        <v>295.45999999999998</v>
      </c>
      <c r="AW14" s="14">
        <v>31.62</v>
      </c>
      <c r="AX14" s="14">
        <v>1.94</v>
      </c>
      <c r="AY14" s="14" t="b">
        <v>0</v>
      </c>
    </row>
    <row r="15" spans="1:51" hidden="1" x14ac:dyDescent="0.3">
      <c r="A15" t="str">
        <f>CONCATENATE(I15,E15,LEFT(G15,10))</f>
        <v>HFA107LLBG2026-03-29</v>
      </c>
      <c r="B15" s="14" t="s">
        <v>4587</v>
      </c>
      <c r="C15" s="14" t="s">
        <v>336</v>
      </c>
      <c r="D15" s="14" t="s">
        <v>337</v>
      </c>
      <c r="E15" s="14" t="s">
        <v>83</v>
      </c>
      <c r="F15" s="14" t="s">
        <v>87</v>
      </c>
      <c r="G15" s="14" t="s">
        <v>4588</v>
      </c>
      <c r="H15" s="14" t="s">
        <v>339</v>
      </c>
      <c r="I15" s="14" t="s">
        <v>229</v>
      </c>
      <c r="J15" s="14" t="s">
        <v>69</v>
      </c>
      <c r="K15" s="14" t="s">
        <v>471</v>
      </c>
      <c r="L15" s="14" t="s">
        <v>341</v>
      </c>
      <c r="M15" s="16" t="s">
        <v>2575</v>
      </c>
      <c r="N15" s="14" t="s">
        <v>768</v>
      </c>
      <c r="O15" s="14" t="s">
        <v>1606</v>
      </c>
      <c r="P15" s="14">
        <v>160</v>
      </c>
      <c r="Q15" s="14">
        <v>2</v>
      </c>
      <c r="R15" s="14">
        <v>6600</v>
      </c>
      <c r="S15" s="14" t="s">
        <v>4589</v>
      </c>
      <c r="T15" s="14" t="s">
        <v>4590</v>
      </c>
      <c r="U15" s="14">
        <v>1.0591666666666599</v>
      </c>
      <c r="V15" s="14">
        <v>1.29944444444444</v>
      </c>
      <c r="W15" s="14">
        <v>1031</v>
      </c>
      <c r="X15" s="14">
        <v>80</v>
      </c>
      <c r="Y15" s="14">
        <v>951</v>
      </c>
      <c r="Z15" s="14">
        <v>990</v>
      </c>
      <c r="AA15" s="14">
        <v>362</v>
      </c>
      <c r="AB15" s="14">
        <v>281</v>
      </c>
      <c r="AC15" s="14">
        <v>300</v>
      </c>
      <c r="AD15" s="14">
        <v>48</v>
      </c>
      <c r="AE15" s="14">
        <v>2022</v>
      </c>
      <c r="AF15" s="14">
        <v>5000</v>
      </c>
      <c r="AG15" s="14">
        <v>3259</v>
      </c>
      <c r="AH15" s="14">
        <v>0</v>
      </c>
      <c r="AI15" s="14">
        <v>80</v>
      </c>
      <c r="AJ15" s="14">
        <v>163</v>
      </c>
      <c r="AK15" s="14" t="s">
        <v>4588</v>
      </c>
      <c r="AL15" s="14" t="s">
        <v>4591</v>
      </c>
      <c r="AM15" s="14">
        <v>301.67</v>
      </c>
      <c r="AN15" s="14">
        <v>183.03</v>
      </c>
      <c r="AO15" s="14">
        <v>73.5</v>
      </c>
      <c r="AP15" s="14">
        <v>21947</v>
      </c>
      <c r="AQ15" s="14">
        <v>21867</v>
      </c>
      <c r="AR15" s="14">
        <v>23000</v>
      </c>
      <c r="AS15" s="14">
        <v>19925</v>
      </c>
      <c r="AT15" s="14">
        <v>20915</v>
      </c>
      <c r="AU15" s="14">
        <v>-22</v>
      </c>
      <c r="AV15" s="14">
        <v>267.98</v>
      </c>
      <c r="AW15" s="14">
        <v>63.67</v>
      </c>
      <c r="AX15" s="14">
        <v>1.66</v>
      </c>
      <c r="AY15" s="14" t="b">
        <v>0</v>
      </c>
    </row>
    <row r="16" spans="1:51" hidden="1" x14ac:dyDescent="0.3">
      <c r="A16" t="str">
        <f>CONCATENATE(I16,E16,LEFT(G16,10))</f>
        <v>HFA108ALCLK2026-03-06</v>
      </c>
      <c r="B16" s="14" t="s">
        <v>3380</v>
      </c>
      <c r="C16" s="14" t="s">
        <v>336</v>
      </c>
      <c r="D16" s="14" t="s">
        <v>337</v>
      </c>
      <c r="E16" s="14" t="s">
        <v>87</v>
      </c>
      <c r="F16" s="14" t="s">
        <v>48</v>
      </c>
      <c r="G16" s="14" t="s">
        <v>3381</v>
      </c>
      <c r="H16" s="14" t="s">
        <v>339</v>
      </c>
      <c r="I16" s="14" t="s">
        <v>227</v>
      </c>
      <c r="J16" s="14" t="s">
        <v>751</v>
      </c>
      <c r="K16" s="14" t="s">
        <v>471</v>
      </c>
      <c r="L16" s="14" t="s">
        <v>341</v>
      </c>
      <c r="M16" s="16" t="s">
        <v>3382</v>
      </c>
      <c r="N16" s="14"/>
      <c r="O16" s="14" t="s">
        <v>3376</v>
      </c>
      <c r="P16" s="14">
        <v>160</v>
      </c>
      <c r="Q16" s="14">
        <v>2</v>
      </c>
      <c r="R16" s="14">
        <v>700</v>
      </c>
      <c r="S16" s="14" t="s">
        <v>3383</v>
      </c>
      <c r="T16" s="14" t="s">
        <v>3384</v>
      </c>
      <c r="U16" s="14">
        <v>2.1336111111111098</v>
      </c>
      <c r="V16" s="14">
        <v>2.4750000000000001</v>
      </c>
      <c r="W16" s="14">
        <v>1729</v>
      </c>
      <c r="X16" s="14">
        <v>80</v>
      </c>
      <c r="Y16" s="14">
        <v>1649</v>
      </c>
      <c r="Z16" s="14">
        <v>820</v>
      </c>
      <c r="AA16" s="14">
        <v>406</v>
      </c>
      <c r="AB16" s="14">
        <v>232</v>
      </c>
      <c r="AC16" s="14">
        <v>100</v>
      </c>
      <c r="AD16" s="14">
        <v>82</v>
      </c>
      <c r="AE16" s="14">
        <v>2549</v>
      </c>
      <c r="AF16" s="14">
        <v>5000</v>
      </c>
      <c r="AG16" s="14">
        <v>5465</v>
      </c>
      <c r="AH16" s="14">
        <v>0</v>
      </c>
      <c r="AI16" s="14">
        <v>139</v>
      </c>
      <c r="AJ16" s="14">
        <v>216</v>
      </c>
      <c r="AK16" s="14" t="s">
        <v>3381</v>
      </c>
      <c r="AL16" s="14" t="s">
        <v>3385</v>
      </c>
      <c r="AM16" s="14">
        <v>570.64</v>
      </c>
      <c r="AN16" s="14">
        <v>503.3</v>
      </c>
      <c r="AO16" s="14">
        <v>112.42</v>
      </c>
      <c r="AP16" s="14">
        <v>16574</v>
      </c>
      <c r="AQ16" s="14">
        <v>16494</v>
      </c>
      <c r="AR16" s="14">
        <v>23000</v>
      </c>
      <c r="AS16" s="14">
        <v>14025</v>
      </c>
      <c r="AT16" s="14">
        <v>14845</v>
      </c>
      <c r="AU16" s="14">
        <v>-25</v>
      </c>
      <c r="AV16" s="14">
        <v>312.60000000000002</v>
      </c>
      <c r="AW16" s="14">
        <v>24.22</v>
      </c>
      <c r="AX16" s="14">
        <v>0.61</v>
      </c>
      <c r="AY16" s="14" t="b">
        <v>0</v>
      </c>
    </row>
    <row r="17" spans="1:51" hidden="1" x14ac:dyDescent="0.3">
      <c r="A17" t="str">
        <f>CONCATENATE(I17,E17,LEFT(G17,10))</f>
        <v>HFA108LGAV2026-03-06</v>
      </c>
      <c r="B17" s="14" t="s">
        <v>3355</v>
      </c>
      <c r="C17" s="14" t="s">
        <v>336</v>
      </c>
      <c r="D17" s="14" t="s">
        <v>337</v>
      </c>
      <c r="E17" s="14" t="s">
        <v>48</v>
      </c>
      <c r="F17" s="14" t="s">
        <v>83</v>
      </c>
      <c r="G17" s="14" t="s">
        <v>3356</v>
      </c>
      <c r="H17" s="14" t="s">
        <v>339</v>
      </c>
      <c r="I17" s="14" t="s">
        <v>228</v>
      </c>
      <c r="J17" s="14" t="s">
        <v>87</v>
      </c>
      <c r="K17" s="14" t="s">
        <v>471</v>
      </c>
      <c r="L17" s="14" t="s">
        <v>341</v>
      </c>
      <c r="M17" s="16" t="s">
        <v>3357</v>
      </c>
      <c r="N17" s="14"/>
      <c r="O17" s="14" t="s">
        <v>3358</v>
      </c>
      <c r="P17" s="14">
        <v>190</v>
      </c>
      <c r="Q17" s="14">
        <v>2</v>
      </c>
      <c r="R17" s="14">
        <v>6500</v>
      </c>
      <c r="S17" s="14" t="s">
        <v>3359</v>
      </c>
      <c r="T17" s="14" t="s">
        <v>3360</v>
      </c>
      <c r="U17" s="14">
        <v>2.51972222222222</v>
      </c>
      <c r="V17" s="14">
        <v>2.7663888888888799</v>
      </c>
      <c r="W17" s="14">
        <v>1787</v>
      </c>
      <c r="X17" s="14">
        <v>80</v>
      </c>
      <c r="Y17" s="14">
        <v>1707</v>
      </c>
      <c r="Z17" s="14">
        <v>1213</v>
      </c>
      <c r="AA17" s="14">
        <v>740</v>
      </c>
      <c r="AB17" s="14">
        <v>282</v>
      </c>
      <c r="AC17" s="14">
        <v>106</v>
      </c>
      <c r="AD17" s="14">
        <v>85</v>
      </c>
      <c r="AE17" s="14">
        <v>3000</v>
      </c>
      <c r="AF17" s="14">
        <v>5000</v>
      </c>
      <c r="AG17" s="14">
        <v>5647</v>
      </c>
      <c r="AH17" s="14">
        <v>0</v>
      </c>
      <c r="AI17" s="14">
        <v>149</v>
      </c>
      <c r="AJ17" s="14">
        <v>257</v>
      </c>
      <c r="AK17" s="14" t="s">
        <v>3356</v>
      </c>
      <c r="AL17" s="14" t="s">
        <v>3361</v>
      </c>
      <c r="AM17" s="14">
        <v>684.93</v>
      </c>
      <c r="AN17" s="14">
        <v>645.11</v>
      </c>
      <c r="AO17" s="14">
        <v>215.32</v>
      </c>
      <c r="AP17" s="14">
        <v>22825</v>
      </c>
      <c r="AQ17" s="14">
        <v>22745</v>
      </c>
      <c r="AR17" s="14">
        <v>23000</v>
      </c>
      <c r="AS17" s="14">
        <v>19825</v>
      </c>
      <c r="AT17" s="14">
        <v>21038</v>
      </c>
      <c r="AU17" s="14">
        <v>21</v>
      </c>
      <c r="AV17" s="14">
        <v>316.17</v>
      </c>
      <c r="AW17" s="14">
        <v>26.54</v>
      </c>
      <c r="AX17" s="14">
        <v>1.59</v>
      </c>
      <c r="AY17" s="14" t="b">
        <v>0</v>
      </c>
    </row>
    <row r="18" spans="1:51" hidden="1" x14ac:dyDescent="0.3">
      <c r="A18" t="str">
        <f>CONCATENATE(I18,E18,LEFT(G18,10))</f>
        <v>HFA109LLBG2026-03-06</v>
      </c>
      <c r="B18" s="14" t="s">
        <v>3324</v>
      </c>
      <c r="C18" s="14" t="s">
        <v>336</v>
      </c>
      <c r="D18" s="14" t="s">
        <v>337</v>
      </c>
      <c r="E18" s="14" t="s">
        <v>83</v>
      </c>
      <c r="F18" s="14" t="s">
        <v>87</v>
      </c>
      <c r="G18" s="14" t="s">
        <v>3325</v>
      </c>
      <c r="H18" s="14" t="s">
        <v>393</v>
      </c>
      <c r="I18" s="14" t="s">
        <v>122</v>
      </c>
      <c r="J18" s="14" t="s">
        <v>69</v>
      </c>
      <c r="K18" s="14" t="s">
        <v>471</v>
      </c>
      <c r="L18" s="14" t="s">
        <v>341</v>
      </c>
      <c r="M18" s="16" t="s">
        <v>1646</v>
      </c>
      <c r="N18" s="14" t="s">
        <v>768</v>
      </c>
      <c r="O18" s="14" t="s">
        <v>1854</v>
      </c>
      <c r="P18" s="14">
        <v>160</v>
      </c>
      <c r="Q18" s="14">
        <v>2</v>
      </c>
      <c r="R18" s="14">
        <v>700</v>
      </c>
      <c r="S18" s="14" t="s">
        <v>3326</v>
      </c>
      <c r="T18" s="14" t="s">
        <v>3327</v>
      </c>
      <c r="U18" s="14">
        <v>1.1299999999999999</v>
      </c>
      <c r="V18" s="14">
        <v>1.72027777777777</v>
      </c>
      <c r="W18" s="14">
        <v>1061</v>
      </c>
      <c r="X18" s="14">
        <v>80</v>
      </c>
      <c r="Y18" s="14">
        <v>981</v>
      </c>
      <c r="Z18" s="14">
        <v>615</v>
      </c>
      <c r="AA18" s="14">
        <v>335</v>
      </c>
      <c r="AB18" s="14">
        <v>231</v>
      </c>
      <c r="AC18" s="14">
        <v>0</v>
      </c>
      <c r="AD18" s="14">
        <v>49</v>
      </c>
      <c r="AE18" s="14">
        <v>1677</v>
      </c>
      <c r="AF18" s="14">
        <v>5000</v>
      </c>
      <c r="AG18" s="14">
        <v>3354</v>
      </c>
      <c r="AH18" s="14">
        <v>0</v>
      </c>
      <c r="AI18" s="14">
        <v>75</v>
      </c>
      <c r="AJ18" s="14">
        <v>132</v>
      </c>
      <c r="AK18" s="14" t="s">
        <v>3325</v>
      </c>
      <c r="AL18" s="14" t="s">
        <v>3328</v>
      </c>
      <c r="AM18" s="14">
        <v>299.85000000000002</v>
      </c>
      <c r="AN18" s="14">
        <v>183.03</v>
      </c>
      <c r="AO18" s="14">
        <v>73.5</v>
      </c>
      <c r="AP18" s="14">
        <v>15688</v>
      </c>
      <c r="AQ18" s="14">
        <v>15608</v>
      </c>
      <c r="AR18" s="14">
        <v>23000</v>
      </c>
      <c r="AS18" s="14">
        <v>14011</v>
      </c>
      <c r="AT18" s="14">
        <v>14626</v>
      </c>
      <c r="AU18" s="14">
        <v>-20</v>
      </c>
      <c r="AV18" s="14">
        <v>297.52999999999997</v>
      </c>
      <c r="AW18" s="14">
        <v>28.6</v>
      </c>
      <c r="AX18" s="14">
        <v>2.2000000000000002</v>
      </c>
      <c r="AY18" s="14" t="b">
        <v>0</v>
      </c>
    </row>
    <row r="19" spans="1:51" hidden="1" x14ac:dyDescent="0.3">
      <c r="A19" t="str">
        <f>CONCATENATE(I19,E19,LEFT(G19,10))</f>
        <v>HFA110ALCLK2026-03-06</v>
      </c>
      <c r="B19" s="14" t="s">
        <v>3373</v>
      </c>
      <c r="C19" s="14" t="s">
        <v>336</v>
      </c>
      <c r="D19" s="14" t="s">
        <v>337</v>
      </c>
      <c r="E19" s="14" t="s">
        <v>87</v>
      </c>
      <c r="F19" s="14" t="s">
        <v>48</v>
      </c>
      <c r="G19" s="14" t="s">
        <v>3374</v>
      </c>
      <c r="H19" s="14" t="s">
        <v>393</v>
      </c>
      <c r="I19" s="14" t="s">
        <v>120</v>
      </c>
      <c r="J19" s="14" t="s">
        <v>751</v>
      </c>
      <c r="K19" s="14" t="s">
        <v>471</v>
      </c>
      <c r="L19" s="14" t="s">
        <v>341</v>
      </c>
      <c r="M19" s="16" t="s">
        <v>3375</v>
      </c>
      <c r="N19" s="14"/>
      <c r="O19" s="14" t="s">
        <v>3376</v>
      </c>
      <c r="P19" s="14">
        <v>160</v>
      </c>
      <c r="Q19" s="14">
        <v>2</v>
      </c>
      <c r="R19" s="14">
        <v>500</v>
      </c>
      <c r="S19" s="14" t="s">
        <v>3377</v>
      </c>
      <c r="T19" s="14" t="s">
        <v>3378</v>
      </c>
      <c r="U19" s="14">
        <v>2.2127777777777702</v>
      </c>
      <c r="V19" s="14">
        <v>2.4883333333333302</v>
      </c>
      <c r="W19" s="14">
        <v>1876</v>
      </c>
      <c r="X19" s="14">
        <v>80</v>
      </c>
      <c r="Y19" s="14">
        <v>1796</v>
      </c>
      <c r="Z19" s="14">
        <v>821</v>
      </c>
      <c r="AA19" s="14">
        <v>421</v>
      </c>
      <c r="AB19" s="14">
        <v>230</v>
      </c>
      <c r="AC19" s="14">
        <v>80</v>
      </c>
      <c r="AD19" s="14">
        <v>90</v>
      </c>
      <c r="AE19" s="14">
        <v>2697</v>
      </c>
      <c r="AF19" s="14">
        <v>5000</v>
      </c>
      <c r="AG19" s="14">
        <v>5930</v>
      </c>
      <c r="AH19" s="14">
        <v>0</v>
      </c>
      <c r="AI19" s="14">
        <v>138</v>
      </c>
      <c r="AJ19" s="14">
        <v>213</v>
      </c>
      <c r="AK19" s="14" t="s">
        <v>3374</v>
      </c>
      <c r="AL19" s="14" t="s">
        <v>3379</v>
      </c>
      <c r="AM19" s="14">
        <v>570.64</v>
      </c>
      <c r="AN19" s="14">
        <v>503.3</v>
      </c>
      <c r="AO19" s="14">
        <v>112.42</v>
      </c>
      <c r="AP19" s="14">
        <v>16508</v>
      </c>
      <c r="AQ19" s="14">
        <v>16428</v>
      </c>
      <c r="AR19" s="14">
        <v>23000</v>
      </c>
      <c r="AS19" s="14">
        <v>13811</v>
      </c>
      <c r="AT19" s="14">
        <v>14632</v>
      </c>
      <c r="AU19" s="14">
        <v>-23</v>
      </c>
      <c r="AV19" s="14">
        <v>315.27999999999997</v>
      </c>
      <c r="AW19" s="14">
        <v>22.85</v>
      </c>
      <c r="AX19" s="14">
        <v>0.72</v>
      </c>
      <c r="AY19" s="14" t="b">
        <v>0</v>
      </c>
    </row>
    <row r="20" spans="1:51" hidden="1" x14ac:dyDescent="0.3">
      <c r="A20" t="str">
        <f>CONCATENATE(I20,E20,LEFT(G20,10))</f>
        <v>HFA110LGAV2026-03-06</v>
      </c>
      <c r="B20" s="14" t="s">
        <v>3348</v>
      </c>
      <c r="C20" s="14" t="s">
        <v>336</v>
      </c>
      <c r="D20" s="14" t="s">
        <v>337</v>
      </c>
      <c r="E20" s="14" t="s">
        <v>48</v>
      </c>
      <c r="F20" s="14" t="s">
        <v>83</v>
      </c>
      <c r="G20" s="14" t="s">
        <v>3349</v>
      </c>
      <c r="H20" s="14" t="s">
        <v>393</v>
      </c>
      <c r="I20" s="14" t="s">
        <v>121</v>
      </c>
      <c r="J20" s="14" t="s">
        <v>87</v>
      </c>
      <c r="K20" s="14" t="s">
        <v>471</v>
      </c>
      <c r="L20" s="14" t="s">
        <v>341</v>
      </c>
      <c r="M20" s="16" t="s">
        <v>3350</v>
      </c>
      <c r="N20" s="14"/>
      <c r="O20" s="14" t="s">
        <v>3351</v>
      </c>
      <c r="P20" s="14">
        <v>190</v>
      </c>
      <c r="Q20" s="14">
        <v>2</v>
      </c>
      <c r="R20" s="14">
        <v>5900</v>
      </c>
      <c r="S20" s="14" t="s">
        <v>3352</v>
      </c>
      <c r="T20" s="14" t="s">
        <v>3353</v>
      </c>
      <c r="U20" s="14">
        <v>2.53861111111111</v>
      </c>
      <c r="V20" s="14">
        <v>2.7952777777777702</v>
      </c>
      <c r="W20" s="14">
        <v>1886</v>
      </c>
      <c r="X20" s="14">
        <v>80</v>
      </c>
      <c r="Y20" s="14">
        <v>1806</v>
      </c>
      <c r="Z20" s="14">
        <v>1514</v>
      </c>
      <c r="AA20" s="14">
        <v>756</v>
      </c>
      <c r="AB20" s="14">
        <v>279</v>
      </c>
      <c r="AC20" s="14">
        <v>389</v>
      </c>
      <c r="AD20" s="14">
        <v>90</v>
      </c>
      <c r="AE20" s="14">
        <v>3400</v>
      </c>
      <c r="AF20" s="14">
        <v>5000</v>
      </c>
      <c r="AG20" s="14">
        <v>5959</v>
      </c>
      <c r="AH20" s="14">
        <v>0</v>
      </c>
      <c r="AI20" s="14">
        <v>146</v>
      </c>
      <c r="AJ20" s="14">
        <v>279</v>
      </c>
      <c r="AK20" s="14" t="s">
        <v>3349</v>
      </c>
      <c r="AL20" s="14" t="s">
        <v>3354</v>
      </c>
      <c r="AM20" s="14">
        <v>671.54</v>
      </c>
      <c r="AN20" s="14">
        <v>645.11</v>
      </c>
      <c r="AO20" s="14">
        <v>215.32</v>
      </c>
      <c r="AP20" s="14">
        <v>22611</v>
      </c>
      <c r="AQ20" s="14">
        <v>22531</v>
      </c>
      <c r="AR20" s="14">
        <v>23000</v>
      </c>
      <c r="AS20" s="14">
        <v>19211</v>
      </c>
      <c r="AT20" s="14">
        <v>20725</v>
      </c>
      <c r="AU20" s="14">
        <v>21</v>
      </c>
      <c r="AV20" s="14">
        <v>319.24</v>
      </c>
      <c r="AW20" s="14">
        <v>25.74</v>
      </c>
      <c r="AX20" s="14">
        <v>1.63</v>
      </c>
      <c r="AY20" s="14" t="b">
        <v>0</v>
      </c>
    </row>
    <row r="21" spans="1:51" hidden="1" x14ac:dyDescent="0.3">
      <c r="A21" t="str">
        <f>CONCATENATE(I21,E21,LEFT(G21,10))</f>
        <v>HFA111LLBG2026-03-06</v>
      </c>
      <c r="B21" s="14" t="s">
        <v>3313</v>
      </c>
      <c r="C21" s="14" t="s">
        <v>336</v>
      </c>
      <c r="D21" s="14" t="s">
        <v>337</v>
      </c>
      <c r="E21" s="14" t="s">
        <v>83</v>
      </c>
      <c r="F21" s="14" t="s">
        <v>87</v>
      </c>
      <c r="G21" s="14" t="s">
        <v>3314</v>
      </c>
      <c r="H21" s="14" t="s">
        <v>357</v>
      </c>
      <c r="I21" s="14" t="s">
        <v>181</v>
      </c>
      <c r="J21" s="14" t="s">
        <v>69</v>
      </c>
      <c r="K21" s="14" t="s">
        <v>471</v>
      </c>
      <c r="L21" s="14" t="s">
        <v>341</v>
      </c>
      <c r="M21" s="16" t="s">
        <v>1646</v>
      </c>
      <c r="N21" s="14" t="s">
        <v>473</v>
      </c>
      <c r="O21" s="14" t="s">
        <v>1854</v>
      </c>
      <c r="P21" s="14">
        <v>160</v>
      </c>
      <c r="Q21" s="14">
        <v>2</v>
      </c>
      <c r="R21" s="14">
        <v>700</v>
      </c>
      <c r="S21" s="14" t="s">
        <v>3315</v>
      </c>
      <c r="T21" s="14" t="s">
        <v>3316</v>
      </c>
      <c r="U21" s="14">
        <v>0.96972222222222204</v>
      </c>
      <c r="V21" s="14">
        <v>1.2250000000000001</v>
      </c>
      <c r="W21" s="14">
        <v>944</v>
      </c>
      <c r="X21" s="14">
        <v>80</v>
      </c>
      <c r="Y21" s="14">
        <v>864</v>
      </c>
      <c r="Z21" s="14">
        <v>591</v>
      </c>
      <c r="AA21" s="14">
        <v>318</v>
      </c>
      <c r="AB21" s="14">
        <v>230</v>
      </c>
      <c r="AC21" s="14">
        <v>0</v>
      </c>
      <c r="AD21" s="14">
        <v>43</v>
      </c>
      <c r="AE21" s="14">
        <v>1536</v>
      </c>
      <c r="AF21" s="14">
        <v>5000</v>
      </c>
      <c r="AG21" s="14">
        <v>2985</v>
      </c>
      <c r="AH21" s="14">
        <v>0</v>
      </c>
      <c r="AI21" s="14">
        <v>74</v>
      </c>
      <c r="AJ21" s="14">
        <v>130</v>
      </c>
      <c r="AK21" s="14" t="s">
        <v>3314</v>
      </c>
      <c r="AL21" s="14" t="s">
        <v>3317</v>
      </c>
      <c r="AM21" s="14">
        <v>299.85000000000002</v>
      </c>
      <c r="AN21" s="14">
        <v>183.03</v>
      </c>
      <c r="AO21" s="14">
        <v>73.5</v>
      </c>
      <c r="AP21" s="14">
        <v>15461</v>
      </c>
      <c r="AQ21" s="14">
        <v>15381</v>
      </c>
      <c r="AR21" s="14">
        <v>23000</v>
      </c>
      <c r="AS21" s="14">
        <v>13925</v>
      </c>
      <c r="AT21" s="14">
        <v>14516</v>
      </c>
      <c r="AU21" s="14">
        <v>-17</v>
      </c>
      <c r="AV21" s="14">
        <v>303.60000000000002</v>
      </c>
      <c r="AW21" s="14">
        <v>25.96</v>
      </c>
      <c r="AX21" s="14">
        <v>1.99</v>
      </c>
      <c r="AY21" s="14" t="b">
        <v>0</v>
      </c>
    </row>
    <row r="22" spans="1:51" hidden="1" x14ac:dyDescent="0.3">
      <c r="A22" t="str">
        <f>CONCATENATE(I22,E22,LEFT(G22,10))</f>
        <v>HFA112ALCLK2026-03-06</v>
      </c>
      <c r="B22" s="14" t="s">
        <v>3362</v>
      </c>
      <c r="C22" s="14" t="s">
        <v>336</v>
      </c>
      <c r="D22" s="14" t="s">
        <v>2713</v>
      </c>
      <c r="E22" s="14" t="s">
        <v>87</v>
      </c>
      <c r="F22" s="14" t="s">
        <v>77</v>
      </c>
      <c r="G22" s="14" t="s">
        <v>3363</v>
      </c>
      <c r="H22" s="14" t="s">
        <v>357</v>
      </c>
      <c r="I22" s="14" t="s">
        <v>179</v>
      </c>
      <c r="J22" s="14" t="s">
        <v>759</v>
      </c>
      <c r="K22" s="14" t="s">
        <v>471</v>
      </c>
      <c r="L22" s="14" t="s">
        <v>341</v>
      </c>
      <c r="M22" s="16" t="s">
        <v>3364</v>
      </c>
      <c r="N22" s="14" t="s">
        <v>705</v>
      </c>
      <c r="O22" s="14" t="s">
        <v>3365</v>
      </c>
      <c r="P22" s="14">
        <v>140</v>
      </c>
      <c r="Q22" s="14">
        <v>4</v>
      </c>
      <c r="R22" s="14">
        <v>600</v>
      </c>
      <c r="S22" s="14" t="s">
        <v>3366</v>
      </c>
      <c r="T22" s="14" t="s">
        <v>3367</v>
      </c>
      <c r="U22" s="14">
        <v>3.0102777777777701</v>
      </c>
      <c r="V22" s="14">
        <v>3.2519444444444399</v>
      </c>
      <c r="W22" s="14">
        <v>2424</v>
      </c>
      <c r="X22" s="14">
        <v>80</v>
      </c>
      <c r="Y22" s="14">
        <v>2344</v>
      </c>
      <c r="Z22" s="14">
        <v>798</v>
      </c>
      <c r="AA22" s="14">
        <v>357</v>
      </c>
      <c r="AB22" s="14">
        <v>224</v>
      </c>
      <c r="AC22" s="14">
        <v>100</v>
      </c>
      <c r="AD22" s="14">
        <v>117</v>
      </c>
      <c r="AE22" s="14">
        <v>3222</v>
      </c>
      <c r="AF22" s="14">
        <v>5000</v>
      </c>
      <c r="AG22" s="14">
        <v>7660</v>
      </c>
      <c r="AH22" s="14">
        <v>0</v>
      </c>
      <c r="AI22" s="14">
        <v>192</v>
      </c>
      <c r="AJ22" s="14">
        <v>271</v>
      </c>
      <c r="AK22" s="14" t="s">
        <v>3363</v>
      </c>
      <c r="AL22" s="14" t="s">
        <v>3368</v>
      </c>
      <c r="AM22" s="14">
        <v>825.19</v>
      </c>
      <c r="AN22" s="14">
        <v>669.47</v>
      </c>
      <c r="AO22" s="14">
        <v>102.22</v>
      </c>
      <c r="AP22" s="14">
        <v>17047</v>
      </c>
      <c r="AQ22" s="14">
        <v>16967</v>
      </c>
      <c r="AR22" s="14">
        <v>23000</v>
      </c>
      <c r="AS22" s="14">
        <v>13825</v>
      </c>
      <c r="AT22" s="14">
        <v>14623</v>
      </c>
      <c r="AU22" s="14">
        <v>-18</v>
      </c>
      <c r="AV22" s="14">
        <v>329.11</v>
      </c>
      <c r="AW22" s="14">
        <v>19.3</v>
      </c>
      <c r="AX22" s="14">
        <v>0.61</v>
      </c>
      <c r="AY22" s="14" t="b">
        <v>0</v>
      </c>
    </row>
    <row r="23" spans="1:51" hidden="1" x14ac:dyDescent="0.3">
      <c r="A23" t="str">
        <f>CONCATENATE(I23,E23,LEFT(G23,10))</f>
        <v>HFA112LBSF2026-03-06</v>
      </c>
      <c r="B23" s="14" t="s">
        <v>3329</v>
      </c>
      <c r="C23" s="14" t="s">
        <v>336</v>
      </c>
      <c r="D23" s="14" t="s">
        <v>337</v>
      </c>
      <c r="E23" s="14" t="s">
        <v>77</v>
      </c>
      <c r="F23" s="14" t="s">
        <v>83</v>
      </c>
      <c r="G23" s="14" t="s">
        <v>3330</v>
      </c>
      <c r="H23" s="14" t="s">
        <v>357</v>
      </c>
      <c r="I23" s="14" t="s">
        <v>180</v>
      </c>
      <c r="J23" s="14" t="s">
        <v>87</v>
      </c>
      <c r="K23" s="14" t="s">
        <v>471</v>
      </c>
      <c r="L23" s="14" t="s">
        <v>341</v>
      </c>
      <c r="M23" s="16" t="s">
        <v>1646</v>
      </c>
      <c r="N23" s="14" t="s">
        <v>705</v>
      </c>
      <c r="O23" s="14" t="s">
        <v>3331</v>
      </c>
      <c r="P23" s="14">
        <v>190</v>
      </c>
      <c r="Q23" s="14">
        <v>2</v>
      </c>
      <c r="R23" s="14">
        <v>6500</v>
      </c>
      <c r="S23" s="14" t="s">
        <v>3332</v>
      </c>
      <c r="T23" s="14" t="s">
        <v>3333</v>
      </c>
      <c r="U23" s="14">
        <v>3.3841666666666601</v>
      </c>
      <c r="V23" s="14"/>
      <c r="W23" s="14">
        <v>2114</v>
      </c>
      <c r="X23" s="14">
        <v>80</v>
      </c>
      <c r="Y23" s="14">
        <v>2034</v>
      </c>
      <c r="Z23" s="14">
        <v>1186</v>
      </c>
      <c r="AA23" s="14">
        <v>732</v>
      </c>
      <c r="AB23" s="14">
        <v>281</v>
      </c>
      <c r="AC23" s="14">
        <v>71</v>
      </c>
      <c r="AD23" s="14">
        <v>102</v>
      </c>
      <c r="AE23" s="14">
        <v>3300</v>
      </c>
      <c r="AF23" s="14">
        <v>5000</v>
      </c>
      <c r="AG23" s="14">
        <v>6680</v>
      </c>
      <c r="AH23" s="14">
        <v>0</v>
      </c>
      <c r="AI23" s="14">
        <v>188</v>
      </c>
      <c r="AJ23" s="14">
        <v>296</v>
      </c>
      <c r="AK23" s="14" t="s">
        <v>3330</v>
      </c>
      <c r="AL23" s="14" t="s">
        <v>3334</v>
      </c>
      <c r="AM23" s="14">
        <v>891.8</v>
      </c>
      <c r="AN23" s="14">
        <v>841.87</v>
      </c>
      <c r="AO23" s="14">
        <v>215.32</v>
      </c>
      <c r="AP23" s="14">
        <v>23025</v>
      </c>
      <c r="AQ23" s="14">
        <v>22945</v>
      </c>
      <c r="AR23" s="14">
        <v>23000</v>
      </c>
      <c r="AS23" s="14">
        <v>19725</v>
      </c>
      <c r="AT23" s="14">
        <v>20911</v>
      </c>
      <c r="AU23" s="14">
        <v>27</v>
      </c>
      <c r="AV23" s="14">
        <v>326.16000000000003</v>
      </c>
      <c r="AW23" s="14">
        <v>29.62</v>
      </c>
      <c r="AX23" s="14">
        <v>1.07</v>
      </c>
      <c r="AY23" s="14" t="b">
        <v>0</v>
      </c>
    </row>
    <row r="24" spans="1:51" hidden="1" x14ac:dyDescent="0.3">
      <c r="A24" t="str">
        <f>CONCATENATE(I24,E24,LEFT(G24,10))</f>
        <v>HFA113LLBG2026-03-07</v>
      </c>
      <c r="B24" s="14" t="s">
        <v>3270</v>
      </c>
      <c r="C24" s="14" t="s">
        <v>336</v>
      </c>
      <c r="D24" s="14" t="s">
        <v>337</v>
      </c>
      <c r="E24" s="14" t="s">
        <v>83</v>
      </c>
      <c r="F24" s="14" t="s">
        <v>87</v>
      </c>
      <c r="G24" s="14" t="s">
        <v>3271</v>
      </c>
      <c r="H24" s="14" t="s">
        <v>339</v>
      </c>
      <c r="I24" s="14" t="s">
        <v>231</v>
      </c>
      <c r="J24" s="14" t="s">
        <v>69</v>
      </c>
      <c r="K24" s="14" t="s">
        <v>471</v>
      </c>
      <c r="L24" s="14" t="s">
        <v>341</v>
      </c>
      <c r="M24" s="16" t="s">
        <v>3266</v>
      </c>
      <c r="N24" s="14" t="s">
        <v>768</v>
      </c>
      <c r="O24" s="14" t="s">
        <v>1854</v>
      </c>
      <c r="P24" s="14">
        <v>160</v>
      </c>
      <c r="Q24" s="14">
        <v>2</v>
      </c>
      <c r="R24" s="14">
        <v>700</v>
      </c>
      <c r="S24" s="14" t="s">
        <v>3272</v>
      </c>
      <c r="T24" s="14" t="s">
        <v>3273</v>
      </c>
      <c r="U24" s="14">
        <v>1.0791666666666599</v>
      </c>
      <c r="V24" s="14">
        <v>1.37194444444444</v>
      </c>
      <c r="W24" s="14">
        <v>958</v>
      </c>
      <c r="X24" s="14">
        <v>80</v>
      </c>
      <c r="Y24" s="14">
        <v>878</v>
      </c>
      <c r="Z24" s="14">
        <v>701</v>
      </c>
      <c r="AA24" s="14">
        <v>325</v>
      </c>
      <c r="AB24" s="14">
        <v>232</v>
      </c>
      <c r="AC24" s="14">
        <v>100</v>
      </c>
      <c r="AD24" s="14">
        <v>44</v>
      </c>
      <c r="AE24" s="14">
        <v>1659</v>
      </c>
      <c r="AF24" s="14">
        <v>5000</v>
      </c>
      <c r="AG24" s="14">
        <v>3028</v>
      </c>
      <c r="AH24" s="14">
        <v>0</v>
      </c>
      <c r="AI24" s="14">
        <v>74</v>
      </c>
      <c r="AJ24" s="14">
        <v>139</v>
      </c>
      <c r="AK24" s="14" t="s">
        <v>3271</v>
      </c>
      <c r="AL24" s="14" t="s">
        <v>3274</v>
      </c>
      <c r="AM24" s="14">
        <v>299.85000000000002</v>
      </c>
      <c r="AN24" s="14">
        <v>183.03</v>
      </c>
      <c r="AO24" s="14">
        <v>73.5</v>
      </c>
      <c r="AP24" s="14">
        <v>15684</v>
      </c>
      <c r="AQ24" s="14">
        <v>15604</v>
      </c>
      <c r="AR24" s="14">
        <v>23000</v>
      </c>
      <c r="AS24" s="14">
        <v>14025</v>
      </c>
      <c r="AT24" s="14">
        <v>14726</v>
      </c>
      <c r="AU24" s="14">
        <v>-16</v>
      </c>
      <c r="AV24" s="14">
        <v>294.64</v>
      </c>
      <c r="AW24" s="14">
        <v>39.21</v>
      </c>
      <c r="AX24" s="14">
        <v>0.35</v>
      </c>
      <c r="AY24" s="14" t="b">
        <v>0</v>
      </c>
    </row>
    <row r="25" spans="1:51" hidden="1" x14ac:dyDescent="0.3">
      <c r="A25" t="str">
        <f>CONCATENATE(I25,E25,LEFT(G25,10))</f>
        <v>HFA114LCLK2026-03-07</v>
      </c>
      <c r="B25" s="14" t="s">
        <v>3300</v>
      </c>
      <c r="C25" s="14" t="s">
        <v>336</v>
      </c>
      <c r="D25" s="14" t="s">
        <v>337</v>
      </c>
      <c r="E25" s="14" t="s">
        <v>87</v>
      </c>
      <c r="F25" s="14" t="s">
        <v>83</v>
      </c>
      <c r="G25" s="14" t="s">
        <v>3301</v>
      </c>
      <c r="H25" s="14" t="s">
        <v>339</v>
      </c>
      <c r="I25" s="14" t="s">
        <v>230</v>
      </c>
      <c r="J25" s="14" t="s">
        <v>87</v>
      </c>
      <c r="K25" s="14" t="s">
        <v>471</v>
      </c>
      <c r="L25" s="14" t="s">
        <v>341</v>
      </c>
      <c r="M25" s="16" t="s">
        <v>3302</v>
      </c>
      <c r="N25" s="14" t="s">
        <v>768</v>
      </c>
      <c r="O25" s="14" t="s">
        <v>817</v>
      </c>
      <c r="P25" s="14">
        <v>150</v>
      </c>
      <c r="Q25" s="14">
        <v>2</v>
      </c>
      <c r="R25" s="14">
        <v>6800</v>
      </c>
      <c r="S25" s="14" t="s">
        <v>3303</v>
      </c>
      <c r="T25" s="14" t="s">
        <v>3304</v>
      </c>
      <c r="U25" s="14">
        <v>0.94611111111111101</v>
      </c>
      <c r="V25" s="14">
        <v>1.2250000000000001</v>
      </c>
      <c r="W25" s="14">
        <v>848</v>
      </c>
      <c r="X25" s="14">
        <v>80</v>
      </c>
      <c r="Y25" s="14">
        <v>768</v>
      </c>
      <c r="Z25" s="14">
        <v>1652</v>
      </c>
      <c r="AA25" s="14">
        <v>771</v>
      </c>
      <c r="AB25" s="14">
        <v>290</v>
      </c>
      <c r="AC25" s="14">
        <v>543</v>
      </c>
      <c r="AD25" s="14">
        <v>48</v>
      </c>
      <c r="AE25" s="14">
        <v>2500</v>
      </c>
      <c r="AF25" s="14">
        <v>5000</v>
      </c>
      <c r="AG25" s="14">
        <v>2679</v>
      </c>
      <c r="AH25" s="14">
        <v>0</v>
      </c>
      <c r="AI25" s="14">
        <v>62</v>
      </c>
      <c r="AJ25" s="14">
        <v>199</v>
      </c>
      <c r="AK25" s="14" t="s">
        <v>3301</v>
      </c>
      <c r="AL25" s="14" t="s">
        <v>3305</v>
      </c>
      <c r="AM25" s="14">
        <v>264.72000000000003</v>
      </c>
      <c r="AN25" s="14">
        <v>183.03</v>
      </c>
      <c r="AO25" s="14">
        <v>215.31</v>
      </c>
      <c r="AP25" s="14">
        <v>22625</v>
      </c>
      <c r="AQ25" s="14">
        <v>22545</v>
      </c>
      <c r="AR25" s="14">
        <v>23000</v>
      </c>
      <c r="AS25" s="14">
        <v>20125</v>
      </c>
      <c r="AT25" s="14">
        <v>21777</v>
      </c>
      <c r="AU25" s="14">
        <v>13</v>
      </c>
      <c r="AV25" s="14">
        <v>294.08</v>
      </c>
      <c r="AW25" s="14">
        <v>37.049999999999997</v>
      </c>
      <c r="AX25" s="14">
        <v>-0.16</v>
      </c>
      <c r="AY25" s="14" t="b">
        <v>0</v>
      </c>
    </row>
    <row r="26" spans="1:51" hidden="1" x14ac:dyDescent="0.3">
      <c r="A26" t="str">
        <f>CONCATENATE(I26,E26,LEFT(G26,10))</f>
        <v>HFA115LLBG2026-03-07</v>
      </c>
      <c r="B26" s="14" t="s">
        <v>3241</v>
      </c>
      <c r="C26" s="14" t="s">
        <v>336</v>
      </c>
      <c r="D26" s="14" t="s">
        <v>337</v>
      </c>
      <c r="E26" s="14" t="s">
        <v>83</v>
      </c>
      <c r="F26" s="14" t="s">
        <v>87</v>
      </c>
      <c r="G26" s="14" t="s">
        <v>3242</v>
      </c>
      <c r="H26" s="14" t="s">
        <v>371</v>
      </c>
      <c r="I26" s="14" t="s">
        <v>143</v>
      </c>
      <c r="J26" s="14" t="s">
        <v>69</v>
      </c>
      <c r="K26" s="14" t="s">
        <v>471</v>
      </c>
      <c r="L26" s="14" t="s">
        <v>341</v>
      </c>
      <c r="M26" s="16" t="s">
        <v>3243</v>
      </c>
      <c r="N26" s="14" t="s">
        <v>768</v>
      </c>
      <c r="O26" s="14" t="s">
        <v>1854</v>
      </c>
      <c r="P26" s="14">
        <v>160</v>
      </c>
      <c r="Q26" s="14">
        <v>2</v>
      </c>
      <c r="R26" s="14">
        <v>700</v>
      </c>
      <c r="S26" s="14" t="s">
        <v>3244</v>
      </c>
      <c r="T26" s="14" t="s">
        <v>3245</v>
      </c>
      <c r="U26" s="14">
        <v>1.2266666666666599</v>
      </c>
      <c r="V26" s="14">
        <v>1.57833333333333</v>
      </c>
      <c r="W26" s="14">
        <v>1034</v>
      </c>
      <c r="X26" s="14">
        <v>80</v>
      </c>
      <c r="Y26" s="14">
        <v>954</v>
      </c>
      <c r="Z26" s="14">
        <v>666</v>
      </c>
      <c r="AA26" s="14">
        <v>325</v>
      </c>
      <c r="AB26" s="14">
        <v>233</v>
      </c>
      <c r="AC26" s="14">
        <v>61</v>
      </c>
      <c r="AD26" s="14">
        <v>48</v>
      </c>
      <c r="AE26" s="14">
        <v>1700</v>
      </c>
      <c r="AF26" s="14">
        <v>5000</v>
      </c>
      <c r="AG26" s="14">
        <v>3266</v>
      </c>
      <c r="AH26" s="14">
        <v>0</v>
      </c>
      <c r="AI26" s="14">
        <v>79</v>
      </c>
      <c r="AJ26" s="14">
        <v>141</v>
      </c>
      <c r="AK26" s="14" t="s">
        <v>3242</v>
      </c>
      <c r="AL26" s="14" t="s">
        <v>3246</v>
      </c>
      <c r="AM26" s="14">
        <v>299.85000000000002</v>
      </c>
      <c r="AN26" s="14">
        <v>183.03</v>
      </c>
      <c r="AO26" s="14">
        <v>73.5</v>
      </c>
      <c r="AP26" s="14">
        <v>15900</v>
      </c>
      <c r="AQ26" s="14">
        <v>15820</v>
      </c>
      <c r="AR26" s="14">
        <v>23000</v>
      </c>
      <c r="AS26" s="14">
        <v>14200</v>
      </c>
      <c r="AT26" s="14">
        <v>14866</v>
      </c>
      <c r="AU26" s="14">
        <v>-33</v>
      </c>
      <c r="AV26" s="14">
        <v>320.54000000000002</v>
      </c>
      <c r="AW26" s="14">
        <v>39.51</v>
      </c>
      <c r="AX26" s="14">
        <v>2.04</v>
      </c>
      <c r="AY26" s="14" t="b">
        <v>0</v>
      </c>
    </row>
    <row r="27" spans="1:51" hidden="1" x14ac:dyDescent="0.3">
      <c r="A27" t="str">
        <f>CONCATENATE(I27,E27,LEFT(G27,10))</f>
        <v>HFA116LCLK2026-03-07</v>
      </c>
      <c r="B27" s="14" t="s">
        <v>3275</v>
      </c>
      <c r="C27" s="14" t="s">
        <v>336</v>
      </c>
      <c r="D27" s="14" t="s">
        <v>337</v>
      </c>
      <c r="E27" s="14" t="s">
        <v>87</v>
      </c>
      <c r="F27" s="14" t="s">
        <v>83</v>
      </c>
      <c r="G27" s="14" t="s">
        <v>3276</v>
      </c>
      <c r="H27" s="14" t="s">
        <v>371</v>
      </c>
      <c r="I27" s="14" t="s">
        <v>142</v>
      </c>
      <c r="J27" s="14" t="s">
        <v>87</v>
      </c>
      <c r="K27" s="14" t="s">
        <v>471</v>
      </c>
      <c r="L27" s="14" t="s">
        <v>341</v>
      </c>
      <c r="M27" s="16" t="s">
        <v>3277</v>
      </c>
      <c r="N27" s="14" t="s">
        <v>768</v>
      </c>
      <c r="O27" s="14" t="s">
        <v>817</v>
      </c>
      <c r="P27" s="14">
        <v>150</v>
      </c>
      <c r="Q27" s="14">
        <v>2</v>
      </c>
      <c r="R27" s="14">
        <v>7200</v>
      </c>
      <c r="S27" s="14" t="s">
        <v>3278</v>
      </c>
      <c r="T27" s="14" t="s">
        <v>3279</v>
      </c>
      <c r="U27" s="14">
        <v>0.88333333333333297</v>
      </c>
      <c r="V27" s="14">
        <v>1.0236111111111099</v>
      </c>
      <c r="W27" s="14">
        <v>862</v>
      </c>
      <c r="X27" s="14">
        <v>80</v>
      </c>
      <c r="Y27" s="14">
        <v>782</v>
      </c>
      <c r="Z27" s="14">
        <v>1238</v>
      </c>
      <c r="AA27" s="14">
        <v>775</v>
      </c>
      <c r="AB27" s="14">
        <v>292</v>
      </c>
      <c r="AC27" s="14">
        <v>123</v>
      </c>
      <c r="AD27" s="14">
        <v>49</v>
      </c>
      <c r="AE27" s="14">
        <v>2100</v>
      </c>
      <c r="AF27" s="14">
        <v>5000</v>
      </c>
      <c r="AG27" s="14">
        <v>2722</v>
      </c>
      <c r="AH27" s="14">
        <v>0</v>
      </c>
      <c r="AI27" s="14">
        <v>61</v>
      </c>
      <c r="AJ27" s="14">
        <v>164</v>
      </c>
      <c r="AK27" s="14" t="s">
        <v>3276</v>
      </c>
      <c r="AL27" s="14" t="s">
        <v>3280</v>
      </c>
      <c r="AM27" s="14">
        <v>264.72000000000003</v>
      </c>
      <c r="AN27" s="14">
        <v>183.03</v>
      </c>
      <c r="AO27" s="14">
        <v>215.32</v>
      </c>
      <c r="AP27" s="14">
        <v>22800</v>
      </c>
      <c r="AQ27" s="14">
        <v>22720</v>
      </c>
      <c r="AR27" s="14">
        <v>23000</v>
      </c>
      <c r="AS27" s="14">
        <v>20700</v>
      </c>
      <c r="AT27" s="14">
        <v>21938</v>
      </c>
      <c r="AU27" s="14">
        <v>15</v>
      </c>
      <c r="AV27" s="14">
        <v>294.47000000000003</v>
      </c>
      <c r="AW27" s="14">
        <v>38.36</v>
      </c>
      <c r="AX27" s="14">
        <v>-0.64</v>
      </c>
      <c r="AY27" s="14" t="b">
        <v>0</v>
      </c>
    </row>
    <row r="28" spans="1:51" hidden="1" x14ac:dyDescent="0.3">
      <c r="A28" t="str">
        <f>CONCATENATE(I28,E28,LEFT(G28,10))</f>
        <v>HFA117LLBG2026-03-07</v>
      </c>
      <c r="B28" s="14" t="s">
        <v>3264</v>
      </c>
      <c r="C28" s="14" t="s">
        <v>336</v>
      </c>
      <c r="D28" s="14" t="s">
        <v>337</v>
      </c>
      <c r="E28" s="14" t="s">
        <v>83</v>
      </c>
      <c r="F28" s="14" t="s">
        <v>87</v>
      </c>
      <c r="G28" s="14" t="s">
        <v>3265</v>
      </c>
      <c r="H28" s="14" t="s">
        <v>393</v>
      </c>
      <c r="I28" s="14" t="s">
        <v>124</v>
      </c>
      <c r="J28" s="14" t="s">
        <v>69</v>
      </c>
      <c r="K28" s="14" t="s">
        <v>471</v>
      </c>
      <c r="L28" s="14" t="s">
        <v>341</v>
      </c>
      <c r="M28" s="16" t="s">
        <v>3266</v>
      </c>
      <c r="N28" s="14" t="s">
        <v>768</v>
      </c>
      <c r="O28" s="14" t="s">
        <v>1854</v>
      </c>
      <c r="P28" s="14">
        <v>160</v>
      </c>
      <c r="Q28" s="14">
        <v>2</v>
      </c>
      <c r="R28" s="14">
        <v>700</v>
      </c>
      <c r="S28" s="14" t="s">
        <v>3267</v>
      </c>
      <c r="T28" s="14" t="s">
        <v>3268</v>
      </c>
      <c r="U28" s="14">
        <v>1.0447222222222201</v>
      </c>
      <c r="V28" s="14">
        <v>1.25027777777777</v>
      </c>
      <c r="W28" s="14">
        <v>1061</v>
      </c>
      <c r="X28" s="14">
        <v>80</v>
      </c>
      <c r="Y28" s="14">
        <v>981</v>
      </c>
      <c r="Z28" s="14">
        <v>722</v>
      </c>
      <c r="AA28" s="14">
        <v>341</v>
      </c>
      <c r="AB28" s="14">
        <v>232</v>
      </c>
      <c r="AC28" s="14">
        <v>100</v>
      </c>
      <c r="AD28" s="14">
        <v>49</v>
      </c>
      <c r="AE28" s="14">
        <v>1783</v>
      </c>
      <c r="AF28" s="14">
        <v>5000</v>
      </c>
      <c r="AG28" s="14">
        <v>3353</v>
      </c>
      <c r="AH28" s="14">
        <v>0</v>
      </c>
      <c r="AI28" s="14">
        <v>74</v>
      </c>
      <c r="AJ28" s="14">
        <v>139</v>
      </c>
      <c r="AK28" s="14" t="s">
        <v>3265</v>
      </c>
      <c r="AL28" s="14" t="s">
        <v>3269</v>
      </c>
      <c r="AM28" s="14">
        <v>299.85000000000002</v>
      </c>
      <c r="AN28" s="14">
        <v>183.03</v>
      </c>
      <c r="AO28" s="14">
        <v>73.5</v>
      </c>
      <c r="AP28" s="14">
        <v>15794</v>
      </c>
      <c r="AQ28" s="14">
        <v>15714</v>
      </c>
      <c r="AR28" s="14">
        <v>23000</v>
      </c>
      <c r="AS28" s="14">
        <v>14011</v>
      </c>
      <c r="AT28" s="14">
        <v>14733</v>
      </c>
      <c r="AU28" s="14">
        <v>-17</v>
      </c>
      <c r="AV28" s="14">
        <v>294.60000000000002</v>
      </c>
      <c r="AW28" s="14">
        <v>39.18</v>
      </c>
      <c r="AX28" s="14">
        <v>0.27</v>
      </c>
      <c r="AY28" s="14" t="b">
        <v>0</v>
      </c>
    </row>
    <row r="29" spans="1:51" hidden="1" x14ac:dyDescent="0.3">
      <c r="A29" t="str">
        <f>CONCATENATE(I29,E29,LEFT(G29,10))</f>
        <v>HFA118LCLK2026-03-07</v>
      </c>
      <c r="B29" s="14" t="s">
        <v>3281</v>
      </c>
      <c r="C29" s="14" t="s">
        <v>336</v>
      </c>
      <c r="D29" s="14" t="s">
        <v>337</v>
      </c>
      <c r="E29" s="14" t="s">
        <v>87</v>
      </c>
      <c r="F29" s="14" t="s">
        <v>83</v>
      </c>
      <c r="G29" s="14" t="s">
        <v>3282</v>
      </c>
      <c r="H29" s="14" t="s">
        <v>393</v>
      </c>
      <c r="I29" s="14" t="s">
        <v>123</v>
      </c>
      <c r="J29" s="14" t="s">
        <v>87</v>
      </c>
      <c r="K29" s="14" t="s">
        <v>471</v>
      </c>
      <c r="L29" s="14" t="s">
        <v>341</v>
      </c>
      <c r="M29" s="16" t="s">
        <v>3283</v>
      </c>
      <c r="N29" s="14" t="s">
        <v>768</v>
      </c>
      <c r="O29" s="14" t="s">
        <v>817</v>
      </c>
      <c r="P29" s="14">
        <v>150</v>
      </c>
      <c r="Q29" s="14">
        <v>2</v>
      </c>
      <c r="R29" s="14">
        <v>6500</v>
      </c>
      <c r="S29" s="14" t="s">
        <v>3284</v>
      </c>
      <c r="T29" s="14" t="s">
        <v>3285</v>
      </c>
      <c r="U29" s="14">
        <v>0.97611111111111104</v>
      </c>
      <c r="V29" s="14">
        <v>1.14472222222222</v>
      </c>
      <c r="W29" s="14">
        <v>928</v>
      </c>
      <c r="X29" s="14">
        <v>80</v>
      </c>
      <c r="Y29" s="14">
        <v>848</v>
      </c>
      <c r="Z29" s="14">
        <v>1772</v>
      </c>
      <c r="AA29" s="14">
        <v>775</v>
      </c>
      <c r="AB29" s="14">
        <v>288</v>
      </c>
      <c r="AC29" s="14">
        <v>661</v>
      </c>
      <c r="AD29" s="14">
        <v>48</v>
      </c>
      <c r="AE29" s="14">
        <v>2700</v>
      </c>
      <c r="AF29" s="14">
        <v>5000</v>
      </c>
      <c r="AG29" s="14">
        <v>2933</v>
      </c>
      <c r="AH29" s="14">
        <v>0</v>
      </c>
      <c r="AI29" s="14">
        <v>61</v>
      </c>
      <c r="AJ29" s="14">
        <v>206</v>
      </c>
      <c r="AK29" s="14" t="s">
        <v>3282</v>
      </c>
      <c r="AL29" s="14" t="s">
        <v>3286</v>
      </c>
      <c r="AM29" s="14">
        <v>264.72000000000003</v>
      </c>
      <c r="AN29" s="14">
        <v>183.03</v>
      </c>
      <c r="AO29" s="14">
        <v>215.32</v>
      </c>
      <c r="AP29" s="14">
        <v>22511</v>
      </c>
      <c r="AQ29" s="14">
        <v>22431</v>
      </c>
      <c r="AR29" s="14">
        <v>23000</v>
      </c>
      <c r="AS29" s="14">
        <v>19811</v>
      </c>
      <c r="AT29" s="14">
        <v>21583</v>
      </c>
      <c r="AU29" s="14">
        <v>14</v>
      </c>
      <c r="AV29" s="14">
        <v>293.95999999999998</v>
      </c>
      <c r="AW29" s="14">
        <v>37.369999999999997</v>
      </c>
      <c r="AX29" s="14">
        <v>-0.33</v>
      </c>
      <c r="AY29" s="14" t="b">
        <v>0</v>
      </c>
    </row>
    <row r="30" spans="1:51" hidden="1" x14ac:dyDescent="0.3">
      <c r="A30" t="str">
        <f>CONCATENATE(I30,E30,LEFT(G30,10))</f>
        <v>HFA119LLBG2026-03-07</v>
      </c>
      <c r="B30" s="14" t="s">
        <v>3258</v>
      </c>
      <c r="C30" s="14" t="s">
        <v>336</v>
      </c>
      <c r="D30" s="14" t="s">
        <v>337</v>
      </c>
      <c r="E30" s="14" t="s">
        <v>83</v>
      </c>
      <c r="F30" s="14" t="s">
        <v>87</v>
      </c>
      <c r="G30" s="14" t="s">
        <v>3259</v>
      </c>
      <c r="H30" s="14" t="s">
        <v>357</v>
      </c>
      <c r="I30" s="14" t="s">
        <v>184</v>
      </c>
      <c r="J30" s="14" t="s">
        <v>69</v>
      </c>
      <c r="K30" s="14" t="s">
        <v>471</v>
      </c>
      <c r="L30" s="14" t="s">
        <v>341</v>
      </c>
      <c r="M30" s="16" t="s">
        <v>3260</v>
      </c>
      <c r="N30" s="14" t="s">
        <v>473</v>
      </c>
      <c r="O30" s="14" t="s">
        <v>1854</v>
      </c>
      <c r="P30" s="14">
        <v>160</v>
      </c>
      <c r="Q30" s="14">
        <v>2</v>
      </c>
      <c r="R30" s="14">
        <v>700</v>
      </c>
      <c r="S30" s="14" t="s">
        <v>3261</v>
      </c>
      <c r="T30" s="14" t="s">
        <v>3262</v>
      </c>
      <c r="U30" s="14">
        <v>1.3305555555555499</v>
      </c>
      <c r="V30" s="14">
        <v>1.605</v>
      </c>
      <c r="W30" s="14">
        <v>971</v>
      </c>
      <c r="X30" s="14">
        <v>80</v>
      </c>
      <c r="Y30" s="14">
        <v>891</v>
      </c>
      <c r="Z30" s="14">
        <v>629</v>
      </c>
      <c r="AA30" s="14">
        <v>323</v>
      </c>
      <c r="AB30" s="14">
        <v>230</v>
      </c>
      <c r="AC30" s="14">
        <v>31</v>
      </c>
      <c r="AD30" s="14">
        <v>45</v>
      </c>
      <c r="AE30" s="14">
        <v>1600</v>
      </c>
      <c r="AF30" s="14">
        <v>5000</v>
      </c>
      <c r="AG30" s="14">
        <v>3070</v>
      </c>
      <c r="AH30" s="14">
        <v>0</v>
      </c>
      <c r="AI30" s="14">
        <v>76</v>
      </c>
      <c r="AJ30" s="14">
        <v>135</v>
      </c>
      <c r="AK30" s="14" t="s">
        <v>3259</v>
      </c>
      <c r="AL30" s="14" t="s">
        <v>3263</v>
      </c>
      <c r="AM30" s="14">
        <v>299.85000000000002</v>
      </c>
      <c r="AN30" s="14">
        <v>183.03</v>
      </c>
      <c r="AO30" s="14">
        <v>73.5</v>
      </c>
      <c r="AP30" s="14">
        <v>15525</v>
      </c>
      <c r="AQ30" s="14">
        <v>15445</v>
      </c>
      <c r="AR30" s="14">
        <v>23000</v>
      </c>
      <c r="AS30" s="14">
        <v>13925</v>
      </c>
      <c r="AT30" s="14">
        <v>14554</v>
      </c>
      <c r="AU30" s="14">
        <v>-24</v>
      </c>
      <c r="AV30" s="14">
        <v>300.24</v>
      </c>
      <c r="AW30" s="14">
        <v>40.43</v>
      </c>
      <c r="AX30" s="14">
        <v>0.51</v>
      </c>
      <c r="AY30" s="14" t="b">
        <v>0</v>
      </c>
    </row>
    <row r="31" spans="1:51" hidden="1" x14ac:dyDescent="0.3">
      <c r="A31" t="str">
        <f>CONCATENATE(I31,E31,LEFT(G31,10))</f>
        <v>HFA120ALCLK2026-03-07</v>
      </c>
      <c r="B31" s="14" t="s">
        <v>3306</v>
      </c>
      <c r="C31" s="14" t="s">
        <v>336</v>
      </c>
      <c r="D31" s="14" t="s">
        <v>337</v>
      </c>
      <c r="E31" s="14" t="s">
        <v>87</v>
      </c>
      <c r="F31" s="14" t="s">
        <v>48</v>
      </c>
      <c r="G31" s="14" t="s">
        <v>3307</v>
      </c>
      <c r="H31" s="14" t="s">
        <v>357</v>
      </c>
      <c r="I31" s="14" t="s">
        <v>182</v>
      </c>
      <c r="J31" s="14" t="s">
        <v>401</v>
      </c>
      <c r="K31" s="14" t="s">
        <v>471</v>
      </c>
      <c r="L31" s="14" t="s">
        <v>341</v>
      </c>
      <c r="M31" s="16" t="s">
        <v>3308</v>
      </c>
      <c r="N31" s="14" t="s">
        <v>359</v>
      </c>
      <c r="O31" s="14" t="s">
        <v>3309</v>
      </c>
      <c r="P31" s="14">
        <v>160</v>
      </c>
      <c r="Q31" s="14">
        <v>2</v>
      </c>
      <c r="R31" s="14">
        <v>700</v>
      </c>
      <c r="S31" s="14" t="s">
        <v>3310</v>
      </c>
      <c r="T31" s="14" t="s">
        <v>3311</v>
      </c>
      <c r="U31" s="14">
        <v>2.2400000000000002</v>
      </c>
      <c r="V31" s="14">
        <v>2.7436111111111101</v>
      </c>
      <c r="W31" s="14">
        <v>1679</v>
      </c>
      <c r="X31" s="14">
        <v>80</v>
      </c>
      <c r="Y31" s="14">
        <v>1599</v>
      </c>
      <c r="Z31" s="14">
        <v>1121</v>
      </c>
      <c r="AA31" s="14">
        <v>547</v>
      </c>
      <c r="AB31" s="14">
        <v>233</v>
      </c>
      <c r="AC31" s="14">
        <v>262</v>
      </c>
      <c r="AD31" s="14">
        <v>80</v>
      </c>
      <c r="AE31" s="14">
        <v>2800</v>
      </c>
      <c r="AF31" s="14">
        <v>5000</v>
      </c>
      <c r="AG31" s="14">
        <v>5306</v>
      </c>
      <c r="AH31" s="14">
        <v>0</v>
      </c>
      <c r="AI31" s="14">
        <v>137</v>
      </c>
      <c r="AJ31" s="14">
        <v>243</v>
      </c>
      <c r="AK31" s="14" t="s">
        <v>3307</v>
      </c>
      <c r="AL31" s="14" t="s">
        <v>3312</v>
      </c>
      <c r="AM31" s="14">
        <v>555.76</v>
      </c>
      <c r="AN31" s="14">
        <v>503.3</v>
      </c>
      <c r="AO31" s="14">
        <v>176.85</v>
      </c>
      <c r="AP31" s="14">
        <v>16725</v>
      </c>
      <c r="AQ31" s="14">
        <v>16645</v>
      </c>
      <c r="AR31" s="14">
        <v>23000</v>
      </c>
      <c r="AS31" s="14">
        <v>13925</v>
      </c>
      <c r="AT31" s="14">
        <v>15046</v>
      </c>
      <c r="AU31" s="14">
        <v>-27</v>
      </c>
      <c r="AV31" s="14">
        <v>326.43</v>
      </c>
      <c r="AW31" s="14">
        <v>29.6</v>
      </c>
      <c r="AX31" s="14">
        <v>0.93</v>
      </c>
      <c r="AY31" s="14" t="b">
        <v>0</v>
      </c>
    </row>
    <row r="32" spans="1:51" hidden="1" x14ac:dyDescent="0.3">
      <c r="A32" t="str">
        <f>CONCATENATE(I32,E32,LEFT(G32,10))</f>
        <v>HFA120LGAV2026-03-07</v>
      </c>
      <c r="B32" s="14" t="s">
        <v>3287</v>
      </c>
      <c r="C32" s="14" t="s">
        <v>336</v>
      </c>
      <c r="D32" s="14" t="s">
        <v>337</v>
      </c>
      <c r="E32" s="14" t="s">
        <v>48</v>
      </c>
      <c r="F32" s="14" t="s">
        <v>83</v>
      </c>
      <c r="G32" s="14" t="s">
        <v>3282</v>
      </c>
      <c r="H32" s="14" t="s">
        <v>357</v>
      </c>
      <c r="I32" s="14" t="s">
        <v>183</v>
      </c>
      <c r="J32" s="14" t="s">
        <v>87</v>
      </c>
      <c r="K32" s="14" t="s">
        <v>471</v>
      </c>
      <c r="L32" s="14" t="s">
        <v>341</v>
      </c>
      <c r="M32" s="16" t="s">
        <v>3288</v>
      </c>
      <c r="N32" s="14" t="s">
        <v>359</v>
      </c>
      <c r="O32" s="14" t="s">
        <v>3289</v>
      </c>
      <c r="P32" s="14">
        <v>190</v>
      </c>
      <c r="Q32" s="14">
        <v>2</v>
      </c>
      <c r="R32" s="14">
        <v>6600</v>
      </c>
      <c r="S32" s="14" t="s">
        <v>3290</v>
      </c>
      <c r="T32" s="14" t="s">
        <v>3291</v>
      </c>
      <c r="U32" s="14">
        <v>2.4141666666666599</v>
      </c>
      <c r="V32" s="14">
        <v>2.5750000000000002</v>
      </c>
      <c r="W32" s="14">
        <v>1717</v>
      </c>
      <c r="X32" s="14">
        <v>80</v>
      </c>
      <c r="Y32" s="14">
        <v>1637</v>
      </c>
      <c r="Z32" s="14">
        <v>1210</v>
      </c>
      <c r="AA32" s="14">
        <v>746</v>
      </c>
      <c r="AB32" s="14">
        <v>282</v>
      </c>
      <c r="AC32" s="14">
        <v>100</v>
      </c>
      <c r="AD32" s="14">
        <v>82</v>
      </c>
      <c r="AE32" s="14">
        <v>2927</v>
      </c>
      <c r="AF32" s="14">
        <v>5000</v>
      </c>
      <c r="AG32" s="14">
        <v>5427</v>
      </c>
      <c r="AH32" s="14">
        <v>0</v>
      </c>
      <c r="AI32" s="14">
        <v>148</v>
      </c>
      <c r="AJ32" s="14">
        <v>252</v>
      </c>
      <c r="AK32" s="14" t="s">
        <v>3282</v>
      </c>
      <c r="AL32" s="14" t="s">
        <v>3292</v>
      </c>
      <c r="AM32" s="14">
        <v>682.75</v>
      </c>
      <c r="AN32" s="14">
        <v>645.11</v>
      </c>
      <c r="AO32" s="14">
        <v>215.31</v>
      </c>
      <c r="AP32" s="14">
        <v>22752</v>
      </c>
      <c r="AQ32" s="14">
        <v>22672</v>
      </c>
      <c r="AR32" s="14">
        <v>23000</v>
      </c>
      <c r="AS32" s="14">
        <v>19825</v>
      </c>
      <c r="AT32" s="14">
        <v>21035</v>
      </c>
      <c r="AU32" s="14">
        <v>22</v>
      </c>
      <c r="AV32" s="14">
        <v>329.95</v>
      </c>
      <c r="AW32" s="14">
        <v>30.98</v>
      </c>
      <c r="AX32" s="14">
        <v>1.57</v>
      </c>
      <c r="AY32" s="14" t="b">
        <v>0</v>
      </c>
    </row>
    <row r="33" spans="1:51" hidden="1" x14ac:dyDescent="0.3">
      <c r="A33" t="str">
        <f>CONCATENATE(I33,E33,LEFT(G33,10))</f>
        <v>HFA121LLBG2026-03-07</v>
      </c>
      <c r="B33" s="14" t="s">
        <v>3253</v>
      </c>
      <c r="C33" s="14" t="s">
        <v>336</v>
      </c>
      <c r="D33" s="14" t="s">
        <v>337</v>
      </c>
      <c r="E33" s="14" t="s">
        <v>83</v>
      </c>
      <c r="F33" s="14" t="s">
        <v>87</v>
      </c>
      <c r="G33" s="14" t="s">
        <v>3254</v>
      </c>
      <c r="H33" s="14" t="s">
        <v>436</v>
      </c>
      <c r="I33" s="14" t="s">
        <v>85</v>
      </c>
      <c r="J33" s="14" t="s">
        <v>69</v>
      </c>
      <c r="K33" s="14" t="s">
        <v>471</v>
      </c>
      <c r="L33" s="14" t="s">
        <v>341</v>
      </c>
      <c r="M33" s="16" t="s">
        <v>1808</v>
      </c>
      <c r="N33" s="14" t="s">
        <v>473</v>
      </c>
      <c r="O33" s="14" t="s">
        <v>1854</v>
      </c>
      <c r="P33" s="14">
        <v>160</v>
      </c>
      <c r="Q33" s="14">
        <v>2</v>
      </c>
      <c r="R33" s="14">
        <v>700</v>
      </c>
      <c r="S33" s="14" t="s">
        <v>3255</v>
      </c>
      <c r="T33" s="14" t="s">
        <v>3256</v>
      </c>
      <c r="U33" s="14">
        <v>1.4822222222222201</v>
      </c>
      <c r="V33" s="14">
        <v>1.75111111111111</v>
      </c>
      <c r="W33" s="14">
        <v>1001</v>
      </c>
      <c r="X33" s="14">
        <v>80</v>
      </c>
      <c r="Y33" s="14">
        <v>921</v>
      </c>
      <c r="Z33" s="14">
        <v>703</v>
      </c>
      <c r="AA33" s="14">
        <v>326</v>
      </c>
      <c r="AB33" s="14">
        <v>231</v>
      </c>
      <c r="AC33" s="14">
        <v>100</v>
      </c>
      <c r="AD33" s="14">
        <v>46</v>
      </c>
      <c r="AE33" s="14">
        <v>1705</v>
      </c>
      <c r="AF33" s="14">
        <v>5000</v>
      </c>
      <c r="AG33" s="14">
        <v>3165</v>
      </c>
      <c r="AH33" s="14">
        <v>0</v>
      </c>
      <c r="AI33" s="14">
        <v>77</v>
      </c>
      <c r="AJ33" s="14">
        <v>142</v>
      </c>
      <c r="AK33" s="14" t="s">
        <v>3254</v>
      </c>
      <c r="AL33" s="14" t="s">
        <v>3257</v>
      </c>
      <c r="AM33" s="14">
        <v>299.85000000000002</v>
      </c>
      <c r="AN33" s="14">
        <v>183.03</v>
      </c>
      <c r="AO33" s="14">
        <v>73.5</v>
      </c>
      <c r="AP33" s="14">
        <v>15610</v>
      </c>
      <c r="AQ33" s="14">
        <v>15530</v>
      </c>
      <c r="AR33" s="14">
        <v>23000</v>
      </c>
      <c r="AS33" s="14">
        <v>13905</v>
      </c>
      <c r="AT33" s="14">
        <v>14608</v>
      </c>
      <c r="AU33" s="14">
        <v>-27</v>
      </c>
      <c r="AV33" s="14">
        <v>303.55</v>
      </c>
      <c r="AW33" s="14">
        <v>40.86</v>
      </c>
      <c r="AX33" s="14">
        <v>0.79</v>
      </c>
      <c r="AY33" s="14" t="b">
        <v>0</v>
      </c>
    </row>
    <row r="34" spans="1:51" hidden="1" x14ac:dyDescent="0.3">
      <c r="A34" t="str">
        <f>CONCATENATE(I34,E34,LEFT(G34,10))</f>
        <v>HFA122LBSF2026-03-07</v>
      </c>
      <c r="B34" s="14" t="s">
        <v>3293</v>
      </c>
      <c r="C34" s="14" t="s">
        <v>336</v>
      </c>
      <c r="D34" s="14" t="s">
        <v>337</v>
      </c>
      <c r="E34" s="14" t="s">
        <v>77</v>
      </c>
      <c r="F34" s="14" t="s">
        <v>83</v>
      </c>
      <c r="G34" s="14" t="s">
        <v>3294</v>
      </c>
      <c r="H34" s="14" t="s">
        <v>436</v>
      </c>
      <c r="I34" s="14" t="s">
        <v>81</v>
      </c>
      <c r="J34" s="14" t="s">
        <v>87</v>
      </c>
      <c r="K34" s="14" t="s">
        <v>471</v>
      </c>
      <c r="L34" s="14" t="s">
        <v>341</v>
      </c>
      <c r="M34" s="16" t="s">
        <v>3295</v>
      </c>
      <c r="N34" s="14" t="s">
        <v>705</v>
      </c>
      <c r="O34" s="14" t="s">
        <v>3296</v>
      </c>
      <c r="P34" s="14">
        <v>190</v>
      </c>
      <c r="Q34" s="14">
        <v>2</v>
      </c>
      <c r="R34" s="14">
        <v>6500</v>
      </c>
      <c r="S34" s="14" t="s">
        <v>3297</v>
      </c>
      <c r="T34" s="14" t="s">
        <v>3298</v>
      </c>
      <c r="U34" s="14">
        <v>3.2180555555555501</v>
      </c>
      <c r="V34" s="14">
        <v>3.4363888888888798</v>
      </c>
      <c r="W34" s="14">
        <v>2160</v>
      </c>
      <c r="X34" s="14">
        <v>80</v>
      </c>
      <c r="Y34" s="14">
        <v>2080</v>
      </c>
      <c r="Z34" s="14">
        <v>1143</v>
      </c>
      <c r="AA34" s="14">
        <v>758</v>
      </c>
      <c r="AB34" s="14">
        <v>280</v>
      </c>
      <c r="AC34" s="14">
        <v>0</v>
      </c>
      <c r="AD34" s="14">
        <v>104</v>
      </c>
      <c r="AE34" s="14">
        <v>3303</v>
      </c>
      <c r="AF34" s="14">
        <v>5000</v>
      </c>
      <c r="AG34" s="14">
        <v>6826</v>
      </c>
      <c r="AH34" s="14">
        <v>0</v>
      </c>
      <c r="AI34" s="14">
        <v>190</v>
      </c>
      <c r="AJ34" s="14">
        <v>287</v>
      </c>
      <c r="AK34" s="14" t="s">
        <v>3294</v>
      </c>
      <c r="AL34" s="14" t="s">
        <v>3299</v>
      </c>
      <c r="AM34" s="14">
        <v>891.8</v>
      </c>
      <c r="AN34" s="14">
        <v>841.87</v>
      </c>
      <c r="AO34" s="14">
        <v>215.32</v>
      </c>
      <c r="AP34" s="14">
        <v>23008</v>
      </c>
      <c r="AQ34" s="14">
        <v>22928</v>
      </c>
      <c r="AR34" s="14">
        <v>23000</v>
      </c>
      <c r="AS34" s="14">
        <v>19705</v>
      </c>
      <c r="AT34" s="14">
        <v>20848</v>
      </c>
      <c r="AU34" s="14">
        <v>26</v>
      </c>
      <c r="AV34" s="14">
        <v>341.62</v>
      </c>
      <c r="AW34" s="14">
        <v>31.83</v>
      </c>
      <c r="AX34" s="14">
        <v>1.1299999999999999</v>
      </c>
      <c r="AY34" s="14" t="b">
        <v>0</v>
      </c>
    </row>
    <row r="35" spans="1:51" hidden="1" x14ac:dyDescent="0.3">
      <c r="A35" t="str">
        <f>CONCATENATE(I35,E35,LEFT(G35,10))</f>
        <v>HFA123LLBG2026-03-07</v>
      </c>
      <c r="B35" s="14" t="s">
        <v>3220</v>
      </c>
      <c r="C35" s="14" t="s">
        <v>336</v>
      </c>
      <c r="D35" s="14" t="s">
        <v>337</v>
      </c>
      <c r="E35" s="14" t="s">
        <v>83</v>
      </c>
      <c r="F35" s="14" t="s">
        <v>87</v>
      </c>
      <c r="G35" s="14" t="s">
        <v>3221</v>
      </c>
      <c r="H35" s="14" t="s">
        <v>339</v>
      </c>
      <c r="I35" s="14" t="s">
        <v>235</v>
      </c>
      <c r="J35" s="14" t="s">
        <v>69</v>
      </c>
      <c r="K35" s="14" t="s">
        <v>471</v>
      </c>
      <c r="L35" s="14" t="s">
        <v>341</v>
      </c>
      <c r="M35" s="16" t="s">
        <v>1646</v>
      </c>
      <c r="N35" s="14" t="s">
        <v>768</v>
      </c>
      <c r="O35" s="14" t="s">
        <v>1854</v>
      </c>
      <c r="P35" s="14">
        <v>160</v>
      </c>
      <c r="Q35" s="14">
        <v>2</v>
      </c>
      <c r="R35" s="14">
        <v>700</v>
      </c>
      <c r="S35" s="14" t="s">
        <v>3222</v>
      </c>
      <c r="T35" s="14" t="s">
        <v>3223</v>
      </c>
      <c r="U35" s="14">
        <v>1.3002777777777701</v>
      </c>
      <c r="V35" s="14">
        <v>1.53944444444444</v>
      </c>
      <c r="W35" s="14">
        <v>958</v>
      </c>
      <c r="X35" s="14">
        <v>80</v>
      </c>
      <c r="Y35" s="14">
        <v>878</v>
      </c>
      <c r="Z35" s="14">
        <v>589</v>
      </c>
      <c r="AA35" s="14">
        <v>314</v>
      </c>
      <c r="AB35" s="14">
        <v>231</v>
      </c>
      <c r="AC35" s="14">
        <v>0</v>
      </c>
      <c r="AD35" s="14">
        <v>44</v>
      </c>
      <c r="AE35" s="14">
        <v>1546</v>
      </c>
      <c r="AF35" s="14">
        <v>5000</v>
      </c>
      <c r="AG35" s="14">
        <v>3026</v>
      </c>
      <c r="AH35" s="14">
        <v>0</v>
      </c>
      <c r="AI35" s="14">
        <v>75</v>
      </c>
      <c r="AJ35" s="14">
        <v>130</v>
      </c>
      <c r="AK35" s="14" t="s">
        <v>3221</v>
      </c>
      <c r="AL35" s="14" t="s">
        <v>3224</v>
      </c>
      <c r="AM35" s="14">
        <v>299.85000000000002</v>
      </c>
      <c r="AN35" s="14">
        <v>183.03</v>
      </c>
      <c r="AO35" s="14">
        <v>73.5</v>
      </c>
      <c r="AP35" s="14">
        <v>15572</v>
      </c>
      <c r="AQ35" s="14">
        <v>15492</v>
      </c>
      <c r="AR35" s="14">
        <v>23000</v>
      </c>
      <c r="AS35" s="14">
        <v>14025</v>
      </c>
      <c r="AT35" s="14">
        <v>14614</v>
      </c>
      <c r="AU35" s="14">
        <v>-19</v>
      </c>
      <c r="AV35" s="14">
        <v>322.82</v>
      </c>
      <c r="AW35" s="14">
        <v>30.79</v>
      </c>
      <c r="AX35" s="14">
        <v>2.5</v>
      </c>
      <c r="AY35" s="14" t="b">
        <v>0</v>
      </c>
    </row>
    <row r="36" spans="1:51" hidden="1" x14ac:dyDescent="0.3">
      <c r="A36" t="str">
        <f>CONCATENATE(I36,E36,LEFT(G36,10))</f>
        <v>HFA124LCLK2026-03-07</v>
      </c>
      <c r="B36" s="14" t="s">
        <v>3230</v>
      </c>
      <c r="C36" s="14" t="s">
        <v>336</v>
      </c>
      <c r="D36" s="14" t="s">
        <v>337</v>
      </c>
      <c r="E36" s="14" t="s">
        <v>87</v>
      </c>
      <c r="F36" s="14" t="s">
        <v>83</v>
      </c>
      <c r="G36" s="14" t="s">
        <v>3231</v>
      </c>
      <c r="H36" s="14" t="s">
        <v>339</v>
      </c>
      <c r="I36" s="14" t="s">
        <v>234</v>
      </c>
      <c r="J36" s="14" t="s">
        <v>87</v>
      </c>
      <c r="K36" s="14" t="s">
        <v>471</v>
      </c>
      <c r="L36" s="14" t="s">
        <v>341</v>
      </c>
      <c r="M36" s="16" t="s">
        <v>1646</v>
      </c>
      <c r="N36" s="14" t="s">
        <v>768</v>
      </c>
      <c r="O36" s="14" t="s">
        <v>817</v>
      </c>
      <c r="P36" s="14">
        <v>150</v>
      </c>
      <c r="Q36" s="14">
        <v>2</v>
      </c>
      <c r="R36" s="14">
        <v>5400</v>
      </c>
      <c r="S36" s="14" t="s">
        <v>3232</v>
      </c>
      <c r="T36" s="14" t="s">
        <v>3233</v>
      </c>
      <c r="U36" s="14">
        <v>-0.78333333333333299</v>
      </c>
      <c r="V36" s="14">
        <v>1.5108333333333299</v>
      </c>
      <c r="W36" s="14">
        <v>811</v>
      </c>
      <c r="X36" s="14">
        <v>80</v>
      </c>
      <c r="Y36" s="14">
        <v>731</v>
      </c>
      <c r="Z36" s="14">
        <v>1689</v>
      </c>
      <c r="AA36" s="14">
        <v>765</v>
      </c>
      <c r="AB36" s="14">
        <v>276</v>
      </c>
      <c r="AC36" s="14">
        <v>601</v>
      </c>
      <c r="AD36" s="14">
        <v>46</v>
      </c>
      <c r="AE36" s="14">
        <v>2500</v>
      </c>
      <c r="AF36" s="14">
        <v>5000</v>
      </c>
      <c r="AG36" s="14">
        <v>2564</v>
      </c>
      <c r="AH36" s="14">
        <v>0</v>
      </c>
      <c r="AI36" s="14">
        <v>59</v>
      </c>
      <c r="AJ36" s="14">
        <v>203</v>
      </c>
      <c r="AK36" s="14" t="s">
        <v>3231</v>
      </c>
      <c r="AL36" s="14" t="s">
        <v>3234</v>
      </c>
      <c r="AM36" s="14">
        <v>264.72000000000003</v>
      </c>
      <c r="AN36" s="14">
        <v>183.03</v>
      </c>
      <c r="AO36" s="14">
        <v>215.31</v>
      </c>
      <c r="AP36" s="14">
        <v>21225</v>
      </c>
      <c r="AQ36" s="14">
        <v>21145</v>
      </c>
      <c r="AR36" s="14">
        <v>23000</v>
      </c>
      <c r="AS36" s="14">
        <v>18725</v>
      </c>
      <c r="AT36" s="14">
        <v>20414</v>
      </c>
      <c r="AU36" s="14">
        <v>21</v>
      </c>
      <c r="AV36" s="14">
        <v>337.32</v>
      </c>
      <c r="AW36" s="14">
        <v>32.14</v>
      </c>
      <c r="AX36" s="14">
        <v>1.54</v>
      </c>
      <c r="AY36" s="14" t="b">
        <v>0</v>
      </c>
    </row>
    <row r="37" spans="1:51" hidden="1" x14ac:dyDescent="0.3">
      <c r="A37" t="str">
        <f>CONCATENATE(I37,E37,LEFT(G37,10))</f>
        <v>HFA125LLBG2026-03-07</v>
      </c>
      <c r="B37" s="14" t="s">
        <v>3235</v>
      </c>
      <c r="C37" s="14" t="s">
        <v>336</v>
      </c>
      <c r="D37" s="14" t="s">
        <v>337</v>
      </c>
      <c r="E37" s="14" t="s">
        <v>83</v>
      </c>
      <c r="F37" s="14" t="s">
        <v>87</v>
      </c>
      <c r="G37" s="14" t="s">
        <v>3236</v>
      </c>
      <c r="H37" s="14" t="s">
        <v>339</v>
      </c>
      <c r="I37" s="14" t="s">
        <v>233</v>
      </c>
      <c r="J37" s="14" t="s">
        <v>69</v>
      </c>
      <c r="K37" s="14" t="s">
        <v>471</v>
      </c>
      <c r="L37" s="14" t="s">
        <v>341</v>
      </c>
      <c r="M37" s="16" t="s">
        <v>3237</v>
      </c>
      <c r="N37" s="14" t="s">
        <v>768</v>
      </c>
      <c r="O37" s="14" t="s">
        <v>1606</v>
      </c>
      <c r="P37" s="14">
        <v>160</v>
      </c>
      <c r="Q37" s="14">
        <v>2</v>
      </c>
      <c r="R37" s="14">
        <v>700</v>
      </c>
      <c r="S37" s="14" t="s">
        <v>3238</v>
      </c>
      <c r="T37" s="14" t="s">
        <v>3239</v>
      </c>
      <c r="U37" s="14">
        <v>1.11333333333333</v>
      </c>
      <c r="V37" s="14">
        <v>1.37083333333333</v>
      </c>
      <c r="W37" s="14">
        <v>1001</v>
      </c>
      <c r="X37" s="14">
        <v>80</v>
      </c>
      <c r="Y37" s="14">
        <v>921</v>
      </c>
      <c r="Z37" s="14">
        <v>599</v>
      </c>
      <c r="AA37" s="14">
        <v>316</v>
      </c>
      <c r="AB37" s="14">
        <v>231</v>
      </c>
      <c r="AC37" s="14">
        <v>6</v>
      </c>
      <c r="AD37" s="14">
        <v>46</v>
      </c>
      <c r="AE37" s="14">
        <v>1600</v>
      </c>
      <c r="AF37" s="14">
        <v>5000</v>
      </c>
      <c r="AG37" s="14">
        <v>3163</v>
      </c>
      <c r="AH37" s="14">
        <v>0</v>
      </c>
      <c r="AI37" s="14">
        <v>78</v>
      </c>
      <c r="AJ37" s="14">
        <v>134</v>
      </c>
      <c r="AK37" s="14" t="s">
        <v>3236</v>
      </c>
      <c r="AL37" s="14" t="s">
        <v>3240</v>
      </c>
      <c r="AM37" s="14">
        <v>301.67</v>
      </c>
      <c r="AN37" s="14">
        <v>183.03</v>
      </c>
      <c r="AO37" s="14">
        <v>73.5</v>
      </c>
      <c r="AP37" s="14">
        <v>15625</v>
      </c>
      <c r="AQ37" s="14">
        <v>15545</v>
      </c>
      <c r="AR37" s="14">
        <v>23000</v>
      </c>
      <c r="AS37" s="14">
        <v>14025</v>
      </c>
      <c r="AT37" s="14">
        <v>14624</v>
      </c>
      <c r="AU37" s="14">
        <v>-27</v>
      </c>
      <c r="AV37" s="14">
        <v>322.87</v>
      </c>
      <c r="AW37" s="14">
        <v>36.71</v>
      </c>
      <c r="AX37" s="14">
        <v>2.1800000000000002</v>
      </c>
      <c r="AY37" s="14" t="b">
        <v>0</v>
      </c>
    </row>
    <row r="38" spans="1:51" hidden="1" x14ac:dyDescent="0.3">
      <c r="A38" t="str">
        <f>CONCATENATE(I38,E38,LEFT(G38,10))</f>
        <v>HFA126LCLK2026-03-07</v>
      </c>
      <c r="B38" s="14" t="s">
        <v>3247</v>
      </c>
      <c r="C38" s="14" t="s">
        <v>336</v>
      </c>
      <c r="D38" s="14" t="s">
        <v>337</v>
      </c>
      <c r="E38" s="14" t="s">
        <v>87</v>
      </c>
      <c r="F38" s="14" t="s">
        <v>83</v>
      </c>
      <c r="G38" s="14" t="s">
        <v>3248</v>
      </c>
      <c r="H38" s="14" t="s">
        <v>339</v>
      </c>
      <c r="I38" s="14" t="s">
        <v>232</v>
      </c>
      <c r="J38" s="14" t="s">
        <v>87</v>
      </c>
      <c r="K38" s="14" t="s">
        <v>471</v>
      </c>
      <c r="L38" s="14" t="s">
        <v>341</v>
      </c>
      <c r="M38" s="16" t="s">
        <v>3249</v>
      </c>
      <c r="N38" s="14" t="s">
        <v>768</v>
      </c>
      <c r="O38" s="14" t="s">
        <v>817</v>
      </c>
      <c r="P38" s="14">
        <v>150</v>
      </c>
      <c r="Q38" s="14">
        <v>2</v>
      </c>
      <c r="R38" s="14">
        <v>7000</v>
      </c>
      <c r="S38" s="14" t="s">
        <v>3250</v>
      </c>
      <c r="T38" s="14" t="s">
        <v>3251</v>
      </c>
      <c r="U38" s="14">
        <v>0.97527777777777702</v>
      </c>
      <c r="V38" s="14">
        <v>1.21472222222222</v>
      </c>
      <c r="W38" s="14">
        <v>824</v>
      </c>
      <c r="X38" s="14">
        <v>80</v>
      </c>
      <c r="Y38" s="14">
        <v>744</v>
      </c>
      <c r="Z38" s="14">
        <v>1576</v>
      </c>
      <c r="AA38" s="14">
        <v>781</v>
      </c>
      <c r="AB38" s="14">
        <v>291</v>
      </c>
      <c r="AC38" s="14">
        <v>455</v>
      </c>
      <c r="AD38" s="14">
        <v>49</v>
      </c>
      <c r="AE38" s="14">
        <v>2400</v>
      </c>
      <c r="AF38" s="14">
        <v>5000</v>
      </c>
      <c r="AG38" s="14">
        <v>2603</v>
      </c>
      <c r="AH38" s="14">
        <v>0</v>
      </c>
      <c r="AI38" s="14">
        <v>60</v>
      </c>
      <c r="AJ38" s="14">
        <v>192</v>
      </c>
      <c r="AK38" s="14" t="s">
        <v>3248</v>
      </c>
      <c r="AL38" s="14" t="s">
        <v>3252</v>
      </c>
      <c r="AM38" s="14">
        <v>264.72000000000003</v>
      </c>
      <c r="AN38" s="14">
        <v>183.03</v>
      </c>
      <c r="AO38" s="14">
        <v>215.31</v>
      </c>
      <c r="AP38" s="14">
        <v>22725</v>
      </c>
      <c r="AQ38" s="14">
        <v>22645</v>
      </c>
      <c r="AR38" s="14">
        <v>23000</v>
      </c>
      <c r="AS38" s="14">
        <v>20325</v>
      </c>
      <c r="AT38" s="14">
        <v>21901</v>
      </c>
      <c r="AU38" s="14">
        <v>23</v>
      </c>
      <c r="AV38" s="14">
        <v>320.01</v>
      </c>
      <c r="AW38" s="14">
        <v>35</v>
      </c>
      <c r="AX38" s="14">
        <v>-0.35</v>
      </c>
      <c r="AY38" s="14" t="b">
        <v>0</v>
      </c>
    </row>
    <row r="39" spans="1:51" hidden="1" x14ac:dyDescent="0.3">
      <c r="A39" t="str">
        <f>CONCATENATE(I39,E39,LEFT(G39,10))</f>
        <v>HFA127LLBG2026-03-07</v>
      </c>
      <c r="B39" s="14" t="s">
        <v>3215</v>
      </c>
      <c r="C39" s="14" t="s">
        <v>336</v>
      </c>
      <c r="D39" s="14" t="s">
        <v>337</v>
      </c>
      <c r="E39" s="14" t="s">
        <v>83</v>
      </c>
      <c r="F39" s="14" t="s">
        <v>87</v>
      </c>
      <c r="G39" s="14" t="s">
        <v>3216</v>
      </c>
      <c r="H39" s="14" t="s">
        <v>371</v>
      </c>
      <c r="I39" s="14" t="s">
        <v>145</v>
      </c>
      <c r="J39" s="14" t="s">
        <v>69</v>
      </c>
      <c r="K39" s="14" t="s">
        <v>471</v>
      </c>
      <c r="L39" s="14" t="s">
        <v>341</v>
      </c>
      <c r="M39" s="16" t="s">
        <v>1646</v>
      </c>
      <c r="N39" s="14" t="s">
        <v>768</v>
      </c>
      <c r="O39" s="14" t="s">
        <v>1854</v>
      </c>
      <c r="P39" s="14">
        <v>160</v>
      </c>
      <c r="Q39" s="14">
        <v>2</v>
      </c>
      <c r="R39" s="14">
        <v>700</v>
      </c>
      <c r="S39" s="14" t="s">
        <v>3217</v>
      </c>
      <c r="T39" s="14" t="s">
        <v>3218</v>
      </c>
      <c r="U39" s="14">
        <v>1.31388888888888</v>
      </c>
      <c r="V39" s="14">
        <v>1.5361111111111101</v>
      </c>
      <c r="W39" s="14">
        <v>981</v>
      </c>
      <c r="X39" s="14">
        <v>80</v>
      </c>
      <c r="Y39" s="14">
        <v>901</v>
      </c>
      <c r="Z39" s="14">
        <v>597</v>
      </c>
      <c r="AA39" s="14">
        <v>320</v>
      </c>
      <c r="AB39" s="14">
        <v>232</v>
      </c>
      <c r="AC39" s="14">
        <v>0</v>
      </c>
      <c r="AD39" s="14">
        <v>45</v>
      </c>
      <c r="AE39" s="14">
        <v>1578</v>
      </c>
      <c r="AF39" s="14">
        <v>5000</v>
      </c>
      <c r="AG39" s="14">
        <v>3101</v>
      </c>
      <c r="AH39" s="14">
        <v>0</v>
      </c>
      <c r="AI39" s="14">
        <v>75</v>
      </c>
      <c r="AJ39" s="14">
        <v>130</v>
      </c>
      <c r="AK39" s="14" t="s">
        <v>3216</v>
      </c>
      <c r="AL39" s="14" t="s">
        <v>3219</v>
      </c>
      <c r="AM39" s="14">
        <v>299.85000000000002</v>
      </c>
      <c r="AN39" s="14">
        <v>183.03</v>
      </c>
      <c r="AO39" s="14">
        <v>73.5</v>
      </c>
      <c r="AP39" s="14">
        <v>15778</v>
      </c>
      <c r="AQ39" s="14">
        <v>15698</v>
      </c>
      <c r="AR39" s="14">
        <v>23000</v>
      </c>
      <c r="AS39" s="14">
        <v>14200</v>
      </c>
      <c r="AT39" s="14">
        <v>14797</v>
      </c>
      <c r="AU39" s="14">
        <v>-18</v>
      </c>
      <c r="AV39" s="14">
        <v>317.12</v>
      </c>
      <c r="AW39" s="14">
        <v>31.27</v>
      </c>
      <c r="AX39" s="14">
        <v>2.13</v>
      </c>
      <c r="AY39" s="14" t="b">
        <v>0</v>
      </c>
    </row>
    <row r="40" spans="1:51" hidden="1" x14ac:dyDescent="0.3">
      <c r="A40" t="str">
        <f>CONCATENATE(I40,E40,LEFT(G40,10))</f>
        <v>HFA128LCLK2026-03-07</v>
      </c>
      <c r="B40" s="14" t="s">
        <v>3225</v>
      </c>
      <c r="C40" s="14" t="s">
        <v>336</v>
      </c>
      <c r="D40" s="14" t="s">
        <v>337</v>
      </c>
      <c r="E40" s="14" t="s">
        <v>87</v>
      </c>
      <c r="F40" s="14" t="s">
        <v>83</v>
      </c>
      <c r="G40" s="14" t="s">
        <v>3226</v>
      </c>
      <c r="H40" s="14" t="s">
        <v>371</v>
      </c>
      <c r="I40" s="14" t="s">
        <v>144</v>
      </c>
      <c r="J40" s="14" t="s">
        <v>87</v>
      </c>
      <c r="K40" s="14" t="s">
        <v>471</v>
      </c>
      <c r="L40" s="14" t="s">
        <v>341</v>
      </c>
      <c r="M40" s="16" t="s">
        <v>1646</v>
      </c>
      <c r="N40" s="14" t="s">
        <v>768</v>
      </c>
      <c r="O40" s="14" t="s">
        <v>817</v>
      </c>
      <c r="P40" s="14">
        <v>150</v>
      </c>
      <c r="Q40" s="14">
        <v>2</v>
      </c>
      <c r="R40" s="14">
        <v>6100</v>
      </c>
      <c r="S40" s="14" t="s">
        <v>3227</v>
      </c>
      <c r="T40" s="14" t="s">
        <v>3228</v>
      </c>
      <c r="U40" s="14">
        <v>1.2688888888888801</v>
      </c>
      <c r="V40" s="14">
        <v>1.60916666666666</v>
      </c>
      <c r="W40" s="14">
        <v>836</v>
      </c>
      <c r="X40" s="14">
        <v>80</v>
      </c>
      <c r="Y40" s="14">
        <v>756</v>
      </c>
      <c r="Z40" s="14">
        <v>1664</v>
      </c>
      <c r="AA40" s="14">
        <v>785</v>
      </c>
      <c r="AB40" s="14">
        <v>285</v>
      </c>
      <c r="AC40" s="14">
        <v>547</v>
      </c>
      <c r="AD40" s="14">
        <v>47</v>
      </c>
      <c r="AE40" s="14">
        <v>2500</v>
      </c>
      <c r="AF40" s="14">
        <v>5000</v>
      </c>
      <c r="AG40" s="14">
        <v>2642</v>
      </c>
      <c r="AH40" s="14">
        <v>0</v>
      </c>
      <c r="AI40" s="14">
        <v>60</v>
      </c>
      <c r="AJ40" s="14">
        <v>200</v>
      </c>
      <c r="AK40" s="14" t="s">
        <v>3226</v>
      </c>
      <c r="AL40" s="14" t="s">
        <v>3229</v>
      </c>
      <c r="AM40" s="14">
        <v>264.72000000000003</v>
      </c>
      <c r="AN40" s="14">
        <v>183.03</v>
      </c>
      <c r="AO40" s="14">
        <v>215.32</v>
      </c>
      <c r="AP40" s="14">
        <v>22100</v>
      </c>
      <c r="AQ40" s="14">
        <v>22020</v>
      </c>
      <c r="AR40" s="14">
        <v>23000</v>
      </c>
      <c r="AS40" s="14">
        <v>19600</v>
      </c>
      <c r="AT40" s="14">
        <v>21264</v>
      </c>
      <c r="AU40" s="14">
        <v>19</v>
      </c>
      <c r="AV40" s="14">
        <v>333.45</v>
      </c>
      <c r="AW40" s="14">
        <v>29.2</v>
      </c>
      <c r="AX40" s="14">
        <v>1.95</v>
      </c>
      <c r="AY40" s="14" t="b">
        <v>0</v>
      </c>
    </row>
    <row r="41" spans="1:51" hidden="1" x14ac:dyDescent="0.3">
      <c r="A41" t="str">
        <f>CONCATENATE(I41,E41,LEFT(G41,10))</f>
        <v>HFA130LCLK2026-03-08</v>
      </c>
      <c r="B41" s="14" t="s">
        <v>2812</v>
      </c>
      <c r="C41" s="14" t="s">
        <v>336</v>
      </c>
      <c r="D41" s="14" t="s">
        <v>337</v>
      </c>
      <c r="E41" s="14" t="s">
        <v>87</v>
      </c>
      <c r="F41" s="14" t="s">
        <v>83</v>
      </c>
      <c r="G41" s="14" t="s">
        <v>2813</v>
      </c>
      <c r="H41" s="14" t="s">
        <v>357</v>
      </c>
      <c r="I41" s="14" t="s">
        <v>185</v>
      </c>
      <c r="J41" s="14" t="s">
        <v>87</v>
      </c>
      <c r="K41" s="14" t="s">
        <v>471</v>
      </c>
      <c r="L41" s="14" t="s">
        <v>341</v>
      </c>
      <c r="M41" s="16" t="s">
        <v>2814</v>
      </c>
      <c r="N41" s="14" t="s">
        <v>473</v>
      </c>
      <c r="O41" s="14" t="s">
        <v>817</v>
      </c>
      <c r="P41" s="14">
        <v>150</v>
      </c>
      <c r="Q41" s="14">
        <v>2</v>
      </c>
      <c r="R41" s="14">
        <v>0</v>
      </c>
      <c r="S41" s="14" t="s">
        <v>2815</v>
      </c>
      <c r="T41" s="14" t="s">
        <v>2816</v>
      </c>
      <c r="U41" s="14">
        <v>0.89527777777777695</v>
      </c>
      <c r="V41" s="14">
        <v>1.04416666666666</v>
      </c>
      <c r="W41" s="14">
        <v>816</v>
      </c>
      <c r="X41" s="14">
        <v>80</v>
      </c>
      <c r="Y41" s="14">
        <v>736</v>
      </c>
      <c r="Z41" s="14">
        <v>1784</v>
      </c>
      <c r="AA41" s="14">
        <v>741</v>
      </c>
      <c r="AB41" s="14">
        <v>279</v>
      </c>
      <c r="AC41" s="14">
        <v>717</v>
      </c>
      <c r="AD41" s="14">
        <v>47</v>
      </c>
      <c r="AE41" s="14">
        <v>2600</v>
      </c>
      <c r="AF41" s="14">
        <v>5000</v>
      </c>
      <c r="AG41" s="14">
        <v>2580</v>
      </c>
      <c r="AH41" s="14">
        <v>0</v>
      </c>
      <c r="AI41" s="14">
        <v>61</v>
      </c>
      <c r="AJ41" s="14">
        <v>213</v>
      </c>
      <c r="AK41" s="14" t="s">
        <v>2813</v>
      </c>
      <c r="AL41" s="14" t="s">
        <v>2817</v>
      </c>
      <c r="AM41" s="14">
        <v>264.72000000000003</v>
      </c>
      <c r="AN41" s="14">
        <v>183.03</v>
      </c>
      <c r="AO41" s="14">
        <v>215.32</v>
      </c>
      <c r="AP41" s="14">
        <v>21532</v>
      </c>
      <c r="AQ41" s="14">
        <v>21452</v>
      </c>
      <c r="AR41" s="14">
        <v>23000</v>
      </c>
      <c r="AS41" s="14">
        <v>18932</v>
      </c>
      <c r="AT41" s="14">
        <v>20716</v>
      </c>
      <c r="AU41" s="14">
        <v>16</v>
      </c>
      <c r="AV41" s="14">
        <v>327.5</v>
      </c>
      <c r="AW41" s="14">
        <v>25.22</v>
      </c>
      <c r="AX41" s="14">
        <v>1.75</v>
      </c>
      <c r="AY41" s="14" t="b">
        <v>0</v>
      </c>
    </row>
    <row r="42" spans="1:51" hidden="1" x14ac:dyDescent="0.3">
      <c r="A42" t="str">
        <f>CONCATENATE(I42,E42,LEFT(G42,10))</f>
        <v>HFA131ALCLK2026-03-29</v>
      </c>
      <c r="B42" s="14" t="s">
        <v>4616</v>
      </c>
      <c r="C42" s="14" t="s">
        <v>336</v>
      </c>
      <c r="D42" s="14" t="s">
        <v>688</v>
      </c>
      <c r="E42" s="14" t="s">
        <v>87</v>
      </c>
      <c r="F42" s="14" t="s">
        <v>48</v>
      </c>
      <c r="G42" s="14" t="s">
        <v>4617</v>
      </c>
      <c r="H42" s="14" t="s">
        <v>393</v>
      </c>
      <c r="I42" s="14" t="s">
        <v>4618</v>
      </c>
      <c r="J42" s="14" t="s">
        <v>401</v>
      </c>
      <c r="K42" s="14" t="s">
        <v>471</v>
      </c>
      <c r="L42" s="14" t="s">
        <v>542</v>
      </c>
      <c r="M42" s="16" t="s">
        <v>1646</v>
      </c>
      <c r="N42" s="14" t="s">
        <v>1840</v>
      </c>
      <c r="O42" s="14" t="s">
        <v>4619</v>
      </c>
      <c r="P42" s="14">
        <v>200</v>
      </c>
      <c r="Q42" s="14">
        <v>2</v>
      </c>
      <c r="R42" s="14">
        <v>500</v>
      </c>
      <c r="S42" s="14"/>
      <c r="T42" s="14"/>
      <c r="U42" s="14"/>
      <c r="V42" s="14"/>
      <c r="W42" s="14">
        <v>1742</v>
      </c>
      <c r="X42" s="14">
        <v>80</v>
      </c>
      <c r="Y42" s="14">
        <v>1662</v>
      </c>
      <c r="Z42" s="14">
        <v>892</v>
      </c>
      <c r="AA42" s="14">
        <v>578</v>
      </c>
      <c r="AB42" s="14">
        <v>230</v>
      </c>
      <c r="AC42" s="14">
        <v>0</v>
      </c>
      <c r="AD42" s="14">
        <v>83</v>
      </c>
      <c r="AE42" s="14">
        <v>2634</v>
      </c>
      <c r="AF42" s="14">
        <v>5000</v>
      </c>
      <c r="AG42" s="14">
        <v>5505</v>
      </c>
      <c r="AH42" s="14">
        <v>0</v>
      </c>
      <c r="AI42" s="14">
        <v>145</v>
      </c>
      <c r="AJ42" s="14">
        <v>227</v>
      </c>
      <c r="AK42" s="14" t="s">
        <v>4617</v>
      </c>
      <c r="AL42" s="14" t="s">
        <v>4620</v>
      </c>
      <c r="AM42" s="14">
        <v>563.30999999999995</v>
      </c>
      <c r="AN42" s="14">
        <v>503.3</v>
      </c>
      <c r="AO42" s="14">
        <v>176.85</v>
      </c>
      <c r="AP42" s="14">
        <v>16445</v>
      </c>
      <c r="AQ42" s="14">
        <v>16365</v>
      </c>
      <c r="AR42" s="14">
        <v>23000</v>
      </c>
      <c r="AS42" s="14">
        <v>13811</v>
      </c>
      <c r="AT42" s="14">
        <v>14703</v>
      </c>
      <c r="AU42" s="14">
        <v>-36</v>
      </c>
      <c r="AV42" s="14">
        <v>256.95999999999998</v>
      </c>
      <c r="AW42" s="14">
        <v>43.76</v>
      </c>
      <c r="AX42" s="14">
        <v>-5.38</v>
      </c>
      <c r="AY42" s="14" t="b">
        <v>0</v>
      </c>
    </row>
    <row r="43" spans="1:51" hidden="1" x14ac:dyDescent="0.3">
      <c r="A43" t="str">
        <f>CONCATENATE(I43,E43,LEFT(G43,10))</f>
        <v>HFA131LCLK2026-03-29</v>
      </c>
      <c r="B43" s="14" t="s">
        <v>4610</v>
      </c>
      <c r="C43" s="14" t="s">
        <v>336</v>
      </c>
      <c r="D43" s="14" t="s">
        <v>337</v>
      </c>
      <c r="E43" s="14" t="s">
        <v>87</v>
      </c>
      <c r="F43" s="14" t="s">
        <v>132</v>
      </c>
      <c r="G43" s="14" t="s">
        <v>4611</v>
      </c>
      <c r="H43" s="14" t="s">
        <v>393</v>
      </c>
      <c r="I43" s="14" t="s">
        <v>129</v>
      </c>
      <c r="J43" s="14" t="s">
        <v>2610</v>
      </c>
      <c r="K43" s="14" t="s">
        <v>471</v>
      </c>
      <c r="L43" s="14" t="s">
        <v>542</v>
      </c>
      <c r="M43" s="16" t="s">
        <v>4612</v>
      </c>
      <c r="N43" s="14" t="s">
        <v>1840</v>
      </c>
      <c r="O43" s="14" t="s">
        <v>4608</v>
      </c>
      <c r="P43" s="14">
        <v>220</v>
      </c>
      <c r="Q43" s="14">
        <v>2</v>
      </c>
      <c r="R43" s="14">
        <v>500</v>
      </c>
      <c r="S43" s="14" t="s">
        <v>4613</v>
      </c>
      <c r="T43" s="14" t="s">
        <v>4614</v>
      </c>
      <c r="U43" s="14">
        <v>7.1297222222222203</v>
      </c>
      <c r="V43" s="14">
        <v>7.3525</v>
      </c>
      <c r="W43" s="14">
        <v>4679</v>
      </c>
      <c r="X43" s="14">
        <v>30</v>
      </c>
      <c r="Y43" s="14">
        <v>4649</v>
      </c>
      <c r="Z43" s="14">
        <v>512</v>
      </c>
      <c r="AA43" s="14">
        <v>222</v>
      </c>
      <c r="AB43" s="14">
        <v>225</v>
      </c>
      <c r="AC43" s="14">
        <v>0</v>
      </c>
      <c r="AD43" s="14">
        <v>65</v>
      </c>
      <c r="AE43" s="14">
        <v>5191</v>
      </c>
      <c r="AF43" s="14">
        <v>5000</v>
      </c>
      <c r="AG43" s="14">
        <v>14787</v>
      </c>
      <c r="AH43" s="14">
        <v>0</v>
      </c>
      <c r="AI43" s="14">
        <v>416</v>
      </c>
      <c r="AJ43" s="14">
        <v>469</v>
      </c>
      <c r="AK43" s="14" t="s">
        <v>4611</v>
      </c>
      <c r="AL43" s="14" t="s">
        <v>4615</v>
      </c>
      <c r="AM43" s="14">
        <v>1734.63</v>
      </c>
      <c r="AN43" s="14">
        <v>1580.46</v>
      </c>
      <c r="AO43" s="14">
        <v>45</v>
      </c>
      <c r="AP43" s="14">
        <v>19002</v>
      </c>
      <c r="AQ43" s="14">
        <v>18972</v>
      </c>
      <c r="AR43" s="14">
        <v>23000</v>
      </c>
      <c r="AS43" s="14">
        <v>13811</v>
      </c>
      <c r="AT43" s="14">
        <v>14323</v>
      </c>
      <c r="AU43" s="14">
        <v>-23</v>
      </c>
      <c r="AV43" s="14">
        <v>300.32</v>
      </c>
      <c r="AW43" s="14">
        <v>23.21</v>
      </c>
      <c r="AX43" s="14">
        <v>-3.59</v>
      </c>
      <c r="AY43" s="14" t="b">
        <v>0</v>
      </c>
    </row>
    <row r="44" spans="1:51" hidden="1" x14ac:dyDescent="0.3">
      <c r="A44" t="str">
        <f>CONCATENATE(I44,E44,LEFT(G44,10))</f>
        <v>HFA131LFBF2026-03-14</v>
      </c>
      <c r="B44" s="14" t="s">
        <v>1836</v>
      </c>
      <c r="C44" s="14" t="s">
        <v>336</v>
      </c>
      <c r="D44" s="14" t="s">
        <v>337</v>
      </c>
      <c r="E44" s="14" t="s">
        <v>132</v>
      </c>
      <c r="F44" s="14" t="s">
        <v>87</v>
      </c>
      <c r="G44" s="14" t="s">
        <v>1837</v>
      </c>
      <c r="H44" s="14" t="s">
        <v>1838</v>
      </c>
      <c r="I44" s="14" t="s">
        <v>129</v>
      </c>
      <c r="J44" s="14" t="s">
        <v>69</v>
      </c>
      <c r="K44" s="14" t="s">
        <v>471</v>
      </c>
      <c r="L44" s="14" t="s">
        <v>542</v>
      </c>
      <c r="M44" s="16" t="s">
        <v>1839</v>
      </c>
      <c r="N44" s="14" t="s">
        <v>1840</v>
      </c>
      <c r="O44" s="14" t="s">
        <v>1841</v>
      </c>
      <c r="P44" s="14">
        <v>110</v>
      </c>
      <c r="Q44" s="14">
        <v>2</v>
      </c>
      <c r="R44" s="14">
        <v>800</v>
      </c>
      <c r="S44" s="14" t="s">
        <v>1842</v>
      </c>
      <c r="T44" s="14" t="s">
        <v>1843</v>
      </c>
      <c r="U44" s="14">
        <v>5.9141666666666604</v>
      </c>
      <c r="V44" s="14">
        <v>6.1277777777777702</v>
      </c>
      <c r="W44" s="14">
        <v>3951</v>
      </c>
      <c r="X44" s="14">
        <v>80</v>
      </c>
      <c r="Y44" s="14">
        <v>3871</v>
      </c>
      <c r="Z44" s="14">
        <v>1049</v>
      </c>
      <c r="AA44" s="14">
        <v>322</v>
      </c>
      <c r="AB44" s="14">
        <v>235</v>
      </c>
      <c r="AC44" s="14">
        <v>298</v>
      </c>
      <c r="AD44" s="14">
        <v>194</v>
      </c>
      <c r="AE44" s="14">
        <v>5000</v>
      </c>
      <c r="AF44" s="14">
        <v>5000</v>
      </c>
      <c r="AG44" s="14">
        <v>12486</v>
      </c>
      <c r="AH44" s="14">
        <v>0</v>
      </c>
      <c r="AI44" s="14">
        <v>350</v>
      </c>
      <c r="AJ44" s="14">
        <v>455</v>
      </c>
      <c r="AK44" s="14" t="s">
        <v>1837</v>
      </c>
      <c r="AL44" s="14" t="s">
        <v>1844</v>
      </c>
      <c r="AM44" s="14">
        <v>1646.34</v>
      </c>
      <c r="AN44" s="14">
        <v>1580.46</v>
      </c>
      <c r="AO44" s="14">
        <v>73.5</v>
      </c>
      <c r="AP44" s="14">
        <v>19138</v>
      </c>
      <c r="AQ44" s="14">
        <v>19058</v>
      </c>
      <c r="AR44" s="14">
        <v>23000</v>
      </c>
      <c r="AS44" s="14">
        <v>14138</v>
      </c>
      <c r="AT44" s="14">
        <v>15187</v>
      </c>
      <c r="AU44" s="14">
        <v>12</v>
      </c>
      <c r="AV44" s="14">
        <v>246.97</v>
      </c>
      <c r="AW44" s="14">
        <v>18.75</v>
      </c>
      <c r="AX44" s="14">
        <v>-2.2000000000000002</v>
      </c>
      <c r="AY44" s="14" t="b">
        <v>0</v>
      </c>
    </row>
    <row r="45" spans="1:51" hidden="1" x14ac:dyDescent="0.3">
      <c r="A45" t="str">
        <f>CONCATENATE(I45,E45,LEFT(G45,10))</f>
        <v>HFA132LCLK2026-03-08</v>
      </c>
      <c r="B45" s="14" t="s">
        <v>2806</v>
      </c>
      <c r="C45" s="14" t="s">
        <v>336</v>
      </c>
      <c r="D45" s="14" t="s">
        <v>337</v>
      </c>
      <c r="E45" s="14" t="s">
        <v>87</v>
      </c>
      <c r="F45" s="14" t="s">
        <v>83</v>
      </c>
      <c r="G45" s="14" t="s">
        <v>2807</v>
      </c>
      <c r="H45" s="14" t="s">
        <v>436</v>
      </c>
      <c r="I45" s="14" t="s">
        <v>89</v>
      </c>
      <c r="J45" s="14" t="s">
        <v>87</v>
      </c>
      <c r="K45" s="14" t="s">
        <v>471</v>
      </c>
      <c r="L45" s="14" t="s">
        <v>341</v>
      </c>
      <c r="M45" s="16" t="s">
        <v>2808</v>
      </c>
      <c r="N45" s="14" t="s">
        <v>473</v>
      </c>
      <c r="O45" s="14" t="s">
        <v>817</v>
      </c>
      <c r="P45" s="14">
        <v>150</v>
      </c>
      <c r="Q45" s="14">
        <v>2</v>
      </c>
      <c r="R45" s="14">
        <v>0</v>
      </c>
      <c r="S45" s="14" t="s">
        <v>2809</v>
      </c>
      <c r="T45" s="14" t="s">
        <v>2810</v>
      </c>
      <c r="U45" s="14">
        <v>0.93555555555555503</v>
      </c>
      <c r="V45" s="14">
        <v>1.2266666666666599</v>
      </c>
      <c r="W45" s="14">
        <v>833</v>
      </c>
      <c r="X45" s="14">
        <v>80</v>
      </c>
      <c r="Y45" s="14">
        <v>753</v>
      </c>
      <c r="Z45" s="14">
        <v>1767</v>
      </c>
      <c r="AA45" s="14">
        <v>983</v>
      </c>
      <c r="AB45" s="14">
        <v>277</v>
      </c>
      <c r="AC45" s="14">
        <v>460</v>
      </c>
      <c r="AD45" s="14">
        <v>46</v>
      </c>
      <c r="AE45" s="14">
        <v>2600</v>
      </c>
      <c r="AF45" s="14">
        <v>5000</v>
      </c>
      <c r="AG45" s="14">
        <v>2633</v>
      </c>
      <c r="AH45" s="14">
        <v>0</v>
      </c>
      <c r="AI45" s="14">
        <v>61</v>
      </c>
      <c r="AJ45" s="14">
        <v>209</v>
      </c>
      <c r="AK45" s="14" t="s">
        <v>2807</v>
      </c>
      <c r="AL45" s="14" t="s">
        <v>2811</v>
      </c>
      <c r="AM45" s="14">
        <v>264.72000000000003</v>
      </c>
      <c r="AN45" s="14">
        <v>183.03</v>
      </c>
      <c r="AO45" s="14">
        <v>299.85000000000002</v>
      </c>
      <c r="AP45" s="14">
        <v>21320</v>
      </c>
      <c r="AQ45" s="14">
        <v>21240</v>
      </c>
      <c r="AR45" s="14">
        <v>23000</v>
      </c>
      <c r="AS45" s="14">
        <v>18720</v>
      </c>
      <c r="AT45" s="14">
        <v>20487</v>
      </c>
      <c r="AU45" s="14">
        <v>14</v>
      </c>
      <c r="AV45" s="14">
        <v>322.52999999999997</v>
      </c>
      <c r="AW45" s="14">
        <v>21.7</v>
      </c>
      <c r="AX45" s="14">
        <v>2.23</v>
      </c>
      <c r="AY45" s="14" t="b">
        <v>0</v>
      </c>
    </row>
    <row r="46" spans="1:51" hidden="1" x14ac:dyDescent="0.3">
      <c r="A46" t="str">
        <f>CONCATENATE(I46,E46,LEFT(G46,10))</f>
        <v>HFA132LGAV2026-03-29</v>
      </c>
      <c r="B46" s="14" t="s">
        <v>4601</v>
      </c>
      <c r="C46" s="14" t="s">
        <v>336</v>
      </c>
      <c r="D46" s="14" t="s">
        <v>688</v>
      </c>
      <c r="E46" s="14" t="s">
        <v>48</v>
      </c>
      <c r="F46" s="14" t="s">
        <v>132</v>
      </c>
      <c r="G46" s="14" t="s">
        <v>4602</v>
      </c>
      <c r="H46" s="14" t="s">
        <v>393</v>
      </c>
      <c r="I46" s="14" t="s">
        <v>89</v>
      </c>
      <c r="J46" s="14" t="s">
        <v>2610</v>
      </c>
      <c r="K46" s="14" t="s">
        <v>471</v>
      </c>
      <c r="L46" s="14" t="s">
        <v>542</v>
      </c>
      <c r="M46" s="16" t="s">
        <v>1646</v>
      </c>
      <c r="N46" s="14" t="s">
        <v>1840</v>
      </c>
      <c r="O46" s="14" t="s">
        <v>4603</v>
      </c>
      <c r="P46" s="14">
        <v>220</v>
      </c>
      <c r="Q46" s="14">
        <v>2</v>
      </c>
      <c r="R46" s="14">
        <v>500</v>
      </c>
      <c r="S46" s="14"/>
      <c r="T46" s="14"/>
      <c r="U46" s="14"/>
      <c r="V46" s="14"/>
      <c r="W46" s="14">
        <v>3232</v>
      </c>
      <c r="X46" s="14">
        <v>80</v>
      </c>
      <c r="Y46" s="14">
        <v>3152</v>
      </c>
      <c r="Z46" s="14">
        <v>1768</v>
      </c>
      <c r="AA46" s="14">
        <v>208</v>
      </c>
      <c r="AB46" s="14">
        <v>236</v>
      </c>
      <c r="AC46" s="14">
        <v>1167</v>
      </c>
      <c r="AD46" s="14">
        <v>158</v>
      </c>
      <c r="AE46" s="14">
        <v>5000</v>
      </c>
      <c r="AF46" s="14">
        <v>5000</v>
      </c>
      <c r="AG46" s="14">
        <v>10212</v>
      </c>
      <c r="AH46" s="14">
        <v>0</v>
      </c>
      <c r="AI46" s="14">
        <v>266</v>
      </c>
      <c r="AJ46" s="14">
        <v>420</v>
      </c>
      <c r="AK46" s="14" t="s">
        <v>4602</v>
      </c>
      <c r="AL46" s="14" t="s">
        <v>4604</v>
      </c>
      <c r="AM46" s="14">
        <v>1157.18</v>
      </c>
      <c r="AN46" s="14">
        <v>1079.69</v>
      </c>
      <c r="AO46" s="14">
        <v>35.76</v>
      </c>
      <c r="AP46" s="14">
        <v>18811</v>
      </c>
      <c r="AQ46" s="14">
        <v>18731</v>
      </c>
      <c r="AR46" s="14">
        <v>23000</v>
      </c>
      <c r="AS46" s="14">
        <v>13811</v>
      </c>
      <c r="AT46" s="14">
        <v>15579</v>
      </c>
      <c r="AU46" s="14">
        <v>-11</v>
      </c>
      <c r="AV46" s="14">
        <v>336.75</v>
      </c>
      <c r="AW46" s="14">
        <v>12.02</v>
      </c>
      <c r="AX46" s="14">
        <v>-3.09</v>
      </c>
      <c r="AY46" s="14" t="b">
        <v>0</v>
      </c>
    </row>
    <row r="47" spans="1:51" hidden="1" x14ac:dyDescent="0.3">
      <c r="A47" t="str">
        <f>CONCATENATE(I47,E47,LEFT(G47,10))</f>
        <v>HFA133LLBG2026-03-08</v>
      </c>
      <c r="B47" s="14" t="s">
        <v>2792</v>
      </c>
      <c r="C47" s="14" t="s">
        <v>336</v>
      </c>
      <c r="D47" s="14" t="s">
        <v>337</v>
      </c>
      <c r="E47" s="14" t="s">
        <v>83</v>
      </c>
      <c r="F47" s="14" t="s">
        <v>48</v>
      </c>
      <c r="G47" s="14" t="s">
        <v>2793</v>
      </c>
      <c r="H47" s="14" t="s">
        <v>436</v>
      </c>
      <c r="I47" s="14" t="s">
        <v>90</v>
      </c>
      <c r="J47" s="14" t="s">
        <v>401</v>
      </c>
      <c r="K47" s="14" t="s">
        <v>471</v>
      </c>
      <c r="L47" s="14" t="s">
        <v>341</v>
      </c>
      <c r="M47" s="16" t="s">
        <v>2794</v>
      </c>
      <c r="N47" s="14" t="s">
        <v>359</v>
      </c>
      <c r="O47" s="14" t="s">
        <v>2795</v>
      </c>
      <c r="P47" s="14">
        <v>160</v>
      </c>
      <c r="Q47" s="14">
        <v>2</v>
      </c>
      <c r="R47" s="14">
        <v>6300</v>
      </c>
      <c r="S47" s="14" t="s">
        <v>2796</v>
      </c>
      <c r="T47" s="14" t="s">
        <v>2797</v>
      </c>
      <c r="U47" s="14">
        <v>2.8325</v>
      </c>
      <c r="V47" s="14">
        <v>3.1794444444444401</v>
      </c>
      <c r="W47" s="14">
        <v>2104</v>
      </c>
      <c r="X47" s="14">
        <v>80</v>
      </c>
      <c r="Y47" s="14">
        <v>2024</v>
      </c>
      <c r="Z47" s="14">
        <v>1096</v>
      </c>
      <c r="AA47" s="14">
        <v>595</v>
      </c>
      <c r="AB47" s="14">
        <v>278</v>
      </c>
      <c r="AC47" s="14">
        <v>123</v>
      </c>
      <c r="AD47" s="14">
        <v>101</v>
      </c>
      <c r="AE47" s="14">
        <v>3200</v>
      </c>
      <c r="AF47" s="14">
        <v>5000</v>
      </c>
      <c r="AG47" s="14">
        <v>6648</v>
      </c>
      <c r="AH47" s="14">
        <v>0</v>
      </c>
      <c r="AI47" s="14">
        <v>170</v>
      </c>
      <c r="AJ47" s="14">
        <v>263</v>
      </c>
      <c r="AK47" s="14" t="s">
        <v>2793</v>
      </c>
      <c r="AL47" s="14" t="s">
        <v>2798</v>
      </c>
      <c r="AM47" s="14">
        <v>688.45</v>
      </c>
      <c r="AN47" s="14">
        <v>645.11</v>
      </c>
      <c r="AO47" s="14">
        <v>176.85</v>
      </c>
      <c r="AP47" s="14">
        <v>22705</v>
      </c>
      <c r="AQ47" s="14">
        <v>22625</v>
      </c>
      <c r="AR47" s="14">
        <v>23000</v>
      </c>
      <c r="AS47" s="14">
        <v>19505</v>
      </c>
      <c r="AT47" s="14">
        <v>20601</v>
      </c>
      <c r="AU47" s="14">
        <v>-19</v>
      </c>
      <c r="AV47" s="14">
        <v>303.57</v>
      </c>
      <c r="AW47" s="14">
        <v>19.3</v>
      </c>
      <c r="AX47" s="14">
        <v>1.1200000000000001</v>
      </c>
      <c r="AY47" s="14" t="b">
        <v>0</v>
      </c>
    </row>
    <row r="48" spans="1:51" hidden="1" x14ac:dyDescent="0.3">
      <c r="A48" t="str">
        <f>CONCATENATE(I48,E48,LEFT(G48,10))</f>
        <v>HFA134LGAV2026-03-08</v>
      </c>
      <c r="B48" s="14" t="s">
        <v>2778</v>
      </c>
      <c r="C48" s="14" t="s">
        <v>336</v>
      </c>
      <c r="D48" s="14" t="s">
        <v>337</v>
      </c>
      <c r="E48" s="14" t="s">
        <v>48</v>
      </c>
      <c r="F48" s="14" t="s">
        <v>83</v>
      </c>
      <c r="G48" s="14" t="s">
        <v>2779</v>
      </c>
      <c r="H48" s="14" t="s">
        <v>436</v>
      </c>
      <c r="I48" s="14" t="s">
        <v>91</v>
      </c>
      <c r="J48" s="14" t="s">
        <v>87</v>
      </c>
      <c r="K48" s="14" t="s">
        <v>471</v>
      </c>
      <c r="L48" s="14" t="s">
        <v>341</v>
      </c>
      <c r="M48" s="16" t="s">
        <v>2780</v>
      </c>
      <c r="N48" s="14" t="s">
        <v>473</v>
      </c>
      <c r="O48" s="14" t="s">
        <v>2781</v>
      </c>
      <c r="P48" s="14">
        <v>190</v>
      </c>
      <c r="Q48" s="14">
        <v>2</v>
      </c>
      <c r="R48" s="14">
        <v>6900</v>
      </c>
      <c r="S48" s="14" t="s">
        <v>2782</v>
      </c>
      <c r="T48" s="14" t="s">
        <v>2783</v>
      </c>
      <c r="U48" s="14">
        <v>2.45611111111111</v>
      </c>
      <c r="V48" s="14">
        <v>2.76416666666666</v>
      </c>
      <c r="W48" s="14">
        <v>1730</v>
      </c>
      <c r="X48" s="14">
        <v>80</v>
      </c>
      <c r="Y48" s="14">
        <v>1650</v>
      </c>
      <c r="Z48" s="14">
        <v>1107</v>
      </c>
      <c r="AA48" s="14">
        <v>741</v>
      </c>
      <c r="AB48" s="14">
        <v>284</v>
      </c>
      <c r="AC48" s="14">
        <v>0</v>
      </c>
      <c r="AD48" s="14">
        <v>82</v>
      </c>
      <c r="AE48" s="14">
        <v>2837</v>
      </c>
      <c r="AF48" s="14">
        <v>5000</v>
      </c>
      <c r="AG48" s="14">
        <v>5467</v>
      </c>
      <c r="AH48" s="14">
        <v>0</v>
      </c>
      <c r="AI48" s="14">
        <v>145</v>
      </c>
      <c r="AJ48" s="14">
        <v>240</v>
      </c>
      <c r="AK48" s="14" t="s">
        <v>2779</v>
      </c>
      <c r="AL48" s="14" t="s">
        <v>2784</v>
      </c>
      <c r="AM48" s="14">
        <v>670.18</v>
      </c>
      <c r="AN48" s="14">
        <v>645.11</v>
      </c>
      <c r="AO48" s="14">
        <v>215.32</v>
      </c>
      <c r="AP48" s="14">
        <v>22942</v>
      </c>
      <c r="AQ48" s="14">
        <v>22862</v>
      </c>
      <c r="AR48" s="14">
        <v>23000</v>
      </c>
      <c r="AS48" s="14">
        <v>20105</v>
      </c>
      <c r="AT48" s="14">
        <v>21212</v>
      </c>
      <c r="AU48" s="14">
        <v>21</v>
      </c>
      <c r="AV48" s="14">
        <v>303.04000000000002</v>
      </c>
      <c r="AW48" s="14">
        <v>24.59</v>
      </c>
      <c r="AX48" s="14">
        <v>-0.39</v>
      </c>
      <c r="AY48" s="14" t="b">
        <v>0</v>
      </c>
    </row>
    <row r="49" spans="1:51" hidden="1" x14ac:dyDescent="0.3">
      <c r="A49" t="str">
        <f>CONCATENATE(I49,E49,LEFT(G49,10))</f>
        <v>HFA135LLBG2026-03-08</v>
      </c>
      <c r="B49" s="14" t="s">
        <v>2767</v>
      </c>
      <c r="C49" s="14" t="s">
        <v>336</v>
      </c>
      <c r="D49" s="14" t="s">
        <v>337</v>
      </c>
      <c r="E49" s="14" t="s">
        <v>83</v>
      </c>
      <c r="F49" s="14" t="s">
        <v>87</v>
      </c>
      <c r="G49" s="14" t="s">
        <v>2768</v>
      </c>
      <c r="H49" s="14" t="s">
        <v>436</v>
      </c>
      <c r="I49" s="14" t="s">
        <v>92</v>
      </c>
      <c r="J49" s="14" t="s">
        <v>69</v>
      </c>
      <c r="K49" s="14" t="s">
        <v>471</v>
      </c>
      <c r="L49" s="14" t="s">
        <v>341</v>
      </c>
      <c r="M49" s="16" t="s">
        <v>2769</v>
      </c>
      <c r="N49" s="14" t="s">
        <v>473</v>
      </c>
      <c r="O49" s="14" t="s">
        <v>1854</v>
      </c>
      <c r="P49" s="14">
        <v>160</v>
      </c>
      <c r="Q49" s="14">
        <v>2</v>
      </c>
      <c r="R49" s="14">
        <v>6000</v>
      </c>
      <c r="S49" s="14" t="s">
        <v>2770</v>
      </c>
      <c r="T49" s="14" t="s">
        <v>2771</v>
      </c>
      <c r="U49" s="14">
        <v>1.2963888888888799</v>
      </c>
      <c r="V49" s="14">
        <v>1.58805555555555</v>
      </c>
      <c r="W49" s="14">
        <v>991</v>
      </c>
      <c r="X49" s="14">
        <v>80</v>
      </c>
      <c r="Y49" s="14">
        <v>911</v>
      </c>
      <c r="Z49" s="14">
        <v>956</v>
      </c>
      <c r="AA49" s="14">
        <v>336</v>
      </c>
      <c r="AB49" s="14">
        <v>274</v>
      </c>
      <c r="AC49" s="14">
        <v>300</v>
      </c>
      <c r="AD49" s="14">
        <v>46</v>
      </c>
      <c r="AE49" s="14">
        <v>1947</v>
      </c>
      <c r="AF49" s="14">
        <v>5000</v>
      </c>
      <c r="AG49" s="14">
        <v>3131</v>
      </c>
      <c r="AH49" s="14">
        <v>0</v>
      </c>
      <c r="AI49" s="14">
        <v>75</v>
      </c>
      <c r="AJ49" s="14">
        <v>156</v>
      </c>
      <c r="AK49" s="14" t="s">
        <v>2768</v>
      </c>
      <c r="AL49" s="14" t="s">
        <v>2772</v>
      </c>
      <c r="AM49" s="14">
        <v>299.85000000000002</v>
      </c>
      <c r="AN49" s="14">
        <v>183.03</v>
      </c>
      <c r="AO49" s="14">
        <v>73.5</v>
      </c>
      <c r="AP49" s="14">
        <v>21152</v>
      </c>
      <c r="AQ49" s="14">
        <v>21072</v>
      </c>
      <c r="AR49" s="14">
        <v>23000</v>
      </c>
      <c r="AS49" s="14">
        <v>19205</v>
      </c>
      <c r="AT49" s="14">
        <v>20161</v>
      </c>
      <c r="AU49" s="14">
        <v>-11</v>
      </c>
      <c r="AV49" s="14">
        <v>298.05</v>
      </c>
      <c r="AW49" s="14">
        <v>23.26</v>
      </c>
      <c r="AX49" s="14">
        <v>0.28000000000000003</v>
      </c>
      <c r="AY49" s="14" t="b">
        <v>0</v>
      </c>
    </row>
    <row r="50" spans="1:51" hidden="1" x14ac:dyDescent="0.3">
      <c r="A50" t="str">
        <f>CONCATENATE(I50,E50,LEFT(G50,10))</f>
        <v>HFA136LGAV2026-03-08</v>
      </c>
      <c r="B50" s="14" t="s">
        <v>2785</v>
      </c>
      <c r="C50" s="14" t="s">
        <v>336</v>
      </c>
      <c r="D50" s="14" t="s">
        <v>337</v>
      </c>
      <c r="E50" s="14" t="s">
        <v>48</v>
      </c>
      <c r="F50" s="14" t="s">
        <v>83</v>
      </c>
      <c r="G50" s="14" t="s">
        <v>2786</v>
      </c>
      <c r="H50" s="14" t="s">
        <v>357</v>
      </c>
      <c r="I50" s="14" t="s">
        <v>187</v>
      </c>
      <c r="J50" s="14" t="s">
        <v>87</v>
      </c>
      <c r="K50" s="14" t="s">
        <v>471</v>
      </c>
      <c r="L50" s="14" t="s">
        <v>341</v>
      </c>
      <c r="M50" s="16" t="s">
        <v>2787</v>
      </c>
      <c r="N50" s="14" t="s">
        <v>473</v>
      </c>
      <c r="O50" s="14" t="s">
        <v>2788</v>
      </c>
      <c r="P50" s="14">
        <v>190</v>
      </c>
      <c r="Q50" s="14">
        <v>2</v>
      </c>
      <c r="R50" s="14">
        <v>6700</v>
      </c>
      <c r="S50" s="14" t="s">
        <v>2789</v>
      </c>
      <c r="T50" s="14" t="s">
        <v>2790</v>
      </c>
      <c r="U50" s="14">
        <v>2.4908333333333301</v>
      </c>
      <c r="V50" s="14">
        <v>2.7155555555555502</v>
      </c>
      <c r="W50" s="14">
        <v>1692</v>
      </c>
      <c r="X50" s="14">
        <v>80</v>
      </c>
      <c r="Y50" s="14">
        <v>1612</v>
      </c>
      <c r="Z50" s="14">
        <v>1091</v>
      </c>
      <c r="AA50" s="14">
        <v>729</v>
      </c>
      <c r="AB50" s="14">
        <v>282</v>
      </c>
      <c r="AC50" s="14">
        <v>0</v>
      </c>
      <c r="AD50" s="14">
        <v>81</v>
      </c>
      <c r="AE50" s="14">
        <v>2783</v>
      </c>
      <c r="AF50" s="14">
        <v>5000</v>
      </c>
      <c r="AG50" s="14">
        <v>5346</v>
      </c>
      <c r="AH50" s="14">
        <v>0</v>
      </c>
      <c r="AI50" s="14">
        <v>145</v>
      </c>
      <c r="AJ50" s="14">
        <v>239</v>
      </c>
      <c r="AK50" s="14" t="s">
        <v>2786</v>
      </c>
      <c r="AL50" s="14" t="s">
        <v>2791</v>
      </c>
      <c r="AM50" s="14">
        <v>670.18</v>
      </c>
      <c r="AN50" s="14">
        <v>645.11</v>
      </c>
      <c r="AO50" s="14">
        <v>215.32</v>
      </c>
      <c r="AP50" s="14">
        <v>22708</v>
      </c>
      <c r="AQ50" s="14">
        <v>22628</v>
      </c>
      <c r="AR50" s="14">
        <v>23000</v>
      </c>
      <c r="AS50" s="14">
        <v>19925</v>
      </c>
      <c r="AT50" s="14">
        <v>21016</v>
      </c>
      <c r="AU50" s="14">
        <v>21</v>
      </c>
      <c r="AV50" s="14">
        <v>301.16000000000003</v>
      </c>
      <c r="AW50" s="14">
        <v>24.45</v>
      </c>
      <c r="AX50" s="14">
        <v>-0.17</v>
      </c>
      <c r="AY50" s="14" t="b">
        <v>0</v>
      </c>
    </row>
    <row r="51" spans="1:51" hidden="1" x14ac:dyDescent="0.3">
      <c r="A51" t="str">
        <f>CONCATENATE(I51,E51,LEFT(G51,10))</f>
        <v>HFA137LLBG2026-03-08</v>
      </c>
      <c r="B51" s="14" t="s">
        <v>2799</v>
      </c>
      <c r="C51" s="14" t="s">
        <v>336</v>
      </c>
      <c r="D51" s="14" t="s">
        <v>337</v>
      </c>
      <c r="E51" s="14" t="s">
        <v>83</v>
      </c>
      <c r="F51" s="14" t="s">
        <v>48</v>
      </c>
      <c r="G51" s="14" t="s">
        <v>2800</v>
      </c>
      <c r="H51" s="14" t="s">
        <v>357</v>
      </c>
      <c r="I51" s="14" t="s">
        <v>186</v>
      </c>
      <c r="J51" s="14" t="s">
        <v>401</v>
      </c>
      <c r="K51" s="14" t="s">
        <v>471</v>
      </c>
      <c r="L51" s="14" t="s">
        <v>341</v>
      </c>
      <c r="M51" s="16" t="s">
        <v>2801</v>
      </c>
      <c r="N51" s="14" t="s">
        <v>359</v>
      </c>
      <c r="O51" s="14" t="s">
        <v>2802</v>
      </c>
      <c r="P51" s="14">
        <v>160</v>
      </c>
      <c r="Q51" s="14">
        <v>2</v>
      </c>
      <c r="R51" s="14">
        <v>6000</v>
      </c>
      <c r="S51" s="14" t="s">
        <v>2803</v>
      </c>
      <c r="T51" s="14" t="s">
        <v>2804</v>
      </c>
      <c r="U51" s="14">
        <v>2.8783333333333299</v>
      </c>
      <c r="V51" s="14">
        <v>3.3250000000000002</v>
      </c>
      <c r="W51" s="14">
        <v>2043</v>
      </c>
      <c r="X51" s="14">
        <v>80</v>
      </c>
      <c r="Y51" s="14">
        <v>1963</v>
      </c>
      <c r="Z51" s="14">
        <v>1158</v>
      </c>
      <c r="AA51" s="14">
        <v>584</v>
      </c>
      <c r="AB51" s="14">
        <v>276</v>
      </c>
      <c r="AC51" s="14">
        <v>200</v>
      </c>
      <c r="AD51" s="14">
        <v>98</v>
      </c>
      <c r="AE51" s="14">
        <v>3200</v>
      </c>
      <c r="AF51" s="14">
        <v>5000</v>
      </c>
      <c r="AG51" s="14">
        <v>6454</v>
      </c>
      <c r="AH51" s="14">
        <v>0</v>
      </c>
      <c r="AI51" s="14">
        <v>168</v>
      </c>
      <c r="AJ51" s="14">
        <v>270</v>
      </c>
      <c r="AK51" s="14" t="s">
        <v>2800</v>
      </c>
      <c r="AL51" s="14" t="s">
        <v>2805</v>
      </c>
      <c r="AM51" s="14">
        <v>688.45</v>
      </c>
      <c r="AN51" s="14">
        <v>645.11</v>
      </c>
      <c r="AO51" s="14">
        <v>176.85</v>
      </c>
      <c r="AP51" s="14">
        <v>22425</v>
      </c>
      <c r="AQ51" s="14">
        <v>22345</v>
      </c>
      <c r="AR51" s="14">
        <v>23000</v>
      </c>
      <c r="AS51" s="14">
        <v>19225</v>
      </c>
      <c r="AT51" s="14">
        <v>20382</v>
      </c>
      <c r="AU51" s="14">
        <v>-18</v>
      </c>
      <c r="AV51" s="14">
        <v>306.85000000000002</v>
      </c>
      <c r="AW51" s="14">
        <v>17.46</v>
      </c>
      <c r="AX51" s="14">
        <v>1.35</v>
      </c>
      <c r="AY51" s="14" t="b">
        <v>0</v>
      </c>
    </row>
    <row r="52" spans="1:51" hidden="1" x14ac:dyDescent="0.3">
      <c r="A52" t="str">
        <f>CONCATENATE(I52,E52,LEFT(G52,10))</f>
        <v>HFA139LLBG2026-03-08</v>
      </c>
      <c r="B52" s="14" t="s">
        <v>2773</v>
      </c>
      <c r="C52" s="14" t="s">
        <v>336</v>
      </c>
      <c r="D52" s="14" t="s">
        <v>337</v>
      </c>
      <c r="E52" s="14" t="s">
        <v>83</v>
      </c>
      <c r="F52" s="14" t="s">
        <v>87</v>
      </c>
      <c r="G52" s="14" t="s">
        <v>2774</v>
      </c>
      <c r="H52" s="14" t="s">
        <v>357</v>
      </c>
      <c r="I52" s="14" t="s">
        <v>188</v>
      </c>
      <c r="J52" s="14" t="s">
        <v>69</v>
      </c>
      <c r="K52" s="14" t="s">
        <v>471</v>
      </c>
      <c r="L52" s="14" t="s">
        <v>341</v>
      </c>
      <c r="M52" s="16" t="s">
        <v>1808</v>
      </c>
      <c r="N52" s="14" t="s">
        <v>473</v>
      </c>
      <c r="O52" s="14" t="s">
        <v>1854</v>
      </c>
      <c r="P52" s="14">
        <v>160</v>
      </c>
      <c r="Q52" s="14">
        <v>2</v>
      </c>
      <c r="R52" s="14">
        <v>5900</v>
      </c>
      <c r="S52" s="14" t="s">
        <v>2775</v>
      </c>
      <c r="T52" s="14" t="s">
        <v>2776</v>
      </c>
      <c r="U52" s="14">
        <v>1.37083333333333</v>
      </c>
      <c r="V52" s="14">
        <v>1.6825000000000001</v>
      </c>
      <c r="W52" s="14">
        <v>971</v>
      </c>
      <c r="X52" s="14">
        <v>80</v>
      </c>
      <c r="Y52" s="14">
        <v>891</v>
      </c>
      <c r="Z52" s="14">
        <v>747</v>
      </c>
      <c r="AA52" s="14">
        <v>330</v>
      </c>
      <c r="AB52" s="14">
        <v>272</v>
      </c>
      <c r="AC52" s="14">
        <v>100</v>
      </c>
      <c r="AD52" s="14">
        <v>45</v>
      </c>
      <c r="AE52" s="14">
        <v>1717</v>
      </c>
      <c r="AF52" s="14">
        <v>5000</v>
      </c>
      <c r="AG52" s="14">
        <v>3067</v>
      </c>
      <c r="AH52" s="14">
        <v>0</v>
      </c>
      <c r="AI52" s="14">
        <v>75</v>
      </c>
      <c r="AJ52" s="14">
        <v>139</v>
      </c>
      <c r="AK52" s="14" t="s">
        <v>2774</v>
      </c>
      <c r="AL52" s="14" t="s">
        <v>2777</v>
      </c>
      <c r="AM52" s="14">
        <v>299.85000000000002</v>
      </c>
      <c r="AN52" s="14">
        <v>183.03</v>
      </c>
      <c r="AO52" s="14">
        <v>73.5</v>
      </c>
      <c r="AP52" s="14">
        <v>20842</v>
      </c>
      <c r="AQ52" s="14">
        <v>20762</v>
      </c>
      <c r="AR52" s="14">
        <v>23000</v>
      </c>
      <c r="AS52" s="14">
        <v>19125</v>
      </c>
      <c r="AT52" s="14">
        <v>19872</v>
      </c>
      <c r="AU52" s="14">
        <v>-11</v>
      </c>
      <c r="AV52" s="14">
        <v>299.14</v>
      </c>
      <c r="AW52" s="14">
        <v>22.88</v>
      </c>
      <c r="AX52" s="14">
        <v>0.51</v>
      </c>
      <c r="AY52" s="14" t="b">
        <v>0</v>
      </c>
    </row>
    <row r="53" spans="1:51" hidden="1" x14ac:dyDescent="0.3">
      <c r="A53" t="str">
        <f>CONCATENATE(I53,E53,LEFT(G53,10))</f>
        <v>HFA144LCLK2026-03-09</v>
      </c>
      <c r="B53" s="14" t="s">
        <v>3187</v>
      </c>
      <c r="C53" s="14" t="s">
        <v>336</v>
      </c>
      <c r="D53" s="14" t="s">
        <v>337</v>
      </c>
      <c r="E53" s="14" t="s">
        <v>87</v>
      </c>
      <c r="F53" s="14" t="s">
        <v>83</v>
      </c>
      <c r="G53" s="14" t="s">
        <v>3188</v>
      </c>
      <c r="H53" s="14" t="s">
        <v>357</v>
      </c>
      <c r="I53" s="14" t="s">
        <v>189</v>
      </c>
      <c r="J53" s="14" t="s">
        <v>87</v>
      </c>
      <c r="K53" s="14" t="s">
        <v>471</v>
      </c>
      <c r="L53" s="14" t="s">
        <v>341</v>
      </c>
      <c r="M53" s="16" t="s">
        <v>3189</v>
      </c>
      <c r="N53" s="14" t="s">
        <v>359</v>
      </c>
      <c r="O53" s="14" t="s">
        <v>3190</v>
      </c>
      <c r="P53" s="14">
        <v>150</v>
      </c>
      <c r="Q53" s="14">
        <v>2</v>
      </c>
      <c r="R53" s="14">
        <v>6800</v>
      </c>
      <c r="S53" s="14" t="s">
        <v>3191</v>
      </c>
      <c r="T53" s="14" t="s">
        <v>3192</v>
      </c>
      <c r="U53" s="14">
        <v>0.91638888888888803</v>
      </c>
      <c r="V53" s="14">
        <v>1.0900000000000001</v>
      </c>
      <c r="W53" s="14">
        <v>841</v>
      </c>
      <c r="X53" s="14">
        <v>80</v>
      </c>
      <c r="Y53" s="14">
        <v>761</v>
      </c>
      <c r="Z53" s="14">
        <v>1659</v>
      </c>
      <c r="AA53" s="14">
        <v>973</v>
      </c>
      <c r="AB53" s="14">
        <v>289</v>
      </c>
      <c r="AC53" s="14">
        <v>349</v>
      </c>
      <c r="AD53" s="14">
        <v>48</v>
      </c>
      <c r="AE53" s="14">
        <v>2500</v>
      </c>
      <c r="AF53" s="14">
        <v>5000</v>
      </c>
      <c r="AG53" s="14">
        <v>2657</v>
      </c>
      <c r="AH53" s="14">
        <v>0</v>
      </c>
      <c r="AI53" s="14">
        <v>62</v>
      </c>
      <c r="AJ53" s="14">
        <v>203</v>
      </c>
      <c r="AK53" s="14" t="s">
        <v>3188</v>
      </c>
      <c r="AL53" s="14" t="s">
        <v>3193</v>
      </c>
      <c r="AM53" s="14">
        <v>264.72000000000003</v>
      </c>
      <c r="AN53" s="14">
        <v>183.03</v>
      </c>
      <c r="AO53" s="14">
        <v>299.87</v>
      </c>
      <c r="AP53" s="14">
        <v>22525</v>
      </c>
      <c r="AQ53" s="14">
        <v>22445</v>
      </c>
      <c r="AR53" s="14">
        <v>23000</v>
      </c>
      <c r="AS53" s="14">
        <v>20025</v>
      </c>
      <c r="AT53" s="14">
        <v>21684</v>
      </c>
      <c r="AU53" s="14">
        <v>13</v>
      </c>
      <c r="AV53" s="14">
        <v>303.86</v>
      </c>
      <c r="AW53" s="14">
        <v>18.760000000000002</v>
      </c>
      <c r="AX53" s="14">
        <v>-0.6</v>
      </c>
      <c r="AY53" s="14" t="b">
        <v>0</v>
      </c>
    </row>
    <row r="54" spans="1:51" hidden="1" x14ac:dyDescent="0.3">
      <c r="A54" t="str">
        <f>CONCATENATE(I54,E54,LEFT(G54,10))</f>
        <v>HFA145LLBG2026-03-09</v>
      </c>
      <c r="B54" s="14" t="s">
        <v>3182</v>
      </c>
      <c r="C54" s="14" t="s">
        <v>336</v>
      </c>
      <c r="D54" s="14" t="s">
        <v>337</v>
      </c>
      <c r="E54" s="14" t="s">
        <v>83</v>
      </c>
      <c r="F54" s="14" t="s">
        <v>48</v>
      </c>
      <c r="G54" s="14" t="s">
        <v>3183</v>
      </c>
      <c r="H54" s="14" t="s">
        <v>357</v>
      </c>
      <c r="I54" s="14" t="s">
        <v>190</v>
      </c>
      <c r="J54" s="14" t="s">
        <v>401</v>
      </c>
      <c r="K54" s="14" t="s">
        <v>471</v>
      </c>
      <c r="L54" s="14" t="s">
        <v>341</v>
      </c>
      <c r="M54" s="16" t="s">
        <v>1646</v>
      </c>
      <c r="N54" s="14" t="s">
        <v>359</v>
      </c>
      <c r="O54" s="14" t="s">
        <v>2759</v>
      </c>
      <c r="P54" s="14">
        <v>180</v>
      </c>
      <c r="Q54" s="14">
        <v>2</v>
      </c>
      <c r="R54" s="14">
        <v>6500</v>
      </c>
      <c r="S54" s="14" t="s">
        <v>3184</v>
      </c>
      <c r="T54" s="14" t="s">
        <v>3185</v>
      </c>
      <c r="U54" s="14">
        <v>2.8436111111111102</v>
      </c>
      <c r="V54" s="14">
        <v>3.20583333333333</v>
      </c>
      <c r="W54" s="14">
        <v>1995</v>
      </c>
      <c r="X54" s="14">
        <v>80</v>
      </c>
      <c r="Y54" s="14">
        <v>1915</v>
      </c>
      <c r="Z54" s="14">
        <v>1105</v>
      </c>
      <c r="AA54" s="14">
        <v>596</v>
      </c>
      <c r="AB54" s="14">
        <v>280</v>
      </c>
      <c r="AC54" s="14">
        <v>133</v>
      </c>
      <c r="AD54" s="14">
        <v>96</v>
      </c>
      <c r="AE54" s="14">
        <v>3100</v>
      </c>
      <c r="AF54" s="14">
        <v>5000</v>
      </c>
      <c r="AG54" s="14">
        <v>6305</v>
      </c>
      <c r="AH54" s="14">
        <v>0</v>
      </c>
      <c r="AI54" s="14">
        <v>169</v>
      </c>
      <c r="AJ54" s="14">
        <v>265</v>
      </c>
      <c r="AK54" s="14" t="s">
        <v>3183</v>
      </c>
      <c r="AL54" s="14" t="s">
        <v>3186</v>
      </c>
      <c r="AM54" s="14">
        <v>688.95</v>
      </c>
      <c r="AN54" s="14">
        <v>645.11</v>
      </c>
      <c r="AO54" s="14">
        <v>176.85</v>
      </c>
      <c r="AP54" s="14">
        <v>22825</v>
      </c>
      <c r="AQ54" s="14">
        <v>22745</v>
      </c>
      <c r="AR54" s="14">
        <v>23000</v>
      </c>
      <c r="AS54" s="14">
        <v>19725</v>
      </c>
      <c r="AT54" s="14">
        <v>20830</v>
      </c>
      <c r="AU54" s="14">
        <v>-16</v>
      </c>
      <c r="AV54" s="14">
        <v>308.74</v>
      </c>
      <c r="AW54" s="14">
        <v>14.52</v>
      </c>
      <c r="AX54" s="14">
        <v>-1.17</v>
      </c>
      <c r="AY54" s="14" t="b">
        <v>0</v>
      </c>
    </row>
    <row r="55" spans="1:51" hidden="1" x14ac:dyDescent="0.3">
      <c r="A55" t="str">
        <f>CONCATENATE(I55,E55,LEFT(G55,10))</f>
        <v>HFA146LGAV2026-03-09</v>
      </c>
      <c r="B55" s="14" t="s">
        <v>3172</v>
      </c>
      <c r="C55" s="14" t="s">
        <v>336</v>
      </c>
      <c r="D55" s="14" t="s">
        <v>337</v>
      </c>
      <c r="E55" s="14" t="s">
        <v>48</v>
      </c>
      <c r="F55" s="14" t="s">
        <v>83</v>
      </c>
      <c r="G55" s="14" t="s">
        <v>3173</v>
      </c>
      <c r="H55" s="14" t="s">
        <v>339</v>
      </c>
      <c r="I55" s="14" t="s">
        <v>238</v>
      </c>
      <c r="J55" s="14" t="s">
        <v>87</v>
      </c>
      <c r="K55" s="14" t="s">
        <v>471</v>
      </c>
      <c r="L55" s="14" t="s">
        <v>341</v>
      </c>
      <c r="M55" s="16" t="s">
        <v>3174</v>
      </c>
      <c r="N55" s="14"/>
      <c r="O55" s="14" t="s">
        <v>3030</v>
      </c>
      <c r="P55" s="14">
        <v>190</v>
      </c>
      <c r="Q55" s="14">
        <v>2</v>
      </c>
      <c r="R55" s="14">
        <v>6600</v>
      </c>
      <c r="S55" s="14" t="s">
        <v>3175</v>
      </c>
      <c r="T55" s="14" t="s">
        <v>3176</v>
      </c>
      <c r="U55" s="14">
        <v>2.53944444444444</v>
      </c>
      <c r="V55" s="14">
        <v>2.7808333333333302</v>
      </c>
      <c r="W55" s="14">
        <v>1847</v>
      </c>
      <c r="X55" s="14">
        <v>170</v>
      </c>
      <c r="Y55" s="14">
        <v>1677</v>
      </c>
      <c r="Z55" s="14">
        <v>1107</v>
      </c>
      <c r="AA55" s="14">
        <v>741</v>
      </c>
      <c r="AB55" s="14">
        <v>282</v>
      </c>
      <c r="AC55" s="14">
        <v>0</v>
      </c>
      <c r="AD55" s="14">
        <v>84</v>
      </c>
      <c r="AE55" s="14">
        <v>2954</v>
      </c>
      <c r="AF55" s="14">
        <v>5000</v>
      </c>
      <c r="AG55" s="14">
        <v>5838</v>
      </c>
      <c r="AH55" s="14">
        <v>0</v>
      </c>
      <c r="AI55" s="14">
        <v>148</v>
      </c>
      <c r="AJ55" s="14">
        <v>245</v>
      </c>
      <c r="AK55" s="14" t="s">
        <v>3173</v>
      </c>
      <c r="AL55" s="14" t="s">
        <v>3177</v>
      </c>
      <c r="AM55" s="14">
        <v>670.18</v>
      </c>
      <c r="AN55" s="14">
        <v>645.11</v>
      </c>
      <c r="AO55" s="14">
        <v>212.7</v>
      </c>
      <c r="AP55" s="14">
        <v>22879</v>
      </c>
      <c r="AQ55" s="14">
        <v>22709</v>
      </c>
      <c r="AR55" s="14">
        <v>23000</v>
      </c>
      <c r="AS55" s="14">
        <v>19925</v>
      </c>
      <c r="AT55" s="14">
        <v>21032</v>
      </c>
      <c r="AU55" s="14">
        <v>14</v>
      </c>
      <c r="AV55" s="14">
        <v>309.14999999999998</v>
      </c>
      <c r="AW55" s="14">
        <v>17.37</v>
      </c>
      <c r="AX55" s="14">
        <v>-1.28</v>
      </c>
      <c r="AY55" s="14" t="b">
        <v>0</v>
      </c>
    </row>
    <row r="56" spans="1:51" hidden="1" x14ac:dyDescent="0.3">
      <c r="A56" t="str">
        <f>CONCATENATE(I56,E56,LEFT(G56,10))</f>
        <v>HFA147LLBG2026-03-09</v>
      </c>
      <c r="B56" s="14" t="s">
        <v>3163</v>
      </c>
      <c r="C56" s="14" t="s">
        <v>336</v>
      </c>
      <c r="D56" s="14" t="s">
        <v>337</v>
      </c>
      <c r="E56" s="14" t="s">
        <v>83</v>
      </c>
      <c r="F56" s="14" t="s">
        <v>87</v>
      </c>
      <c r="G56" s="14" t="s">
        <v>3164</v>
      </c>
      <c r="H56" s="14" t="s">
        <v>339</v>
      </c>
      <c r="I56" s="14" t="s">
        <v>239</v>
      </c>
      <c r="J56" s="14" t="s">
        <v>69</v>
      </c>
      <c r="K56" s="14" t="s">
        <v>471</v>
      </c>
      <c r="L56" s="14" t="s">
        <v>341</v>
      </c>
      <c r="M56" s="16" t="s">
        <v>3165</v>
      </c>
      <c r="N56" s="14" t="s">
        <v>768</v>
      </c>
      <c r="O56" s="14" t="s">
        <v>1847</v>
      </c>
      <c r="P56" s="14">
        <v>140</v>
      </c>
      <c r="Q56" s="14">
        <v>2</v>
      </c>
      <c r="R56" s="14">
        <v>6900</v>
      </c>
      <c r="S56" s="14" t="s">
        <v>3166</v>
      </c>
      <c r="T56" s="14" t="s">
        <v>3167</v>
      </c>
      <c r="U56" s="14">
        <v>1.00583333333333</v>
      </c>
      <c r="V56" s="14">
        <v>1.57361111111111</v>
      </c>
      <c r="W56" s="14">
        <v>1020</v>
      </c>
      <c r="X56" s="14">
        <v>80</v>
      </c>
      <c r="Y56" s="14">
        <v>940</v>
      </c>
      <c r="Z56" s="14">
        <v>859</v>
      </c>
      <c r="AA56" s="14">
        <v>329</v>
      </c>
      <c r="AB56" s="14">
        <v>283</v>
      </c>
      <c r="AC56" s="14">
        <v>200</v>
      </c>
      <c r="AD56" s="14">
        <v>47</v>
      </c>
      <c r="AE56" s="14">
        <v>1878</v>
      </c>
      <c r="AF56" s="14">
        <v>5000</v>
      </c>
      <c r="AG56" s="14">
        <v>3223</v>
      </c>
      <c r="AH56" s="14">
        <v>0</v>
      </c>
      <c r="AI56" s="14">
        <v>75</v>
      </c>
      <c r="AJ56" s="14">
        <v>146</v>
      </c>
      <c r="AK56" s="14" t="s">
        <v>3164</v>
      </c>
      <c r="AL56" s="14" t="s">
        <v>3168</v>
      </c>
      <c r="AM56" s="14">
        <v>299.85000000000002</v>
      </c>
      <c r="AN56" s="14">
        <v>183.03</v>
      </c>
      <c r="AO56" s="14">
        <v>73.5</v>
      </c>
      <c r="AP56" s="14">
        <v>22103</v>
      </c>
      <c r="AQ56" s="14">
        <v>22023</v>
      </c>
      <c r="AR56" s="14">
        <v>23000</v>
      </c>
      <c r="AS56" s="14">
        <v>20225</v>
      </c>
      <c r="AT56" s="14">
        <v>21084</v>
      </c>
      <c r="AU56" s="14">
        <v>-13</v>
      </c>
      <c r="AV56" s="14">
        <v>333.9</v>
      </c>
      <c r="AW56" s="14">
        <v>15.59</v>
      </c>
      <c r="AX56" s="14">
        <v>0.53</v>
      </c>
      <c r="AY56" s="14" t="b">
        <v>0</v>
      </c>
    </row>
    <row r="57" spans="1:51" hidden="1" x14ac:dyDescent="0.3">
      <c r="A57" t="str">
        <f>CONCATENATE(I57,E57,LEFT(G57,10))</f>
        <v>HFA148LCLK2026-03-09</v>
      </c>
      <c r="B57" s="14" t="s">
        <v>3208</v>
      </c>
      <c r="C57" s="14" t="s">
        <v>336</v>
      </c>
      <c r="D57" s="14" t="s">
        <v>337</v>
      </c>
      <c r="E57" s="14" t="s">
        <v>87</v>
      </c>
      <c r="F57" s="14" t="s">
        <v>83</v>
      </c>
      <c r="G57" s="14" t="s">
        <v>3209</v>
      </c>
      <c r="H57" s="14" t="s">
        <v>339</v>
      </c>
      <c r="I57" s="14" t="s">
        <v>236</v>
      </c>
      <c r="J57" s="14" t="s">
        <v>87</v>
      </c>
      <c r="K57" s="14" t="s">
        <v>471</v>
      </c>
      <c r="L57" s="14" t="s">
        <v>341</v>
      </c>
      <c r="M57" s="16" t="s">
        <v>3210</v>
      </c>
      <c r="N57" s="14" t="s">
        <v>3211</v>
      </c>
      <c r="O57" s="14" t="s">
        <v>2278</v>
      </c>
      <c r="P57" s="14">
        <v>150</v>
      </c>
      <c r="Q57" s="14">
        <v>2</v>
      </c>
      <c r="R57" s="14">
        <v>6700</v>
      </c>
      <c r="S57" s="14" t="s">
        <v>3212</v>
      </c>
      <c r="T57" s="14" t="s">
        <v>3213</v>
      </c>
      <c r="U57" s="14">
        <v>0.96777777777777696</v>
      </c>
      <c r="V57" s="14">
        <v>1.16777777777777</v>
      </c>
      <c r="W57" s="14">
        <v>847</v>
      </c>
      <c r="X57" s="14">
        <v>80</v>
      </c>
      <c r="Y57" s="14">
        <v>767</v>
      </c>
      <c r="Z57" s="14">
        <v>1653</v>
      </c>
      <c r="AA57" s="14">
        <v>977</v>
      </c>
      <c r="AB57" s="14">
        <v>289</v>
      </c>
      <c r="AC57" s="14">
        <v>339</v>
      </c>
      <c r="AD57" s="14">
        <v>48</v>
      </c>
      <c r="AE57" s="14">
        <v>2500</v>
      </c>
      <c r="AF57" s="14">
        <v>5000</v>
      </c>
      <c r="AG57" s="14">
        <v>2677</v>
      </c>
      <c r="AH57" s="14">
        <v>0</v>
      </c>
      <c r="AI57" s="14">
        <v>62</v>
      </c>
      <c r="AJ57" s="14">
        <v>201</v>
      </c>
      <c r="AK57" s="14" t="s">
        <v>3209</v>
      </c>
      <c r="AL57" s="14" t="s">
        <v>3214</v>
      </c>
      <c r="AM57" s="14">
        <v>264.72000000000003</v>
      </c>
      <c r="AN57" s="14">
        <v>183.03</v>
      </c>
      <c r="AO57" s="14">
        <v>299.87</v>
      </c>
      <c r="AP57" s="14">
        <v>22525</v>
      </c>
      <c r="AQ57" s="14">
        <v>22445</v>
      </c>
      <c r="AR57" s="14">
        <v>23000</v>
      </c>
      <c r="AS57" s="14">
        <v>20025</v>
      </c>
      <c r="AT57" s="14">
        <v>21678</v>
      </c>
      <c r="AU57" s="14">
        <v>13</v>
      </c>
      <c r="AV57" s="14">
        <v>303.05</v>
      </c>
      <c r="AW57" s="14">
        <v>21.02</v>
      </c>
      <c r="AX57" s="14">
        <v>-0.25</v>
      </c>
      <c r="AY57" s="14" t="b">
        <v>0</v>
      </c>
    </row>
    <row r="58" spans="1:51" hidden="1" x14ac:dyDescent="0.3">
      <c r="A58" t="str">
        <f>CONCATENATE(I58,E58,LEFT(G58,10))</f>
        <v>HFA149LLBG2026-03-09</v>
      </c>
      <c r="B58" s="14" t="s">
        <v>3194</v>
      </c>
      <c r="C58" s="14" t="s">
        <v>336</v>
      </c>
      <c r="D58" s="14" t="s">
        <v>337</v>
      </c>
      <c r="E58" s="14" t="s">
        <v>83</v>
      </c>
      <c r="F58" s="14" t="s">
        <v>48</v>
      </c>
      <c r="G58" s="14" t="s">
        <v>3195</v>
      </c>
      <c r="H58" s="14" t="s">
        <v>339</v>
      </c>
      <c r="I58" s="14" t="s">
        <v>237</v>
      </c>
      <c r="J58" s="14"/>
      <c r="K58" s="14" t="s">
        <v>471</v>
      </c>
      <c r="L58" s="14" t="s">
        <v>341</v>
      </c>
      <c r="M58" s="16" t="s">
        <v>3196</v>
      </c>
      <c r="N58" s="14"/>
      <c r="O58" s="14" t="s">
        <v>3197</v>
      </c>
      <c r="P58" s="14">
        <v>180</v>
      </c>
      <c r="Q58" s="14">
        <v>2</v>
      </c>
      <c r="R58" s="14">
        <v>7000</v>
      </c>
      <c r="S58" s="14" t="s">
        <v>3198</v>
      </c>
      <c r="T58" s="14" t="s">
        <v>3199</v>
      </c>
      <c r="U58" s="14">
        <v>2.8563888888888802</v>
      </c>
      <c r="V58" s="14">
        <v>3.2580555555555502</v>
      </c>
      <c r="W58" s="14">
        <v>2041</v>
      </c>
      <c r="X58" s="14">
        <v>80</v>
      </c>
      <c r="Y58" s="14">
        <v>1961</v>
      </c>
      <c r="Z58" s="14">
        <v>559</v>
      </c>
      <c r="AA58" s="14">
        <v>140</v>
      </c>
      <c r="AB58" s="14">
        <v>280</v>
      </c>
      <c r="AC58" s="14">
        <v>41</v>
      </c>
      <c r="AD58" s="14">
        <v>98</v>
      </c>
      <c r="AE58" s="14">
        <v>2600</v>
      </c>
      <c r="AF58" s="14">
        <v>5000</v>
      </c>
      <c r="AG58" s="14">
        <v>6449</v>
      </c>
      <c r="AH58" s="14">
        <v>0</v>
      </c>
      <c r="AI58" s="14">
        <v>171</v>
      </c>
      <c r="AJ58" s="14">
        <v>230</v>
      </c>
      <c r="AK58" s="14" t="s">
        <v>3195</v>
      </c>
      <c r="AL58" s="14" t="s">
        <v>3200</v>
      </c>
      <c r="AM58" s="14">
        <v>688.45</v>
      </c>
      <c r="AN58" s="14">
        <v>645.11</v>
      </c>
      <c r="AO58" s="14">
        <v>0</v>
      </c>
      <c r="AP58" s="14">
        <v>22925</v>
      </c>
      <c r="AQ58" s="14">
        <v>22845</v>
      </c>
      <c r="AR58" s="14">
        <v>23000</v>
      </c>
      <c r="AS58" s="14">
        <v>20325</v>
      </c>
      <c r="AT58" s="14">
        <v>20884</v>
      </c>
      <c r="AU58" s="14">
        <v>-19</v>
      </c>
      <c r="AV58" s="14">
        <v>301.14</v>
      </c>
      <c r="AW58" s="14">
        <v>17.649999999999999</v>
      </c>
      <c r="AX58" s="14">
        <v>-1.01</v>
      </c>
      <c r="AY58" s="14" t="b">
        <v>0</v>
      </c>
    </row>
    <row r="59" spans="1:51" hidden="1" x14ac:dyDescent="0.3">
      <c r="A59" t="str">
        <f>CONCATENATE(I59,E59,LEFT(G59,10))</f>
        <v>HFA150ALCLK2026-03-09</v>
      </c>
      <c r="B59" s="14" t="s">
        <v>3201</v>
      </c>
      <c r="C59" s="14" t="s">
        <v>336</v>
      </c>
      <c r="D59" s="14" t="s">
        <v>337</v>
      </c>
      <c r="E59" s="14" t="s">
        <v>87</v>
      </c>
      <c r="F59" s="14" t="s">
        <v>48</v>
      </c>
      <c r="G59" s="14" t="s">
        <v>3202</v>
      </c>
      <c r="H59" s="14" t="s">
        <v>371</v>
      </c>
      <c r="I59" s="14" t="s">
        <v>146</v>
      </c>
      <c r="J59" s="14" t="s">
        <v>401</v>
      </c>
      <c r="K59" s="14" t="s">
        <v>471</v>
      </c>
      <c r="L59" s="14" t="s">
        <v>341</v>
      </c>
      <c r="M59" s="16" t="s">
        <v>3203</v>
      </c>
      <c r="N59" s="14"/>
      <c r="O59" s="14" t="s">
        <v>3204</v>
      </c>
      <c r="P59" s="14">
        <v>160</v>
      </c>
      <c r="Q59" s="14">
        <v>2</v>
      </c>
      <c r="R59" s="14">
        <v>500</v>
      </c>
      <c r="S59" s="14" t="s">
        <v>3205</v>
      </c>
      <c r="T59" s="14" t="s">
        <v>3206</v>
      </c>
      <c r="U59" s="14">
        <v>2.1933333333333298</v>
      </c>
      <c r="V59" s="14">
        <v>2.5577777777777699</v>
      </c>
      <c r="W59" s="14">
        <v>1711</v>
      </c>
      <c r="X59" s="14">
        <v>80</v>
      </c>
      <c r="Y59" s="14">
        <v>1631</v>
      </c>
      <c r="Z59" s="14">
        <v>982</v>
      </c>
      <c r="AA59" s="14">
        <v>568</v>
      </c>
      <c r="AB59" s="14">
        <v>233</v>
      </c>
      <c r="AC59" s="14">
        <v>100</v>
      </c>
      <c r="AD59" s="14">
        <v>82</v>
      </c>
      <c r="AE59" s="14">
        <v>2692</v>
      </c>
      <c r="AF59" s="14">
        <v>5000</v>
      </c>
      <c r="AG59" s="14">
        <v>5406</v>
      </c>
      <c r="AH59" s="14">
        <v>0</v>
      </c>
      <c r="AI59" s="14">
        <v>132</v>
      </c>
      <c r="AJ59" s="14">
        <v>222</v>
      </c>
      <c r="AK59" s="14" t="s">
        <v>3202</v>
      </c>
      <c r="AL59" s="14" t="s">
        <v>3207</v>
      </c>
      <c r="AM59" s="14">
        <v>574.26</v>
      </c>
      <c r="AN59" s="14">
        <v>503.3</v>
      </c>
      <c r="AO59" s="14">
        <v>176.85</v>
      </c>
      <c r="AP59" s="14">
        <v>16692</v>
      </c>
      <c r="AQ59" s="14">
        <v>16612</v>
      </c>
      <c r="AR59" s="14">
        <v>23000</v>
      </c>
      <c r="AS59" s="14">
        <v>14000</v>
      </c>
      <c r="AT59" s="14">
        <v>14982</v>
      </c>
      <c r="AU59" s="14">
        <v>-10</v>
      </c>
      <c r="AV59" s="14">
        <v>324.20999999999998</v>
      </c>
      <c r="AW59" s="14">
        <v>12.78</v>
      </c>
      <c r="AX59" s="14">
        <v>-1.46</v>
      </c>
      <c r="AY59" s="14" t="b">
        <v>0</v>
      </c>
    </row>
    <row r="60" spans="1:51" hidden="1" x14ac:dyDescent="0.3">
      <c r="A60" t="str">
        <f>CONCATENATE(I60,E60,LEFT(G60,10))</f>
        <v>HFA150BLCLK2026-03-09</v>
      </c>
      <c r="B60" s="14" t="s">
        <v>3169</v>
      </c>
      <c r="C60" s="14" t="s">
        <v>841</v>
      </c>
      <c r="D60" s="14" t="s">
        <v>688</v>
      </c>
      <c r="E60" s="14" t="s">
        <v>87</v>
      </c>
      <c r="F60" s="14" t="s">
        <v>83</v>
      </c>
      <c r="G60" s="14" t="s">
        <v>3170</v>
      </c>
      <c r="H60" s="14" t="s">
        <v>371</v>
      </c>
      <c r="I60" s="14" t="s">
        <v>148</v>
      </c>
      <c r="J60" s="14"/>
      <c r="K60" s="14" t="s">
        <v>471</v>
      </c>
      <c r="L60" s="14" t="s">
        <v>341</v>
      </c>
      <c r="M60" s="16"/>
      <c r="N60" s="14"/>
      <c r="O60" s="14" t="s">
        <v>817</v>
      </c>
      <c r="P60" s="14">
        <v>230</v>
      </c>
      <c r="Q60" s="14">
        <v>0</v>
      </c>
      <c r="R60" s="14">
        <v>0</v>
      </c>
      <c r="S60" s="14"/>
      <c r="T60" s="14"/>
      <c r="U60" s="14"/>
      <c r="V60" s="14"/>
      <c r="W60" s="14">
        <v>733</v>
      </c>
      <c r="X60" s="14">
        <v>80</v>
      </c>
      <c r="Y60" s="14">
        <v>653</v>
      </c>
      <c r="Z60" s="14">
        <v>374</v>
      </c>
      <c r="AA60" s="14">
        <v>112</v>
      </c>
      <c r="AB60" s="14">
        <v>225</v>
      </c>
      <c r="AC60" s="14">
        <v>0</v>
      </c>
      <c r="AD60" s="14">
        <v>37</v>
      </c>
      <c r="AE60" s="14">
        <v>1108</v>
      </c>
      <c r="AF60" s="14">
        <v>5000</v>
      </c>
      <c r="AG60" s="14">
        <v>2317</v>
      </c>
      <c r="AH60" s="14">
        <v>0</v>
      </c>
      <c r="AI60" s="14">
        <v>59</v>
      </c>
      <c r="AJ60" s="14">
        <v>109</v>
      </c>
      <c r="AK60" s="14" t="s">
        <v>3170</v>
      </c>
      <c r="AL60" s="14" t="s">
        <v>3171</v>
      </c>
      <c r="AM60" s="14">
        <v>264.72000000000003</v>
      </c>
      <c r="AN60" s="14">
        <v>183.03</v>
      </c>
      <c r="AO60" s="14">
        <v>0</v>
      </c>
      <c r="AP60" s="14">
        <v>14608</v>
      </c>
      <c r="AQ60" s="14">
        <v>14528</v>
      </c>
      <c r="AR60" s="14">
        <v>23000</v>
      </c>
      <c r="AS60" s="14">
        <v>13500</v>
      </c>
      <c r="AT60" s="14">
        <v>13874</v>
      </c>
      <c r="AU60" s="14">
        <v>18</v>
      </c>
      <c r="AV60" s="14">
        <v>323.61</v>
      </c>
      <c r="AW60" s="14">
        <v>26.14</v>
      </c>
      <c r="AX60" s="14">
        <v>-2.83</v>
      </c>
      <c r="AY60" s="14" t="b">
        <v>0</v>
      </c>
    </row>
    <row r="61" spans="1:51" hidden="1" x14ac:dyDescent="0.3">
      <c r="A61" t="str">
        <f>CONCATENATE(I61,E61,LEFT(G61,10))</f>
        <v>HFA151LLBG2026-03-09</v>
      </c>
      <c r="B61" s="14" t="s">
        <v>3178</v>
      </c>
      <c r="C61" s="14" t="s">
        <v>336</v>
      </c>
      <c r="D61" s="14" t="s">
        <v>337</v>
      </c>
      <c r="E61" s="14" t="s">
        <v>83</v>
      </c>
      <c r="F61" s="14" t="s">
        <v>87</v>
      </c>
      <c r="G61" s="14" t="s">
        <v>3173</v>
      </c>
      <c r="H61" s="14" t="s">
        <v>371</v>
      </c>
      <c r="I61" s="14" t="s">
        <v>149</v>
      </c>
      <c r="J61" s="14" t="s">
        <v>69</v>
      </c>
      <c r="K61" s="14" t="s">
        <v>471</v>
      </c>
      <c r="L61" s="14" t="s">
        <v>341</v>
      </c>
      <c r="M61" s="16" t="s">
        <v>1808</v>
      </c>
      <c r="N61" s="14" t="s">
        <v>768</v>
      </c>
      <c r="O61" s="14" t="s">
        <v>1854</v>
      </c>
      <c r="P61" s="14">
        <v>160</v>
      </c>
      <c r="Q61" s="14">
        <v>2</v>
      </c>
      <c r="R61" s="14">
        <v>7200</v>
      </c>
      <c r="S61" s="14" t="s">
        <v>3179</v>
      </c>
      <c r="T61" s="14" t="s">
        <v>3180</v>
      </c>
      <c r="U61" s="14">
        <v>1.04944444444444</v>
      </c>
      <c r="V61" s="14">
        <v>1.4819444444444401</v>
      </c>
      <c r="W61" s="14">
        <v>1040</v>
      </c>
      <c r="X61" s="14">
        <v>80</v>
      </c>
      <c r="Y61" s="14">
        <v>960</v>
      </c>
      <c r="Z61" s="14">
        <v>773</v>
      </c>
      <c r="AA61" s="14">
        <v>338</v>
      </c>
      <c r="AB61" s="14">
        <v>287</v>
      </c>
      <c r="AC61" s="14">
        <v>100</v>
      </c>
      <c r="AD61" s="14">
        <v>48</v>
      </c>
      <c r="AE61" s="14">
        <v>1812</v>
      </c>
      <c r="AF61" s="14">
        <v>5000</v>
      </c>
      <c r="AG61" s="14">
        <v>3286</v>
      </c>
      <c r="AH61" s="14">
        <v>0</v>
      </c>
      <c r="AI61" s="14">
        <v>78</v>
      </c>
      <c r="AJ61" s="14">
        <v>141</v>
      </c>
      <c r="AK61" s="14" t="s">
        <v>3173</v>
      </c>
      <c r="AL61" s="14" t="s">
        <v>3181</v>
      </c>
      <c r="AM61" s="14">
        <v>299.85000000000002</v>
      </c>
      <c r="AN61" s="14">
        <v>183.03</v>
      </c>
      <c r="AO61" s="14">
        <v>73.5</v>
      </c>
      <c r="AP61" s="14">
        <v>22512</v>
      </c>
      <c r="AQ61" s="14">
        <v>22432</v>
      </c>
      <c r="AR61" s="14">
        <v>23000</v>
      </c>
      <c r="AS61" s="14">
        <v>20700</v>
      </c>
      <c r="AT61" s="14">
        <v>21473</v>
      </c>
      <c r="AU61" s="14">
        <v>-17</v>
      </c>
      <c r="AV61" s="14">
        <v>312.29000000000002</v>
      </c>
      <c r="AW61" s="14">
        <v>24.18</v>
      </c>
      <c r="AX61" s="14">
        <v>-0.39</v>
      </c>
      <c r="AY61" s="14" t="b">
        <v>0</v>
      </c>
    </row>
    <row r="62" spans="1:51" hidden="1" x14ac:dyDescent="0.3">
      <c r="A62" t="str">
        <f>CONCATENATE(I62,E62,LEFT(G62,10))</f>
        <v>HFA152LCLK2026-03-10</v>
      </c>
      <c r="B62" s="14" t="s">
        <v>3159</v>
      </c>
      <c r="C62" s="14" t="s">
        <v>336</v>
      </c>
      <c r="D62" s="14" t="s">
        <v>337</v>
      </c>
      <c r="E62" s="14" t="s">
        <v>87</v>
      </c>
      <c r="F62" s="14" t="s">
        <v>83</v>
      </c>
      <c r="G62" s="14" t="s">
        <v>3160</v>
      </c>
      <c r="H62" s="14" t="s">
        <v>339</v>
      </c>
      <c r="I62" s="14" t="s">
        <v>240</v>
      </c>
      <c r="J62" s="14" t="s">
        <v>87</v>
      </c>
      <c r="K62" s="14" t="s">
        <v>471</v>
      </c>
      <c r="L62" s="14" t="s">
        <v>341</v>
      </c>
      <c r="M62" s="16" t="s">
        <v>3161</v>
      </c>
      <c r="N62" s="14"/>
      <c r="O62" s="14" t="s">
        <v>3118</v>
      </c>
      <c r="P62" s="14">
        <v>150</v>
      </c>
      <c r="Q62" s="14">
        <v>2</v>
      </c>
      <c r="R62" s="14">
        <v>7000</v>
      </c>
      <c r="S62" s="14"/>
      <c r="T62" s="14"/>
      <c r="U62" s="14"/>
      <c r="V62" s="14"/>
      <c r="W62" s="14">
        <v>866</v>
      </c>
      <c r="X62" s="14">
        <v>80</v>
      </c>
      <c r="Y62" s="14">
        <v>786</v>
      </c>
      <c r="Z62" s="14">
        <v>1634</v>
      </c>
      <c r="AA62" s="14">
        <v>735</v>
      </c>
      <c r="AB62" s="14">
        <v>292</v>
      </c>
      <c r="AC62" s="14">
        <v>559</v>
      </c>
      <c r="AD62" s="14">
        <v>49</v>
      </c>
      <c r="AE62" s="14">
        <v>2500</v>
      </c>
      <c r="AF62" s="14">
        <v>5000</v>
      </c>
      <c r="AG62" s="14">
        <v>2736</v>
      </c>
      <c r="AH62" s="14">
        <v>0</v>
      </c>
      <c r="AI62" s="14">
        <v>64</v>
      </c>
      <c r="AJ62" s="14">
        <v>203</v>
      </c>
      <c r="AK62" s="14" t="s">
        <v>3160</v>
      </c>
      <c r="AL62" s="14" t="s">
        <v>3162</v>
      </c>
      <c r="AM62" s="14">
        <v>264.72000000000003</v>
      </c>
      <c r="AN62" s="14">
        <v>183.03</v>
      </c>
      <c r="AO62" s="14">
        <v>215.32</v>
      </c>
      <c r="AP62" s="14">
        <v>22825</v>
      </c>
      <c r="AQ62" s="14">
        <v>22745</v>
      </c>
      <c r="AR62" s="14">
        <v>23000</v>
      </c>
      <c r="AS62" s="14">
        <v>20325</v>
      </c>
      <c r="AT62" s="14">
        <v>21959</v>
      </c>
      <c r="AU62" s="14">
        <v>4</v>
      </c>
      <c r="AV62" s="14">
        <v>268.24</v>
      </c>
      <c r="AW62" s="14">
        <v>23.85</v>
      </c>
      <c r="AX62" s="14">
        <v>2.66</v>
      </c>
      <c r="AY62" s="14" t="b">
        <v>0</v>
      </c>
    </row>
    <row r="63" spans="1:51" hidden="1" x14ac:dyDescent="0.3">
      <c r="A63" t="str">
        <f>CONCATENATE(I63,E63,LEFT(G63,10))</f>
        <v>HFA153LLBG2026-03-10</v>
      </c>
      <c r="B63" s="14" t="s">
        <v>3146</v>
      </c>
      <c r="C63" s="14" t="s">
        <v>336</v>
      </c>
      <c r="D63" s="14" t="s">
        <v>337</v>
      </c>
      <c r="E63" s="14" t="s">
        <v>83</v>
      </c>
      <c r="F63" s="14" t="s">
        <v>48</v>
      </c>
      <c r="G63" s="14" t="s">
        <v>3147</v>
      </c>
      <c r="H63" s="14" t="s">
        <v>339</v>
      </c>
      <c r="I63" s="14" t="s">
        <v>241</v>
      </c>
      <c r="J63" s="14"/>
      <c r="K63" s="14" t="s">
        <v>471</v>
      </c>
      <c r="L63" s="14" t="s">
        <v>341</v>
      </c>
      <c r="M63" s="16" t="s">
        <v>3148</v>
      </c>
      <c r="N63" s="14"/>
      <c r="O63" s="14" t="s">
        <v>811</v>
      </c>
      <c r="P63" s="14">
        <v>200</v>
      </c>
      <c r="Q63" s="14">
        <v>2</v>
      </c>
      <c r="R63" s="14">
        <v>0</v>
      </c>
      <c r="S63" s="14" t="s">
        <v>3149</v>
      </c>
      <c r="T63" s="14" t="s">
        <v>3150</v>
      </c>
      <c r="U63" s="14">
        <v>3.1130555555555501</v>
      </c>
      <c r="V63" s="14">
        <v>3.93722222222222</v>
      </c>
      <c r="W63" s="14">
        <v>1982</v>
      </c>
      <c r="X63" s="14">
        <v>100</v>
      </c>
      <c r="Y63" s="14">
        <v>1882</v>
      </c>
      <c r="Z63" s="14">
        <v>518</v>
      </c>
      <c r="AA63" s="14">
        <v>141</v>
      </c>
      <c r="AB63" s="14">
        <v>282</v>
      </c>
      <c r="AC63" s="14">
        <v>1</v>
      </c>
      <c r="AD63" s="14">
        <v>94</v>
      </c>
      <c r="AE63" s="14">
        <v>2500</v>
      </c>
      <c r="AF63" s="14">
        <v>5000</v>
      </c>
      <c r="AG63" s="14">
        <v>6263</v>
      </c>
      <c r="AH63" s="14">
        <v>0</v>
      </c>
      <c r="AI63" s="14">
        <v>172</v>
      </c>
      <c r="AJ63" s="14">
        <v>227</v>
      </c>
      <c r="AK63" s="14" t="s">
        <v>3147</v>
      </c>
      <c r="AL63" s="14" t="s">
        <v>3151</v>
      </c>
      <c r="AM63" s="14">
        <v>688.45</v>
      </c>
      <c r="AN63" s="14">
        <v>645.11</v>
      </c>
      <c r="AO63" s="14">
        <v>0</v>
      </c>
      <c r="AP63" s="14">
        <v>23050</v>
      </c>
      <c r="AQ63" s="14">
        <v>22950</v>
      </c>
      <c r="AR63" s="14">
        <v>23000</v>
      </c>
      <c r="AS63" s="14">
        <v>20550</v>
      </c>
      <c r="AT63" s="14">
        <v>21068</v>
      </c>
      <c r="AU63" s="14">
        <v>-17</v>
      </c>
      <c r="AV63" s="14">
        <v>293.49</v>
      </c>
      <c r="AW63" s="14">
        <v>17.489999999999998</v>
      </c>
      <c r="AX63" s="14">
        <v>-1.49</v>
      </c>
      <c r="AY63" s="14" t="b">
        <v>0</v>
      </c>
    </row>
    <row r="64" spans="1:51" hidden="1" x14ac:dyDescent="0.3">
      <c r="A64" t="str">
        <f>CONCATENATE(I64,E64,LEFT(G64,10))</f>
        <v>HFA154LGAV2026-03-10</v>
      </c>
      <c r="B64" s="14" t="s">
        <v>3152</v>
      </c>
      <c r="C64" s="14" t="s">
        <v>336</v>
      </c>
      <c r="D64" s="14" t="s">
        <v>337</v>
      </c>
      <c r="E64" s="14" t="s">
        <v>48</v>
      </c>
      <c r="F64" s="14" t="s">
        <v>83</v>
      </c>
      <c r="G64" s="14" t="s">
        <v>3153</v>
      </c>
      <c r="H64" s="14" t="s">
        <v>357</v>
      </c>
      <c r="I64" s="14" t="s">
        <v>191</v>
      </c>
      <c r="J64" s="14" t="s">
        <v>87</v>
      </c>
      <c r="K64" s="14" t="s">
        <v>471</v>
      </c>
      <c r="L64" s="14" t="s">
        <v>341</v>
      </c>
      <c r="M64" s="16" t="s">
        <v>3154</v>
      </c>
      <c r="N64" s="14" t="s">
        <v>359</v>
      </c>
      <c r="O64" s="14" t="s">
        <v>3155</v>
      </c>
      <c r="P64" s="14">
        <v>190</v>
      </c>
      <c r="Q64" s="14">
        <v>2</v>
      </c>
      <c r="R64" s="14">
        <v>0</v>
      </c>
      <c r="S64" s="14" t="s">
        <v>3156</v>
      </c>
      <c r="T64" s="14" t="s">
        <v>3157</v>
      </c>
      <c r="U64" s="14">
        <v>2.5988888888888799</v>
      </c>
      <c r="V64" s="14">
        <v>2.7594444444444401</v>
      </c>
      <c r="W64" s="14">
        <v>1864</v>
      </c>
      <c r="X64" s="14">
        <v>170</v>
      </c>
      <c r="Y64" s="14">
        <v>1694</v>
      </c>
      <c r="Z64" s="14">
        <v>1136</v>
      </c>
      <c r="AA64" s="14">
        <v>719</v>
      </c>
      <c r="AB64" s="14">
        <v>285</v>
      </c>
      <c r="AC64" s="14">
        <v>47</v>
      </c>
      <c r="AD64" s="14">
        <v>85</v>
      </c>
      <c r="AE64" s="14">
        <v>3000</v>
      </c>
      <c r="AF64" s="14">
        <v>5000</v>
      </c>
      <c r="AG64" s="14">
        <v>5892</v>
      </c>
      <c r="AH64" s="14">
        <v>0</v>
      </c>
      <c r="AI64" s="14">
        <v>151</v>
      </c>
      <c r="AJ64" s="14">
        <v>251</v>
      </c>
      <c r="AK64" s="14" t="s">
        <v>3153</v>
      </c>
      <c r="AL64" s="14" t="s">
        <v>3158</v>
      </c>
      <c r="AM64" s="14">
        <v>670.18</v>
      </c>
      <c r="AN64" s="14">
        <v>645.11</v>
      </c>
      <c r="AO64" s="14">
        <v>212.7</v>
      </c>
      <c r="AP64" s="14">
        <v>23150</v>
      </c>
      <c r="AQ64" s="14">
        <v>22980</v>
      </c>
      <c r="AR64" s="14">
        <v>23000</v>
      </c>
      <c r="AS64" s="14">
        <v>20150</v>
      </c>
      <c r="AT64" s="14">
        <v>21286</v>
      </c>
      <c r="AU64" s="14">
        <v>9</v>
      </c>
      <c r="AV64" s="14">
        <v>302.88</v>
      </c>
      <c r="AW64" s="14">
        <v>13.2</v>
      </c>
      <c r="AX64" s="14">
        <v>-1.81</v>
      </c>
      <c r="AY64" s="14" t="b">
        <v>0</v>
      </c>
    </row>
    <row r="65" spans="1:51" hidden="1" x14ac:dyDescent="0.3">
      <c r="A65" t="str">
        <f>CONCATENATE(I65,E65,LEFT(G65,10))</f>
        <v>HFA155LLBG2026-03-10</v>
      </c>
      <c r="B65" s="14" t="s">
        <v>3139</v>
      </c>
      <c r="C65" s="14" t="s">
        <v>336</v>
      </c>
      <c r="D65" s="14" t="s">
        <v>337</v>
      </c>
      <c r="E65" s="14" t="s">
        <v>83</v>
      </c>
      <c r="F65" s="14" t="s">
        <v>48</v>
      </c>
      <c r="G65" s="14" t="s">
        <v>3140</v>
      </c>
      <c r="H65" s="14" t="s">
        <v>357</v>
      </c>
      <c r="I65" s="14" t="s">
        <v>192</v>
      </c>
      <c r="J65" s="14" t="s">
        <v>401</v>
      </c>
      <c r="K65" s="14" t="s">
        <v>471</v>
      </c>
      <c r="L65" s="14" t="s">
        <v>341</v>
      </c>
      <c r="M65" s="16" t="s">
        <v>3141</v>
      </c>
      <c r="N65" s="14" t="s">
        <v>359</v>
      </c>
      <c r="O65" s="14" t="s">
        <v>3142</v>
      </c>
      <c r="P65" s="14">
        <v>160</v>
      </c>
      <c r="Q65" s="14">
        <v>2</v>
      </c>
      <c r="R65" s="14">
        <v>6100</v>
      </c>
      <c r="S65" s="14" t="s">
        <v>3143</v>
      </c>
      <c r="T65" s="14" t="s">
        <v>3144</v>
      </c>
      <c r="U65" s="14">
        <v>2.8044444444444401</v>
      </c>
      <c r="V65" s="14">
        <v>3.0652777777777702</v>
      </c>
      <c r="W65" s="14">
        <v>1993</v>
      </c>
      <c r="X65" s="14">
        <v>80</v>
      </c>
      <c r="Y65" s="14">
        <v>1913</v>
      </c>
      <c r="Z65" s="14">
        <v>1181</v>
      </c>
      <c r="AA65" s="14">
        <v>609</v>
      </c>
      <c r="AB65" s="14">
        <v>277</v>
      </c>
      <c r="AC65" s="14">
        <v>200</v>
      </c>
      <c r="AD65" s="14">
        <v>96</v>
      </c>
      <c r="AE65" s="14">
        <v>3175</v>
      </c>
      <c r="AF65" s="14">
        <v>5000</v>
      </c>
      <c r="AG65" s="14">
        <v>6298</v>
      </c>
      <c r="AH65" s="14">
        <v>0</v>
      </c>
      <c r="AI65" s="14">
        <v>162</v>
      </c>
      <c r="AJ65" s="14">
        <v>265</v>
      </c>
      <c r="AK65" s="14" t="s">
        <v>3140</v>
      </c>
      <c r="AL65" s="14" t="s">
        <v>3145</v>
      </c>
      <c r="AM65" s="14">
        <v>688.45</v>
      </c>
      <c r="AN65" s="14">
        <v>645.11</v>
      </c>
      <c r="AO65" s="14">
        <v>176.85</v>
      </c>
      <c r="AP65" s="14">
        <v>22500</v>
      </c>
      <c r="AQ65" s="14">
        <v>22420</v>
      </c>
      <c r="AR65" s="14">
        <v>23000</v>
      </c>
      <c r="AS65" s="14">
        <v>19325</v>
      </c>
      <c r="AT65" s="14">
        <v>20506</v>
      </c>
      <c r="AU65" s="14">
        <v>-9</v>
      </c>
      <c r="AV65" s="14">
        <v>298.01</v>
      </c>
      <c r="AW65" s="14">
        <v>6.74</v>
      </c>
      <c r="AX65" s="14">
        <v>-1.03</v>
      </c>
      <c r="AY65" s="14" t="b">
        <v>0</v>
      </c>
    </row>
    <row r="66" spans="1:51" hidden="1" x14ac:dyDescent="0.3">
      <c r="A66" t="str">
        <f>CONCATENATE(I66,E66,LEFT(G66,10))</f>
        <v>HFA156LCLK2026-03-21</v>
      </c>
      <c r="B66" s="14" t="s">
        <v>2549</v>
      </c>
      <c r="C66" s="14" t="s">
        <v>336</v>
      </c>
      <c r="D66" s="14" t="s">
        <v>337</v>
      </c>
      <c r="E66" s="14" t="s">
        <v>87</v>
      </c>
      <c r="F66" s="14" t="s">
        <v>83</v>
      </c>
      <c r="G66" s="14" t="s">
        <v>2550</v>
      </c>
      <c r="H66" s="14" t="s">
        <v>371</v>
      </c>
      <c r="I66" s="14" t="s">
        <v>169</v>
      </c>
      <c r="J66" s="14" t="s">
        <v>87</v>
      </c>
      <c r="K66" s="14" t="s">
        <v>471</v>
      </c>
      <c r="L66" s="14" t="s">
        <v>341</v>
      </c>
      <c r="M66" s="16" t="s">
        <v>2551</v>
      </c>
      <c r="N66" s="14"/>
      <c r="O66" s="14" t="s">
        <v>2552</v>
      </c>
      <c r="P66" s="14">
        <v>150</v>
      </c>
      <c r="Q66" s="14">
        <v>2</v>
      </c>
      <c r="R66" s="14">
        <v>3700</v>
      </c>
      <c r="S66" s="14" t="s">
        <v>2553</v>
      </c>
      <c r="T66" s="14" t="s">
        <v>2554</v>
      </c>
      <c r="U66" s="14">
        <v>0.92861111111111105</v>
      </c>
      <c r="V66" s="14">
        <v>1.1525000000000001</v>
      </c>
      <c r="W66" s="14">
        <v>891</v>
      </c>
      <c r="X66" s="14">
        <v>80</v>
      </c>
      <c r="Y66" s="14">
        <v>811</v>
      </c>
      <c r="Z66" s="14">
        <v>1909</v>
      </c>
      <c r="AA66" s="14">
        <v>886</v>
      </c>
      <c r="AB66" s="14">
        <v>265</v>
      </c>
      <c r="AC66" s="14">
        <v>714</v>
      </c>
      <c r="AD66" s="14">
        <v>44</v>
      </c>
      <c r="AE66" s="14">
        <v>2800</v>
      </c>
      <c r="AF66" s="14">
        <v>5000</v>
      </c>
      <c r="AG66" s="14">
        <v>2815</v>
      </c>
      <c r="AH66" s="14">
        <v>0</v>
      </c>
      <c r="AI66" s="14">
        <v>63</v>
      </c>
      <c r="AJ66" s="14">
        <v>230</v>
      </c>
      <c r="AK66" s="14" t="s">
        <v>2550</v>
      </c>
      <c r="AL66" s="14" t="s">
        <v>2555</v>
      </c>
      <c r="AM66" s="14">
        <v>264.72000000000003</v>
      </c>
      <c r="AN66" s="14">
        <v>183.03</v>
      </c>
      <c r="AO66" s="14">
        <v>300.19</v>
      </c>
      <c r="AP66" s="14">
        <v>20000</v>
      </c>
      <c r="AQ66" s="14">
        <v>19920</v>
      </c>
      <c r="AR66" s="14">
        <v>23000</v>
      </c>
      <c r="AS66" s="14">
        <v>17200</v>
      </c>
      <c r="AT66" s="14">
        <v>19109</v>
      </c>
      <c r="AU66" s="14">
        <v>-2</v>
      </c>
      <c r="AV66" s="14">
        <v>236.02</v>
      </c>
      <c r="AW66" s="14">
        <v>19.920000000000002</v>
      </c>
      <c r="AX66" s="14">
        <v>-2.08</v>
      </c>
      <c r="AY66" s="14" t="b">
        <v>0</v>
      </c>
    </row>
    <row r="67" spans="1:51" hidden="1" x14ac:dyDescent="0.3">
      <c r="A67" t="str">
        <f>CONCATENATE(I67,E67,LEFT(G67,10))</f>
        <v>HFA156LGAV2026-03-10</v>
      </c>
      <c r="B67" s="14" t="s">
        <v>3127</v>
      </c>
      <c r="C67" s="14" t="s">
        <v>336</v>
      </c>
      <c r="D67" s="14" t="s">
        <v>337</v>
      </c>
      <c r="E67" s="14" t="s">
        <v>48</v>
      </c>
      <c r="F67" s="14" t="s">
        <v>83</v>
      </c>
      <c r="G67" s="14" t="s">
        <v>3128</v>
      </c>
      <c r="H67" s="14" t="s">
        <v>339</v>
      </c>
      <c r="I67" s="14" t="s">
        <v>169</v>
      </c>
      <c r="J67" s="14" t="s">
        <v>87</v>
      </c>
      <c r="K67" s="14" t="s">
        <v>471</v>
      </c>
      <c r="L67" s="14" t="s">
        <v>341</v>
      </c>
      <c r="M67" s="16" t="s">
        <v>3129</v>
      </c>
      <c r="N67" s="14"/>
      <c r="O67" s="14" t="s">
        <v>3130</v>
      </c>
      <c r="P67" s="14">
        <v>150</v>
      </c>
      <c r="Q67" s="14">
        <v>2</v>
      </c>
      <c r="R67" s="14">
        <v>0</v>
      </c>
      <c r="S67" s="14" t="s">
        <v>3131</v>
      </c>
      <c r="T67" s="14" t="s">
        <v>3132</v>
      </c>
      <c r="U67" s="14">
        <v>-0.14000000000000001</v>
      </c>
      <c r="V67" s="14">
        <v>0.146111111111111</v>
      </c>
      <c r="W67" s="14">
        <v>1864</v>
      </c>
      <c r="X67" s="14">
        <v>80</v>
      </c>
      <c r="Y67" s="14">
        <v>1784</v>
      </c>
      <c r="Z67" s="14">
        <v>1136</v>
      </c>
      <c r="AA67" s="14">
        <v>730</v>
      </c>
      <c r="AB67" s="14">
        <v>284</v>
      </c>
      <c r="AC67" s="14">
        <v>33</v>
      </c>
      <c r="AD67" s="14">
        <v>89</v>
      </c>
      <c r="AE67" s="14">
        <v>3000</v>
      </c>
      <c r="AF67" s="14">
        <v>5000</v>
      </c>
      <c r="AG67" s="14">
        <v>5889</v>
      </c>
      <c r="AH67" s="14">
        <v>0</v>
      </c>
      <c r="AI67" s="14">
        <v>150</v>
      </c>
      <c r="AJ67" s="14">
        <v>250</v>
      </c>
      <c r="AK67" s="14" t="s">
        <v>3128</v>
      </c>
      <c r="AL67" s="14" t="s">
        <v>3133</v>
      </c>
      <c r="AM67" s="14">
        <v>669.36</v>
      </c>
      <c r="AN67" s="14">
        <v>645.11</v>
      </c>
      <c r="AO67" s="14">
        <v>212.7</v>
      </c>
      <c r="AP67" s="14">
        <v>23079</v>
      </c>
      <c r="AQ67" s="14">
        <v>22999</v>
      </c>
      <c r="AR67" s="14">
        <v>23000</v>
      </c>
      <c r="AS67" s="14">
        <v>20079</v>
      </c>
      <c r="AT67" s="14">
        <v>21215</v>
      </c>
      <c r="AU67" s="14">
        <v>9</v>
      </c>
      <c r="AV67" s="14">
        <v>293.87</v>
      </c>
      <c r="AW67" s="14">
        <v>12.06</v>
      </c>
      <c r="AX67" s="14">
        <v>-0.77</v>
      </c>
      <c r="AY67" s="14" t="b">
        <v>0</v>
      </c>
    </row>
    <row r="68" spans="1:51" hidden="1" x14ac:dyDescent="0.3">
      <c r="A68" t="str">
        <f>CONCATENATE(I68,E68,LEFT(G68,10))</f>
        <v>HFA157LLBG2026-03-10</v>
      </c>
      <c r="B68" s="14" t="s">
        <v>3122</v>
      </c>
      <c r="C68" s="14" t="s">
        <v>336</v>
      </c>
      <c r="D68" s="14" t="s">
        <v>337</v>
      </c>
      <c r="E68" s="14" t="s">
        <v>83</v>
      </c>
      <c r="F68" s="14" t="s">
        <v>87</v>
      </c>
      <c r="G68" s="14" t="s">
        <v>3123</v>
      </c>
      <c r="H68" s="14" t="s">
        <v>339</v>
      </c>
      <c r="I68" s="14" t="s">
        <v>105</v>
      </c>
      <c r="J68" s="14" t="s">
        <v>69</v>
      </c>
      <c r="K68" s="14" t="s">
        <v>471</v>
      </c>
      <c r="L68" s="14" t="s">
        <v>341</v>
      </c>
      <c r="M68" s="16" t="s">
        <v>767</v>
      </c>
      <c r="N68" s="14" t="s">
        <v>768</v>
      </c>
      <c r="O68" s="14" t="s">
        <v>3041</v>
      </c>
      <c r="P68" s="14">
        <v>160</v>
      </c>
      <c r="Q68" s="14">
        <v>2</v>
      </c>
      <c r="R68" s="14">
        <v>7000</v>
      </c>
      <c r="S68" s="14" t="s">
        <v>3124</v>
      </c>
      <c r="T68" s="14" t="s">
        <v>3125</v>
      </c>
      <c r="U68" s="14">
        <v>0.98444444444444401</v>
      </c>
      <c r="V68" s="14">
        <v>1.4475</v>
      </c>
      <c r="W68" s="14">
        <v>994</v>
      </c>
      <c r="X68" s="14">
        <v>80</v>
      </c>
      <c r="Y68" s="14">
        <v>914</v>
      </c>
      <c r="Z68" s="14">
        <v>756</v>
      </c>
      <c r="AA68" s="14">
        <v>326</v>
      </c>
      <c r="AB68" s="14">
        <v>283</v>
      </c>
      <c r="AC68" s="14">
        <v>100</v>
      </c>
      <c r="AD68" s="14">
        <v>47</v>
      </c>
      <c r="AE68" s="14">
        <v>1750</v>
      </c>
      <c r="AF68" s="14">
        <v>5000</v>
      </c>
      <c r="AG68" s="14">
        <v>3140</v>
      </c>
      <c r="AH68" s="14">
        <v>0</v>
      </c>
      <c r="AI68" s="14">
        <v>76</v>
      </c>
      <c r="AJ68" s="14">
        <v>139</v>
      </c>
      <c r="AK68" s="14" t="s">
        <v>3123</v>
      </c>
      <c r="AL68" s="14" t="s">
        <v>3126</v>
      </c>
      <c r="AM68" s="14">
        <v>299.85000000000002</v>
      </c>
      <c r="AN68" s="14">
        <v>183.03</v>
      </c>
      <c r="AO68" s="14">
        <v>73.5</v>
      </c>
      <c r="AP68" s="14">
        <v>22075</v>
      </c>
      <c r="AQ68" s="14">
        <v>21995</v>
      </c>
      <c r="AR68" s="14">
        <v>23000</v>
      </c>
      <c r="AS68" s="14">
        <v>20325</v>
      </c>
      <c r="AT68" s="14">
        <v>21081</v>
      </c>
      <c r="AU68" s="14">
        <v>-11</v>
      </c>
      <c r="AV68" s="14">
        <v>298.97000000000003</v>
      </c>
      <c r="AW68" s="14">
        <v>23.9</v>
      </c>
      <c r="AX68" s="14">
        <v>-0.74</v>
      </c>
      <c r="AY68" s="14" t="b">
        <v>0</v>
      </c>
    </row>
    <row r="69" spans="1:51" hidden="1" x14ac:dyDescent="0.3">
      <c r="A69" t="str">
        <f>CONCATENATE(I69,E69,LEFT(G69,10))</f>
        <v>HFA157LLBG2026-03-21</v>
      </c>
      <c r="B69" s="14" t="s">
        <v>2515</v>
      </c>
      <c r="C69" s="14" t="s">
        <v>336</v>
      </c>
      <c r="D69" s="14" t="s">
        <v>337</v>
      </c>
      <c r="E69" s="14" t="s">
        <v>83</v>
      </c>
      <c r="F69" s="14" t="s">
        <v>87</v>
      </c>
      <c r="G69" s="14" t="s">
        <v>2516</v>
      </c>
      <c r="H69" s="14" t="s">
        <v>436</v>
      </c>
      <c r="I69" s="14" t="s">
        <v>105</v>
      </c>
      <c r="J69" s="14" t="s">
        <v>69</v>
      </c>
      <c r="K69" s="14" t="s">
        <v>471</v>
      </c>
      <c r="L69" s="14" t="s">
        <v>341</v>
      </c>
      <c r="M69" s="16" t="s">
        <v>2517</v>
      </c>
      <c r="N69" s="14" t="s">
        <v>473</v>
      </c>
      <c r="O69" s="14" t="s">
        <v>1606</v>
      </c>
      <c r="P69" s="14">
        <v>160</v>
      </c>
      <c r="Q69" s="14">
        <v>2</v>
      </c>
      <c r="R69" s="14">
        <v>6200</v>
      </c>
      <c r="S69" s="14" t="s">
        <v>2518</v>
      </c>
      <c r="T69" s="14" t="s">
        <v>2519</v>
      </c>
      <c r="U69" s="14">
        <v>0.882777777777777</v>
      </c>
      <c r="V69" s="14">
        <v>1.20027777777777</v>
      </c>
      <c r="W69" s="14">
        <v>996</v>
      </c>
      <c r="X69" s="14">
        <v>80</v>
      </c>
      <c r="Y69" s="14">
        <v>916</v>
      </c>
      <c r="Z69" s="14">
        <v>969</v>
      </c>
      <c r="AA69" s="14">
        <v>346</v>
      </c>
      <c r="AB69" s="14">
        <v>276</v>
      </c>
      <c r="AC69" s="14">
        <v>300</v>
      </c>
      <c r="AD69" s="14">
        <v>46</v>
      </c>
      <c r="AE69" s="14">
        <v>1965</v>
      </c>
      <c r="AF69" s="14">
        <v>5000</v>
      </c>
      <c r="AG69" s="14">
        <v>3146</v>
      </c>
      <c r="AH69" s="14">
        <v>0</v>
      </c>
      <c r="AI69" s="14">
        <v>73</v>
      </c>
      <c r="AJ69" s="14">
        <v>154</v>
      </c>
      <c r="AK69" s="14" t="s">
        <v>2516</v>
      </c>
      <c r="AL69" s="14" t="s">
        <v>2520</v>
      </c>
      <c r="AM69" s="14">
        <v>301.67</v>
      </c>
      <c r="AN69" s="14">
        <v>183.03</v>
      </c>
      <c r="AO69" s="14">
        <v>73.5</v>
      </c>
      <c r="AP69" s="14">
        <v>21370</v>
      </c>
      <c r="AQ69" s="14">
        <v>21290</v>
      </c>
      <c r="AR69" s="14">
        <v>23000</v>
      </c>
      <c r="AS69" s="14">
        <v>19405</v>
      </c>
      <c r="AT69" s="14">
        <v>20374</v>
      </c>
      <c r="AU69" s="14">
        <v>-5</v>
      </c>
      <c r="AV69" s="14">
        <v>255.55</v>
      </c>
      <c r="AW69" s="14">
        <v>19.239999999999998</v>
      </c>
      <c r="AX69" s="14">
        <v>-2.97</v>
      </c>
      <c r="AY69" s="14" t="b">
        <v>0</v>
      </c>
    </row>
    <row r="70" spans="1:51" hidden="1" x14ac:dyDescent="0.3">
      <c r="A70" t="str">
        <f>CONCATENATE(I70,E70,LEFT(G70,10))</f>
        <v>HFA158LCLK2026-03-10</v>
      </c>
      <c r="B70" s="14" t="s">
        <v>3115</v>
      </c>
      <c r="C70" s="14" t="s">
        <v>336</v>
      </c>
      <c r="D70" s="14" t="s">
        <v>337</v>
      </c>
      <c r="E70" s="14" t="s">
        <v>87</v>
      </c>
      <c r="F70" s="14" t="s">
        <v>83</v>
      </c>
      <c r="G70" s="14" t="s">
        <v>3116</v>
      </c>
      <c r="H70" s="14" t="s">
        <v>371</v>
      </c>
      <c r="I70" s="14" t="s">
        <v>150</v>
      </c>
      <c r="J70" s="14" t="s">
        <v>69</v>
      </c>
      <c r="K70" s="14" t="s">
        <v>471</v>
      </c>
      <c r="L70" s="14" t="s">
        <v>341</v>
      </c>
      <c r="M70" s="16" t="s">
        <v>3117</v>
      </c>
      <c r="N70" s="14"/>
      <c r="O70" s="14" t="s">
        <v>3118</v>
      </c>
      <c r="P70" s="14">
        <v>150</v>
      </c>
      <c r="Q70" s="14">
        <v>2</v>
      </c>
      <c r="R70" s="14">
        <v>7000</v>
      </c>
      <c r="S70" s="14" t="s">
        <v>3119</v>
      </c>
      <c r="T70" s="14" t="s">
        <v>3120</v>
      </c>
      <c r="U70" s="14">
        <v>1.2152777777777699</v>
      </c>
      <c r="V70" s="14">
        <v>1.3866666666666601</v>
      </c>
      <c r="W70" s="14">
        <v>871</v>
      </c>
      <c r="X70" s="14">
        <v>80</v>
      </c>
      <c r="Y70" s="14">
        <v>791</v>
      </c>
      <c r="Z70" s="14">
        <v>1429</v>
      </c>
      <c r="AA70" s="14">
        <v>887</v>
      </c>
      <c r="AB70" s="14">
        <v>292</v>
      </c>
      <c r="AC70" s="14">
        <v>202</v>
      </c>
      <c r="AD70" s="14">
        <v>49</v>
      </c>
      <c r="AE70" s="14">
        <v>2300</v>
      </c>
      <c r="AF70" s="14">
        <v>5000</v>
      </c>
      <c r="AG70" s="14">
        <v>2753</v>
      </c>
      <c r="AH70" s="14">
        <v>0</v>
      </c>
      <c r="AI70" s="14">
        <v>62</v>
      </c>
      <c r="AJ70" s="14">
        <v>185</v>
      </c>
      <c r="AK70" s="14" t="s">
        <v>3116</v>
      </c>
      <c r="AL70" s="14" t="s">
        <v>3121</v>
      </c>
      <c r="AM70" s="14">
        <v>264.72000000000003</v>
      </c>
      <c r="AN70" s="14">
        <v>183.03</v>
      </c>
      <c r="AO70" s="14">
        <v>268.32</v>
      </c>
      <c r="AP70" s="14">
        <v>22800</v>
      </c>
      <c r="AQ70" s="14">
        <v>22720</v>
      </c>
      <c r="AR70" s="14">
        <v>23000</v>
      </c>
      <c r="AS70" s="14">
        <v>20500</v>
      </c>
      <c r="AT70" s="14">
        <v>21929</v>
      </c>
      <c r="AU70" s="14">
        <v>11</v>
      </c>
      <c r="AV70" s="14">
        <v>286.52999999999997</v>
      </c>
      <c r="AW70" s="14">
        <v>24.37</v>
      </c>
      <c r="AX70" s="14">
        <v>-0.49</v>
      </c>
      <c r="AY70" s="14" t="b">
        <v>0</v>
      </c>
    </row>
    <row r="71" spans="1:51" hidden="1" x14ac:dyDescent="0.3">
      <c r="A71" t="str">
        <f>CONCATENATE(I71,E71,LEFT(G71,10))</f>
        <v>HFA159LLBG2026-03-11</v>
      </c>
      <c r="B71" s="15" t="s">
        <v>3110</v>
      </c>
      <c r="C71" s="14" t="s">
        <v>336</v>
      </c>
      <c r="D71" s="14" t="s">
        <v>337</v>
      </c>
      <c r="E71" s="14" t="s">
        <v>83</v>
      </c>
      <c r="F71" s="14" t="s">
        <v>87</v>
      </c>
      <c r="G71" s="14" t="s">
        <v>3111</v>
      </c>
      <c r="H71" s="14" t="s">
        <v>371</v>
      </c>
      <c r="I71" s="14" t="s">
        <v>151</v>
      </c>
      <c r="J71" s="14" t="s">
        <v>69</v>
      </c>
      <c r="K71" s="14" t="s">
        <v>471</v>
      </c>
      <c r="L71" s="14" t="s">
        <v>341</v>
      </c>
      <c r="M71" s="16" t="s">
        <v>1646</v>
      </c>
      <c r="N71" s="14" t="s">
        <v>768</v>
      </c>
      <c r="O71" s="14" t="s">
        <v>3041</v>
      </c>
      <c r="P71" s="14">
        <v>160</v>
      </c>
      <c r="Q71" s="14">
        <v>2</v>
      </c>
      <c r="R71" s="14">
        <v>0</v>
      </c>
      <c r="S71" s="14" t="s">
        <v>3112</v>
      </c>
      <c r="T71" s="14" t="s">
        <v>3113</v>
      </c>
      <c r="U71" s="14">
        <v>0.97833333333333306</v>
      </c>
      <c r="V71" s="14">
        <v>1.4894444444444399</v>
      </c>
      <c r="W71" s="14">
        <v>1014</v>
      </c>
      <c r="X71" s="14">
        <v>80</v>
      </c>
      <c r="Y71" s="14">
        <v>934</v>
      </c>
      <c r="Z71" s="14">
        <v>1286</v>
      </c>
      <c r="AA71" s="14">
        <v>337</v>
      </c>
      <c r="AB71" s="14">
        <v>292</v>
      </c>
      <c r="AC71" s="14">
        <v>608</v>
      </c>
      <c r="AD71" s="14">
        <v>49</v>
      </c>
      <c r="AE71" s="14">
        <v>2300</v>
      </c>
      <c r="AF71" s="14">
        <v>5000</v>
      </c>
      <c r="AG71" s="14">
        <v>3204</v>
      </c>
      <c r="AH71" s="14">
        <v>0</v>
      </c>
      <c r="AI71" s="14">
        <v>76</v>
      </c>
      <c r="AJ71" s="14">
        <v>182</v>
      </c>
      <c r="AK71" s="14" t="s">
        <v>3111</v>
      </c>
      <c r="AL71" s="14" t="s">
        <v>3114</v>
      </c>
      <c r="AM71" s="14">
        <v>299.85000000000002</v>
      </c>
      <c r="AN71" s="14">
        <v>183.03</v>
      </c>
      <c r="AO71" s="14">
        <v>73.5</v>
      </c>
      <c r="AP71" s="14">
        <v>22991</v>
      </c>
      <c r="AQ71" s="14">
        <v>22911</v>
      </c>
      <c r="AR71" s="14">
        <v>23000</v>
      </c>
      <c r="AS71" s="14">
        <v>20691</v>
      </c>
      <c r="AT71" s="14">
        <v>21977</v>
      </c>
      <c r="AU71" s="14">
        <v>-9</v>
      </c>
      <c r="AV71" s="14">
        <v>287.83999999999997</v>
      </c>
      <c r="AW71" s="14">
        <v>27.64</v>
      </c>
      <c r="AX71" s="14">
        <v>0.9</v>
      </c>
      <c r="AY71" s="14" t="b">
        <v>0</v>
      </c>
    </row>
    <row r="72" spans="1:51" hidden="1" x14ac:dyDescent="0.3">
      <c r="A72" t="str">
        <f>CONCATENATE(I72,E72,LEFT(G72,10))</f>
        <v>HFA160LCLK2026-03-11</v>
      </c>
      <c r="B72" s="14" t="s">
        <v>3104</v>
      </c>
      <c r="C72" s="14" t="s">
        <v>336</v>
      </c>
      <c r="D72" s="14" t="s">
        <v>337</v>
      </c>
      <c r="E72" s="14" t="s">
        <v>87</v>
      </c>
      <c r="F72" s="14" t="s">
        <v>83</v>
      </c>
      <c r="G72" s="14" t="s">
        <v>3105</v>
      </c>
      <c r="H72" s="14" t="s">
        <v>339</v>
      </c>
      <c r="I72" s="14" t="s">
        <v>242</v>
      </c>
      <c r="J72" s="14" t="s">
        <v>87</v>
      </c>
      <c r="K72" s="14" t="s">
        <v>471</v>
      </c>
      <c r="L72" s="14" t="s">
        <v>341</v>
      </c>
      <c r="M72" s="16" t="s">
        <v>3106</v>
      </c>
      <c r="N72" s="14" t="s">
        <v>768</v>
      </c>
      <c r="O72" s="14" t="s">
        <v>817</v>
      </c>
      <c r="P72" s="14">
        <v>150</v>
      </c>
      <c r="Q72" s="14">
        <v>2</v>
      </c>
      <c r="R72" s="14">
        <v>7100</v>
      </c>
      <c r="S72" s="14" t="s">
        <v>3107</v>
      </c>
      <c r="T72" s="14" t="s">
        <v>3108</v>
      </c>
      <c r="U72" s="14">
        <v>1.03555555555555</v>
      </c>
      <c r="V72" s="14">
        <v>1.3447222222222199</v>
      </c>
      <c r="W72" s="14">
        <v>853</v>
      </c>
      <c r="X72" s="14">
        <v>80</v>
      </c>
      <c r="Y72" s="14">
        <v>773</v>
      </c>
      <c r="Z72" s="14">
        <v>1347</v>
      </c>
      <c r="AA72" s="14">
        <v>727</v>
      </c>
      <c r="AB72" s="14">
        <v>290</v>
      </c>
      <c r="AC72" s="14">
        <v>281</v>
      </c>
      <c r="AD72" s="14">
        <v>48</v>
      </c>
      <c r="AE72" s="14">
        <v>2200</v>
      </c>
      <c r="AF72" s="14">
        <v>5000</v>
      </c>
      <c r="AG72" s="14">
        <v>2696</v>
      </c>
      <c r="AH72" s="14">
        <v>0</v>
      </c>
      <c r="AI72" s="14">
        <v>62</v>
      </c>
      <c r="AJ72" s="14">
        <v>178</v>
      </c>
      <c r="AK72" s="14" t="s">
        <v>3105</v>
      </c>
      <c r="AL72" s="14" t="s">
        <v>3109</v>
      </c>
      <c r="AM72" s="14">
        <v>264.72000000000003</v>
      </c>
      <c r="AN72" s="14">
        <v>183.03</v>
      </c>
      <c r="AO72" s="14">
        <v>215.32</v>
      </c>
      <c r="AP72" s="14">
        <v>22625</v>
      </c>
      <c r="AQ72" s="14">
        <v>22545</v>
      </c>
      <c r="AR72" s="14">
        <v>23000</v>
      </c>
      <c r="AS72" s="14">
        <v>20425</v>
      </c>
      <c r="AT72" s="14">
        <v>21772</v>
      </c>
      <c r="AU72" s="14">
        <v>11</v>
      </c>
      <c r="AV72" s="14">
        <v>289.75</v>
      </c>
      <c r="AW72" s="14">
        <v>20.100000000000001</v>
      </c>
      <c r="AX72" s="14">
        <v>0.1</v>
      </c>
      <c r="AY72" s="14" t="b">
        <v>0</v>
      </c>
    </row>
    <row r="73" spans="1:51" hidden="1" x14ac:dyDescent="0.3">
      <c r="A73" t="str">
        <f>CONCATENATE(I73,E73,LEFT(G73,10))</f>
        <v>HFA161LLBG2026-03-11</v>
      </c>
      <c r="B73" s="14" t="s">
        <v>3098</v>
      </c>
      <c r="C73" s="14" t="s">
        <v>336</v>
      </c>
      <c r="D73" s="14" t="s">
        <v>337</v>
      </c>
      <c r="E73" s="14" t="s">
        <v>83</v>
      </c>
      <c r="F73" s="14" t="s">
        <v>48</v>
      </c>
      <c r="G73" s="14" t="s">
        <v>3099</v>
      </c>
      <c r="H73" s="14" t="s">
        <v>339</v>
      </c>
      <c r="I73" s="14" t="s">
        <v>243</v>
      </c>
      <c r="J73" s="14"/>
      <c r="K73" s="14" t="s">
        <v>471</v>
      </c>
      <c r="L73" s="14" t="s">
        <v>341</v>
      </c>
      <c r="M73" s="16" t="s">
        <v>3100</v>
      </c>
      <c r="N73" s="14"/>
      <c r="O73" s="14" t="s">
        <v>2759</v>
      </c>
      <c r="P73" s="14">
        <v>200</v>
      </c>
      <c r="Q73" s="14">
        <v>2</v>
      </c>
      <c r="R73" s="14">
        <v>0</v>
      </c>
      <c r="S73" s="14" t="s">
        <v>3101</v>
      </c>
      <c r="T73" s="14" t="s">
        <v>3102</v>
      </c>
      <c r="U73" s="14">
        <v>2.7941666666666598</v>
      </c>
      <c r="V73" s="14">
        <v>3.05138888888888</v>
      </c>
      <c r="W73" s="14">
        <v>1885</v>
      </c>
      <c r="X73" s="14">
        <v>80</v>
      </c>
      <c r="Y73" s="14">
        <v>1805</v>
      </c>
      <c r="Z73" s="14">
        <v>515</v>
      </c>
      <c r="AA73" s="14">
        <v>142</v>
      </c>
      <c r="AB73" s="14">
        <v>283</v>
      </c>
      <c r="AC73" s="14">
        <v>0</v>
      </c>
      <c r="AD73" s="14">
        <v>90</v>
      </c>
      <c r="AE73" s="14">
        <v>2400</v>
      </c>
      <c r="AF73" s="14">
        <v>5000</v>
      </c>
      <c r="AG73" s="14">
        <v>5956</v>
      </c>
      <c r="AH73" s="14">
        <v>0</v>
      </c>
      <c r="AI73" s="14">
        <v>166</v>
      </c>
      <c r="AJ73" s="14">
        <v>220</v>
      </c>
      <c r="AK73" s="14" t="s">
        <v>3099</v>
      </c>
      <c r="AL73" s="14" t="s">
        <v>3103</v>
      </c>
      <c r="AM73" s="14">
        <v>688.95</v>
      </c>
      <c r="AN73" s="14">
        <v>645.11</v>
      </c>
      <c r="AO73" s="14">
        <v>0</v>
      </c>
      <c r="AP73" s="14">
        <v>23040</v>
      </c>
      <c r="AQ73" s="14">
        <v>22960</v>
      </c>
      <c r="AR73" s="14">
        <v>23000</v>
      </c>
      <c r="AS73" s="14">
        <v>20640</v>
      </c>
      <c r="AT73" s="14">
        <v>21155</v>
      </c>
      <c r="AU73" s="14">
        <v>-7</v>
      </c>
      <c r="AV73" s="14">
        <v>239.82</v>
      </c>
      <c r="AW73" s="14">
        <v>5.78</v>
      </c>
      <c r="AX73" s="14">
        <v>-0.33</v>
      </c>
      <c r="AY73" s="14" t="b">
        <v>0</v>
      </c>
    </row>
    <row r="74" spans="1:51" hidden="1" x14ac:dyDescent="0.3">
      <c r="A74" t="str">
        <f>CONCATENATE(I74,E74,LEFT(G74,10))</f>
        <v>HFA162LGAV2026-03-11</v>
      </c>
      <c r="B74" s="14" t="s">
        <v>3092</v>
      </c>
      <c r="C74" s="14" t="s">
        <v>336</v>
      </c>
      <c r="D74" s="14" t="s">
        <v>337</v>
      </c>
      <c r="E74" s="14" t="s">
        <v>48</v>
      </c>
      <c r="F74" s="14" t="s">
        <v>83</v>
      </c>
      <c r="G74" s="14" t="s">
        <v>3093</v>
      </c>
      <c r="H74" s="14" t="s">
        <v>339</v>
      </c>
      <c r="I74" s="14" t="s">
        <v>244</v>
      </c>
      <c r="J74" s="14" t="s">
        <v>87</v>
      </c>
      <c r="K74" s="14" t="s">
        <v>471</v>
      </c>
      <c r="L74" s="14" t="s">
        <v>341</v>
      </c>
      <c r="M74" s="16" t="s">
        <v>3094</v>
      </c>
      <c r="N74" s="14"/>
      <c r="O74" s="14" t="s">
        <v>3030</v>
      </c>
      <c r="P74" s="14">
        <v>190</v>
      </c>
      <c r="Q74" s="14">
        <v>2</v>
      </c>
      <c r="R74" s="14">
        <v>6600</v>
      </c>
      <c r="S74" s="14" t="s">
        <v>3095</v>
      </c>
      <c r="T74" s="14" t="s">
        <v>3096</v>
      </c>
      <c r="U74" s="14">
        <v>2.7488888888888798</v>
      </c>
      <c r="V74" s="14">
        <v>2.97555555555555</v>
      </c>
      <c r="W74" s="14">
        <v>1805</v>
      </c>
      <c r="X74" s="14">
        <v>80</v>
      </c>
      <c r="Y74" s="14">
        <v>1725</v>
      </c>
      <c r="Z74" s="14">
        <v>1074</v>
      </c>
      <c r="AA74" s="14">
        <v>706</v>
      </c>
      <c r="AB74" s="14">
        <v>282</v>
      </c>
      <c r="AC74" s="14">
        <v>0</v>
      </c>
      <c r="AD74" s="14">
        <v>86</v>
      </c>
      <c r="AE74" s="14">
        <v>2879</v>
      </c>
      <c r="AF74" s="14">
        <v>5000</v>
      </c>
      <c r="AG74" s="14">
        <v>5703</v>
      </c>
      <c r="AH74" s="14">
        <v>0</v>
      </c>
      <c r="AI74" s="14">
        <v>153</v>
      </c>
      <c r="AJ74" s="14">
        <v>248</v>
      </c>
      <c r="AK74" s="14" t="s">
        <v>3093</v>
      </c>
      <c r="AL74" s="14" t="s">
        <v>3097</v>
      </c>
      <c r="AM74" s="14">
        <v>670.18</v>
      </c>
      <c r="AN74" s="14">
        <v>645.11</v>
      </c>
      <c r="AO74" s="14">
        <v>212.7</v>
      </c>
      <c r="AP74" s="14">
        <v>22804</v>
      </c>
      <c r="AQ74" s="14">
        <v>22724</v>
      </c>
      <c r="AR74" s="14">
        <v>23000</v>
      </c>
      <c r="AS74" s="14">
        <v>19925</v>
      </c>
      <c r="AT74" s="14">
        <v>20999</v>
      </c>
      <c r="AU74" s="14">
        <v>5</v>
      </c>
      <c r="AV74" s="14">
        <v>256.56</v>
      </c>
      <c r="AW74" s="14">
        <v>10.59</v>
      </c>
      <c r="AX74" s="14">
        <v>-0.42</v>
      </c>
      <c r="AY74" s="14" t="b">
        <v>0</v>
      </c>
    </row>
    <row r="75" spans="1:51" hidden="1" x14ac:dyDescent="0.3">
      <c r="A75" t="str">
        <f>CONCATENATE(I75,E75,LEFT(G75,10))</f>
        <v>HFA163LLBG2026-03-11</v>
      </c>
      <c r="B75" s="14" t="s">
        <v>3076</v>
      </c>
      <c r="C75" s="14" t="s">
        <v>336</v>
      </c>
      <c r="D75" s="14" t="s">
        <v>337</v>
      </c>
      <c r="E75" s="14" t="s">
        <v>83</v>
      </c>
      <c r="F75" s="14" t="s">
        <v>48</v>
      </c>
      <c r="G75" s="14" t="s">
        <v>3077</v>
      </c>
      <c r="H75" s="14" t="s">
        <v>339</v>
      </c>
      <c r="I75" s="14" t="s">
        <v>245</v>
      </c>
      <c r="J75" s="14"/>
      <c r="K75" s="14" t="s">
        <v>471</v>
      </c>
      <c r="L75" s="14" t="s">
        <v>341</v>
      </c>
      <c r="M75" s="16" t="s">
        <v>3078</v>
      </c>
      <c r="N75" s="14"/>
      <c r="O75" s="14" t="s">
        <v>495</v>
      </c>
      <c r="P75" s="14">
        <v>160</v>
      </c>
      <c r="Q75" s="14">
        <v>2</v>
      </c>
      <c r="R75" s="14">
        <v>0</v>
      </c>
      <c r="S75" s="14" t="s">
        <v>3079</v>
      </c>
      <c r="T75" s="14" t="s">
        <v>3080</v>
      </c>
      <c r="U75" s="14">
        <v>2.70472222222222</v>
      </c>
      <c r="V75" s="14">
        <v>3.0816666666666599</v>
      </c>
      <c r="W75" s="14">
        <v>2025</v>
      </c>
      <c r="X75" s="14">
        <v>80</v>
      </c>
      <c r="Y75" s="14">
        <v>1945</v>
      </c>
      <c r="Z75" s="14">
        <v>675</v>
      </c>
      <c r="AA75" s="14">
        <v>141</v>
      </c>
      <c r="AB75" s="14">
        <v>281</v>
      </c>
      <c r="AC75" s="14">
        <v>156</v>
      </c>
      <c r="AD75" s="14">
        <v>97</v>
      </c>
      <c r="AE75" s="14">
        <v>2700</v>
      </c>
      <c r="AF75" s="14">
        <v>5000</v>
      </c>
      <c r="AG75" s="14">
        <v>6400</v>
      </c>
      <c r="AH75" s="14">
        <v>0</v>
      </c>
      <c r="AI75" s="14">
        <v>163</v>
      </c>
      <c r="AJ75" s="14">
        <v>232</v>
      </c>
      <c r="AK75" s="14" t="s">
        <v>3077</v>
      </c>
      <c r="AL75" s="14" t="s">
        <v>3081</v>
      </c>
      <c r="AM75" s="14">
        <v>688.45</v>
      </c>
      <c r="AN75" s="14">
        <v>645.11</v>
      </c>
      <c r="AO75" s="14">
        <v>0</v>
      </c>
      <c r="AP75" s="14">
        <v>22984</v>
      </c>
      <c r="AQ75" s="14">
        <v>22904</v>
      </c>
      <c r="AR75" s="14">
        <v>23000</v>
      </c>
      <c r="AS75" s="14">
        <v>20284</v>
      </c>
      <c r="AT75" s="14">
        <v>20959</v>
      </c>
      <c r="AU75" s="14">
        <v>-10</v>
      </c>
      <c r="AV75" s="14">
        <v>265.17</v>
      </c>
      <c r="AW75" s="14">
        <v>6.31</v>
      </c>
      <c r="AX75" s="14">
        <v>-0.27</v>
      </c>
      <c r="AY75" s="14" t="b">
        <v>0</v>
      </c>
    </row>
    <row r="76" spans="1:51" hidden="1" x14ac:dyDescent="0.3">
      <c r="A76" t="str">
        <f>CONCATENATE(I76,E76,LEFT(G76,10))</f>
        <v>HFA164LGAV2026-03-11</v>
      </c>
      <c r="B76" s="14" t="s">
        <v>3082</v>
      </c>
      <c r="C76" s="14" t="s">
        <v>336</v>
      </c>
      <c r="D76" s="14" t="s">
        <v>337</v>
      </c>
      <c r="E76" s="14" t="s">
        <v>48</v>
      </c>
      <c r="F76" s="14" t="s">
        <v>83</v>
      </c>
      <c r="G76" s="14" t="s">
        <v>3083</v>
      </c>
      <c r="H76" s="14" t="s">
        <v>357</v>
      </c>
      <c r="I76" s="14" t="s">
        <v>193</v>
      </c>
      <c r="J76" s="14" t="s">
        <v>87</v>
      </c>
      <c r="K76" s="14" t="s">
        <v>471</v>
      </c>
      <c r="L76" s="14" t="s">
        <v>341</v>
      </c>
      <c r="M76" s="16" t="s">
        <v>3084</v>
      </c>
      <c r="N76" s="14" t="s">
        <v>359</v>
      </c>
      <c r="O76" s="14" t="s">
        <v>3085</v>
      </c>
      <c r="P76" s="14">
        <v>150</v>
      </c>
      <c r="Q76" s="14">
        <v>2</v>
      </c>
      <c r="R76" s="14">
        <v>6750</v>
      </c>
      <c r="S76" s="14"/>
      <c r="T76" s="14"/>
      <c r="U76" s="14"/>
      <c r="V76" s="14"/>
      <c r="W76" s="14">
        <v>1929</v>
      </c>
      <c r="X76" s="14">
        <v>80</v>
      </c>
      <c r="Y76" s="14">
        <v>1849</v>
      </c>
      <c r="Z76" s="14">
        <v>1078</v>
      </c>
      <c r="AA76" s="14">
        <v>704</v>
      </c>
      <c r="AB76" s="14">
        <v>282</v>
      </c>
      <c r="AC76" s="14">
        <v>0</v>
      </c>
      <c r="AD76" s="14">
        <v>92</v>
      </c>
      <c r="AE76" s="14">
        <v>3008</v>
      </c>
      <c r="AF76" s="14">
        <v>5000</v>
      </c>
      <c r="AG76" s="14">
        <v>6096</v>
      </c>
      <c r="AH76" s="14">
        <v>0</v>
      </c>
      <c r="AI76" s="14">
        <v>153</v>
      </c>
      <c r="AJ76" s="14">
        <v>249</v>
      </c>
      <c r="AK76" s="14" t="s">
        <v>3083</v>
      </c>
      <c r="AL76" s="14" t="s">
        <v>3086</v>
      </c>
      <c r="AM76" s="14">
        <v>670.18</v>
      </c>
      <c r="AN76" s="14">
        <v>645.11</v>
      </c>
      <c r="AO76" s="14">
        <v>218.44</v>
      </c>
      <c r="AP76" s="14">
        <v>22983</v>
      </c>
      <c r="AQ76" s="14">
        <v>22903</v>
      </c>
      <c r="AR76" s="14">
        <v>23000</v>
      </c>
      <c r="AS76" s="14">
        <v>19975</v>
      </c>
      <c r="AT76" s="14">
        <v>21053</v>
      </c>
      <c r="AU76" s="14">
        <v>2</v>
      </c>
      <c r="AV76" s="14">
        <v>254.96</v>
      </c>
      <c r="AW76" s="14">
        <v>3.87</v>
      </c>
      <c r="AX76" s="14">
        <v>-0.25</v>
      </c>
      <c r="AY76" s="14" t="b">
        <v>0</v>
      </c>
    </row>
    <row r="77" spans="1:51" hidden="1" x14ac:dyDescent="0.3">
      <c r="A77" t="str">
        <f>CONCATENATE(I77,E77,LEFT(G77,10))</f>
        <v>HFA165LLBG2026-03-11</v>
      </c>
      <c r="B77" s="14" t="s">
        <v>3064</v>
      </c>
      <c r="C77" s="14" t="s">
        <v>336</v>
      </c>
      <c r="D77" s="14" t="s">
        <v>337</v>
      </c>
      <c r="E77" s="14" t="s">
        <v>83</v>
      </c>
      <c r="F77" s="14" t="s">
        <v>87</v>
      </c>
      <c r="G77" s="14" t="s">
        <v>3065</v>
      </c>
      <c r="H77" s="14" t="s">
        <v>357</v>
      </c>
      <c r="I77" s="14" t="s">
        <v>194</v>
      </c>
      <c r="J77" s="14" t="s">
        <v>69</v>
      </c>
      <c r="K77" s="14" t="s">
        <v>471</v>
      </c>
      <c r="L77" s="14" t="s">
        <v>341</v>
      </c>
      <c r="M77" s="16" t="s">
        <v>3066</v>
      </c>
      <c r="N77" s="14" t="s">
        <v>359</v>
      </c>
      <c r="O77" s="14" t="s">
        <v>1854</v>
      </c>
      <c r="P77" s="14">
        <v>160</v>
      </c>
      <c r="Q77" s="14">
        <v>2</v>
      </c>
      <c r="R77" s="14">
        <v>7100</v>
      </c>
      <c r="S77" s="14" t="s">
        <v>3067</v>
      </c>
      <c r="T77" s="14" t="s">
        <v>3068</v>
      </c>
      <c r="U77" s="14">
        <v>0.99750000000000005</v>
      </c>
      <c r="V77" s="14">
        <v>1.41472222222222</v>
      </c>
      <c r="W77" s="14">
        <v>971</v>
      </c>
      <c r="X77" s="14">
        <v>80</v>
      </c>
      <c r="Y77" s="14">
        <v>891</v>
      </c>
      <c r="Z77" s="14">
        <v>858</v>
      </c>
      <c r="AA77" s="14">
        <v>327</v>
      </c>
      <c r="AB77" s="14">
        <v>284</v>
      </c>
      <c r="AC77" s="14">
        <v>200</v>
      </c>
      <c r="AD77" s="14">
        <v>47</v>
      </c>
      <c r="AE77" s="14">
        <v>1830</v>
      </c>
      <c r="AF77" s="14">
        <v>5000</v>
      </c>
      <c r="AG77" s="14">
        <v>3070</v>
      </c>
      <c r="AH77" s="14">
        <v>0</v>
      </c>
      <c r="AI77" s="14">
        <v>75</v>
      </c>
      <c r="AJ77" s="14">
        <v>148</v>
      </c>
      <c r="AK77" s="14" t="s">
        <v>3065</v>
      </c>
      <c r="AL77" s="14" t="s">
        <v>3069</v>
      </c>
      <c r="AM77" s="14">
        <v>299.85000000000002</v>
      </c>
      <c r="AN77" s="14">
        <v>183.03</v>
      </c>
      <c r="AO77" s="14">
        <v>73.5</v>
      </c>
      <c r="AP77" s="14">
        <v>22155</v>
      </c>
      <c r="AQ77" s="14">
        <v>22075</v>
      </c>
      <c r="AR77" s="14">
        <v>23000</v>
      </c>
      <c r="AS77" s="14">
        <v>20325</v>
      </c>
      <c r="AT77" s="14">
        <v>21183</v>
      </c>
      <c r="AU77" s="14">
        <v>-7</v>
      </c>
      <c r="AV77" s="14">
        <v>267.05</v>
      </c>
      <c r="AW77" s="14">
        <v>27.55</v>
      </c>
      <c r="AX77" s="14">
        <v>0.34</v>
      </c>
      <c r="AY77" s="14" t="b">
        <v>0</v>
      </c>
    </row>
    <row r="78" spans="1:51" hidden="1" x14ac:dyDescent="0.3">
      <c r="A78" t="str">
        <f>CONCATENATE(I78,E78,LEFT(G78,10))</f>
        <v>HFA166LCLK2026-03-11</v>
      </c>
      <c r="B78" s="14" t="s">
        <v>3087</v>
      </c>
      <c r="C78" s="14" t="s">
        <v>336</v>
      </c>
      <c r="D78" s="14" t="s">
        <v>337</v>
      </c>
      <c r="E78" s="14" t="s">
        <v>87</v>
      </c>
      <c r="F78" s="14" t="s">
        <v>83</v>
      </c>
      <c r="G78" s="14" t="s">
        <v>3083</v>
      </c>
      <c r="H78" s="14" t="s">
        <v>371</v>
      </c>
      <c r="I78" s="14" t="s">
        <v>152</v>
      </c>
      <c r="J78" s="14" t="s">
        <v>87</v>
      </c>
      <c r="K78" s="14" t="s">
        <v>471</v>
      </c>
      <c r="L78" s="14" t="s">
        <v>341</v>
      </c>
      <c r="M78" s="16" t="s">
        <v>3088</v>
      </c>
      <c r="N78" s="14"/>
      <c r="O78" s="14" t="s">
        <v>817</v>
      </c>
      <c r="P78" s="14">
        <v>150</v>
      </c>
      <c r="Q78" s="14">
        <v>3</v>
      </c>
      <c r="R78" s="14">
        <v>6500</v>
      </c>
      <c r="S78" s="14" t="s">
        <v>3089</v>
      </c>
      <c r="T78" s="14" t="s">
        <v>3090</v>
      </c>
      <c r="U78" s="14">
        <v>1.4255555555555499</v>
      </c>
      <c r="V78" s="14">
        <v>1.73277777777777</v>
      </c>
      <c r="W78" s="14">
        <v>881</v>
      </c>
      <c r="X78" s="14">
        <v>80</v>
      </c>
      <c r="Y78" s="14">
        <v>801</v>
      </c>
      <c r="Z78" s="14">
        <v>1719</v>
      </c>
      <c r="AA78" s="14">
        <v>741</v>
      </c>
      <c r="AB78" s="14">
        <v>289</v>
      </c>
      <c r="AC78" s="14">
        <v>640</v>
      </c>
      <c r="AD78" s="14">
        <v>48</v>
      </c>
      <c r="AE78" s="14">
        <v>2600</v>
      </c>
      <c r="AF78" s="14">
        <v>5000</v>
      </c>
      <c r="AG78" s="14">
        <v>2785</v>
      </c>
      <c r="AH78" s="14">
        <v>0</v>
      </c>
      <c r="AI78" s="14">
        <v>64</v>
      </c>
      <c r="AJ78" s="14">
        <v>206</v>
      </c>
      <c r="AK78" s="14" t="s">
        <v>3083</v>
      </c>
      <c r="AL78" s="14" t="s">
        <v>3091</v>
      </c>
      <c r="AM78" s="14">
        <v>264.72000000000003</v>
      </c>
      <c r="AN78" s="14">
        <v>183.03</v>
      </c>
      <c r="AO78" s="14">
        <v>218.44</v>
      </c>
      <c r="AP78" s="14">
        <v>22600</v>
      </c>
      <c r="AQ78" s="14">
        <v>22520</v>
      </c>
      <c r="AR78" s="14">
        <v>23000</v>
      </c>
      <c r="AS78" s="14">
        <v>20000</v>
      </c>
      <c r="AT78" s="14">
        <v>21719</v>
      </c>
      <c r="AU78" s="14">
        <v>6</v>
      </c>
      <c r="AV78" s="14">
        <v>263.11</v>
      </c>
      <c r="AW78" s="14">
        <v>18.399999999999999</v>
      </c>
      <c r="AX78" s="14">
        <v>0.72</v>
      </c>
      <c r="AY78" s="14" t="b">
        <v>0</v>
      </c>
    </row>
    <row r="79" spans="1:51" hidden="1" x14ac:dyDescent="0.3">
      <c r="A79" t="str">
        <f>CONCATENATE(I79,E79,LEFT(G79,10))</f>
        <v>HFA167LLBG2026-03-11</v>
      </c>
      <c r="B79" s="14" t="s">
        <v>3070</v>
      </c>
      <c r="C79" s="14" t="s">
        <v>336</v>
      </c>
      <c r="D79" s="14" t="s">
        <v>337</v>
      </c>
      <c r="E79" s="14" t="s">
        <v>83</v>
      </c>
      <c r="F79" s="14" t="s">
        <v>87</v>
      </c>
      <c r="G79" s="14" t="s">
        <v>3071</v>
      </c>
      <c r="H79" s="14" t="s">
        <v>371</v>
      </c>
      <c r="I79" s="14" t="s">
        <v>153</v>
      </c>
      <c r="J79" s="14" t="s">
        <v>69</v>
      </c>
      <c r="K79" s="14" t="s">
        <v>471</v>
      </c>
      <c r="L79" s="14" t="s">
        <v>341</v>
      </c>
      <c r="M79" s="16" t="s">
        <v>3072</v>
      </c>
      <c r="N79" s="14" t="s">
        <v>768</v>
      </c>
      <c r="O79" s="14" t="s">
        <v>1854</v>
      </c>
      <c r="P79" s="14">
        <v>160</v>
      </c>
      <c r="Q79" s="14">
        <v>2</v>
      </c>
      <c r="R79" s="14">
        <v>6300</v>
      </c>
      <c r="S79" s="14" t="s">
        <v>3073</v>
      </c>
      <c r="T79" s="14" t="s">
        <v>3074</v>
      </c>
      <c r="U79" s="14">
        <v>1.1216666666666599</v>
      </c>
      <c r="V79" s="14">
        <v>1.38083333333333</v>
      </c>
      <c r="W79" s="14">
        <v>994</v>
      </c>
      <c r="X79" s="14">
        <v>80</v>
      </c>
      <c r="Y79" s="14">
        <v>914</v>
      </c>
      <c r="Z79" s="14">
        <v>857</v>
      </c>
      <c r="AA79" s="14">
        <v>332</v>
      </c>
      <c r="AB79" s="14">
        <v>279</v>
      </c>
      <c r="AC79" s="14">
        <v>200</v>
      </c>
      <c r="AD79" s="14">
        <v>46</v>
      </c>
      <c r="AE79" s="14">
        <v>1851</v>
      </c>
      <c r="AF79" s="14">
        <v>5000</v>
      </c>
      <c r="AG79" s="14">
        <v>3141</v>
      </c>
      <c r="AH79" s="14">
        <v>0</v>
      </c>
      <c r="AI79" s="14">
        <v>74</v>
      </c>
      <c r="AJ79" s="14">
        <v>146</v>
      </c>
      <c r="AK79" s="14" t="s">
        <v>3071</v>
      </c>
      <c r="AL79" s="14" t="s">
        <v>3075</v>
      </c>
      <c r="AM79" s="14">
        <v>299.85000000000002</v>
      </c>
      <c r="AN79" s="14">
        <v>183.03</v>
      </c>
      <c r="AO79" s="14">
        <v>73.5</v>
      </c>
      <c r="AP79" s="14">
        <v>21651</v>
      </c>
      <c r="AQ79" s="14">
        <v>21571</v>
      </c>
      <c r="AR79" s="14">
        <v>23000</v>
      </c>
      <c r="AS79" s="14">
        <v>19800</v>
      </c>
      <c r="AT79" s="14">
        <v>20657</v>
      </c>
      <c r="AU79" s="14">
        <v>-7</v>
      </c>
      <c r="AV79" s="14">
        <v>265.12</v>
      </c>
      <c r="AW79" s="14">
        <v>27.8</v>
      </c>
      <c r="AX79" s="14">
        <v>0.47</v>
      </c>
      <c r="AY79" s="14" t="b">
        <v>0</v>
      </c>
    </row>
    <row r="80" spans="1:51" hidden="1" x14ac:dyDescent="0.3">
      <c r="A80" t="str">
        <f>CONCATENATE(I80,E80,LEFT(G80,10))</f>
        <v>HFA168LCLK2026-03-12</v>
      </c>
      <c r="B80" s="14" t="s">
        <v>3058</v>
      </c>
      <c r="C80" s="14" t="s">
        <v>336</v>
      </c>
      <c r="D80" s="14" t="s">
        <v>337</v>
      </c>
      <c r="E80" s="14" t="s">
        <v>87</v>
      </c>
      <c r="F80" s="14" t="s">
        <v>83</v>
      </c>
      <c r="G80" s="14" t="s">
        <v>3059</v>
      </c>
      <c r="H80" s="14" t="s">
        <v>371</v>
      </c>
      <c r="I80" s="14" t="s">
        <v>154</v>
      </c>
      <c r="J80" s="14" t="s">
        <v>87</v>
      </c>
      <c r="K80" s="14" t="s">
        <v>471</v>
      </c>
      <c r="L80" s="14" t="s">
        <v>341</v>
      </c>
      <c r="M80" s="16" t="s">
        <v>3060</v>
      </c>
      <c r="N80" s="14"/>
      <c r="O80" s="14" t="s">
        <v>817</v>
      </c>
      <c r="P80" s="14">
        <v>150</v>
      </c>
      <c r="Q80" s="14">
        <v>2</v>
      </c>
      <c r="R80" s="14">
        <v>6800</v>
      </c>
      <c r="S80" s="14" t="s">
        <v>3061</v>
      </c>
      <c r="T80" s="14" t="s">
        <v>3062</v>
      </c>
      <c r="U80" s="14">
        <v>0.98944444444444402</v>
      </c>
      <c r="V80" s="14">
        <v>1.2308333333333299</v>
      </c>
      <c r="W80" s="14">
        <v>881</v>
      </c>
      <c r="X80" s="14">
        <v>80</v>
      </c>
      <c r="Y80" s="14">
        <v>801</v>
      </c>
      <c r="Z80" s="14">
        <v>1262</v>
      </c>
      <c r="AA80" s="14">
        <v>726</v>
      </c>
      <c r="AB80" s="14">
        <v>288</v>
      </c>
      <c r="AC80" s="14">
        <v>200</v>
      </c>
      <c r="AD80" s="14">
        <v>48</v>
      </c>
      <c r="AE80" s="14">
        <v>2143</v>
      </c>
      <c r="AF80" s="14">
        <v>5000</v>
      </c>
      <c r="AG80" s="14">
        <v>2785</v>
      </c>
      <c r="AH80" s="14">
        <v>0</v>
      </c>
      <c r="AI80" s="14">
        <v>64</v>
      </c>
      <c r="AJ80" s="14">
        <v>171</v>
      </c>
      <c r="AK80" s="14" t="s">
        <v>3059</v>
      </c>
      <c r="AL80" s="14" t="s">
        <v>3063</v>
      </c>
      <c r="AM80" s="14">
        <v>264.72000000000003</v>
      </c>
      <c r="AN80" s="14">
        <v>183.03</v>
      </c>
      <c r="AO80" s="14">
        <v>212.7</v>
      </c>
      <c r="AP80" s="14">
        <v>22443</v>
      </c>
      <c r="AQ80" s="14">
        <v>22363</v>
      </c>
      <c r="AR80" s="14">
        <v>23000</v>
      </c>
      <c r="AS80" s="14">
        <v>20300</v>
      </c>
      <c r="AT80" s="14">
        <v>21562</v>
      </c>
      <c r="AU80" s="14">
        <v>5</v>
      </c>
      <c r="AV80" s="14">
        <v>264.17</v>
      </c>
      <c r="AW80" s="14">
        <v>17.190000000000001</v>
      </c>
      <c r="AX80" s="14">
        <v>1.01</v>
      </c>
      <c r="AY80" s="14" t="b">
        <v>0</v>
      </c>
    </row>
    <row r="81" spans="1:51" hidden="1" x14ac:dyDescent="0.3">
      <c r="A81" t="str">
        <f>CONCATENATE(I81,E81,LEFT(G81,10))</f>
        <v>HFA169LLBG2026-03-12</v>
      </c>
      <c r="B81" s="14" t="s">
        <v>3045</v>
      </c>
      <c r="C81" s="14" t="s">
        <v>336</v>
      </c>
      <c r="D81" s="14" t="s">
        <v>337</v>
      </c>
      <c r="E81" s="14" t="s">
        <v>83</v>
      </c>
      <c r="F81" s="14" t="s">
        <v>48</v>
      </c>
      <c r="G81" s="14" t="s">
        <v>3046</v>
      </c>
      <c r="H81" s="14" t="s">
        <v>371</v>
      </c>
      <c r="I81" s="14" t="s">
        <v>155</v>
      </c>
      <c r="J81" s="14"/>
      <c r="K81" s="14" t="s">
        <v>471</v>
      </c>
      <c r="L81" s="14" t="s">
        <v>341</v>
      </c>
      <c r="M81" s="16" t="s">
        <v>3047</v>
      </c>
      <c r="N81" s="14" t="s">
        <v>3048</v>
      </c>
      <c r="O81" s="14" t="s">
        <v>495</v>
      </c>
      <c r="P81" s="14">
        <v>180</v>
      </c>
      <c r="Q81" s="14">
        <v>2</v>
      </c>
      <c r="R81" s="14">
        <v>6700</v>
      </c>
      <c r="S81" s="14" t="s">
        <v>3049</v>
      </c>
      <c r="T81" s="14" t="s">
        <v>3050</v>
      </c>
      <c r="U81" s="14">
        <v>2.8602777777777701</v>
      </c>
      <c r="V81" s="14">
        <v>3.1255555555555499</v>
      </c>
      <c r="W81" s="14">
        <v>2057</v>
      </c>
      <c r="X81" s="14">
        <v>80</v>
      </c>
      <c r="Y81" s="14">
        <v>1977</v>
      </c>
      <c r="Z81" s="14">
        <v>517</v>
      </c>
      <c r="AA81" s="14">
        <v>139</v>
      </c>
      <c r="AB81" s="14">
        <v>279</v>
      </c>
      <c r="AC81" s="14">
        <v>0</v>
      </c>
      <c r="AD81" s="14">
        <v>99</v>
      </c>
      <c r="AE81" s="14">
        <v>2574</v>
      </c>
      <c r="AF81" s="14">
        <v>5000</v>
      </c>
      <c r="AG81" s="14">
        <v>6500</v>
      </c>
      <c r="AH81" s="14">
        <v>0</v>
      </c>
      <c r="AI81" s="14">
        <v>168</v>
      </c>
      <c r="AJ81" s="14">
        <v>224</v>
      </c>
      <c r="AK81" s="14" t="s">
        <v>3046</v>
      </c>
      <c r="AL81" s="14" t="s">
        <v>3051</v>
      </c>
      <c r="AM81" s="14">
        <v>688.45</v>
      </c>
      <c r="AN81" s="14">
        <v>645.11</v>
      </c>
      <c r="AO81" s="14">
        <v>0</v>
      </c>
      <c r="AP81" s="14">
        <v>22774</v>
      </c>
      <c r="AQ81" s="14">
        <v>22694</v>
      </c>
      <c r="AR81" s="14">
        <v>23000</v>
      </c>
      <c r="AS81" s="14">
        <v>20200</v>
      </c>
      <c r="AT81" s="14">
        <v>20717</v>
      </c>
      <c r="AU81" s="14">
        <v>-15</v>
      </c>
      <c r="AV81" s="14">
        <v>278.88</v>
      </c>
      <c r="AW81" s="14">
        <v>14.06</v>
      </c>
      <c r="AX81" s="14">
        <v>-0.93</v>
      </c>
      <c r="AY81" s="14" t="b">
        <v>0</v>
      </c>
    </row>
    <row r="82" spans="1:51" hidden="1" x14ac:dyDescent="0.3">
      <c r="A82" t="str">
        <f>CONCATENATE(I82,E82,LEFT(G82,10))</f>
        <v>HFA170LGAV2026-03-12</v>
      </c>
      <c r="B82" s="14" t="s">
        <v>3052</v>
      </c>
      <c r="C82" s="14" t="s">
        <v>336</v>
      </c>
      <c r="D82" s="14" t="s">
        <v>337</v>
      </c>
      <c r="E82" s="14" t="s">
        <v>48</v>
      </c>
      <c r="F82" s="14" t="s">
        <v>83</v>
      </c>
      <c r="G82" s="14" t="s">
        <v>3053</v>
      </c>
      <c r="H82" s="14" t="s">
        <v>339</v>
      </c>
      <c r="I82" s="14" t="s">
        <v>246</v>
      </c>
      <c r="J82" s="14" t="s">
        <v>87</v>
      </c>
      <c r="K82" s="14" t="s">
        <v>471</v>
      </c>
      <c r="L82" s="14" t="s">
        <v>341</v>
      </c>
      <c r="M82" s="16" t="s">
        <v>3054</v>
      </c>
      <c r="N82" s="14"/>
      <c r="O82" s="14" t="s">
        <v>3030</v>
      </c>
      <c r="P82" s="14">
        <v>190</v>
      </c>
      <c r="Q82" s="14">
        <v>2</v>
      </c>
      <c r="R82" s="14">
        <v>6700</v>
      </c>
      <c r="S82" s="14" t="s">
        <v>3055</v>
      </c>
      <c r="T82" s="14" t="s">
        <v>3056</v>
      </c>
      <c r="U82" s="14">
        <v>2.6266666666666598</v>
      </c>
      <c r="V82" s="14">
        <v>2.76305555555555</v>
      </c>
      <c r="W82" s="14">
        <v>1785</v>
      </c>
      <c r="X82" s="14">
        <v>80</v>
      </c>
      <c r="Y82" s="14">
        <v>1705</v>
      </c>
      <c r="Z82" s="14">
        <v>1095</v>
      </c>
      <c r="AA82" s="14">
        <v>727</v>
      </c>
      <c r="AB82" s="14">
        <v>283</v>
      </c>
      <c r="AC82" s="14">
        <v>0</v>
      </c>
      <c r="AD82" s="14">
        <v>85</v>
      </c>
      <c r="AE82" s="14">
        <v>2880</v>
      </c>
      <c r="AF82" s="14">
        <v>5000</v>
      </c>
      <c r="AG82" s="14">
        <v>5641</v>
      </c>
      <c r="AH82" s="14">
        <v>0</v>
      </c>
      <c r="AI82" s="14">
        <v>150</v>
      </c>
      <c r="AJ82" s="14">
        <v>244</v>
      </c>
      <c r="AK82" s="14" t="s">
        <v>3053</v>
      </c>
      <c r="AL82" s="14" t="s">
        <v>3057</v>
      </c>
      <c r="AM82" s="14">
        <v>670.18</v>
      </c>
      <c r="AN82" s="14">
        <v>645.11</v>
      </c>
      <c r="AO82" s="14">
        <v>218.44</v>
      </c>
      <c r="AP82" s="14">
        <v>22905</v>
      </c>
      <c r="AQ82" s="14">
        <v>22825</v>
      </c>
      <c r="AR82" s="14">
        <v>23000</v>
      </c>
      <c r="AS82" s="14">
        <v>20025</v>
      </c>
      <c r="AT82" s="14">
        <v>21120</v>
      </c>
      <c r="AU82" s="14">
        <v>10</v>
      </c>
      <c r="AV82" s="14">
        <v>274.64999999999998</v>
      </c>
      <c r="AW82" s="14">
        <v>13.07</v>
      </c>
      <c r="AX82" s="14">
        <v>-1.4</v>
      </c>
      <c r="AY82" s="14" t="b">
        <v>0</v>
      </c>
    </row>
    <row r="83" spans="1:51" hidden="1" x14ac:dyDescent="0.3">
      <c r="A83" t="str">
        <f>CONCATENATE(I83,E83,LEFT(G83,10))</f>
        <v>HFA171LLBG2026-03-12</v>
      </c>
      <c r="B83" s="14" t="s">
        <v>3039</v>
      </c>
      <c r="C83" s="14" t="s">
        <v>336</v>
      </c>
      <c r="D83" s="14" t="s">
        <v>337</v>
      </c>
      <c r="E83" s="14" t="s">
        <v>83</v>
      </c>
      <c r="F83" s="14" t="s">
        <v>87</v>
      </c>
      <c r="G83" s="14" t="s">
        <v>3040</v>
      </c>
      <c r="H83" s="14" t="s">
        <v>339</v>
      </c>
      <c r="I83" s="14" t="s">
        <v>247</v>
      </c>
      <c r="J83" s="14" t="s">
        <v>69</v>
      </c>
      <c r="K83" s="14" t="s">
        <v>471</v>
      </c>
      <c r="L83" s="14" t="s">
        <v>341</v>
      </c>
      <c r="M83" s="16" t="s">
        <v>2801</v>
      </c>
      <c r="N83" s="14"/>
      <c r="O83" s="14" t="s">
        <v>3041</v>
      </c>
      <c r="P83" s="14">
        <v>160</v>
      </c>
      <c r="Q83" s="14">
        <v>2</v>
      </c>
      <c r="R83" s="14">
        <v>7000</v>
      </c>
      <c r="S83" s="14" t="s">
        <v>3042</v>
      </c>
      <c r="T83" s="14" t="s">
        <v>3043</v>
      </c>
      <c r="U83" s="14">
        <v>0.98694444444444396</v>
      </c>
      <c r="V83" s="14">
        <v>1.1980555555555501</v>
      </c>
      <c r="W83" s="14">
        <v>980</v>
      </c>
      <c r="X83" s="14">
        <v>80</v>
      </c>
      <c r="Y83" s="14">
        <v>900</v>
      </c>
      <c r="Z83" s="14">
        <v>866</v>
      </c>
      <c r="AA83" s="14">
        <v>335</v>
      </c>
      <c r="AB83" s="14">
        <v>284</v>
      </c>
      <c r="AC83" s="14">
        <v>200</v>
      </c>
      <c r="AD83" s="14">
        <v>47</v>
      </c>
      <c r="AE83" s="14">
        <v>1846</v>
      </c>
      <c r="AF83" s="14">
        <v>5000</v>
      </c>
      <c r="AG83" s="14">
        <v>3096</v>
      </c>
      <c r="AH83" s="14">
        <v>0</v>
      </c>
      <c r="AI83" s="14">
        <v>75</v>
      </c>
      <c r="AJ83" s="14">
        <v>148</v>
      </c>
      <c r="AK83" s="14" t="s">
        <v>3040</v>
      </c>
      <c r="AL83" s="14" t="s">
        <v>3044</v>
      </c>
      <c r="AM83" s="14">
        <v>299.85000000000002</v>
      </c>
      <c r="AN83" s="14">
        <v>183.03</v>
      </c>
      <c r="AO83" s="14">
        <v>73.5</v>
      </c>
      <c r="AP83" s="14">
        <v>22171</v>
      </c>
      <c r="AQ83" s="14">
        <v>22091</v>
      </c>
      <c r="AR83" s="14">
        <v>23000</v>
      </c>
      <c r="AS83" s="14">
        <v>20325</v>
      </c>
      <c r="AT83" s="14">
        <v>21191</v>
      </c>
      <c r="AU83" s="14">
        <v>-8</v>
      </c>
      <c r="AV83" s="14">
        <v>264.22000000000003</v>
      </c>
      <c r="AW83" s="14">
        <v>28.32</v>
      </c>
      <c r="AX83" s="14">
        <v>1.43</v>
      </c>
      <c r="AY83" s="14" t="b">
        <v>0</v>
      </c>
    </row>
    <row r="84" spans="1:51" hidden="1" x14ac:dyDescent="0.3">
      <c r="A84" t="str">
        <f>CONCATENATE(I84,E84,LEFT(G84,10))</f>
        <v>HFA172LCLK2026-03-12</v>
      </c>
      <c r="B84" s="14" t="s">
        <v>3034</v>
      </c>
      <c r="C84" s="14" t="s">
        <v>336</v>
      </c>
      <c r="D84" s="14" t="s">
        <v>337</v>
      </c>
      <c r="E84" s="14" t="s">
        <v>87</v>
      </c>
      <c r="F84" s="14" t="s">
        <v>83</v>
      </c>
      <c r="G84" s="14" t="s">
        <v>3035</v>
      </c>
      <c r="H84" s="14" t="s">
        <v>339</v>
      </c>
      <c r="I84" s="14" t="s">
        <v>248</v>
      </c>
      <c r="J84" s="14" t="s">
        <v>87</v>
      </c>
      <c r="K84" s="14" t="s">
        <v>471</v>
      </c>
      <c r="L84" s="14" t="s">
        <v>341</v>
      </c>
      <c r="M84" s="16" t="s">
        <v>2794</v>
      </c>
      <c r="N84" s="14"/>
      <c r="O84" s="14" t="s">
        <v>817</v>
      </c>
      <c r="P84" s="14">
        <v>150</v>
      </c>
      <c r="Q84" s="14">
        <v>2</v>
      </c>
      <c r="R84" s="14">
        <v>7100</v>
      </c>
      <c r="S84" s="14" t="s">
        <v>3036</v>
      </c>
      <c r="T84" s="14" t="s">
        <v>3037</v>
      </c>
      <c r="U84" s="14">
        <v>0.9425</v>
      </c>
      <c r="V84" s="14">
        <v>1.1675</v>
      </c>
      <c r="W84" s="14">
        <v>858</v>
      </c>
      <c r="X84" s="14">
        <v>80</v>
      </c>
      <c r="Y84" s="14">
        <v>778</v>
      </c>
      <c r="Z84" s="14">
        <v>1279</v>
      </c>
      <c r="AA84" s="14">
        <v>742</v>
      </c>
      <c r="AB84" s="14">
        <v>289</v>
      </c>
      <c r="AC84" s="14">
        <v>200</v>
      </c>
      <c r="AD84" s="14">
        <v>48</v>
      </c>
      <c r="AE84" s="14">
        <v>2137</v>
      </c>
      <c r="AF84" s="14">
        <v>5000</v>
      </c>
      <c r="AG84" s="14">
        <v>2710</v>
      </c>
      <c r="AH84" s="14">
        <v>0</v>
      </c>
      <c r="AI84" s="14">
        <v>63</v>
      </c>
      <c r="AJ84" s="14">
        <v>171</v>
      </c>
      <c r="AK84" s="14" t="s">
        <v>3035</v>
      </c>
      <c r="AL84" s="14" t="s">
        <v>3038</v>
      </c>
      <c r="AM84" s="14">
        <v>264.72000000000003</v>
      </c>
      <c r="AN84" s="14">
        <v>183.03</v>
      </c>
      <c r="AO84" s="14">
        <v>218.44</v>
      </c>
      <c r="AP84" s="14">
        <v>22562</v>
      </c>
      <c r="AQ84" s="14">
        <v>22482</v>
      </c>
      <c r="AR84" s="14">
        <v>23000</v>
      </c>
      <c r="AS84" s="14">
        <v>20425</v>
      </c>
      <c r="AT84" s="14">
        <v>21704</v>
      </c>
      <c r="AU84" s="14">
        <v>8</v>
      </c>
      <c r="AV84" s="14">
        <v>274.01</v>
      </c>
      <c r="AW84" s="14">
        <v>23.44</v>
      </c>
      <c r="AX84" s="14">
        <v>0.68</v>
      </c>
      <c r="AY84" s="14" t="b">
        <v>0</v>
      </c>
    </row>
    <row r="85" spans="1:51" hidden="1" x14ac:dyDescent="0.3">
      <c r="A85" t="str">
        <f>CONCATENATE(I85,E85,LEFT(G85,10))</f>
        <v>HFA173ALGAV2026-03-12</v>
      </c>
      <c r="B85" s="14" t="s">
        <v>3010</v>
      </c>
      <c r="C85" s="14" t="s">
        <v>336</v>
      </c>
      <c r="D85" s="14" t="s">
        <v>337</v>
      </c>
      <c r="E85" s="14" t="s">
        <v>48</v>
      </c>
      <c r="F85" s="14" t="s">
        <v>77</v>
      </c>
      <c r="G85" s="14" t="s">
        <v>3011</v>
      </c>
      <c r="H85" s="14" t="s">
        <v>339</v>
      </c>
      <c r="I85" s="14" t="s">
        <v>250</v>
      </c>
      <c r="J85" s="14" t="s">
        <v>759</v>
      </c>
      <c r="K85" s="14" t="s">
        <v>471</v>
      </c>
      <c r="L85" s="14" t="s">
        <v>542</v>
      </c>
      <c r="M85" s="16" t="s">
        <v>1646</v>
      </c>
      <c r="N85" s="14" t="s">
        <v>1840</v>
      </c>
      <c r="O85" s="14" t="s">
        <v>3012</v>
      </c>
      <c r="P85" s="14">
        <v>240</v>
      </c>
      <c r="Q85" s="14">
        <v>2</v>
      </c>
      <c r="R85" s="14">
        <v>700</v>
      </c>
      <c r="S85" s="14" t="s">
        <v>3013</v>
      </c>
      <c r="T85" s="14" t="s">
        <v>3014</v>
      </c>
      <c r="U85" s="14">
        <v>1.2211111111111099</v>
      </c>
      <c r="V85" s="14">
        <v>1.46888888888888</v>
      </c>
      <c r="W85" s="14">
        <v>945</v>
      </c>
      <c r="X85" s="14">
        <v>80</v>
      </c>
      <c r="Y85" s="14">
        <v>865</v>
      </c>
      <c r="Z85" s="14">
        <v>652</v>
      </c>
      <c r="AA85" s="14">
        <v>385</v>
      </c>
      <c r="AB85" s="14">
        <v>224</v>
      </c>
      <c r="AC85" s="14">
        <v>0</v>
      </c>
      <c r="AD85" s="14">
        <v>43</v>
      </c>
      <c r="AE85" s="14">
        <v>1597</v>
      </c>
      <c r="AF85" s="14">
        <v>5000</v>
      </c>
      <c r="AG85" s="14">
        <v>2986</v>
      </c>
      <c r="AH85" s="14">
        <v>0</v>
      </c>
      <c r="AI85" s="14">
        <v>83</v>
      </c>
      <c r="AJ85" s="14">
        <v>146</v>
      </c>
      <c r="AK85" s="14" t="s">
        <v>3011</v>
      </c>
      <c r="AL85" s="14" t="s">
        <v>3015</v>
      </c>
      <c r="AM85" s="14">
        <v>361.74</v>
      </c>
      <c r="AN85" s="14">
        <v>286.35000000000002</v>
      </c>
      <c r="AO85" s="14">
        <v>102.22</v>
      </c>
      <c r="AP85" s="14">
        <v>15622</v>
      </c>
      <c r="AQ85" s="14">
        <v>15542</v>
      </c>
      <c r="AR85" s="14">
        <v>23000</v>
      </c>
      <c r="AS85" s="14">
        <v>14025</v>
      </c>
      <c r="AT85" s="14">
        <v>14677</v>
      </c>
      <c r="AU85" s="14">
        <v>0</v>
      </c>
      <c r="AV85" s="14">
        <v>138.91999999999999</v>
      </c>
      <c r="AW85" s="14">
        <v>1.1200000000000001</v>
      </c>
      <c r="AX85" s="14">
        <v>-5.76</v>
      </c>
      <c r="AY85" s="14" t="b">
        <v>0</v>
      </c>
    </row>
    <row r="86" spans="1:51" hidden="1" x14ac:dyDescent="0.3">
      <c r="A86" t="str">
        <f>CONCATENATE(I86,E86,LEFT(G86,10))</f>
        <v>HFA173LLBG2026-03-12</v>
      </c>
      <c r="B86" s="14" t="s">
        <v>3022</v>
      </c>
      <c r="C86" s="14" t="s">
        <v>336</v>
      </c>
      <c r="D86" s="14" t="s">
        <v>337</v>
      </c>
      <c r="E86" s="14" t="s">
        <v>83</v>
      </c>
      <c r="F86" s="14" t="s">
        <v>48</v>
      </c>
      <c r="G86" s="14" t="s">
        <v>3023</v>
      </c>
      <c r="H86" s="14" t="s">
        <v>339</v>
      </c>
      <c r="I86" s="14" t="s">
        <v>249</v>
      </c>
      <c r="J86" s="14"/>
      <c r="K86" s="14" t="s">
        <v>471</v>
      </c>
      <c r="L86" s="14" t="s">
        <v>341</v>
      </c>
      <c r="M86" s="16" t="s">
        <v>3024</v>
      </c>
      <c r="N86" s="14"/>
      <c r="O86" s="14" t="s">
        <v>495</v>
      </c>
      <c r="P86" s="14">
        <v>180</v>
      </c>
      <c r="Q86" s="14">
        <v>2</v>
      </c>
      <c r="R86" s="14">
        <v>6800</v>
      </c>
      <c r="S86" s="14" t="s">
        <v>3025</v>
      </c>
      <c r="T86" s="14" t="s">
        <v>3026</v>
      </c>
      <c r="U86" s="14">
        <v>2.8525</v>
      </c>
      <c r="V86" s="14">
        <v>3.41166666666666</v>
      </c>
      <c r="W86" s="14">
        <v>2045</v>
      </c>
      <c r="X86" s="14">
        <v>80</v>
      </c>
      <c r="Y86" s="14">
        <v>1965</v>
      </c>
      <c r="Z86" s="14">
        <v>555</v>
      </c>
      <c r="AA86" s="14">
        <v>139</v>
      </c>
      <c r="AB86" s="14">
        <v>278</v>
      </c>
      <c r="AC86" s="14">
        <v>39</v>
      </c>
      <c r="AD86" s="14">
        <v>98</v>
      </c>
      <c r="AE86" s="14">
        <v>2600</v>
      </c>
      <c r="AF86" s="14">
        <v>5000</v>
      </c>
      <c r="AG86" s="14">
        <v>6462</v>
      </c>
      <c r="AH86" s="14">
        <v>0</v>
      </c>
      <c r="AI86" s="14">
        <v>172</v>
      </c>
      <c r="AJ86" s="14">
        <v>231</v>
      </c>
      <c r="AK86" s="14" t="s">
        <v>3023</v>
      </c>
      <c r="AL86" s="14" t="s">
        <v>3027</v>
      </c>
      <c r="AM86" s="14">
        <v>688.45</v>
      </c>
      <c r="AN86" s="14">
        <v>645.11</v>
      </c>
      <c r="AO86" s="14">
        <v>0</v>
      </c>
      <c r="AP86" s="14">
        <v>22725</v>
      </c>
      <c r="AQ86" s="14">
        <v>22645</v>
      </c>
      <c r="AR86" s="14">
        <v>23000</v>
      </c>
      <c r="AS86" s="14">
        <v>20125</v>
      </c>
      <c r="AT86" s="14">
        <v>20680</v>
      </c>
      <c r="AU86" s="14">
        <v>-21</v>
      </c>
      <c r="AV86" s="14">
        <v>283.89999999999998</v>
      </c>
      <c r="AW86" s="14">
        <v>18.87</v>
      </c>
      <c r="AX86" s="14">
        <v>-0.49</v>
      </c>
      <c r="AY86" s="14" t="b">
        <v>0</v>
      </c>
    </row>
    <row r="87" spans="1:51" hidden="1" x14ac:dyDescent="0.3">
      <c r="A87" t="str">
        <f>CONCATENATE(I87,E87,LEFT(G87,10))</f>
        <v>HFA174LGAV2026-03-12</v>
      </c>
      <c r="B87" s="14" t="s">
        <v>3028</v>
      </c>
      <c r="C87" s="14" t="s">
        <v>336</v>
      </c>
      <c r="D87" s="14" t="s">
        <v>337</v>
      </c>
      <c r="E87" s="14" t="s">
        <v>48</v>
      </c>
      <c r="F87" s="14" t="s">
        <v>83</v>
      </c>
      <c r="G87" s="14" t="s">
        <v>3029</v>
      </c>
      <c r="H87" s="14" t="s">
        <v>371</v>
      </c>
      <c r="I87" s="14" t="s">
        <v>156</v>
      </c>
      <c r="J87" s="14" t="s">
        <v>87</v>
      </c>
      <c r="K87" s="14" t="s">
        <v>471</v>
      </c>
      <c r="L87" s="14" t="s">
        <v>341</v>
      </c>
      <c r="M87" s="16" t="s">
        <v>1646</v>
      </c>
      <c r="N87" s="14"/>
      <c r="O87" s="14" t="s">
        <v>3030</v>
      </c>
      <c r="P87" s="14">
        <v>190</v>
      </c>
      <c r="Q87" s="14">
        <v>2</v>
      </c>
      <c r="R87" s="14">
        <v>6300</v>
      </c>
      <c r="S87" s="14" t="s">
        <v>3031</v>
      </c>
      <c r="T87" s="14" t="s">
        <v>3032</v>
      </c>
      <c r="U87" s="14">
        <v>2.6088888888888802</v>
      </c>
      <c r="V87" s="14">
        <v>2.7341666666666602</v>
      </c>
      <c r="W87" s="14">
        <v>1786</v>
      </c>
      <c r="X87" s="14">
        <v>80</v>
      </c>
      <c r="Y87" s="14">
        <v>1706</v>
      </c>
      <c r="Z87" s="14">
        <v>1414</v>
      </c>
      <c r="AA87" s="14">
        <v>976</v>
      </c>
      <c r="AB87" s="14">
        <v>284</v>
      </c>
      <c r="AC87" s="14">
        <v>69</v>
      </c>
      <c r="AD87" s="14">
        <v>85</v>
      </c>
      <c r="AE87" s="14">
        <v>3200</v>
      </c>
      <c r="AF87" s="14">
        <v>5000</v>
      </c>
      <c r="AG87" s="14">
        <v>5643</v>
      </c>
      <c r="AH87" s="14">
        <v>0</v>
      </c>
      <c r="AI87" s="14">
        <v>147</v>
      </c>
      <c r="AJ87" s="14">
        <v>266</v>
      </c>
      <c r="AK87" s="14" t="s">
        <v>3029</v>
      </c>
      <c r="AL87" s="14" t="s">
        <v>3033</v>
      </c>
      <c r="AM87" s="14">
        <v>670.18</v>
      </c>
      <c r="AN87" s="14">
        <v>645.11</v>
      </c>
      <c r="AO87" s="14">
        <v>299.85000000000002</v>
      </c>
      <c r="AP87" s="14">
        <v>23000</v>
      </c>
      <c r="AQ87" s="14">
        <v>22920</v>
      </c>
      <c r="AR87" s="14">
        <v>23000</v>
      </c>
      <c r="AS87" s="14">
        <v>19800</v>
      </c>
      <c r="AT87" s="14">
        <v>21214</v>
      </c>
      <c r="AU87" s="14">
        <v>17</v>
      </c>
      <c r="AV87" s="14">
        <v>287.68</v>
      </c>
      <c r="AW87" s="14">
        <v>20.94</v>
      </c>
      <c r="AX87" s="14">
        <v>-1.1100000000000001</v>
      </c>
      <c r="AY87" s="14" t="b">
        <v>0</v>
      </c>
    </row>
    <row r="88" spans="1:51" hidden="1" x14ac:dyDescent="0.3">
      <c r="A88" t="str">
        <f>CONCATENATE(I88,E88,LEFT(G88,10))</f>
        <v>HFA175LLBG2026-03-12</v>
      </c>
      <c r="B88" s="14" t="s">
        <v>3016</v>
      </c>
      <c r="C88" s="14" t="s">
        <v>336</v>
      </c>
      <c r="D88" s="14" t="s">
        <v>337</v>
      </c>
      <c r="E88" s="14" t="s">
        <v>83</v>
      </c>
      <c r="F88" s="14" t="s">
        <v>87</v>
      </c>
      <c r="G88" s="14" t="s">
        <v>3017</v>
      </c>
      <c r="H88" s="14" t="s">
        <v>371</v>
      </c>
      <c r="I88" s="14" t="s">
        <v>157</v>
      </c>
      <c r="J88" s="14" t="s">
        <v>83</v>
      </c>
      <c r="K88" s="14" t="s">
        <v>471</v>
      </c>
      <c r="L88" s="14" t="s">
        <v>341</v>
      </c>
      <c r="M88" s="16" t="s">
        <v>3018</v>
      </c>
      <c r="N88" s="14" t="s">
        <v>768</v>
      </c>
      <c r="O88" s="14" t="s">
        <v>1854</v>
      </c>
      <c r="P88" s="14">
        <v>160</v>
      </c>
      <c r="Q88" s="14">
        <v>2</v>
      </c>
      <c r="R88" s="14">
        <v>6900</v>
      </c>
      <c r="S88" s="14" t="s">
        <v>3019</v>
      </c>
      <c r="T88" s="14" t="s">
        <v>3020</v>
      </c>
      <c r="U88" s="14">
        <v>0.982222222222222</v>
      </c>
      <c r="V88" s="14">
        <v>1.2749999999999999</v>
      </c>
      <c r="W88" s="14">
        <v>1026</v>
      </c>
      <c r="X88" s="14">
        <v>80</v>
      </c>
      <c r="Y88" s="14">
        <v>946</v>
      </c>
      <c r="Z88" s="14">
        <v>1174</v>
      </c>
      <c r="AA88" s="14">
        <v>823</v>
      </c>
      <c r="AB88" s="14">
        <v>288</v>
      </c>
      <c r="AC88" s="14">
        <v>15</v>
      </c>
      <c r="AD88" s="14">
        <v>48</v>
      </c>
      <c r="AE88" s="14">
        <v>2200</v>
      </c>
      <c r="AF88" s="14">
        <v>5000</v>
      </c>
      <c r="AG88" s="14">
        <v>3242</v>
      </c>
      <c r="AH88" s="14">
        <v>0</v>
      </c>
      <c r="AI88" s="14">
        <v>77</v>
      </c>
      <c r="AJ88" s="14">
        <v>174</v>
      </c>
      <c r="AK88" s="14" t="s">
        <v>3017</v>
      </c>
      <c r="AL88" s="14" t="s">
        <v>3021</v>
      </c>
      <c r="AM88" s="14">
        <v>299.85000000000002</v>
      </c>
      <c r="AN88" s="14">
        <v>183.03</v>
      </c>
      <c r="AO88" s="14">
        <v>262.02</v>
      </c>
      <c r="AP88" s="14">
        <v>22600</v>
      </c>
      <c r="AQ88" s="14">
        <v>22520</v>
      </c>
      <c r="AR88" s="14">
        <v>23000</v>
      </c>
      <c r="AS88" s="14">
        <v>20400</v>
      </c>
      <c r="AT88" s="14">
        <v>21574</v>
      </c>
      <c r="AU88" s="14">
        <v>-14</v>
      </c>
      <c r="AV88" s="14">
        <v>277.27999999999997</v>
      </c>
      <c r="AW88" s="14">
        <v>29.86</v>
      </c>
      <c r="AX88" s="14">
        <v>0.42</v>
      </c>
      <c r="AY88" s="14" t="b">
        <v>0</v>
      </c>
    </row>
    <row r="89" spans="1:51" hidden="1" x14ac:dyDescent="0.3">
      <c r="A89" t="str">
        <f>CONCATENATE(I89,E89,LEFT(G89,10))</f>
        <v>HFA176LCLK2026-03-13</v>
      </c>
      <c r="B89" s="14" t="s">
        <v>5670</v>
      </c>
      <c r="C89" s="14" t="s">
        <v>336</v>
      </c>
      <c r="D89" s="14" t="s">
        <v>337</v>
      </c>
      <c r="E89" s="14" t="s">
        <v>87</v>
      </c>
      <c r="F89" s="14" t="s">
        <v>83</v>
      </c>
      <c r="G89" s="14" t="s">
        <v>5671</v>
      </c>
      <c r="H89" s="14" t="s">
        <v>371</v>
      </c>
      <c r="I89" s="14" t="s">
        <v>158</v>
      </c>
      <c r="J89" s="14" t="s">
        <v>87</v>
      </c>
      <c r="K89" s="14" t="s">
        <v>471</v>
      </c>
      <c r="L89" s="14" t="s">
        <v>341</v>
      </c>
      <c r="M89" s="16" t="s">
        <v>5672</v>
      </c>
      <c r="N89" s="14" t="s">
        <v>768</v>
      </c>
      <c r="O89" s="14" t="s">
        <v>817</v>
      </c>
      <c r="P89" s="14">
        <v>150</v>
      </c>
      <c r="Q89" s="14">
        <v>3</v>
      </c>
      <c r="R89" s="14">
        <v>7200</v>
      </c>
      <c r="S89" s="14" t="s">
        <v>5673</v>
      </c>
      <c r="T89" s="14" t="s">
        <v>5674</v>
      </c>
      <c r="U89" s="14">
        <v>0.98277777777777697</v>
      </c>
      <c r="V89" s="14">
        <v>1.27138888888888</v>
      </c>
      <c r="W89" s="14">
        <v>868</v>
      </c>
      <c r="X89" s="14">
        <v>80</v>
      </c>
      <c r="Y89" s="14">
        <v>788</v>
      </c>
      <c r="Z89" s="14">
        <v>1086</v>
      </c>
      <c r="AA89" s="14">
        <v>747</v>
      </c>
      <c r="AB89" s="14">
        <v>290</v>
      </c>
      <c r="AC89" s="14">
        <v>0</v>
      </c>
      <c r="AD89" s="14">
        <v>48</v>
      </c>
      <c r="AE89" s="14">
        <v>1954</v>
      </c>
      <c r="AF89" s="14">
        <v>5000</v>
      </c>
      <c r="AG89" s="14">
        <v>2744</v>
      </c>
      <c r="AH89" s="14">
        <v>0</v>
      </c>
      <c r="AI89" s="14">
        <v>63</v>
      </c>
      <c r="AJ89" s="14">
        <v>156</v>
      </c>
      <c r="AK89" s="14" t="s">
        <v>5671</v>
      </c>
      <c r="AL89" s="14" t="s">
        <v>5675</v>
      </c>
      <c r="AM89" s="14">
        <v>264.72000000000003</v>
      </c>
      <c r="AN89" s="14">
        <v>183.03</v>
      </c>
      <c r="AO89" s="14">
        <v>215.32</v>
      </c>
      <c r="AP89" s="14">
        <v>22654</v>
      </c>
      <c r="AQ89" s="14">
        <v>22574</v>
      </c>
      <c r="AR89" s="14">
        <v>23000</v>
      </c>
      <c r="AS89" s="14">
        <v>20700</v>
      </c>
      <c r="AT89" s="14">
        <v>21786</v>
      </c>
      <c r="AU89" s="14">
        <v>10</v>
      </c>
      <c r="AV89" s="14">
        <v>271.08999999999997</v>
      </c>
      <c r="AW89" s="14">
        <v>29.63</v>
      </c>
      <c r="AX89" s="14">
        <v>1.37</v>
      </c>
      <c r="AY89" s="14" t="b">
        <v>0</v>
      </c>
    </row>
    <row r="90" spans="1:51" hidden="1" x14ac:dyDescent="0.3">
      <c r="A90" t="str">
        <f>CONCATENATE(I90,E90,LEFT(G90,10))</f>
        <v>HFA177LLBG2026-03-13</v>
      </c>
      <c r="B90" s="14" t="s">
        <v>5664</v>
      </c>
      <c r="C90" s="14" t="s">
        <v>336</v>
      </c>
      <c r="D90" s="14" t="s">
        <v>337</v>
      </c>
      <c r="E90" s="14" t="s">
        <v>83</v>
      </c>
      <c r="F90" s="14" t="s">
        <v>48</v>
      </c>
      <c r="G90" s="14" t="s">
        <v>5665</v>
      </c>
      <c r="H90" s="14" t="s">
        <v>371</v>
      </c>
      <c r="I90" s="14" t="s">
        <v>159</v>
      </c>
      <c r="J90" s="14"/>
      <c r="K90" s="14" t="s">
        <v>471</v>
      </c>
      <c r="L90" s="14" t="s">
        <v>341</v>
      </c>
      <c r="M90" s="16" t="s">
        <v>5666</v>
      </c>
      <c r="N90" s="14"/>
      <c r="O90" s="14" t="s">
        <v>2759</v>
      </c>
      <c r="P90" s="14">
        <v>200</v>
      </c>
      <c r="Q90" s="14">
        <v>2</v>
      </c>
      <c r="R90" s="14">
        <v>0</v>
      </c>
      <c r="S90" s="14" t="s">
        <v>5667</v>
      </c>
      <c r="T90" s="14" t="s">
        <v>5668</v>
      </c>
      <c r="U90" s="14">
        <v>2.90888888888888</v>
      </c>
      <c r="V90" s="14">
        <v>3.2833333333333301</v>
      </c>
      <c r="W90" s="14">
        <v>2017</v>
      </c>
      <c r="X90" s="14">
        <v>80</v>
      </c>
      <c r="Y90" s="14">
        <v>1937</v>
      </c>
      <c r="Z90" s="14">
        <v>583</v>
      </c>
      <c r="AA90" s="14">
        <v>141</v>
      </c>
      <c r="AB90" s="14">
        <v>282</v>
      </c>
      <c r="AC90" s="14">
        <v>64</v>
      </c>
      <c r="AD90" s="14">
        <v>97</v>
      </c>
      <c r="AE90" s="14">
        <v>2600</v>
      </c>
      <c r="AF90" s="14">
        <v>5000</v>
      </c>
      <c r="AG90" s="14">
        <v>6373</v>
      </c>
      <c r="AH90" s="14">
        <v>0</v>
      </c>
      <c r="AI90" s="14">
        <v>173</v>
      </c>
      <c r="AJ90" s="14">
        <v>234</v>
      </c>
      <c r="AK90" s="14" t="s">
        <v>5665</v>
      </c>
      <c r="AL90" s="14" t="s">
        <v>5669</v>
      </c>
      <c r="AM90" s="14">
        <v>688.95</v>
      </c>
      <c r="AN90" s="14">
        <v>645.11</v>
      </c>
      <c r="AO90" s="14">
        <v>0</v>
      </c>
      <c r="AP90" s="14">
        <v>23050</v>
      </c>
      <c r="AQ90" s="14">
        <v>22970</v>
      </c>
      <c r="AR90" s="14">
        <v>23000</v>
      </c>
      <c r="AS90" s="14">
        <v>20450</v>
      </c>
      <c r="AT90" s="14">
        <v>21033</v>
      </c>
      <c r="AU90" s="14">
        <v>-18</v>
      </c>
      <c r="AV90" s="14">
        <v>252.43</v>
      </c>
      <c r="AW90" s="14">
        <v>23.65</v>
      </c>
      <c r="AX90" s="14">
        <v>-0.86</v>
      </c>
      <c r="AY90" s="14" t="b">
        <v>0</v>
      </c>
    </row>
    <row r="91" spans="1:51" hidden="1" x14ac:dyDescent="0.3">
      <c r="A91" t="str">
        <f>CONCATENATE(I91,E91,LEFT(G91,10))</f>
        <v>HFA178LGAV2026-03-13</v>
      </c>
      <c r="B91" s="14" t="s">
        <v>5651</v>
      </c>
      <c r="C91" s="14" t="s">
        <v>336</v>
      </c>
      <c r="D91" s="14" t="s">
        <v>337</v>
      </c>
      <c r="E91" s="14" t="s">
        <v>48</v>
      </c>
      <c r="F91" s="14" t="s">
        <v>83</v>
      </c>
      <c r="G91" s="14" t="s">
        <v>5652</v>
      </c>
      <c r="H91" s="14" t="s">
        <v>371</v>
      </c>
      <c r="I91" s="14" t="s">
        <v>160</v>
      </c>
      <c r="J91" s="14" t="s">
        <v>87</v>
      </c>
      <c r="K91" s="14" t="s">
        <v>471</v>
      </c>
      <c r="L91" s="14" t="s">
        <v>341</v>
      </c>
      <c r="M91" s="16" t="s">
        <v>5653</v>
      </c>
      <c r="N91" s="14"/>
      <c r="O91" s="14" t="s">
        <v>783</v>
      </c>
      <c r="P91" s="14">
        <v>190</v>
      </c>
      <c r="Q91" s="14">
        <v>2</v>
      </c>
      <c r="R91" s="14">
        <v>0</v>
      </c>
      <c r="S91" s="14" t="s">
        <v>5654</v>
      </c>
      <c r="T91" s="14" t="s">
        <v>5655</v>
      </c>
      <c r="U91" s="14">
        <v>2.5722222222222202</v>
      </c>
      <c r="V91" s="14">
        <v>2.80666666666666</v>
      </c>
      <c r="W91" s="14">
        <v>1788</v>
      </c>
      <c r="X91" s="14">
        <v>80</v>
      </c>
      <c r="Y91" s="14">
        <v>1708</v>
      </c>
      <c r="Z91" s="14">
        <v>1312</v>
      </c>
      <c r="AA91" s="14">
        <v>699</v>
      </c>
      <c r="AB91" s="14">
        <v>272</v>
      </c>
      <c r="AC91" s="14">
        <v>256</v>
      </c>
      <c r="AD91" s="14">
        <v>85</v>
      </c>
      <c r="AE91" s="14">
        <v>3100</v>
      </c>
      <c r="AF91" s="14">
        <v>5000</v>
      </c>
      <c r="AG91" s="14">
        <v>5650</v>
      </c>
      <c r="AH91" s="14">
        <v>0</v>
      </c>
      <c r="AI91" s="14">
        <v>149</v>
      </c>
      <c r="AJ91" s="14">
        <v>267</v>
      </c>
      <c r="AK91" s="14" t="s">
        <v>5652</v>
      </c>
      <c r="AL91" s="14" t="s">
        <v>5656</v>
      </c>
      <c r="AM91" s="14">
        <v>669.98</v>
      </c>
      <c r="AN91" s="14">
        <v>645.11</v>
      </c>
      <c r="AO91" s="14">
        <v>215.32</v>
      </c>
      <c r="AP91" s="14">
        <v>21742</v>
      </c>
      <c r="AQ91" s="14">
        <v>21662</v>
      </c>
      <c r="AR91" s="14">
        <v>23000</v>
      </c>
      <c r="AS91" s="14">
        <v>18642</v>
      </c>
      <c r="AT91" s="14">
        <v>19954</v>
      </c>
      <c r="AU91" s="14">
        <v>9</v>
      </c>
      <c r="AV91" s="14">
        <v>236.7</v>
      </c>
      <c r="AW91" s="14">
        <v>25.06</v>
      </c>
      <c r="AX91" s="14">
        <v>-0.02</v>
      </c>
      <c r="AY91" s="14" t="b">
        <v>0</v>
      </c>
    </row>
    <row r="92" spans="1:51" hidden="1" x14ac:dyDescent="0.3">
      <c r="A92" t="str">
        <f>CONCATENATE(I92,E92,LEFT(G92,10))</f>
        <v>HFA179LLBG2026-03-13</v>
      </c>
      <c r="B92" s="14" t="s">
        <v>5645</v>
      </c>
      <c r="C92" s="14" t="s">
        <v>336</v>
      </c>
      <c r="D92" s="14" t="s">
        <v>337</v>
      </c>
      <c r="E92" s="14" t="s">
        <v>83</v>
      </c>
      <c r="F92" s="14" t="s">
        <v>87</v>
      </c>
      <c r="G92" s="14" t="s">
        <v>5646</v>
      </c>
      <c r="H92" s="14" t="s">
        <v>339</v>
      </c>
      <c r="I92" s="14" t="s">
        <v>252</v>
      </c>
      <c r="J92" s="14" t="s">
        <v>69</v>
      </c>
      <c r="K92" s="14" t="s">
        <v>471</v>
      </c>
      <c r="L92" s="14" t="s">
        <v>341</v>
      </c>
      <c r="M92" s="16" t="s">
        <v>5647</v>
      </c>
      <c r="N92" s="14" t="s">
        <v>768</v>
      </c>
      <c r="O92" s="14" t="s">
        <v>1606</v>
      </c>
      <c r="P92" s="14">
        <v>160</v>
      </c>
      <c r="Q92" s="14">
        <v>3</v>
      </c>
      <c r="R92" s="14">
        <v>6800</v>
      </c>
      <c r="S92" s="14" t="s">
        <v>5648</v>
      </c>
      <c r="T92" s="14" t="s">
        <v>5649</v>
      </c>
      <c r="U92" s="14">
        <v>1.00277777777777</v>
      </c>
      <c r="V92" s="14">
        <v>1.30138888888888</v>
      </c>
      <c r="W92" s="14">
        <v>979</v>
      </c>
      <c r="X92" s="14">
        <v>80</v>
      </c>
      <c r="Y92" s="14">
        <v>899</v>
      </c>
      <c r="Z92" s="14">
        <v>854</v>
      </c>
      <c r="AA92" s="14">
        <v>325</v>
      </c>
      <c r="AB92" s="14">
        <v>282</v>
      </c>
      <c r="AC92" s="14">
        <v>200</v>
      </c>
      <c r="AD92" s="14">
        <v>47</v>
      </c>
      <c r="AE92" s="14">
        <v>1833</v>
      </c>
      <c r="AF92" s="14">
        <v>5000</v>
      </c>
      <c r="AG92" s="14">
        <v>3094</v>
      </c>
      <c r="AH92" s="14">
        <v>0</v>
      </c>
      <c r="AI92" s="14">
        <v>76</v>
      </c>
      <c r="AJ92" s="14">
        <v>148</v>
      </c>
      <c r="AK92" s="14" t="s">
        <v>5646</v>
      </c>
      <c r="AL92" s="14" t="s">
        <v>5650</v>
      </c>
      <c r="AM92" s="14">
        <v>301.67</v>
      </c>
      <c r="AN92" s="14">
        <v>183.03</v>
      </c>
      <c r="AO92" s="14">
        <v>73.5</v>
      </c>
      <c r="AP92" s="14">
        <v>21958</v>
      </c>
      <c r="AQ92" s="14">
        <v>21878</v>
      </c>
      <c r="AR92" s="14">
        <v>23000</v>
      </c>
      <c r="AS92" s="14">
        <v>20125</v>
      </c>
      <c r="AT92" s="14">
        <v>20979</v>
      </c>
      <c r="AU92" s="14">
        <v>-8</v>
      </c>
      <c r="AV92" s="14">
        <v>250.59</v>
      </c>
      <c r="AW92" s="14">
        <v>43.76</v>
      </c>
      <c r="AX92" s="14">
        <v>3.11</v>
      </c>
      <c r="AY92" s="14" t="b">
        <v>0</v>
      </c>
    </row>
    <row r="93" spans="1:51" hidden="1" x14ac:dyDescent="0.3">
      <c r="A93" t="str">
        <f>CONCATENATE(I93,E93,LEFT(G93,10))</f>
        <v>HFA180LCLK2026-03-13</v>
      </c>
      <c r="B93" s="14" t="s">
        <v>5633</v>
      </c>
      <c r="C93" s="14" t="s">
        <v>336</v>
      </c>
      <c r="D93" s="14" t="s">
        <v>337</v>
      </c>
      <c r="E93" s="14" t="s">
        <v>87</v>
      </c>
      <c r="F93" s="14" t="s">
        <v>83</v>
      </c>
      <c r="G93" s="14" t="s">
        <v>5634</v>
      </c>
      <c r="H93" s="14" t="s">
        <v>393</v>
      </c>
      <c r="I93" s="14" t="s">
        <v>125</v>
      </c>
      <c r="J93" s="14" t="s">
        <v>87</v>
      </c>
      <c r="K93" s="14" t="s">
        <v>471</v>
      </c>
      <c r="L93" s="14" t="s">
        <v>341</v>
      </c>
      <c r="M93" s="16" t="s">
        <v>5635</v>
      </c>
      <c r="N93" s="14"/>
      <c r="O93" s="14" t="s">
        <v>817</v>
      </c>
      <c r="P93" s="14">
        <v>150</v>
      </c>
      <c r="Q93" s="14">
        <v>2</v>
      </c>
      <c r="R93" s="14">
        <v>0</v>
      </c>
      <c r="S93" s="14" t="s">
        <v>5636</v>
      </c>
      <c r="T93" s="14" t="s">
        <v>5637</v>
      </c>
      <c r="U93" s="14">
        <v>0.968055555555555</v>
      </c>
      <c r="V93" s="14">
        <v>1.18</v>
      </c>
      <c r="W93" s="14">
        <v>940</v>
      </c>
      <c r="X93" s="14">
        <v>80</v>
      </c>
      <c r="Y93" s="14">
        <v>860</v>
      </c>
      <c r="Z93" s="14">
        <v>1460</v>
      </c>
      <c r="AA93" s="14">
        <v>939</v>
      </c>
      <c r="AB93" s="14">
        <v>276</v>
      </c>
      <c r="AC93" s="14">
        <v>199</v>
      </c>
      <c r="AD93" s="14">
        <v>46</v>
      </c>
      <c r="AE93" s="14">
        <v>2400</v>
      </c>
      <c r="AF93" s="14">
        <v>5000</v>
      </c>
      <c r="AG93" s="14">
        <v>2971</v>
      </c>
      <c r="AH93" s="14">
        <v>0</v>
      </c>
      <c r="AI93" s="14">
        <v>64</v>
      </c>
      <c r="AJ93" s="14">
        <v>184</v>
      </c>
      <c r="AK93" s="14" t="s">
        <v>5634</v>
      </c>
      <c r="AL93" s="14" t="s">
        <v>5638</v>
      </c>
      <c r="AM93" s="14">
        <v>264.72000000000003</v>
      </c>
      <c r="AN93" s="14">
        <v>183.03</v>
      </c>
      <c r="AO93" s="14">
        <v>299.85000000000002</v>
      </c>
      <c r="AP93" s="14">
        <v>21254</v>
      </c>
      <c r="AQ93" s="14">
        <v>21174</v>
      </c>
      <c r="AR93" s="14">
        <v>23000</v>
      </c>
      <c r="AS93" s="14">
        <v>18854</v>
      </c>
      <c r="AT93" s="14">
        <v>20314</v>
      </c>
      <c r="AU93" s="14">
        <v>2</v>
      </c>
      <c r="AV93" s="14">
        <v>251.64</v>
      </c>
      <c r="AW93" s="14">
        <v>36.64</v>
      </c>
      <c r="AX93" s="14">
        <v>3.24</v>
      </c>
      <c r="AY93" s="14" t="b">
        <v>0</v>
      </c>
    </row>
    <row r="94" spans="1:51" hidden="1" x14ac:dyDescent="0.3">
      <c r="A94" t="str">
        <f>CONCATENATE(I94,E94,LEFT(G94,10))</f>
        <v>HFA181ALGAV2026-03-13</v>
      </c>
      <c r="B94" s="14" t="s">
        <v>5619</v>
      </c>
      <c r="C94" s="14" t="s">
        <v>336</v>
      </c>
      <c r="D94" s="14" t="s">
        <v>337</v>
      </c>
      <c r="E94" s="14" t="s">
        <v>48</v>
      </c>
      <c r="F94" s="14" t="s">
        <v>87</v>
      </c>
      <c r="G94" s="14" t="s">
        <v>5620</v>
      </c>
      <c r="H94" s="14" t="s">
        <v>371</v>
      </c>
      <c r="I94" s="14" t="s">
        <v>162</v>
      </c>
      <c r="J94" s="14" t="s">
        <v>69</v>
      </c>
      <c r="K94" s="14" t="s">
        <v>471</v>
      </c>
      <c r="L94" s="14" t="s">
        <v>542</v>
      </c>
      <c r="M94" s="16" t="s">
        <v>5621</v>
      </c>
      <c r="N94" s="14"/>
      <c r="O94" s="14" t="s">
        <v>5622</v>
      </c>
      <c r="P94" s="14">
        <v>170</v>
      </c>
      <c r="Q94" s="14">
        <v>2</v>
      </c>
      <c r="R94" s="14">
        <v>500</v>
      </c>
      <c r="S94" s="14" t="s">
        <v>5623</v>
      </c>
      <c r="T94" s="14" t="s">
        <v>5624</v>
      </c>
      <c r="U94" s="14">
        <v>-21.847777777777701</v>
      </c>
      <c r="V94" s="14">
        <v>-21.6177777777777</v>
      </c>
      <c r="W94" s="14">
        <v>1559</v>
      </c>
      <c r="X94" s="14">
        <v>80</v>
      </c>
      <c r="Y94" s="14">
        <v>1479</v>
      </c>
      <c r="Z94" s="14">
        <v>721</v>
      </c>
      <c r="AA94" s="14">
        <v>315</v>
      </c>
      <c r="AB94" s="14">
        <v>232</v>
      </c>
      <c r="AC94" s="14">
        <v>100</v>
      </c>
      <c r="AD94" s="14">
        <v>74</v>
      </c>
      <c r="AE94" s="14">
        <v>2280</v>
      </c>
      <c r="AF94" s="14">
        <v>5000</v>
      </c>
      <c r="AG94" s="14">
        <v>4928</v>
      </c>
      <c r="AH94" s="14">
        <v>0</v>
      </c>
      <c r="AI94" s="14">
        <v>123</v>
      </c>
      <c r="AJ94" s="14">
        <v>190</v>
      </c>
      <c r="AK94" s="14" t="s">
        <v>5620</v>
      </c>
      <c r="AL94" s="14" t="s">
        <v>5625</v>
      </c>
      <c r="AM94" s="14">
        <v>565.32000000000005</v>
      </c>
      <c r="AN94" s="14">
        <v>503.3</v>
      </c>
      <c r="AO94" s="14">
        <v>73.5</v>
      </c>
      <c r="AP94" s="14">
        <v>16280</v>
      </c>
      <c r="AQ94" s="14">
        <v>16200</v>
      </c>
      <c r="AR94" s="14">
        <v>23000</v>
      </c>
      <c r="AS94" s="14">
        <v>14000</v>
      </c>
      <c r="AT94" s="14">
        <v>14721</v>
      </c>
      <c r="AU94" s="14">
        <v>6</v>
      </c>
      <c r="AV94" s="14">
        <v>218.49</v>
      </c>
      <c r="AW94" s="14">
        <v>13.86</v>
      </c>
      <c r="AX94" s="14">
        <v>-0.56999999999999995</v>
      </c>
      <c r="AY94" s="14" t="b">
        <v>0</v>
      </c>
    </row>
    <row r="95" spans="1:51" hidden="1" x14ac:dyDescent="0.3">
      <c r="A95" t="str">
        <f>CONCATENATE(I95,E95,LEFT(G95,10))</f>
        <v>HFA181LLBG2026-03-13</v>
      </c>
      <c r="B95" s="14" t="s">
        <v>5639</v>
      </c>
      <c r="C95" s="14" t="s">
        <v>336</v>
      </c>
      <c r="D95" s="14" t="s">
        <v>337</v>
      </c>
      <c r="E95" s="14" t="s">
        <v>83</v>
      </c>
      <c r="F95" s="14" t="s">
        <v>48</v>
      </c>
      <c r="G95" s="14" t="s">
        <v>5640</v>
      </c>
      <c r="H95" s="14" t="s">
        <v>371</v>
      </c>
      <c r="I95" s="14" t="s">
        <v>161</v>
      </c>
      <c r="J95" s="14"/>
      <c r="K95" s="14" t="s">
        <v>471</v>
      </c>
      <c r="L95" s="14" t="s">
        <v>341</v>
      </c>
      <c r="M95" s="16" t="s">
        <v>5641</v>
      </c>
      <c r="N95" s="14"/>
      <c r="O95" s="14" t="s">
        <v>2759</v>
      </c>
      <c r="P95" s="14">
        <v>200</v>
      </c>
      <c r="Q95" s="14">
        <v>3</v>
      </c>
      <c r="R95" s="14">
        <v>6500</v>
      </c>
      <c r="S95" s="14" t="s">
        <v>5642</v>
      </c>
      <c r="T95" s="14" t="s">
        <v>5643</v>
      </c>
      <c r="U95" s="14">
        <v>2.8713888888888799</v>
      </c>
      <c r="V95" s="14">
        <v>3.1188888888888799</v>
      </c>
      <c r="W95" s="14">
        <v>1951</v>
      </c>
      <c r="X95" s="14">
        <v>80</v>
      </c>
      <c r="Y95" s="14">
        <v>1871</v>
      </c>
      <c r="Z95" s="14">
        <v>509</v>
      </c>
      <c r="AA95" s="14">
        <v>138</v>
      </c>
      <c r="AB95" s="14">
        <v>277</v>
      </c>
      <c r="AC95" s="14">
        <v>0</v>
      </c>
      <c r="AD95" s="14">
        <v>94</v>
      </c>
      <c r="AE95" s="14">
        <v>2460</v>
      </c>
      <c r="AF95" s="14">
        <v>5000</v>
      </c>
      <c r="AG95" s="14">
        <v>6164</v>
      </c>
      <c r="AH95" s="14">
        <v>0</v>
      </c>
      <c r="AI95" s="14">
        <v>168</v>
      </c>
      <c r="AJ95" s="14">
        <v>223</v>
      </c>
      <c r="AK95" s="14" t="s">
        <v>5640</v>
      </c>
      <c r="AL95" s="14" t="s">
        <v>5644</v>
      </c>
      <c r="AM95" s="14">
        <v>688.95</v>
      </c>
      <c r="AN95" s="14">
        <v>645.11</v>
      </c>
      <c r="AO95" s="14">
        <v>0</v>
      </c>
      <c r="AP95" s="14">
        <v>22460</v>
      </c>
      <c r="AQ95" s="14">
        <v>22380</v>
      </c>
      <c r="AR95" s="14">
        <v>23000</v>
      </c>
      <c r="AS95" s="14">
        <v>20000</v>
      </c>
      <c r="AT95" s="14">
        <v>20509</v>
      </c>
      <c r="AU95" s="14">
        <v>-12</v>
      </c>
      <c r="AV95" s="14">
        <v>232.53</v>
      </c>
      <c r="AW95" s="14">
        <v>26.64</v>
      </c>
      <c r="AX95" s="14">
        <v>-0.17</v>
      </c>
      <c r="AY95" s="14" t="b">
        <v>0</v>
      </c>
    </row>
    <row r="96" spans="1:51" hidden="1" x14ac:dyDescent="0.3">
      <c r="A96" t="str">
        <f>CONCATENATE(I96,E96,LEFT(G96,10))</f>
        <v>HFA182LBSF2026-03-13</v>
      </c>
      <c r="B96" s="14" t="s">
        <v>5657</v>
      </c>
      <c r="C96" s="14" t="s">
        <v>336</v>
      </c>
      <c r="D96" s="14" t="s">
        <v>337</v>
      </c>
      <c r="E96" s="14" t="s">
        <v>77</v>
      </c>
      <c r="F96" s="14" t="s">
        <v>83</v>
      </c>
      <c r="G96" s="14" t="s">
        <v>5658</v>
      </c>
      <c r="H96" s="14" t="s">
        <v>339</v>
      </c>
      <c r="I96" s="14" t="s">
        <v>251</v>
      </c>
      <c r="J96" s="14" t="s">
        <v>87</v>
      </c>
      <c r="K96" s="14" t="s">
        <v>471</v>
      </c>
      <c r="L96" s="14" t="s">
        <v>341</v>
      </c>
      <c r="M96" s="16" t="s">
        <v>5659</v>
      </c>
      <c r="N96" s="14" t="s">
        <v>3136</v>
      </c>
      <c r="O96" s="14" t="s">
        <v>5660</v>
      </c>
      <c r="P96" s="14">
        <v>190</v>
      </c>
      <c r="Q96" s="14">
        <v>2</v>
      </c>
      <c r="R96" s="14">
        <v>3800</v>
      </c>
      <c r="S96" s="14" t="s">
        <v>5661</v>
      </c>
      <c r="T96" s="14" t="s">
        <v>5662</v>
      </c>
      <c r="U96" s="14">
        <v>3.6</v>
      </c>
      <c r="V96" s="14">
        <v>3.7938888888888802</v>
      </c>
      <c r="W96" s="14">
        <v>2178</v>
      </c>
      <c r="X96" s="14">
        <v>80</v>
      </c>
      <c r="Y96" s="14">
        <v>2098</v>
      </c>
      <c r="Z96" s="14">
        <v>1343</v>
      </c>
      <c r="AA96" s="14">
        <v>679</v>
      </c>
      <c r="AB96" s="14">
        <v>259</v>
      </c>
      <c r="AC96" s="14">
        <v>300</v>
      </c>
      <c r="AD96" s="14">
        <v>105</v>
      </c>
      <c r="AE96" s="14">
        <v>3521</v>
      </c>
      <c r="AF96" s="14">
        <v>5000</v>
      </c>
      <c r="AG96" s="14">
        <v>6882</v>
      </c>
      <c r="AH96" s="14">
        <v>0</v>
      </c>
      <c r="AI96" s="14">
        <v>195</v>
      </c>
      <c r="AJ96" s="14">
        <v>322</v>
      </c>
      <c r="AK96" s="14" t="s">
        <v>5658</v>
      </c>
      <c r="AL96" s="14" t="s">
        <v>5663</v>
      </c>
      <c r="AM96" s="14">
        <v>877.22</v>
      </c>
      <c r="AN96" s="14">
        <v>841.87</v>
      </c>
      <c r="AO96" s="14">
        <v>215.32</v>
      </c>
      <c r="AP96" s="14">
        <v>20646</v>
      </c>
      <c r="AQ96" s="14">
        <v>20566</v>
      </c>
      <c r="AR96" s="14">
        <v>23000</v>
      </c>
      <c r="AS96" s="14">
        <v>17125</v>
      </c>
      <c r="AT96" s="14">
        <v>18468</v>
      </c>
      <c r="AU96" s="14">
        <v>5</v>
      </c>
      <c r="AV96" s="14">
        <v>234.88</v>
      </c>
      <c r="AW96" s="14">
        <v>17.510000000000002</v>
      </c>
      <c r="AX96" s="14">
        <v>-1.8</v>
      </c>
      <c r="AY96" s="14" t="b">
        <v>0</v>
      </c>
    </row>
    <row r="97" spans="1:51" hidden="1" x14ac:dyDescent="0.3">
      <c r="A97" t="str">
        <f>CONCATENATE(I97,E97,LEFT(G97,10))</f>
        <v>HFA183LLBG2026-03-13</v>
      </c>
      <c r="B97" s="14" t="s">
        <v>5626</v>
      </c>
      <c r="C97" s="14" t="s">
        <v>336</v>
      </c>
      <c r="D97" s="14" t="s">
        <v>337</v>
      </c>
      <c r="E97" s="14" t="s">
        <v>83</v>
      </c>
      <c r="F97" s="14" t="s">
        <v>87</v>
      </c>
      <c r="G97" s="14" t="s">
        <v>5627</v>
      </c>
      <c r="H97" s="14" t="s">
        <v>393</v>
      </c>
      <c r="I97" s="14" t="s">
        <v>126</v>
      </c>
      <c r="J97" s="14" t="s">
        <v>69</v>
      </c>
      <c r="K97" s="14" t="s">
        <v>471</v>
      </c>
      <c r="L97" s="14" t="s">
        <v>341</v>
      </c>
      <c r="M97" s="16" t="s">
        <v>5628</v>
      </c>
      <c r="N97" s="14" t="s">
        <v>768</v>
      </c>
      <c r="O97" s="14" t="s">
        <v>5629</v>
      </c>
      <c r="P97" s="14">
        <v>160</v>
      </c>
      <c r="Q97" s="14">
        <v>2</v>
      </c>
      <c r="R97" s="14">
        <v>6100</v>
      </c>
      <c r="S97" s="14" t="s">
        <v>5630</v>
      </c>
      <c r="T97" s="14" t="s">
        <v>5631</v>
      </c>
      <c r="U97" s="14">
        <v>0.96</v>
      </c>
      <c r="V97" s="14">
        <v>1.2197222222222199</v>
      </c>
      <c r="W97" s="14">
        <v>1026</v>
      </c>
      <c r="X97" s="14">
        <v>80</v>
      </c>
      <c r="Y97" s="14">
        <v>946</v>
      </c>
      <c r="Z97" s="14">
        <v>856</v>
      </c>
      <c r="AA97" s="14">
        <v>333</v>
      </c>
      <c r="AB97" s="14">
        <v>275</v>
      </c>
      <c r="AC97" s="14">
        <v>200</v>
      </c>
      <c r="AD97" s="14">
        <v>47</v>
      </c>
      <c r="AE97" s="14">
        <v>1882</v>
      </c>
      <c r="AF97" s="14">
        <v>5000</v>
      </c>
      <c r="AG97" s="14">
        <v>3242</v>
      </c>
      <c r="AH97" s="14">
        <v>0</v>
      </c>
      <c r="AI97" s="14">
        <v>72</v>
      </c>
      <c r="AJ97" s="14">
        <v>142</v>
      </c>
      <c r="AK97" s="14" t="s">
        <v>5627</v>
      </c>
      <c r="AL97" s="14" t="s">
        <v>5632</v>
      </c>
      <c r="AM97" s="14">
        <v>300.19</v>
      </c>
      <c r="AN97" s="14">
        <v>183.03</v>
      </c>
      <c r="AO97" s="14">
        <v>73.5</v>
      </c>
      <c r="AP97" s="14">
        <v>21293</v>
      </c>
      <c r="AQ97" s="14">
        <v>21213</v>
      </c>
      <c r="AR97" s="14">
        <v>23000</v>
      </c>
      <c r="AS97" s="14">
        <v>19411</v>
      </c>
      <c r="AT97" s="14">
        <v>20267</v>
      </c>
      <c r="AU97" s="14">
        <v>2</v>
      </c>
      <c r="AV97" s="14">
        <v>240.69</v>
      </c>
      <c r="AW97" s="14">
        <v>40.92</v>
      </c>
      <c r="AX97" s="14">
        <v>3.44</v>
      </c>
      <c r="AY97" s="14" t="b">
        <v>0</v>
      </c>
    </row>
    <row r="98" spans="1:51" hidden="1" x14ac:dyDescent="0.3">
      <c r="A98" t="str">
        <f>CONCATENATE(I98,E98,LEFT(G98,10))</f>
        <v>HFA184LCLK2026-03-14</v>
      </c>
      <c r="B98" s="14" t="s">
        <v>1830</v>
      </c>
      <c r="C98" s="14" t="s">
        <v>336</v>
      </c>
      <c r="D98" s="14" t="s">
        <v>337</v>
      </c>
      <c r="E98" s="14" t="s">
        <v>87</v>
      </c>
      <c r="F98" s="14" t="s">
        <v>83</v>
      </c>
      <c r="G98" s="14" t="s">
        <v>1831</v>
      </c>
      <c r="H98" s="14" t="s">
        <v>357</v>
      </c>
      <c r="I98" s="14" t="s">
        <v>195</v>
      </c>
      <c r="J98" s="14" t="s">
        <v>87</v>
      </c>
      <c r="K98" s="14" t="s">
        <v>471</v>
      </c>
      <c r="L98" s="14" t="s">
        <v>341</v>
      </c>
      <c r="M98" s="16" t="s">
        <v>1832</v>
      </c>
      <c r="N98" s="14" t="s">
        <v>359</v>
      </c>
      <c r="O98" s="14" t="s">
        <v>817</v>
      </c>
      <c r="P98" s="14">
        <v>150</v>
      </c>
      <c r="Q98" s="14">
        <v>2</v>
      </c>
      <c r="R98" s="14">
        <v>1800</v>
      </c>
      <c r="S98" s="14" t="s">
        <v>1833</v>
      </c>
      <c r="T98" s="14" t="s">
        <v>1834</v>
      </c>
      <c r="U98" s="14">
        <v>1.03527777777777</v>
      </c>
      <c r="V98" s="14">
        <v>1.2594444444444399</v>
      </c>
      <c r="W98" s="14">
        <v>888</v>
      </c>
      <c r="X98" s="14">
        <v>80</v>
      </c>
      <c r="Y98" s="14">
        <v>808</v>
      </c>
      <c r="Z98" s="14">
        <v>1412</v>
      </c>
      <c r="AA98" s="14">
        <v>604</v>
      </c>
      <c r="AB98" s="14">
        <v>244</v>
      </c>
      <c r="AC98" s="14">
        <v>524</v>
      </c>
      <c r="AD98" s="14">
        <v>41</v>
      </c>
      <c r="AE98" s="14">
        <v>2300</v>
      </c>
      <c r="AF98" s="14">
        <v>5000</v>
      </c>
      <c r="AG98" s="14">
        <v>2806</v>
      </c>
      <c r="AH98" s="14">
        <v>0</v>
      </c>
      <c r="AI98" s="14">
        <v>68</v>
      </c>
      <c r="AJ98" s="14">
        <v>197</v>
      </c>
      <c r="AK98" s="14" t="s">
        <v>1831</v>
      </c>
      <c r="AL98" s="14" t="s">
        <v>1835</v>
      </c>
      <c r="AM98" s="14">
        <v>264.72000000000003</v>
      </c>
      <c r="AN98" s="14">
        <v>183.03</v>
      </c>
      <c r="AO98" s="14">
        <v>215.32</v>
      </c>
      <c r="AP98" s="14">
        <v>17325</v>
      </c>
      <c r="AQ98" s="14">
        <v>17245</v>
      </c>
      <c r="AR98" s="14">
        <v>23000</v>
      </c>
      <c r="AS98" s="14">
        <v>15025</v>
      </c>
      <c r="AT98" s="14">
        <v>16437</v>
      </c>
      <c r="AU98" s="14">
        <v>-22</v>
      </c>
      <c r="AV98" s="14">
        <v>209.37</v>
      </c>
      <c r="AW98" s="14">
        <v>45.74</v>
      </c>
      <c r="AX98" s="14">
        <v>4.21</v>
      </c>
      <c r="AY98" s="14" t="b">
        <v>0</v>
      </c>
    </row>
    <row r="99" spans="1:51" hidden="1" x14ac:dyDescent="0.3">
      <c r="A99" t="str">
        <f>CONCATENATE(I99,E99,LEFT(G99,10))</f>
        <v>HFA185LLBG2026-03-14</v>
      </c>
      <c r="B99" s="14" t="s">
        <v>1818</v>
      </c>
      <c r="C99" s="14" t="s">
        <v>336</v>
      </c>
      <c r="D99" s="14" t="s">
        <v>337</v>
      </c>
      <c r="E99" s="14" t="s">
        <v>83</v>
      </c>
      <c r="F99" s="14" t="s">
        <v>48</v>
      </c>
      <c r="G99" s="14" t="s">
        <v>1819</v>
      </c>
      <c r="H99" s="14" t="s">
        <v>357</v>
      </c>
      <c r="I99" s="14" t="s">
        <v>196</v>
      </c>
      <c r="J99" s="14" t="s">
        <v>751</v>
      </c>
      <c r="K99" s="14" t="s">
        <v>471</v>
      </c>
      <c r="L99" s="14" t="s">
        <v>341</v>
      </c>
      <c r="M99" s="16" t="s">
        <v>1820</v>
      </c>
      <c r="N99" s="14" t="s">
        <v>359</v>
      </c>
      <c r="O99" s="14" t="s">
        <v>1776</v>
      </c>
      <c r="P99" s="14">
        <v>200</v>
      </c>
      <c r="Q99" s="14">
        <v>2</v>
      </c>
      <c r="R99" s="14">
        <v>6200</v>
      </c>
      <c r="S99" s="14" t="s">
        <v>1821</v>
      </c>
      <c r="T99" s="14" t="s">
        <v>1822</v>
      </c>
      <c r="U99" s="14">
        <v>2.8319444444444399</v>
      </c>
      <c r="V99" s="14">
        <v>3.2749999999999999</v>
      </c>
      <c r="W99" s="14">
        <v>1868</v>
      </c>
      <c r="X99" s="14">
        <v>80</v>
      </c>
      <c r="Y99" s="14">
        <v>1788</v>
      </c>
      <c r="Z99" s="14">
        <v>875</v>
      </c>
      <c r="AA99" s="14">
        <v>410</v>
      </c>
      <c r="AB99" s="14">
        <v>275</v>
      </c>
      <c r="AC99" s="14">
        <v>100</v>
      </c>
      <c r="AD99" s="14">
        <v>89</v>
      </c>
      <c r="AE99" s="14">
        <v>2742</v>
      </c>
      <c r="AF99" s="14">
        <v>5000</v>
      </c>
      <c r="AG99" s="14">
        <v>5902</v>
      </c>
      <c r="AH99" s="14">
        <v>0</v>
      </c>
      <c r="AI99" s="14">
        <v>167</v>
      </c>
      <c r="AJ99" s="14">
        <v>243</v>
      </c>
      <c r="AK99" s="14" t="s">
        <v>1819</v>
      </c>
      <c r="AL99" s="14" t="s">
        <v>1823</v>
      </c>
      <c r="AM99" s="14">
        <v>688.45</v>
      </c>
      <c r="AN99" s="14">
        <v>645.11</v>
      </c>
      <c r="AO99" s="14">
        <v>103.63</v>
      </c>
      <c r="AP99" s="14">
        <v>22167</v>
      </c>
      <c r="AQ99" s="14">
        <v>22087</v>
      </c>
      <c r="AR99" s="14">
        <v>23000</v>
      </c>
      <c r="AS99" s="14">
        <v>19425</v>
      </c>
      <c r="AT99" s="14">
        <v>20300</v>
      </c>
      <c r="AU99" s="14">
        <v>-11</v>
      </c>
      <c r="AV99" s="14">
        <v>235.98</v>
      </c>
      <c r="AW99" s="14">
        <v>21.31</v>
      </c>
      <c r="AX99" s="14">
        <v>0.7</v>
      </c>
      <c r="AY99" s="14" t="b">
        <v>0</v>
      </c>
    </row>
    <row r="100" spans="1:51" hidden="1" x14ac:dyDescent="0.3">
      <c r="A100" t="str">
        <f>CONCATENATE(I100,E100,LEFT(G100,10))</f>
        <v>HFA186LCLK2026-03-14</v>
      </c>
      <c r="B100" s="14" t="s">
        <v>1824</v>
      </c>
      <c r="C100" s="14" t="s">
        <v>336</v>
      </c>
      <c r="D100" s="14" t="s">
        <v>337</v>
      </c>
      <c r="E100" s="14" t="s">
        <v>87</v>
      </c>
      <c r="F100" s="14" t="s">
        <v>83</v>
      </c>
      <c r="G100" s="14" t="s">
        <v>1825</v>
      </c>
      <c r="H100" s="14" t="s">
        <v>436</v>
      </c>
      <c r="I100" s="14" t="s">
        <v>93</v>
      </c>
      <c r="J100" s="14" t="s">
        <v>87</v>
      </c>
      <c r="K100" s="14" t="s">
        <v>471</v>
      </c>
      <c r="L100" s="14" t="s">
        <v>341</v>
      </c>
      <c r="M100" s="16" t="s">
        <v>1826</v>
      </c>
      <c r="N100" s="14" t="s">
        <v>359</v>
      </c>
      <c r="O100" s="14" t="s">
        <v>817</v>
      </c>
      <c r="P100" s="14">
        <v>150</v>
      </c>
      <c r="Q100" s="14">
        <v>2</v>
      </c>
      <c r="R100" s="14">
        <v>0</v>
      </c>
      <c r="S100" s="14" t="s">
        <v>1827</v>
      </c>
      <c r="T100" s="14" t="s">
        <v>1828</v>
      </c>
      <c r="U100" s="14">
        <v>1.12638888888888</v>
      </c>
      <c r="V100" s="14">
        <v>1.4852777777777699</v>
      </c>
      <c r="W100" s="14">
        <v>913</v>
      </c>
      <c r="X100" s="14">
        <v>80</v>
      </c>
      <c r="Y100" s="14">
        <v>833</v>
      </c>
      <c r="Z100" s="14">
        <v>1387</v>
      </c>
      <c r="AA100" s="14">
        <v>623</v>
      </c>
      <c r="AB100" s="14">
        <v>258</v>
      </c>
      <c r="AC100" s="14">
        <v>464</v>
      </c>
      <c r="AD100" s="14">
        <v>43</v>
      </c>
      <c r="AE100" s="14">
        <v>2300</v>
      </c>
      <c r="AF100" s="14">
        <v>5000</v>
      </c>
      <c r="AG100" s="14">
        <v>2885</v>
      </c>
      <c r="AH100" s="14">
        <v>0</v>
      </c>
      <c r="AI100" s="14">
        <v>69</v>
      </c>
      <c r="AJ100" s="14">
        <v>192</v>
      </c>
      <c r="AK100" s="14" t="s">
        <v>1825</v>
      </c>
      <c r="AL100" s="14" t="s">
        <v>1829</v>
      </c>
      <c r="AM100" s="14">
        <v>264.72000000000003</v>
      </c>
      <c r="AN100" s="14">
        <v>183.03</v>
      </c>
      <c r="AO100" s="14">
        <v>215.31</v>
      </c>
      <c r="AP100" s="14">
        <v>19160</v>
      </c>
      <c r="AQ100" s="14">
        <v>19080</v>
      </c>
      <c r="AR100" s="14">
        <v>23000</v>
      </c>
      <c r="AS100" s="14">
        <v>16860</v>
      </c>
      <c r="AT100" s="14">
        <v>18247</v>
      </c>
      <c r="AU100" s="14">
        <v>-20</v>
      </c>
      <c r="AV100" s="14">
        <v>208.7</v>
      </c>
      <c r="AW100" s="14">
        <v>47.15</v>
      </c>
      <c r="AX100" s="14">
        <v>3.48</v>
      </c>
      <c r="AY100" s="14" t="b">
        <v>0</v>
      </c>
    </row>
    <row r="101" spans="1:51" hidden="1" x14ac:dyDescent="0.3">
      <c r="A101" t="str">
        <f>CONCATENATE(I101,E101,LEFT(G101,10))</f>
        <v>HFA187LLBG2026-03-14</v>
      </c>
      <c r="B101" s="14" t="s">
        <v>1806</v>
      </c>
      <c r="C101" s="14" t="s">
        <v>336</v>
      </c>
      <c r="D101" s="14" t="s">
        <v>337</v>
      </c>
      <c r="E101" s="14" t="s">
        <v>83</v>
      </c>
      <c r="F101" s="14" t="s">
        <v>48</v>
      </c>
      <c r="G101" s="14" t="s">
        <v>1807</v>
      </c>
      <c r="H101" s="14" t="s">
        <v>436</v>
      </c>
      <c r="I101" s="14" t="s">
        <v>94</v>
      </c>
      <c r="J101" s="14" t="s">
        <v>751</v>
      </c>
      <c r="K101" s="14" t="s">
        <v>471</v>
      </c>
      <c r="L101" s="14" t="s">
        <v>341</v>
      </c>
      <c r="M101" s="16" t="s">
        <v>1808</v>
      </c>
      <c r="N101" s="14" t="s">
        <v>359</v>
      </c>
      <c r="O101" s="14" t="s">
        <v>495</v>
      </c>
      <c r="P101" s="14">
        <v>200</v>
      </c>
      <c r="Q101" s="14">
        <v>2</v>
      </c>
      <c r="R101" s="14">
        <v>6450</v>
      </c>
      <c r="S101" s="14" t="s">
        <v>1809</v>
      </c>
      <c r="T101" s="14" t="s">
        <v>1810</v>
      </c>
      <c r="U101" s="14">
        <v>2.72861111111111</v>
      </c>
      <c r="V101" s="14">
        <v>3.1866666666666599</v>
      </c>
      <c r="W101" s="14">
        <v>1916</v>
      </c>
      <c r="X101" s="14">
        <v>80</v>
      </c>
      <c r="Y101" s="14">
        <v>1836</v>
      </c>
      <c r="Z101" s="14">
        <v>883</v>
      </c>
      <c r="AA101" s="14">
        <v>414</v>
      </c>
      <c r="AB101" s="14">
        <v>277</v>
      </c>
      <c r="AC101" s="14">
        <v>100</v>
      </c>
      <c r="AD101" s="14">
        <v>92</v>
      </c>
      <c r="AE101" s="14">
        <v>2799</v>
      </c>
      <c r="AF101" s="14">
        <v>5000</v>
      </c>
      <c r="AG101" s="14">
        <v>6054</v>
      </c>
      <c r="AH101" s="14">
        <v>0</v>
      </c>
      <c r="AI101" s="14">
        <v>168</v>
      </c>
      <c r="AJ101" s="14">
        <v>245</v>
      </c>
      <c r="AK101" s="14" t="s">
        <v>1807</v>
      </c>
      <c r="AL101" s="14" t="s">
        <v>1811</v>
      </c>
      <c r="AM101" s="14">
        <v>688.45</v>
      </c>
      <c r="AN101" s="14">
        <v>645.11</v>
      </c>
      <c r="AO101" s="14">
        <v>103.63</v>
      </c>
      <c r="AP101" s="14">
        <v>22454</v>
      </c>
      <c r="AQ101" s="14">
        <v>22374</v>
      </c>
      <c r="AR101" s="14">
        <v>23000</v>
      </c>
      <c r="AS101" s="14">
        <v>19655</v>
      </c>
      <c r="AT101" s="14">
        <v>20538</v>
      </c>
      <c r="AU101" s="14">
        <v>-12</v>
      </c>
      <c r="AV101" s="14">
        <v>240.15</v>
      </c>
      <c r="AW101" s="14">
        <v>20.09</v>
      </c>
      <c r="AX101" s="14">
        <v>0.81</v>
      </c>
      <c r="AY101" s="14" t="b">
        <v>0</v>
      </c>
    </row>
    <row r="102" spans="1:51" hidden="1" x14ac:dyDescent="0.3">
      <c r="A102" t="str">
        <f>CONCATENATE(I102,E102,LEFT(G102,10))</f>
        <v>HFA188LCLK2026-03-14</v>
      </c>
      <c r="B102" s="14" t="s">
        <v>1812</v>
      </c>
      <c r="C102" s="14" t="s">
        <v>336</v>
      </c>
      <c r="D102" s="14" t="s">
        <v>337</v>
      </c>
      <c r="E102" s="14" t="s">
        <v>87</v>
      </c>
      <c r="F102" s="14" t="s">
        <v>83</v>
      </c>
      <c r="G102" s="14" t="s">
        <v>1813</v>
      </c>
      <c r="H102" s="14" t="s">
        <v>393</v>
      </c>
      <c r="I102" s="14" t="s">
        <v>127</v>
      </c>
      <c r="J102" s="14" t="s">
        <v>87</v>
      </c>
      <c r="K102" s="14" t="s">
        <v>471</v>
      </c>
      <c r="L102" s="14" t="s">
        <v>341</v>
      </c>
      <c r="M102" s="16" t="s">
        <v>1814</v>
      </c>
      <c r="N102" s="14"/>
      <c r="O102" s="14" t="s">
        <v>817</v>
      </c>
      <c r="P102" s="14">
        <v>150</v>
      </c>
      <c r="Q102" s="14">
        <v>2</v>
      </c>
      <c r="R102" s="14">
        <v>600</v>
      </c>
      <c r="S102" s="14" t="s">
        <v>1815</v>
      </c>
      <c r="T102" s="14" t="s">
        <v>1816</v>
      </c>
      <c r="U102" s="14">
        <v>1.13055555555555</v>
      </c>
      <c r="V102" s="14">
        <v>1.3075000000000001</v>
      </c>
      <c r="W102" s="14">
        <v>960</v>
      </c>
      <c r="X102" s="14">
        <v>80</v>
      </c>
      <c r="Y102" s="14">
        <v>880</v>
      </c>
      <c r="Z102" s="14">
        <v>1640</v>
      </c>
      <c r="AA102" s="14">
        <v>618</v>
      </c>
      <c r="AB102" s="14">
        <v>237</v>
      </c>
      <c r="AC102" s="14">
        <v>741</v>
      </c>
      <c r="AD102" s="14">
        <v>44</v>
      </c>
      <c r="AE102" s="14">
        <v>2600</v>
      </c>
      <c r="AF102" s="14">
        <v>5000</v>
      </c>
      <c r="AG102" s="14">
        <v>3033</v>
      </c>
      <c r="AH102" s="14">
        <v>0</v>
      </c>
      <c r="AI102" s="14">
        <v>65</v>
      </c>
      <c r="AJ102" s="14">
        <v>207</v>
      </c>
      <c r="AK102" s="14" t="s">
        <v>1813</v>
      </c>
      <c r="AL102" s="14" t="s">
        <v>1817</v>
      </c>
      <c r="AM102" s="14">
        <v>264.72000000000003</v>
      </c>
      <c r="AN102" s="14">
        <v>183.03</v>
      </c>
      <c r="AO102" s="14">
        <v>215.31</v>
      </c>
      <c r="AP102" s="14">
        <v>16511</v>
      </c>
      <c r="AQ102" s="14">
        <v>16431</v>
      </c>
      <c r="AR102" s="14">
        <v>23000</v>
      </c>
      <c r="AS102" s="14">
        <v>13911</v>
      </c>
      <c r="AT102" s="14">
        <v>15551</v>
      </c>
      <c r="AU102" s="14">
        <v>-14</v>
      </c>
      <c r="AV102" s="14">
        <v>212.5</v>
      </c>
      <c r="AW102" s="14">
        <v>48.16</v>
      </c>
      <c r="AX102" s="14">
        <v>3.12</v>
      </c>
      <c r="AY102" s="14" t="b">
        <v>0</v>
      </c>
    </row>
    <row r="103" spans="1:51" hidden="1" x14ac:dyDescent="0.3">
      <c r="A103" t="str">
        <f>CONCATENATE(I103,E103,LEFT(G103,10))</f>
        <v>HFA189LLBG2026-03-14</v>
      </c>
      <c r="B103" s="14" t="s">
        <v>1800</v>
      </c>
      <c r="C103" s="14" t="s">
        <v>336</v>
      </c>
      <c r="D103" s="14" t="s">
        <v>337</v>
      </c>
      <c r="E103" s="14" t="s">
        <v>83</v>
      </c>
      <c r="F103" s="14" t="s">
        <v>87</v>
      </c>
      <c r="G103" s="14" t="s">
        <v>1801</v>
      </c>
      <c r="H103" s="14" t="s">
        <v>393</v>
      </c>
      <c r="I103" s="14" t="s">
        <v>128</v>
      </c>
      <c r="J103" s="14" t="s">
        <v>69</v>
      </c>
      <c r="K103" s="14" t="s">
        <v>471</v>
      </c>
      <c r="L103" s="14" t="s">
        <v>341</v>
      </c>
      <c r="M103" s="16" t="s">
        <v>1802</v>
      </c>
      <c r="N103" s="14"/>
      <c r="O103" s="14" t="s">
        <v>1783</v>
      </c>
      <c r="P103" s="14">
        <v>160</v>
      </c>
      <c r="Q103" s="14">
        <v>2</v>
      </c>
      <c r="R103" s="14">
        <v>6200</v>
      </c>
      <c r="S103" s="14" t="s">
        <v>1803</v>
      </c>
      <c r="T103" s="14" t="s">
        <v>1804</v>
      </c>
      <c r="U103" s="14">
        <v>1.05277777777777</v>
      </c>
      <c r="V103" s="14">
        <v>1.3002777777777701</v>
      </c>
      <c r="W103" s="14">
        <v>1047</v>
      </c>
      <c r="X103" s="14">
        <v>80</v>
      </c>
      <c r="Y103" s="14">
        <v>967</v>
      </c>
      <c r="Z103" s="14">
        <v>865</v>
      </c>
      <c r="AA103" s="14">
        <v>340</v>
      </c>
      <c r="AB103" s="14">
        <v>276</v>
      </c>
      <c r="AC103" s="14">
        <v>200</v>
      </c>
      <c r="AD103" s="14">
        <v>48</v>
      </c>
      <c r="AE103" s="14">
        <v>1912</v>
      </c>
      <c r="AF103" s="14">
        <v>5000</v>
      </c>
      <c r="AG103" s="14">
        <v>3309</v>
      </c>
      <c r="AH103" s="14">
        <v>0</v>
      </c>
      <c r="AI103" s="14">
        <v>74</v>
      </c>
      <c r="AJ103" s="14">
        <v>145</v>
      </c>
      <c r="AK103" s="14" t="s">
        <v>1801</v>
      </c>
      <c r="AL103" s="14" t="s">
        <v>1805</v>
      </c>
      <c r="AM103" s="14">
        <v>307.25</v>
      </c>
      <c r="AN103" s="14">
        <v>183.03</v>
      </c>
      <c r="AO103" s="14">
        <v>73.5</v>
      </c>
      <c r="AP103" s="14">
        <v>21423</v>
      </c>
      <c r="AQ103" s="14">
        <v>21343</v>
      </c>
      <c r="AR103" s="14">
        <v>23000</v>
      </c>
      <c r="AS103" s="14">
        <v>19511</v>
      </c>
      <c r="AT103" s="14">
        <v>20376</v>
      </c>
      <c r="AU103" s="14">
        <v>3</v>
      </c>
      <c r="AV103" s="14">
        <v>224.8</v>
      </c>
      <c r="AW103" s="14">
        <v>56.45</v>
      </c>
      <c r="AX103" s="14">
        <v>3.93</v>
      </c>
      <c r="AY103" s="14" t="b">
        <v>0</v>
      </c>
    </row>
    <row r="104" spans="1:51" hidden="1" x14ac:dyDescent="0.3">
      <c r="A104" t="str">
        <f>CONCATENATE(I104,E104,LEFT(G104,10))</f>
        <v>HFA190LCLK2026-03-14</v>
      </c>
      <c r="B104" s="14" t="s">
        <v>1794</v>
      </c>
      <c r="C104" s="14" t="s">
        <v>336</v>
      </c>
      <c r="D104" s="14" t="s">
        <v>337</v>
      </c>
      <c r="E104" s="14" t="s">
        <v>87</v>
      </c>
      <c r="F104" s="14" t="s">
        <v>83</v>
      </c>
      <c r="G104" s="14" t="s">
        <v>1795</v>
      </c>
      <c r="H104" s="14" t="s">
        <v>339</v>
      </c>
      <c r="I104" s="14" t="s">
        <v>253</v>
      </c>
      <c r="J104" s="14" t="s">
        <v>87</v>
      </c>
      <c r="K104" s="14" t="s">
        <v>471</v>
      </c>
      <c r="L104" s="14" t="s">
        <v>341</v>
      </c>
      <c r="M104" s="16" t="s">
        <v>1796</v>
      </c>
      <c r="N104" s="14"/>
      <c r="O104" s="14" t="s">
        <v>817</v>
      </c>
      <c r="P104" s="14">
        <v>150</v>
      </c>
      <c r="Q104" s="14">
        <v>4</v>
      </c>
      <c r="R104" s="14">
        <v>0</v>
      </c>
      <c r="S104" s="14" t="s">
        <v>1797</v>
      </c>
      <c r="T104" s="14" t="s">
        <v>1798</v>
      </c>
      <c r="U104" s="14">
        <v>1.3286111111111101</v>
      </c>
      <c r="V104" s="14">
        <v>1.60944444444444</v>
      </c>
      <c r="W104" s="14">
        <v>888</v>
      </c>
      <c r="X104" s="14">
        <v>80</v>
      </c>
      <c r="Y104" s="14">
        <v>808</v>
      </c>
      <c r="Z104" s="14">
        <v>1812</v>
      </c>
      <c r="AA104" s="14">
        <v>618</v>
      </c>
      <c r="AB104" s="14">
        <v>260</v>
      </c>
      <c r="AC104" s="14">
        <v>891</v>
      </c>
      <c r="AD104" s="14">
        <v>43</v>
      </c>
      <c r="AE104" s="14">
        <v>2700</v>
      </c>
      <c r="AF104" s="14">
        <v>5000</v>
      </c>
      <c r="AG104" s="14">
        <v>2806</v>
      </c>
      <c r="AH104" s="14">
        <v>0</v>
      </c>
      <c r="AI104" s="14">
        <v>67</v>
      </c>
      <c r="AJ104" s="14">
        <v>228</v>
      </c>
      <c r="AK104" s="14" t="s">
        <v>1795</v>
      </c>
      <c r="AL104" s="14" t="s">
        <v>1799</v>
      </c>
      <c r="AM104" s="14">
        <v>264.72000000000003</v>
      </c>
      <c r="AN104" s="14">
        <v>183.03</v>
      </c>
      <c r="AO104" s="14">
        <v>215.31</v>
      </c>
      <c r="AP104" s="14">
        <v>19481</v>
      </c>
      <c r="AQ104" s="14">
        <v>19401</v>
      </c>
      <c r="AR104" s="14">
        <v>23000</v>
      </c>
      <c r="AS104" s="14">
        <v>16781</v>
      </c>
      <c r="AT104" s="14">
        <v>18593</v>
      </c>
      <c r="AU104" s="14">
        <v>-14</v>
      </c>
      <c r="AV104" s="14">
        <v>217.49</v>
      </c>
      <c r="AW104" s="14">
        <v>49.41</v>
      </c>
      <c r="AX104" s="14">
        <v>4.29</v>
      </c>
      <c r="AY104" s="14" t="b">
        <v>0</v>
      </c>
    </row>
    <row r="105" spans="1:51" hidden="1" x14ac:dyDescent="0.3">
      <c r="A105" t="str">
        <f>CONCATENATE(I105,E105,LEFT(G105,10))</f>
        <v>HFA191LLBG2026-03-14</v>
      </c>
      <c r="B105" s="14" t="s">
        <v>1780</v>
      </c>
      <c r="C105" s="14" t="s">
        <v>336</v>
      </c>
      <c r="D105" s="14" t="s">
        <v>337</v>
      </c>
      <c r="E105" s="14" t="s">
        <v>83</v>
      </c>
      <c r="F105" s="14" t="s">
        <v>87</v>
      </c>
      <c r="G105" s="14" t="s">
        <v>1781</v>
      </c>
      <c r="H105" s="14" t="s">
        <v>339</v>
      </c>
      <c r="I105" s="14" t="s">
        <v>254</v>
      </c>
      <c r="J105" s="14" t="s">
        <v>69</v>
      </c>
      <c r="K105" s="14" t="s">
        <v>471</v>
      </c>
      <c r="L105" s="14" t="s">
        <v>341</v>
      </c>
      <c r="M105" s="16" t="s">
        <v>1782</v>
      </c>
      <c r="N105" s="14"/>
      <c r="O105" s="14" t="s">
        <v>1783</v>
      </c>
      <c r="P105" s="14">
        <v>160</v>
      </c>
      <c r="Q105" s="14">
        <v>2</v>
      </c>
      <c r="R105" s="14">
        <v>6700</v>
      </c>
      <c r="S105" s="14" t="s">
        <v>1784</v>
      </c>
      <c r="T105" s="14" t="s">
        <v>1785</v>
      </c>
      <c r="U105" s="14">
        <v>0.88166666666666604</v>
      </c>
      <c r="V105" s="14">
        <v>1.6083333333333301</v>
      </c>
      <c r="W105" s="14">
        <v>951</v>
      </c>
      <c r="X105" s="14">
        <v>80</v>
      </c>
      <c r="Y105" s="14">
        <v>871</v>
      </c>
      <c r="Z105" s="14">
        <v>860</v>
      </c>
      <c r="AA105" s="14">
        <v>332</v>
      </c>
      <c r="AB105" s="14">
        <v>281</v>
      </c>
      <c r="AC105" s="14">
        <v>200</v>
      </c>
      <c r="AD105" s="14">
        <v>47</v>
      </c>
      <c r="AE105" s="14">
        <v>1810</v>
      </c>
      <c r="AF105" s="14">
        <v>5000</v>
      </c>
      <c r="AG105" s="14">
        <v>3004</v>
      </c>
      <c r="AH105" s="14">
        <v>0</v>
      </c>
      <c r="AI105" s="14">
        <v>73</v>
      </c>
      <c r="AJ105" s="14">
        <v>146</v>
      </c>
      <c r="AK105" s="14" t="s">
        <v>1781</v>
      </c>
      <c r="AL105" s="14" t="s">
        <v>1786</v>
      </c>
      <c r="AM105" s="14">
        <v>307.25</v>
      </c>
      <c r="AN105" s="14">
        <v>183.03</v>
      </c>
      <c r="AO105" s="14">
        <v>73.5</v>
      </c>
      <c r="AP105" s="14">
        <v>21835</v>
      </c>
      <c r="AQ105" s="14">
        <v>21755</v>
      </c>
      <c r="AR105" s="14">
        <v>23000</v>
      </c>
      <c r="AS105" s="14">
        <v>20025</v>
      </c>
      <c r="AT105" s="14">
        <v>20885</v>
      </c>
      <c r="AU105" s="14">
        <v>6</v>
      </c>
      <c r="AV105" s="14">
        <v>218.53</v>
      </c>
      <c r="AW105" s="14">
        <v>50.98</v>
      </c>
      <c r="AX105" s="14">
        <v>4.0199999999999996</v>
      </c>
      <c r="AY105" s="14" t="b">
        <v>0</v>
      </c>
    </row>
    <row r="106" spans="1:51" hidden="1" x14ac:dyDescent="0.3">
      <c r="A106" t="str">
        <f>CONCATENATE(I106,E106,LEFT(G106,10))</f>
        <v>HFA192LGAV2026-03-14</v>
      </c>
      <c r="B106" s="14" t="s">
        <v>1787</v>
      </c>
      <c r="C106" s="14" t="s">
        <v>336</v>
      </c>
      <c r="D106" s="14" t="s">
        <v>337</v>
      </c>
      <c r="E106" s="14" t="s">
        <v>48</v>
      </c>
      <c r="F106" s="14" t="s">
        <v>83</v>
      </c>
      <c r="G106" s="14" t="s">
        <v>1788</v>
      </c>
      <c r="H106" s="14" t="s">
        <v>357</v>
      </c>
      <c r="I106" s="14" t="s">
        <v>197</v>
      </c>
      <c r="J106" s="14" t="s">
        <v>87</v>
      </c>
      <c r="K106" s="14" t="s">
        <v>471</v>
      </c>
      <c r="L106" s="14" t="s">
        <v>341</v>
      </c>
      <c r="M106" s="16" t="s">
        <v>1789</v>
      </c>
      <c r="N106" s="14" t="s">
        <v>359</v>
      </c>
      <c r="O106" s="14" t="s">
        <v>1790</v>
      </c>
      <c r="P106" s="14">
        <v>150</v>
      </c>
      <c r="Q106" s="14">
        <v>2</v>
      </c>
      <c r="R106" s="14">
        <v>3000</v>
      </c>
      <c r="S106" s="14" t="s">
        <v>1791</v>
      </c>
      <c r="T106" s="14" t="s">
        <v>1792</v>
      </c>
      <c r="U106" s="14">
        <v>2.6058333333333299</v>
      </c>
      <c r="V106" s="14">
        <v>2.7786111111111098</v>
      </c>
      <c r="W106" s="14">
        <v>1795</v>
      </c>
      <c r="X106" s="14">
        <v>80</v>
      </c>
      <c r="Y106" s="14">
        <v>1715</v>
      </c>
      <c r="Z106" s="14">
        <v>1405</v>
      </c>
      <c r="AA106" s="14">
        <v>600</v>
      </c>
      <c r="AB106" s="14">
        <v>253</v>
      </c>
      <c r="AC106" s="14">
        <v>467</v>
      </c>
      <c r="AD106" s="14">
        <v>86</v>
      </c>
      <c r="AE106" s="14">
        <v>3200</v>
      </c>
      <c r="AF106" s="14">
        <v>5000</v>
      </c>
      <c r="AG106" s="14">
        <v>5672</v>
      </c>
      <c r="AH106" s="14">
        <v>0</v>
      </c>
      <c r="AI106" s="14">
        <v>150</v>
      </c>
      <c r="AJ106" s="14">
        <v>283</v>
      </c>
      <c r="AK106" s="14" t="s">
        <v>1788</v>
      </c>
      <c r="AL106" s="14" t="s">
        <v>1793</v>
      </c>
      <c r="AM106" s="14">
        <v>669.98</v>
      </c>
      <c r="AN106" s="14">
        <v>645.11</v>
      </c>
      <c r="AO106" s="14">
        <v>215.32</v>
      </c>
      <c r="AP106" s="14">
        <v>19425</v>
      </c>
      <c r="AQ106" s="14">
        <v>19345</v>
      </c>
      <c r="AR106" s="14">
        <v>23000</v>
      </c>
      <c r="AS106" s="14">
        <v>16225</v>
      </c>
      <c r="AT106" s="14">
        <v>17630</v>
      </c>
      <c r="AU106" s="14">
        <v>3</v>
      </c>
      <c r="AV106" s="14">
        <v>226.73</v>
      </c>
      <c r="AW106" s="14">
        <v>14.16</v>
      </c>
      <c r="AX106" s="14">
        <v>1.2</v>
      </c>
      <c r="AY106" s="14" t="b">
        <v>0</v>
      </c>
    </row>
    <row r="107" spans="1:51" hidden="1" x14ac:dyDescent="0.3">
      <c r="A107" t="str">
        <f>CONCATENATE(I107,E107,LEFT(G107,10))</f>
        <v>HFA193ALGAV2026-03-14</v>
      </c>
      <c r="B107" s="14" t="s">
        <v>1759</v>
      </c>
      <c r="C107" s="14" t="s">
        <v>336</v>
      </c>
      <c r="D107" s="14" t="s">
        <v>337</v>
      </c>
      <c r="E107" s="14" t="s">
        <v>48</v>
      </c>
      <c r="F107" s="14" t="s">
        <v>87</v>
      </c>
      <c r="G107" s="14" t="s">
        <v>1760</v>
      </c>
      <c r="H107" s="14" t="s">
        <v>357</v>
      </c>
      <c r="I107" s="14" t="s">
        <v>199</v>
      </c>
      <c r="J107" s="14" t="s">
        <v>69</v>
      </c>
      <c r="K107" s="14" t="s">
        <v>471</v>
      </c>
      <c r="L107" s="14" t="s">
        <v>542</v>
      </c>
      <c r="M107" s="16" t="s">
        <v>1755</v>
      </c>
      <c r="N107" s="14" t="s">
        <v>1761</v>
      </c>
      <c r="O107" s="14" t="s">
        <v>1762</v>
      </c>
      <c r="P107" s="14">
        <v>250</v>
      </c>
      <c r="Q107" s="14">
        <v>2</v>
      </c>
      <c r="R107" s="14">
        <v>800</v>
      </c>
      <c r="S107" s="14" t="s">
        <v>1763</v>
      </c>
      <c r="T107" s="14" t="s">
        <v>1764</v>
      </c>
      <c r="U107" s="14">
        <v>2.10083333333333</v>
      </c>
      <c r="V107" s="14">
        <v>2.2094444444444399</v>
      </c>
      <c r="W107" s="14">
        <v>1261</v>
      </c>
      <c r="X107" s="14">
        <v>80</v>
      </c>
      <c r="Y107" s="14">
        <v>1181</v>
      </c>
      <c r="Z107" s="14">
        <v>1739</v>
      </c>
      <c r="AA107" s="14">
        <v>305</v>
      </c>
      <c r="AB107" s="14">
        <v>239</v>
      </c>
      <c r="AC107" s="14">
        <v>1135</v>
      </c>
      <c r="AD107" s="14">
        <v>59</v>
      </c>
      <c r="AE107" s="14">
        <v>3000</v>
      </c>
      <c r="AF107" s="14">
        <v>5000</v>
      </c>
      <c r="AG107" s="14">
        <v>3984</v>
      </c>
      <c r="AH107" s="14">
        <v>0</v>
      </c>
      <c r="AI107" s="14">
        <v>123</v>
      </c>
      <c r="AJ107" s="14">
        <v>313</v>
      </c>
      <c r="AK107" s="14" t="s">
        <v>1760</v>
      </c>
      <c r="AL107" s="14" t="s">
        <v>1765</v>
      </c>
      <c r="AM107" s="14">
        <v>528.52</v>
      </c>
      <c r="AN107" s="14">
        <v>503.3</v>
      </c>
      <c r="AO107" s="14">
        <v>73.5</v>
      </c>
      <c r="AP107" s="14">
        <v>17025</v>
      </c>
      <c r="AQ107" s="14">
        <v>16945</v>
      </c>
      <c r="AR107" s="14">
        <v>23000</v>
      </c>
      <c r="AS107" s="14">
        <v>14025</v>
      </c>
      <c r="AT107" s="14">
        <v>15764</v>
      </c>
      <c r="AU107" s="14">
        <v>0</v>
      </c>
      <c r="AV107" s="14">
        <v>202.86</v>
      </c>
      <c r="AW107" s="14">
        <v>8.09</v>
      </c>
      <c r="AX107" s="14">
        <v>-1.77</v>
      </c>
      <c r="AY107" s="14" t="b">
        <v>0</v>
      </c>
    </row>
    <row r="108" spans="1:51" hidden="1" x14ac:dyDescent="0.3">
      <c r="A108" t="str">
        <f>CONCATENATE(I108,E108,LEFT(G108,10))</f>
        <v>HFA193LLBG2026-03-14</v>
      </c>
      <c r="B108" s="14" t="s">
        <v>1773</v>
      </c>
      <c r="C108" s="14" t="s">
        <v>336</v>
      </c>
      <c r="D108" s="14" t="s">
        <v>337</v>
      </c>
      <c r="E108" s="14" t="s">
        <v>83</v>
      </c>
      <c r="F108" s="14" t="s">
        <v>48</v>
      </c>
      <c r="G108" s="14" t="s">
        <v>1774</v>
      </c>
      <c r="H108" s="14" t="s">
        <v>357</v>
      </c>
      <c r="I108" s="14" t="s">
        <v>198</v>
      </c>
      <c r="J108" s="14"/>
      <c r="K108" s="14" t="s">
        <v>471</v>
      </c>
      <c r="L108" s="14" t="s">
        <v>341</v>
      </c>
      <c r="M108" s="16" t="s">
        <v>1775</v>
      </c>
      <c r="N108" s="14" t="s">
        <v>359</v>
      </c>
      <c r="O108" s="14" t="s">
        <v>1776</v>
      </c>
      <c r="P108" s="14">
        <v>200</v>
      </c>
      <c r="Q108" s="14">
        <v>2</v>
      </c>
      <c r="R108" s="14">
        <v>6600</v>
      </c>
      <c r="S108" s="14" t="s">
        <v>1777</v>
      </c>
      <c r="T108" s="14" t="s">
        <v>1778</v>
      </c>
      <c r="U108" s="14">
        <v>2.7536111111111099</v>
      </c>
      <c r="V108" s="14">
        <v>3.1322222222222198</v>
      </c>
      <c r="W108" s="14">
        <v>1828</v>
      </c>
      <c r="X108" s="14">
        <v>80</v>
      </c>
      <c r="Y108" s="14">
        <v>1748</v>
      </c>
      <c r="Z108" s="14">
        <v>772</v>
      </c>
      <c r="AA108" s="14">
        <v>139</v>
      </c>
      <c r="AB108" s="14">
        <v>278</v>
      </c>
      <c r="AC108" s="14">
        <v>268</v>
      </c>
      <c r="AD108" s="14">
        <v>87</v>
      </c>
      <c r="AE108" s="14">
        <v>2600</v>
      </c>
      <c r="AF108" s="14">
        <v>5000</v>
      </c>
      <c r="AG108" s="14">
        <v>5775</v>
      </c>
      <c r="AH108" s="14">
        <v>0</v>
      </c>
      <c r="AI108" s="14">
        <v>163</v>
      </c>
      <c r="AJ108" s="14">
        <v>244</v>
      </c>
      <c r="AK108" s="14" t="s">
        <v>1774</v>
      </c>
      <c r="AL108" s="14" t="s">
        <v>1779</v>
      </c>
      <c r="AM108" s="14">
        <v>688.45</v>
      </c>
      <c r="AN108" s="14">
        <v>645.11</v>
      </c>
      <c r="AO108" s="14">
        <v>0</v>
      </c>
      <c r="AP108" s="14">
        <v>22425</v>
      </c>
      <c r="AQ108" s="14">
        <v>22345</v>
      </c>
      <c r="AR108" s="14">
        <v>23000</v>
      </c>
      <c r="AS108" s="14">
        <v>19825</v>
      </c>
      <c r="AT108" s="14">
        <v>20597</v>
      </c>
      <c r="AU108" s="14">
        <v>-4</v>
      </c>
      <c r="AV108" s="14">
        <v>224.26</v>
      </c>
      <c r="AW108" s="14">
        <v>12.6</v>
      </c>
      <c r="AX108" s="14">
        <v>1.32</v>
      </c>
      <c r="AY108" s="14" t="b">
        <v>0</v>
      </c>
    </row>
    <row r="109" spans="1:51" hidden="1" x14ac:dyDescent="0.3">
      <c r="A109" t="str">
        <f>CONCATENATE(I109,E109,LEFT(G109,10))</f>
        <v>HFA194LGAV2026-03-14</v>
      </c>
      <c r="B109" s="14" t="s">
        <v>1766</v>
      </c>
      <c r="C109" s="14" t="s">
        <v>336</v>
      </c>
      <c r="D109" s="14" t="s">
        <v>337</v>
      </c>
      <c r="E109" s="14" t="s">
        <v>48</v>
      </c>
      <c r="F109" s="14" t="s">
        <v>83</v>
      </c>
      <c r="G109" s="14" t="s">
        <v>1767</v>
      </c>
      <c r="H109" s="14" t="s">
        <v>436</v>
      </c>
      <c r="I109" s="14" t="s">
        <v>95</v>
      </c>
      <c r="J109" s="14" t="s">
        <v>87</v>
      </c>
      <c r="K109" s="14" t="s">
        <v>471</v>
      </c>
      <c r="L109" s="14" t="s">
        <v>341</v>
      </c>
      <c r="M109" s="16" t="s">
        <v>1768</v>
      </c>
      <c r="N109" s="14" t="s">
        <v>473</v>
      </c>
      <c r="O109" s="14" t="s">
        <v>1769</v>
      </c>
      <c r="P109" s="14">
        <v>170</v>
      </c>
      <c r="Q109" s="14">
        <v>2</v>
      </c>
      <c r="R109" s="14">
        <v>2600</v>
      </c>
      <c r="S109" s="14" t="s">
        <v>1770</v>
      </c>
      <c r="T109" s="14" t="s">
        <v>1771</v>
      </c>
      <c r="U109" s="14">
        <v>2.5316666666666601</v>
      </c>
      <c r="V109" s="14">
        <v>2.6511111111111099</v>
      </c>
      <c r="W109" s="14">
        <v>1841</v>
      </c>
      <c r="X109" s="14">
        <v>80</v>
      </c>
      <c r="Y109" s="14">
        <v>1761</v>
      </c>
      <c r="Z109" s="14">
        <v>1959</v>
      </c>
      <c r="AA109" s="14">
        <v>884</v>
      </c>
      <c r="AB109" s="14">
        <v>254</v>
      </c>
      <c r="AC109" s="14">
        <v>733</v>
      </c>
      <c r="AD109" s="14">
        <v>88</v>
      </c>
      <c r="AE109" s="14">
        <v>3800</v>
      </c>
      <c r="AF109" s="14">
        <v>5000</v>
      </c>
      <c r="AG109" s="14">
        <v>5819</v>
      </c>
      <c r="AH109" s="14">
        <v>0</v>
      </c>
      <c r="AI109" s="14">
        <v>151</v>
      </c>
      <c r="AJ109" s="14">
        <v>326</v>
      </c>
      <c r="AK109" s="14" t="s">
        <v>1767</v>
      </c>
      <c r="AL109" s="14" t="s">
        <v>1772</v>
      </c>
      <c r="AM109" s="14">
        <v>669.16</v>
      </c>
      <c r="AN109" s="14">
        <v>645.11</v>
      </c>
      <c r="AO109" s="14">
        <v>300.19</v>
      </c>
      <c r="AP109" s="14">
        <v>19605</v>
      </c>
      <c r="AQ109" s="14">
        <v>19525</v>
      </c>
      <c r="AR109" s="14">
        <v>23000</v>
      </c>
      <c r="AS109" s="14">
        <v>15805</v>
      </c>
      <c r="AT109" s="14">
        <v>17764</v>
      </c>
      <c r="AU109" s="14">
        <v>0</v>
      </c>
      <c r="AV109" s="14">
        <v>215.81</v>
      </c>
      <c r="AW109" s="14">
        <v>12.08</v>
      </c>
      <c r="AX109" s="14">
        <v>0.84</v>
      </c>
      <c r="AY109" s="14" t="b">
        <v>0</v>
      </c>
    </row>
    <row r="110" spans="1:51" hidden="1" x14ac:dyDescent="0.3">
      <c r="A110" t="str">
        <f>CONCATENATE(I110,E110,LEFT(G110,10))</f>
        <v>HFA195LLBG2026-03-14</v>
      </c>
      <c r="B110" s="14" t="s">
        <v>1753</v>
      </c>
      <c r="C110" s="14" t="s">
        <v>336</v>
      </c>
      <c r="D110" s="14" t="s">
        <v>337</v>
      </c>
      <c r="E110" s="14" t="s">
        <v>83</v>
      </c>
      <c r="F110" s="14" t="s">
        <v>87</v>
      </c>
      <c r="G110" s="14" t="s">
        <v>1754</v>
      </c>
      <c r="H110" s="14" t="s">
        <v>436</v>
      </c>
      <c r="I110" s="14" t="s">
        <v>96</v>
      </c>
      <c r="J110" s="14" t="s">
        <v>69</v>
      </c>
      <c r="K110" s="14" t="s">
        <v>471</v>
      </c>
      <c r="L110" s="14" t="s">
        <v>341</v>
      </c>
      <c r="M110" s="16" t="s">
        <v>1755</v>
      </c>
      <c r="N110" s="14" t="s">
        <v>473</v>
      </c>
      <c r="O110" s="14" t="s">
        <v>474</v>
      </c>
      <c r="P110" s="14">
        <v>160</v>
      </c>
      <c r="Q110" s="14">
        <v>2</v>
      </c>
      <c r="R110" s="14">
        <v>6800</v>
      </c>
      <c r="S110" s="14" t="s">
        <v>1756</v>
      </c>
      <c r="T110" s="14" t="s">
        <v>1757</v>
      </c>
      <c r="U110" s="14">
        <v>0.91444444444444395</v>
      </c>
      <c r="V110" s="14">
        <v>1.3372222222222201</v>
      </c>
      <c r="W110" s="14">
        <v>967</v>
      </c>
      <c r="X110" s="14">
        <v>80</v>
      </c>
      <c r="Y110" s="14">
        <v>887</v>
      </c>
      <c r="Z110" s="14">
        <v>933</v>
      </c>
      <c r="AA110" s="14">
        <v>329</v>
      </c>
      <c r="AB110" s="14">
        <v>281</v>
      </c>
      <c r="AC110" s="14">
        <v>276</v>
      </c>
      <c r="AD110" s="14">
        <v>47</v>
      </c>
      <c r="AE110" s="14">
        <v>1900</v>
      </c>
      <c r="AF110" s="14">
        <v>5000</v>
      </c>
      <c r="AG110" s="14">
        <v>3055</v>
      </c>
      <c r="AH110" s="14">
        <v>0</v>
      </c>
      <c r="AI110" s="14">
        <v>74</v>
      </c>
      <c r="AJ110" s="14">
        <v>152</v>
      </c>
      <c r="AK110" s="14" t="s">
        <v>1754</v>
      </c>
      <c r="AL110" s="14" t="s">
        <v>1758</v>
      </c>
      <c r="AM110" s="14">
        <v>301.74</v>
      </c>
      <c r="AN110" s="14">
        <v>183.03</v>
      </c>
      <c r="AO110" s="14">
        <v>73.5</v>
      </c>
      <c r="AP110" s="14">
        <v>21905</v>
      </c>
      <c r="AQ110" s="14">
        <v>21825</v>
      </c>
      <c r="AR110" s="14">
        <v>23000</v>
      </c>
      <c r="AS110" s="14">
        <v>20005</v>
      </c>
      <c r="AT110" s="14">
        <v>20938</v>
      </c>
      <c r="AU110" s="14">
        <v>0</v>
      </c>
      <c r="AV110" s="14">
        <v>223.81</v>
      </c>
      <c r="AW110" s="14">
        <v>37.25</v>
      </c>
      <c r="AX110" s="14">
        <v>2.61</v>
      </c>
      <c r="AY110" s="14" t="b">
        <v>0</v>
      </c>
    </row>
    <row r="111" spans="1:51" hidden="1" x14ac:dyDescent="0.3">
      <c r="A111" t="str">
        <f>CONCATENATE(I111,E111,LEFT(G111,10))</f>
        <v>HFA196LCLK2026-03-15</v>
      </c>
      <c r="B111" s="14" t="s">
        <v>815</v>
      </c>
      <c r="C111" s="14" t="s">
        <v>336</v>
      </c>
      <c r="D111" s="14" t="s">
        <v>337</v>
      </c>
      <c r="E111" s="14" t="s">
        <v>87</v>
      </c>
      <c r="F111" s="14" t="s">
        <v>83</v>
      </c>
      <c r="G111" s="14" t="s">
        <v>816</v>
      </c>
      <c r="H111" s="14" t="s">
        <v>436</v>
      </c>
      <c r="I111" s="14" t="s">
        <v>97</v>
      </c>
      <c r="J111" s="14" t="s">
        <v>87</v>
      </c>
      <c r="K111" s="14" t="s">
        <v>471</v>
      </c>
      <c r="L111" s="14" t="s">
        <v>341</v>
      </c>
      <c r="M111" s="16" t="s">
        <v>803</v>
      </c>
      <c r="N111" s="14" t="s">
        <v>473</v>
      </c>
      <c r="O111" s="14" t="s">
        <v>817</v>
      </c>
      <c r="P111" s="14">
        <v>150</v>
      </c>
      <c r="Q111" s="14">
        <v>2</v>
      </c>
      <c r="R111" s="14">
        <v>2000</v>
      </c>
      <c r="S111" s="14" t="s">
        <v>818</v>
      </c>
      <c r="T111" s="14" t="s">
        <v>819</v>
      </c>
      <c r="U111" s="14">
        <v>0.93388888888888799</v>
      </c>
      <c r="V111" s="14">
        <v>1.16777777777777</v>
      </c>
      <c r="W111" s="14">
        <v>850</v>
      </c>
      <c r="X111" s="14">
        <v>80</v>
      </c>
      <c r="Y111" s="14">
        <v>770</v>
      </c>
      <c r="Z111" s="14">
        <v>1750</v>
      </c>
      <c r="AA111" s="14">
        <v>911</v>
      </c>
      <c r="AB111" s="14">
        <v>247</v>
      </c>
      <c r="AC111" s="14">
        <v>551</v>
      </c>
      <c r="AD111" s="14">
        <v>41</v>
      </c>
      <c r="AE111" s="14">
        <v>2600</v>
      </c>
      <c r="AF111" s="14">
        <v>5000</v>
      </c>
      <c r="AG111" s="14">
        <v>2685</v>
      </c>
      <c r="AH111" s="14">
        <v>0</v>
      </c>
      <c r="AI111" s="14">
        <v>63</v>
      </c>
      <c r="AJ111" s="14">
        <v>215</v>
      </c>
      <c r="AK111" s="14" t="s">
        <v>816</v>
      </c>
      <c r="AL111" s="14" t="s">
        <v>820</v>
      </c>
      <c r="AM111" s="14">
        <v>264.72000000000003</v>
      </c>
      <c r="AN111" s="14">
        <v>183.03</v>
      </c>
      <c r="AO111" s="14">
        <v>300.19</v>
      </c>
      <c r="AP111" s="14">
        <v>17805</v>
      </c>
      <c r="AQ111" s="14">
        <v>17725</v>
      </c>
      <c r="AR111" s="14">
        <v>23000</v>
      </c>
      <c r="AS111" s="14">
        <v>15205</v>
      </c>
      <c r="AT111" s="14">
        <v>16955</v>
      </c>
      <c r="AU111" s="14">
        <v>-1</v>
      </c>
      <c r="AV111" s="14">
        <v>238.38</v>
      </c>
      <c r="AW111" s="14">
        <v>28.81</v>
      </c>
      <c r="AX111" s="14">
        <v>1.51</v>
      </c>
      <c r="AY111" s="14" t="b">
        <v>0</v>
      </c>
    </row>
    <row r="112" spans="1:51" hidden="1" x14ac:dyDescent="0.3">
      <c r="A112" t="str">
        <f>CONCATENATE(I112,E112,LEFT(G112,10))</f>
        <v>HFA197LLBG2026-03-15</v>
      </c>
      <c r="B112" s="14" t="s">
        <v>808</v>
      </c>
      <c r="C112" s="14" t="s">
        <v>336</v>
      </c>
      <c r="D112" s="14" t="s">
        <v>337</v>
      </c>
      <c r="E112" s="14" t="s">
        <v>83</v>
      </c>
      <c r="F112" s="14" t="s">
        <v>48</v>
      </c>
      <c r="G112" s="14" t="s">
        <v>809</v>
      </c>
      <c r="H112" s="14" t="s">
        <v>436</v>
      </c>
      <c r="I112" s="14" t="s">
        <v>98</v>
      </c>
      <c r="J112" s="14"/>
      <c r="K112" s="14" t="s">
        <v>471</v>
      </c>
      <c r="L112" s="14" t="s">
        <v>341</v>
      </c>
      <c r="M112" s="16" t="s">
        <v>810</v>
      </c>
      <c r="N112" s="14" t="s">
        <v>359</v>
      </c>
      <c r="O112" s="14" t="s">
        <v>811</v>
      </c>
      <c r="P112" s="14">
        <v>200</v>
      </c>
      <c r="Q112" s="14">
        <v>2</v>
      </c>
      <c r="R112" s="14">
        <v>6600</v>
      </c>
      <c r="S112" s="14" t="s">
        <v>812</v>
      </c>
      <c r="T112" s="14" t="s">
        <v>813</v>
      </c>
      <c r="U112" s="14">
        <v>2.81083333333333</v>
      </c>
      <c r="V112" s="14">
        <v>3.0519444444444401</v>
      </c>
      <c r="W112" s="14">
        <v>1909</v>
      </c>
      <c r="X112" s="14">
        <v>80</v>
      </c>
      <c r="Y112" s="14">
        <v>1829</v>
      </c>
      <c r="Z112" s="14">
        <v>691</v>
      </c>
      <c r="AA112" s="14">
        <v>138</v>
      </c>
      <c r="AB112" s="14">
        <v>277</v>
      </c>
      <c r="AC112" s="14">
        <v>185</v>
      </c>
      <c r="AD112" s="14">
        <v>91</v>
      </c>
      <c r="AE112" s="14">
        <v>2600</v>
      </c>
      <c r="AF112" s="14">
        <v>5000</v>
      </c>
      <c r="AG112" s="14">
        <v>6031</v>
      </c>
      <c r="AH112" s="14">
        <v>0</v>
      </c>
      <c r="AI112" s="14">
        <v>166</v>
      </c>
      <c r="AJ112" s="14">
        <v>238</v>
      </c>
      <c r="AK112" s="14" t="s">
        <v>809</v>
      </c>
      <c r="AL112" s="14" t="s">
        <v>814</v>
      </c>
      <c r="AM112" s="14">
        <v>688.45</v>
      </c>
      <c r="AN112" s="14">
        <v>645.11</v>
      </c>
      <c r="AO112" s="14">
        <v>0</v>
      </c>
      <c r="AP112" s="14">
        <v>22405</v>
      </c>
      <c r="AQ112" s="14">
        <v>22325</v>
      </c>
      <c r="AR112" s="14">
        <v>23000</v>
      </c>
      <c r="AS112" s="14">
        <v>19805</v>
      </c>
      <c r="AT112" s="14">
        <v>20496</v>
      </c>
      <c r="AU112" s="14">
        <v>-10</v>
      </c>
      <c r="AV112" s="14">
        <v>263.43</v>
      </c>
      <c r="AW112" s="14">
        <v>8.93</v>
      </c>
      <c r="AX112" s="14">
        <v>-0.77</v>
      </c>
      <c r="AY112" s="14" t="b">
        <v>0</v>
      </c>
    </row>
    <row r="113" spans="1:51" hidden="1" x14ac:dyDescent="0.3">
      <c r="A113" t="str">
        <f>CONCATENATE(I113,E113,LEFT(G113,10))</f>
        <v>HFA198LCLK2026-03-15</v>
      </c>
      <c r="B113" s="14" t="s">
        <v>801</v>
      </c>
      <c r="C113" s="14" t="s">
        <v>336</v>
      </c>
      <c r="D113" s="14" t="s">
        <v>337</v>
      </c>
      <c r="E113" s="14" t="s">
        <v>87</v>
      </c>
      <c r="F113" s="14" t="s">
        <v>83</v>
      </c>
      <c r="G113" s="14" t="s">
        <v>802</v>
      </c>
      <c r="H113" s="14" t="s">
        <v>339</v>
      </c>
      <c r="I113" s="14" t="s">
        <v>255</v>
      </c>
      <c r="J113" s="14" t="s">
        <v>87</v>
      </c>
      <c r="K113" s="14" t="s">
        <v>471</v>
      </c>
      <c r="L113" s="14" t="s">
        <v>341</v>
      </c>
      <c r="M113" s="16" t="s">
        <v>803</v>
      </c>
      <c r="N113" s="14" t="s">
        <v>768</v>
      </c>
      <c r="O113" s="14" t="s">
        <v>804</v>
      </c>
      <c r="P113" s="14">
        <v>150</v>
      </c>
      <c r="Q113" s="14">
        <v>3</v>
      </c>
      <c r="R113" s="14">
        <v>2800</v>
      </c>
      <c r="S113" s="14" t="s">
        <v>805</v>
      </c>
      <c r="T113" s="14" t="s">
        <v>806</v>
      </c>
      <c r="U113" s="14">
        <v>1.5408333333333299</v>
      </c>
      <c r="V113" s="14">
        <v>1.7463888888888801</v>
      </c>
      <c r="W113" s="14">
        <v>906</v>
      </c>
      <c r="X113" s="14">
        <v>80</v>
      </c>
      <c r="Y113" s="14">
        <v>826</v>
      </c>
      <c r="Z113" s="14">
        <v>1694</v>
      </c>
      <c r="AA113" s="14">
        <v>915</v>
      </c>
      <c r="AB113" s="14">
        <v>254</v>
      </c>
      <c r="AC113" s="14">
        <v>483</v>
      </c>
      <c r="AD113" s="14">
        <v>42</v>
      </c>
      <c r="AE113" s="14">
        <v>2600</v>
      </c>
      <c r="AF113" s="14">
        <v>5000</v>
      </c>
      <c r="AG113" s="14">
        <v>2862</v>
      </c>
      <c r="AH113" s="14">
        <v>0</v>
      </c>
      <c r="AI113" s="14">
        <v>67</v>
      </c>
      <c r="AJ113" s="14">
        <v>215</v>
      </c>
      <c r="AK113" s="14" t="s">
        <v>802</v>
      </c>
      <c r="AL113" s="14" t="s">
        <v>807</v>
      </c>
      <c r="AM113" s="14">
        <v>278.31</v>
      </c>
      <c r="AN113" s="14">
        <v>183.03</v>
      </c>
      <c r="AO113" s="14">
        <v>300.19</v>
      </c>
      <c r="AP113" s="14">
        <v>18725</v>
      </c>
      <c r="AQ113" s="14">
        <v>18645</v>
      </c>
      <c r="AR113" s="14">
        <v>23000</v>
      </c>
      <c r="AS113" s="14">
        <v>16125</v>
      </c>
      <c r="AT113" s="14">
        <v>17819</v>
      </c>
      <c r="AU113" s="14">
        <v>-2</v>
      </c>
      <c r="AV113" s="14">
        <v>242.55</v>
      </c>
      <c r="AW113" s="14">
        <v>26.61</v>
      </c>
      <c r="AX113" s="14">
        <v>0.89</v>
      </c>
      <c r="AY113" s="14" t="b">
        <v>0</v>
      </c>
    </row>
    <row r="114" spans="1:51" hidden="1" x14ac:dyDescent="0.3">
      <c r="A114" t="str">
        <f>CONCATENATE(I114,E114,LEFT(G114,10))</f>
        <v>HFA199LLBG2026-03-15</v>
      </c>
      <c r="B114" s="14" t="s">
        <v>794</v>
      </c>
      <c r="C114" s="14" t="s">
        <v>336</v>
      </c>
      <c r="D114" s="14" t="s">
        <v>337</v>
      </c>
      <c r="E114" s="14" t="s">
        <v>83</v>
      </c>
      <c r="F114" s="14" t="s">
        <v>48</v>
      </c>
      <c r="G114" s="14" t="s">
        <v>795</v>
      </c>
      <c r="H114" s="14" t="s">
        <v>339</v>
      </c>
      <c r="I114" s="14" t="s">
        <v>256</v>
      </c>
      <c r="J114" s="14"/>
      <c r="K114" s="14" t="s">
        <v>471</v>
      </c>
      <c r="L114" s="14" t="s">
        <v>341</v>
      </c>
      <c r="M114" s="16" t="s">
        <v>796</v>
      </c>
      <c r="N114" s="14"/>
      <c r="O114" s="14" t="s">
        <v>797</v>
      </c>
      <c r="P114" s="14">
        <v>200</v>
      </c>
      <c r="Q114" s="14">
        <v>2</v>
      </c>
      <c r="R114" s="14">
        <v>0</v>
      </c>
      <c r="S114" s="14" t="s">
        <v>798</v>
      </c>
      <c r="T114" s="14" t="s">
        <v>799</v>
      </c>
      <c r="U114" s="14">
        <v>2.8958333333333299</v>
      </c>
      <c r="V114" s="14">
        <v>3.2861111111111101</v>
      </c>
      <c r="W114" s="14">
        <v>1916</v>
      </c>
      <c r="X114" s="14">
        <v>80</v>
      </c>
      <c r="Y114" s="14">
        <v>1836</v>
      </c>
      <c r="Z114" s="14">
        <v>584</v>
      </c>
      <c r="AA114" s="14">
        <v>141</v>
      </c>
      <c r="AB114" s="14">
        <v>282</v>
      </c>
      <c r="AC114" s="14">
        <v>68</v>
      </c>
      <c r="AD114" s="14">
        <v>92</v>
      </c>
      <c r="AE114" s="14">
        <v>2500</v>
      </c>
      <c r="AF114" s="14">
        <v>5000</v>
      </c>
      <c r="AG114" s="14">
        <v>6056</v>
      </c>
      <c r="AH114" s="14">
        <v>0</v>
      </c>
      <c r="AI114" s="14">
        <v>168</v>
      </c>
      <c r="AJ114" s="14">
        <v>229</v>
      </c>
      <c r="AK114" s="14" t="s">
        <v>795</v>
      </c>
      <c r="AL114" s="14" t="s">
        <v>800</v>
      </c>
      <c r="AM114" s="14">
        <v>688.45</v>
      </c>
      <c r="AN114" s="14">
        <v>645.11</v>
      </c>
      <c r="AO114" s="14">
        <v>0</v>
      </c>
      <c r="AP114" s="14">
        <v>23000</v>
      </c>
      <c r="AQ114" s="14">
        <v>22920</v>
      </c>
      <c r="AR114" s="14">
        <v>23000</v>
      </c>
      <c r="AS114" s="14">
        <v>20500</v>
      </c>
      <c r="AT114" s="14">
        <v>21083</v>
      </c>
      <c r="AU114" s="14">
        <v>-11</v>
      </c>
      <c r="AV114" s="14">
        <v>265.05</v>
      </c>
      <c r="AW114" s="14">
        <v>11.64</v>
      </c>
      <c r="AX114" s="14">
        <v>-0.87</v>
      </c>
      <c r="AY114" s="14" t="b">
        <v>0</v>
      </c>
    </row>
    <row r="115" spans="1:51" hidden="1" x14ac:dyDescent="0.3">
      <c r="A115" t="str">
        <f>CONCATENATE(I115,E115,LEFT(G115,10))</f>
        <v>HFA200LGAV2026-03-15</v>
      </c>
      <c r="B115" s="14" t="s">
        <v>787</v>
      </c>
      <c r="C115" s="14" t="s">
        <v>336</v>
      </c>
      <c r="D115" s="14" t="s">
        <v>337</v>
      </c>
      <c r="E115" s="14" t="s">
        <v>48</v>
      </c>
      <c r="F115" s="14" t="s">
        <v>83</v>
      </c>
      <c r="G115" s="14" t="s">
        <v>788</v>
      </c>
      <c r="H115" s="14" t="s">
        <v>436</v>
      </c>
      <c r="I115" s="14" t="s">
        <v>99</v>
      </c>
      <c r="J115" s="14" t="s">
        <v>87</v>
      </c>
      <c r="K115" s="14" t="s">
        <v>471</v>
      </c>
      <c r="L115" s="14" t="s">
        <v>341</v>
      </c>
      <c r="M115" s="16" t="s">
        <v>789</v>
      </c>
      <c r="N115" s="14" t="s">
        <v>359</v>
      </c>
      <c r="O115" s="14" t="s">
        <v>790</v>
      </c>
      <c r="P115" s="14">
        <v>190</v>
      </c>
      <c r="Q115" s="14">
        <v>2</v>
      </c>
      <c r="R115" s="14">
        <v>2200</v>
      </c>
      <c r="S115" s="14" t="s">
        <v>791</v>
      </c>
      <c r="T115" s="14" t="s">
        <v>792</v>
      </c>
      <c r="U115" s="14">
        <v>2.3886111111111101</v>
      </c>
      <c r="V115" s="14">
        <v>2.53833333333333</v>
      </c>
      <c r="W115" s="14">
        <v>1703</v>
      </c>
      <c r="X115" s="14">
        <v>80</v>
      </c>
      <c r="Y115" s="14">
        <v>1623</v>
      </c>
      <c r="Z115" s="14">
        <v>1397</v>
      </c>
      <c r="AA115" s="14">
        <v>633</v>
      </c>
      <c r="AB115" s="14">
        <v>246</v>
      </c>
      <c r="AC115" s="14">
        <v>437</v>
      </c>
      <c r="AD115" s="14">
        <v>81</v>
      </c>
      <c r="AE115" s="14">
        <v>3100</v>
      </c>
      <c r="AF115" s="14">
        <v>5000</v>
      </c>
      <c r="AG115" s="14">
        <v>5381</v>
      </c>
      <c r="AH115" s="14">
        <v>0</v>
      </c>
      <c r="AI115" s="14">
        <v>145</v>
      </c>
      <c r="AJ115" s="14">
        <v>276</v>
      </c>
      <c r="AK115" s="14" t="s">
        <v>788</v>
      </c>
      <c r="AL115" s="14" t="s">
        <v>793</v>
      </c>
      <c r="AM115" s="14">
        <v>669.98</v>
      </c>
      <c r="AN115" s="14">
        <v>645.11</v>
      </c>
      <c r="AO115" s="14">
        <v>215.31</v>
      </c>
      <c r="AP115" s="14">
        <v>18505</v>
      </c>
      <c r="AQ115" s="14">
        <v>18425</v>
      </c>
      <c r="AR115" s="14">
        <v>23000</v>
      </c>
      <c r="AS115" s="14">
        <v>15405</v>
      </c>
      <c r="AT115" s="14">
        <v>16802</v>
      </c>
      <c r="AU115" s="14">
        <v>11</v>
      </c>
      <c r="AV115" s="14">
        <v>269.20999999999998</v>
      </c>
      <c r="AW115" s="14">
        <v>13.55</v>
      </c>
      <c r="AX115" s="14">
        <v>-0.64</v>
      </c>
      <c r="AY115" s="14" t="b">
        <v>0</v>
      </c>
    </row>
    <row r="116" spans="1:51" hidden="1" x14ac:dyDescent="0.3">
      <c r="A116" t="str">
        <f>CONCATENATE(I116,E116,LEFT(G116,10))</f>
        <v>HFA201LCLK2026-01-25</v>
      </c>
      <c r="B116" s="14" t="s">
        <v>5223</v>
      </c>
      <c r="C116" s="14" t="s">
        <v>336</v>
      </c>
      <c r="D116" s="14" t="s">
        <v>337</v>
      </c>
      <c r="E116" s="14" t="s">
        <v>87</v>
      </c>
      <c r="F116" s="14" t="s">
        <v>43</v>
      </c>
      <c r="G116" s="14" t="s">
        <v>5224</v>
      </c>
      <c r="H116" s="14" t="s">
        <v>393</v>
      </c>
      <c r="I116" s="14" t="s">
        <v>80</v>
      </c>
      <c r="J116" s="14" t="s">
        <v>83</v>
      </c>
      <c r="K116" s="14" t="s">
        <v>340</v>
      </c>
      <c r="L116" s="14" t="s">
        <v>341</v>
      </c>
      <c r="M116" s="16" t="s">
        <v>5225</v>
      </c>
      <c r="N116" s="14"/>
      <c r="O116" s="14" t="s">
        <v>837</v>
      </c>
      <c r="P116" s="14">
        <v>130</v>
      </c>
      <c r="Q116" s="14">
        <v>2</v>
      </c>
      <c r="R116" s="14">
        <v>600</v>
      </c>
      <c r="S116" s="14" t="s">
        <v>5226</v>
      </c>
      <c r="T116" s="14" t="s">
        <v>5227</v>
      </c>
      <c r="U116" s="14">
        <v>0.62944444444444403</v>
      </c>
      <c r="V116" s="14">
        <v>0.97083333333333299</v>
      </c>
      <c r="W116" s="14">
        <v>624</v>
      </c>
      <c r="X116" s="14">
        <v>80</v>
      </c>
      <c r="Y116" s="14">
        <v>544</v>
      </c>
      <c r="Z116" s="14">
        <v>1526</v>
      </c>
      <c r="AA116" s="14">
        <v>257</v>
      </c>
      <c r="AB116" s="14">
        <v>237</v>
      </c>
      <c r="AC116" s="14">
        <v>992</v>
      </c>
      <c r="AD116" s="14">
        <v>40</v>
      </c>
      <c r="AE116" s="14">
        <v>2150</v>
      </c>
      <c r="AF116" s="14">
        <v>5000</v>
      </c>
      <c r="AG116" s="14">
        <v>1972</v>
      </c>
      <c r="AH116" s="14">
        <v>0</v>
      </c>
      <c r="AI116" s="14">
        <v>39</v>
      </c>
      <c r="AJ116" s="14">
        <v>166</v>
      </c>
      <c r="AK116" s="14" t="s">
        <v>5224</v>
      </c>
      <c r="AL116" s="14" t="s">
        <v>5228</v>
      </c>
      <c r="AM116" s="14">
        <v>162.11000000000001</v>
      </c>
      <c r="AN116" s="14">
        <v>142.63999999999999</v>
      </c>
      <c r="AO116" s="14">
        <v>54.99</v>
      </c>
      <c r="AP116" s="14">
        <v>16061</v>
      </c>
      <c r="AQ116" s="14">
        <v>15981</v>
      </c>
      <c r="AR116" s="14">
        <v>23000</v>
      </c>
      <c r="AS116" s="14">
        <v>13911</v>
      </c>
      <c r="AT116" s="14">
        <v>15437</v>
      </c>
      <c r="AU116" s="14">
        <v>10</v>
      </c>
      <c r="AV116" s="14">
        <v>290.29000000000002</v>
      </c>
      <c r="AW116" s="14">
        <v>21.28</v>
      </c>
      <c r="AX116" s="14">
        <v>4.8600000000000003</v>
      </c>
      <c r="AY116" s="14" t="b">
        <v>0</v>
      </c>
    </row>
    <row r="117" spans="1:51" hidden="1" x14ac:dyDescent="0.3">
      <c r="A117" t="str">
        <f>CONCATENATE(I117,E117,LEFT(G117,10))</f>
        <v>HFA201LLBG2026-01-13</v>
      </c>
      <c r="B117" s="14" t="s">
        <v>2360</v>
      </c>
      <c r="C117" s="14" t="s">
        <v>336</v>
      </c>
      <c r="D117" s="14" t="s">
        <v>337</v>
      </c>
      <c r="E117" s="14" t="s">
        <v>83</v>
      </c>
      <c r="F117" s="14" t="s">
        <v>48</v>
      </c>
      <c r="G117" s="14" t="s">
        <v>2361</v>
      </c>
      <c r="H117" s="14" t="s">
        <v>357</v>
      </c>
      <c r="I117" s="14" t="s">
        <v>80</v>
      </c>
      <c r="J117" s="14" t="s">
        <v>401</v>
      </c>
      <c r="K117" s="14" t="s">
        <v>471</v>
      </c>
      <c r="L117" s="14" t="s">
        <v>542</v>
      </c>
      <c r="M117" s="16" t="s">
        <v>2362</v>
      </c>
      <c r="N117" s="14" t="s">
        <v>359</v>
      </c>
      <c r="O117" s="14" t="s">
        <v>2363</v>
      </c>
      <c r="P117" s="14">
        <v>200</v>
      </c>
      <c r="Q117" s="14">
        <v>2</v>
      </c>
      <c r="R117" s="14">
        <v>500</v>
      </c>
      <c r="S117" s="14" t="s">
        <v>2364</v>
      </c>
      <c r="T117" s="14" t="s">
        <v>2365</v>
      </c>
      <c r="U117" s="14">
        <v>3.2288888888888798</v>
      </c>
      <c r="V117" s="14">
        <v>3.53833333333333</v>
      </c>
      <c r="W117" s="14">
        <v>2222</v>
      </c>
      <c r="X117" s="14">
        <v>80</v>
      </c>
      <c r="Y117" s="14">
        <v>2142</v>
      </c>
      <c r="Z117" s="14">
        <v>1078</v>
      </c>
      <c r="AA117" s="14">
        <v>502</v>
      </c>
      <c r="AB117" s="14">
        <v>231</v>
      </c>
      <c r="AC117" s="14">
        <v>239</v>
      </c>
      <c r="AD117" s="14">
        <v>107</v>
      </c>
      <c r="AE117" s="14">
        <v>3300</v>
      </c>
      <c r="AF117" s="14">
        <v>5000</v>
      </c>
      <c r="AG117" s="14">
        <v>7020</v>
      </c>
      <c r="AH117" s="14">
        <v>0</v>
      </c>
      <c r="AI117" s="14">
        <v>200</v>
      </c>
      <c r="AJ117" s="14">
        <v>304</v>
      </c>
      <c r="AK117" s="14" t="s">
        <v>2361</v>
      </c>
      <c r="AL117" s="14" t="s">
        <v>2366</v>
      </c>
      <c r="AM117" s="14">
        <v>688.38</v>
      </c>
      <c r="AN117" s="14">
        <v>645.11</v>
      </c>
      <c r="AO117" s="14">
        <v>176.85</v>
      </c>
      <c r="AP117" s="14">
        <v>17025</v>
      </c>
      <c r="AQ117" s="14">
        <v>16945</v>
      </c>
      <c r="AR117" s="14">
        <v>23000</v>
      </c>
      <c r="AS117" s="14">
        <v>13725</v>
      </c>
      <c r="AT117" s="14">
        <v>14803</v>
      </c>
      <c r="AU117" s="14">
        <v>-66</v>
      </c>
      <c r="AV117" s="14">
        <v>314.44</v>
      </c>
      <c r="AW117" s="14">
        <v>67.45</v>
      </c>
      <c r="AX117" s="14">
        <v>0.18</v>
      </c>
      <c r="AY117" s="14" t="b">
        <v>0</v>
      </c>
    </row>
    <row r="118" spans="1:51" hidden="1" x14ac:dyDescent="0.3">
      <c r="A118" t="str">
        <f>CONCATENATE(I118,E118,LEFT(G118,10))</f>
        <v>HFA201LLBG2026-01-22</v>
      </c>
      <c r="B118" s="14" t="s">
        <v>2135</v>
      </c>
      <c r="C118" s="14" t="s">
        <v>336</v>
      </c>
      <c r="D118" s="14" t="s">
        <v>337</v>
      </c>
      <c r="E118" s="14" t="s">
        <v>83</v>
      </c>
      <c r="F118" s="14" t="s">
        <v>43</v>
      </c>
      <c r="G118" s="14" t="s">
        <v>2136</v>
      </c>
      <c r="H118" s="14" t="s">
        <v>393</v>
      </c>
      <c r="I118" s="14" t="s">
        <v>80</v>
      </c>
      <c r="J118" s="14" t="s">
        <v>83</v>
      </c>
      <c r="K118" s="14" t="s">
        <v>340</v>
      </c>
      <c r="L118" s="14" t="s">
        <v>341</v>
      </c>
      <c r="M118" s="16" t="s">
        <v>2137</v>
      </c>
      <c r="N118" s="14"/>
      <c r="O118" s="14" t="s">
        <v>2138</v>
      </c>
      <c r="P118" s="14">
        <v>50</v>
      </c>
      <c r="Q118" s="14">
        <v>2</v>
      </c>
      <c r="R118" s="14">
        <v>0</v>
      </c>
      <c r="S118" s="14" t="s">
        <v>2139</v>
      </c>
      <c r="T118" s="14" t="s">
        <v>2140</v>
      </c>
      <c r="U118" s="14">
        <v>0.363611111111111</v>
      </c>
      <c r="V118" s="14">
        <v>0.86888888888888804</v>
      </c>
      <c r="W118" s="14">
        <v>314</v>
      </c>
      <c r="X118" s="14">
        <v>80</v>
      </c>
      <c r="Y118" s="14">
        <v>234</v>
      </c>
      <c r="Z118" s="14">
        <v>886</v>
      </c>
      <c r="AA118" s="14">
        <v>261</v>
      </c>
      <c r="AB118" s="14">
        <v>232</v>
      </c>
      <c r="AC118" s="14">
        <v>355</v>
      </c>
      <c r="AD118" s="14">
        <v>39</v>
      </c>
      <c r="AE118" s="14">
        <v>1200</v>
      </c>
      <c r="AF118" s="14">
        <v>5000</v>
      </c>
      <c r="AG118" s="14">
        <v>992</v>
      </c>
      <c r="AH118" s="14">
        <v>0</v>
      </c>
      <c r="AI118" s="14">
        <v>16</v>
      </c>
      <c r="AJ118" s="14">
        <v>96</v>
      </c>
      <c r="AK118" s="14" t="s">
        <v>2136</v>
      </c>
      <c r="AL118" s="14" t="s">
        <v>2141</v>
      </c>
      <c r="AM118" s="14">
        <v>54.6</v>
      </c>
      <c r="AN118" s="14">
        <v>48.59</v>
      </c>
      <c r="AO118" s="14">
        <v>54.99</v>
      </c>
      <c r="AP118" s="14">
        <v>15038</v>
      </c>
      <c r="AQ118" s="14">
        <v>14958</v>
      </c>
      <c r="AR118" s="14">
        <v>23000</v>
      </c>
      <c r="AS118" s="14">
        <v>13838</v>
      </c>
      <c r="AT118" s="14">
        <v>14724</v>
      </c>
      <c r="AU118" s="14">
        <v>8</v>
      </c>
      <c r="AV118" s="14">
        <v>222.22</v>
      </c>
      <c r="AW118" s="14">
        <v>17.61</v>
      </c>
      <c r="AX118" s="14">
        <v>5.81</v>
      </c>
      <c r="AY118" s="14" t="b">
        <v>0</v>
      </c>
    </row>
    <row r="119" spans="1:51" hidden="1" x14ac:dyDescent="0.3">
      <c r="A119" t="str">
        <f>CONCATENATE(I119,E119,LEFT(G119,10))</f>
        <v>HFA201LLBG2026-03-15</v>
      </c>
      <c r="B119" s="14" t="s">
        <v>773</v>
      </c>
      <c r="C119" s="14" t="s">
        <v>336</v>
      </c>
      <c r="D119" s="14" t="s">
        <v>337</v>
      </c>
      <c r="E119" s="14" t="s">
        <v>83</v>
      </c>
      <c r="F119" s="14" t="s">
        <v>87</v>
      </c>
      <c r="G119" s="14" t="s">
        <v>774</v>
      </c>
      <c r="H119" s="14" t="s">
        <v>436</v>
      </c>
      <c r="I119" s="14" t="s">
        <v>80</v>
      </c>
      <c r="J119" s="14" t="s">
        <v>69</v>
      </c>
      <c r="K119" s="14" t="s">
        <v>471</v>
      </c>
      <c r="L119" s="14" t="s">
        <v>341</v>
      </c>
      <c r="M119" s="16" t="s">
        <v>775</v>
      </c>
      <c r="N119" s="14" t="s">
        <v>473</v>
      </c>
      <c r="O119" s="14" t="s">
        <v>776</v>
      </c>
      <c r="P119" s="14">
        <v>160</v>
      </c>
      <c r="Q119" s="14">
        <v>2</v>
      </c>
      <c r="R119" s="14">
        <v>6500</v>
      </c>
      <c r="S119" s="14" t="s">
        <v>777</v>
      </c>
      <c r="T119" s="14" t="s">
        <v>778</v>
      </c>
      <c r="U119" s="14">
        <v>1.1016666666666599</v>
      </c>
      <c r="V119" s="14">
        <v>1.42444444444444</v>
      </c>
      <c r="W119" s="14">
        <v>1001</v>
      </c>
      <c r="X119" s="14">
        <v>80</v>
      </c>
      <c r="Y119" s="14">
        <v>921</v>
      </c>
      <c r="Z119" s="14">
        <v>999</v>
      </c>
      <c r="AA119" s="14">
        <v>363</v>
      </c>
      <c r="AB119" s="14">
        <v>279</v>
      </c>
      <c r="AC119" s="14">
        <v>311</v>
      </c>
      <c r="AD119" s="14">
        <v>47</v>
      </c>
      <c r="AE119" s="14">
        <v>2000</v>
      </c>
      <c r="AF119" s="14">
        <v>5000</v>
      </c>
      <c r="AG119" s="14">
        <v>3162</v>
      </c>
      <c r="AH119" s="14">
        <v>0</v>
      </c>
      <c r="AI119" s="14">
        <v>75</v>
      </c>
      <c r="AJ119" s="14">
        <v>159</v>
      </c>
      <c r="AK119" s="14" t="s">
        <v>774</v>
      </c>
      <c r="AL119" s="14" t="s">
        <v>779</v>
      </c>
      <c r="AM119" s="14">
        <v>301.74</v>
      </c>
      <c r="AN119" s="14">
        <v>183.03</v>
      </c>
      <c r="AO119" s="14">
        <v>73.5</v>
      </c>
      <c r="AP119" s="14">
        <v>21705</v>
      </c>
      <c r="AQ119" s="14">
        <v>21625</v>
      </c>
      <c r="AR119" s="14">
        <v>23000</v>
      </c>
      <c r="AS119" s="14">
        <v>19705</v>
      </c>
      <c r="AT119" s="14">
        <v>20704</v>
      </c>
      <c r="AU119" s="14">
        <v>-9</v>
      </c>
      <c r="AV119" s="14">
        <v>266.43</v>
      </c>
      <c r="AW119" s="14">
        <v>31.76</v>
      </c>
      <c r="AX119" s="14">
        <v>-0.47</v>
      </c>
      <c r="AY119" s="14" t="b">
        <v>0</v>
      </c>
    </row>
    <row r="120" spans="1:51" hidden="1" x14ac:dyDescent="0.3">
      <c r="A120" t="str">
        <f>CONCATENATE(I120,E120,LEFT(G120,10))</f>
        <v>HFA201LLHA2026-02-16</v>
      </c>
      <c r="B120" s="14" t="s">
        <v>4156</v>
      </c>
      <c r="C120" s="14" t="s">
        <v>336</v>
      </c>
      <c r="D120" s="14" t="s">
        <v>337</v>
      </c>
      <c r="E120" s="14" t="s">
        <v>43</v>
      </c>
      <c r="F120" s="14" t="s">
        <v>77</v>
      </c>
      <c r="G120" s="14" t="s">
        <v>4151</v>
      </c>
      <c r="H120" s="14" t="s">
        <v>436</v>
      </c>
      <c r="I120" s="14" t="s">
        <v>80</v>
      </c>
      <c r="J120" s="14" t="s">
        <v>759</v>
      </c>
      <c r="K120" s="14" t="s">
        <v>349</v>
      </c>
      <c r="L120" s="14" t="s">
        <v>542</v>
      </c>
      <c r="M120" s="16" t="s">
        <v>4157</v>
      </c>
      <c r="N120" s="14" t="s">
        <v>2545</v>
      </c>
      <c r="O120" s="14" t="s">
        <v>4158</v>
      </c>
      <c r="P120" s="14">
        <v>50</v>
      </c>
      <c r="Q120" s="14">
        <v>2</v>
      </c>
      <c r="R120" s="14">
        <v>540</v>
      </c>
      <c r="S120" s="14" t="s">
        <v>4159</v>
      </c>
      <c r="T120" s="14" t="s">
        <v>4160</v>
      </c>
      <c r="U120" s="14">
        <v>3.35083333333333</v>
      </c>
      <c r="V120" s="14">
        <v>3.45472222222222</v>
      </c>
      <c r="W120" s="14">
        <v>2171</v>
      </c>
      <c r="X120" s="14">
        <v>50</v>
      </c>
      <c r="Y120" s="14">
        <v>2121</v>
      </c>
      <c r="Z120" s="14">
        <v>798</v>
      </c>
      <c r="AA120" s="14">
        <v>369</v>
      </c>
      <c r="AB120" s="14">
        <v>223</v>
      </c>
      <c r="AC120" s="14">
        <v>100</v>
      </c>
      <c r="AD120" s="14">
        <v>106</v>
      </c>
      <c r="AE120" s="14">
        <v>2969</v>
      </c>
      <c r="AF120" s="14">
        <v>5000</v>
      </c>
      <c r="AG120" s="14">
        <v>6861</v>
      </c>
      <c r="AH120" s="14">
        <v>0</v>
      </c>
      <c r="AI120" s="14">
        <v>202</v>
      </c>
      <c r="AJ120" s="14">
        <v>281</v>
      </c>
      <c r="AK120" s="14" t="s">
        <v>4151</v>
      </c>
      <c r="AL120" s="14" t="s">
        <v>4161</v>
      </c>
      <c r="AM120" s="14">
        <v>913.97</v>
      </c>
      <c r="AN120" s="14">
        <v>809.32</v>
      </c>
      <c r="AO120" s="14">
        <v>102.22</v>
      </c>
      <c r="AP120" s="14">
        <v>16714</v>
      </c>
      <c r="AQ120" s="14">
        <v>16664</v>
      </c>
      <c r="AR120" s="14">
        <v>23000</v>
      </c>
      <c r="AS120" s="14">
        <v>13745</v>
      </c>
      <c r="AT120" s="14">
        <v>14543</v>
      </c>
      <c r="AU120" s="14">
        <v>1</v>
      </c>
      <c r="AV120" s="14">
        <v>220.2</v>
      </c>
      <c r="AW120" s="14">
        <v>52.36</v>
      </c>
      <c r="AX120" s="14">
        <v>1.54</v>
      </c>
      <c r="AY120" s="14" t="b">
        <v>0</v>
      </c>
    </row>
    <row r="121" spans="1:51" x14ac:dyDescent="0.3">
      <c r="A121" s="21" t="str">
        <f>TRIM(CLEAN(CONCATENATE(I121,E121,LEFT(G121,10))))</f>
        <v>HFA201LLHA2026-02-28</v>
      </c>
      <c r="B121" s="14" t="s">
        <v>924</v>
      </c>
      <c r="C121" s="14" t="s">
        <v>336</v>
      </c>
      <c r="D121" s="14" t="s">
        <v>337</v>
      </c>
      <c r="E121" s="14" t="s">
        <v>43</v>
      </c>
      <c r="F121" s="14" t="s">
        <v>87</v>
      </c>
      <c r="G121" s="19" t="s">
        <v>925</v>
      </c>
      <c r="H121" s="14" t="s">
        <v>393</v>
      </c>
      <c r="I121" s="19" t="s">
        <v>80</v>
      </c>
      <c r="J121" s="14" t="s">
        <v>69</v>
      </c>
      <c r="K121" s="14" t="s">
        <v>349</v>
      </c>
      <c r="L121" s="14" t="s">
        <v>341</v>
      </c>
      <c r="M121" s="16" t="s">
        <v>911</v>
      </c>
      <c r="N121" s="14"/>
      <c r="O121" s="14" t="s">
        <v>926</v>
      </c>
      <c r="P121" s="14">
        <v>50</v>
      </c>
      <c r="Q121" s="14">
        <v>2</v>
      </c>
      <c r="R121" s="14">
        <v>500</v>
      </c>
      <c r="S121" s="14"/>
      <c r="T121" s="14"/>
      <c r="U121" s="14"/>
      <c r="V121" s="14"/>
      <c r="W121" s="14">
        <v>695</v>
      </c>
      <c r="X121" s="14">
        <v>50</v>
      </c>
      <c r="Y121" s="14">
        <v>645</v>
      </c>
      <c r="Z121" s="14">
        <v>835</v>
      </c>
      <c r="AA121" s="14">
        <v>332</v>
      </c>
      <c r="AB121" s="14">
        <v>231</v>
      </c>
      <c r="AC121" s="14">
        <v>233</v>
      </c>
      <c r="AD121" s="14">
        <v>39</v>
      </c>
      <c r="AE121" s="14">
        <v>1530</v>
      </c>
      <c r="AF121" s="14">
        <v>5000</v>
      </c>
      <c r="AG121" s="14">
        <v>2196</v>
      </c>
      <c r="AH121" s="14">
        <v>0</v>
      </c>
      <c r="AI121" s="14">
        <v>45</v>
      </c>
      <c r="AJ121" s="14">
        <v>117</v>
      </c>
      <c r="AK121" s="14" t="s">
        <v>925</v>
      </c>
      <c r="AL121" s="14" t="s">
        <v>927</v>
      </c>
      <c r="AM121" s="14">
        <v>179.36</v>
      </c>
      <c r="AN121" s="14">
        <v>142.63999999999999</v>
      </c>
      <c r="AO121" s="14">
        <v>73.5</v>
      </c>
      <c r="AP121" s="14">
        <v>15341</v>
      </c>
      <c r="AQ121" s="14">
        <v>15291</v>
      </c>
      <c r="AR121" s="14">
        <v>23000</v>
      </c>
      <c r="AS121" s="14">
        <v>13811</v>
      </c>
      <c r="AT121" s="14">
        <v>14646</v>
      </c>
      <c r="AU121" s="14">
        <v>-7</v>
      </c>
      <c r="AV121" s="14">
        <v>335.27</v>
      </c>
      <c r="AW121" s="14">
        <v>8.36</v>
      </c>
      <c r="AX121" s="14">
        <v>-3.22</v>
      </c>
      <c r="AY121" s="14" t="b">
        <v>0</v>
      </c>
    </row>
    <row r="122" spans="1:51" hidden="1" x14ac:dyDescent="0.3">
      <c r="A122" t="str">
        <f>CONCATENATE(I122,E122,LEFT(G122,10))</f>
        <v>HFA202LCLK2026-01-23</v>
      </c>
      <c r="B122" s="14" t="s">
        <v>5083</v>
      </c>
      <c r="C122" s="14" t="s">
        <v>841</v>
      </c>
      <c r="D122" s="14" t="s">
        <v>2713</v>
      </c>
      <c r="E122" s="14" t="s">
        <v>87</v>
      </c>
      <c r="F122" s="14" t="s">
        <v>43</v>
      </c>
      <c r="G122" s="14" t="s">
        <v>5084</v>
      </c>
      <c r="H122" s="14" t="s">
        <v>393</v>
      </c>
      <c r="I122" s="14" t="s">
        <v>64</v>
      </c>
      <c r="J122" s="14" t="s">
        <v>83</v>
      </c>
      <c r="K122" s="14" t="s">
        <v>340</v>
      </c>
      <c r="L122" s="14" t="s">
        <v>341</v>
      </c>
      <c r="M122" s="16"/>
      <c r="N122" s="14"/>
      <c r="O122" s="14" t="s">
        <v>549</v>
      </c>
      <c r="P122" s="14">
        <v>130</v>
      </c>
      <c r="Q122" s="14">
        <v>2</v>
      </c>
      <c r="R122" s="14">
        <v>600</v>
      </c>
      <c r="S122" s="14"/>
      <c r="T122" s="14"/>
      <c r="U122" s="14"/>
      <c r="V122" s="14"/>
      <c r="W122" s="14">
        <v>641</v>
      </c>
      <c r="X122" s="14">
        <v>80</v>
      </c>
      <c r="Y122" s="14">
        <v>561</v>
      </c>
      <c r="Z122" s="14">
        <v>1509</v>
      </c>
      <c r="AA122" s="14">
        <v>260</v>
      </c>
      <c r="AB122" s="14">
        <v>237</v>
      </c>
      <c r="AC122" s="14">
        <v>973</v>
      </c>
      <c r="AD122" s="14">
        <v>39</v>
      </c>
      <c r="AE122" s="14">
        <v>2150</v>
      </c>
      <c r="AF122" s="14">
        <v>5000</v>
      </c>
      <c r="AG122" s="14">
        <v>2026</v>
      </c>
      <c r="AH122" s="14">
        <v>0</v>
      </c>
      <c r="AI122" s="14">
        <v>39</v>
      </c>
      <c r="AJ122" s="14">
        <v>163</v>
      </c>
      <c r="AK122" s="14" t="s">
        <v>5084</v>
      </c>
      <c r="AL122" s="14" t="s">
        <v>5085</v>
      </c>
      <c r="AM122" s="14">
        <v>162.11000000000001</v>
      </c>
      <c r="AN122" s="14">
        <v>142.63999999999999</v>
      </c>
      <c r="AO122" s="14">
        <v>54.99</v>
      </c>
      <c r="AP122" s="14">
        <v>16061</v>
      </c>
      <c r="AQ122" s="14">
        <v>15981</v>
      </c>
      <c r="AR122" s="14">
        <v>23000</v>
      </c>
      <c r="AS122" s="14">
        <v>13911</v>
      </c>
      <c r="AT122" s="14">
        <v>15420</v>
      </c>
      <c r="AU122" s="14">
        <v>5</v>
      </c>
      <c r="AV122" s="14">
        <v>254.58</v>
      </c>
      <c r="AW122" s="14">
        <v>30.82</v>
      </c>
      <c r="AX122" s="14">
        <v>1.88</v>
      </c>
      <c r="AY122" s="14" t="b">
        <v>0</v>
      </c>
    </row>
    <row r="123" spans="1:51" hidden="1" x14ac:dyDescent="0.3">
      <c r="A123" t="str">
        <f>CONCATENATE(I123,E123,LEFT(G123,10))</f>
        <v>HFA202LGAV2026-01-14</v>
      </c>
      <c r="B123" s="14" t="s">
        <v>5689</v>
      </c>
      <c r="C123" s="14" t="s">
        <v>336</v>
      </c>
      <c r="D123" s="14" t="s">
        <v>337</v>
      </c>
      <c r="E123" s="14" t="s">
        <v>48</v>
      </c>
      <c r="F123" s="14" t="s">
        <v>43</v>
      </c>
      <c r="G123" s="14" t="s">
        <v>5690</v>
      </c>
      <c r="H123" s="14" t="s">
        <v>436</v>
      </c>
      <c r="I123" s="14" t="s">
        <v>64</v>
      </c>
      <c r="J123" s="14" t="s">
        <v>83</v>
      </c>
      <c r="K123" s="14" t="s">
        <v>340</v>
      </c>
      <c r="L123" s="14" t="s">
        <v>542</v>
      </c>
      <c r="M123" s="16" t="s">
        <v>5691</v>
      </c>
      <c r="N123" s="14" t="s">
        <v>359</v>
      </c>
      <c r="O123" s="14" t="s">
        <v>5692</v>
      </c>
      <c r="P123" s="14">
        <v>210</v>
      </c>
      <c r="Q123" s="14">
        <v>2</v>
      </c>
      <c r="R123" s="14">
        <v>525</v>
      </c>
      <c r="S123" s="14" t="s">
        <v>5693</v>
      </c>
      <c r="T123" s="14" t="s">
        <v>5694</v>
      </c>
      <c r="U123" s="14">
        <v>2.2313888888888802</v>
      </c>
      <c r="V123" s="14">
        <v>2.4141666666666599</v>
      </c>
      <c r="W123" s="14">
        <v>1456</v>
      </c>
      <c r="X123" s="14">
        <v>80</v>
      </c>
      <c r="Y123" s="14">
        <v>1376</v>
      </c>
      <c r="Z123" s="14">
        <v>1544</v>
      </c>
      <c r="AA123" s="14">
        <v>239</v>
      </c>
      <c r="AB123" s="14">
        <v>236</v>
      </c>
      <c r="AC123" s="14">
        <v>1000</v>
      </c>
      <c r="AD123" s="14">
        <v>69</v>
      </c>
      <c r="AE123" s="14">
        <v>3000</v>
      </c>
      <c r="AF123" s="14">
        <v>5000</v>
      </c>
      <c r="AG123" s="14">
        <v>4600</v>
      </c>
      <c r="AH123" s="14">
        <v>0</v>
      </c>
      <c r="AI123" s="14">
        <v>130</v>
      </c>
      <c r="AJ123" s="14">
        <v>284</v>
      </c>
      <c r="AK123" s="14" t="s">
        <v>5690</v>
      </c>
      <c r="AL123" s="14" t="s">
        <v>5695</v>
      </c>
      <c r="AM123" s="14">
        <v>656.69</v>
      </c>
      <c r="AN123" s="14">
        <v>624.6</v>
      </c>
      <c r="AO123" s="14">
        <v>54.99</v>
      </c>
      <c r="AP123" s="14">
        <v>16730</v>
      </c>
      <c r="AQ123" s="14">
        <v>16650</v>
      </c>
      <c r="AR123" s="14">
        <v>23000</v>
      </c>
      <c r="AS123" s="14">
        <v>13730</v>
      </c>
      <c r="AT123" s="14">
        <v>15274</v>
      </c>
      <c r="AU123" s="14">
        <v>37</v>
      </c>
      <c r="AV123" s="14">
        <v>324.7</v>
      </c>
      <c r="AW123" s="14">
        <v>44.47</v>
      </c>
      <c r="AX123" s="14">
        <v>1.97</v>
      </c>
      <c r="AY123" s="14" t="b">
        <v>0</v>
      </c>
    </row>
    <row r="124" spans="1:51" hidden="1" x14ac:dyDescent="0.3">
      <c r="A124" t="str">
        <f>CONCATENATE(I124,E124,LEFT(G124,10))</f>
        <v>HFA202LGAV2026-03-15</v>
      </c>
      <c r="B124" s="14" t="s">
        <v>780</v>
      </c>
      <c r="C124" s="14" t="s">
        <v>336</v>
      </c>
      <c r="D124" s="14" t="s">
        <v>337</v>
      </c>
      <c r="E124" s="14" t="s">
        <v>48</v>
      </c>
      <c r="F124" s="14" t="s">
        <v>83</v>
      </c>
      <c r="G124" s="14" t="s">
        <v>781</v>
      </c>
      <c r="H124" s="14" t="s">
        <v>339</v>
      </c>
      <c r="I124" s="14" t="s">
        <v>64</v>
      </c>
      <c r="J124" s="14" t="s">
        <v>87</v>
      </c>
      <c r="K124" s="14" t="s">
        <v>471</v>
      </c>
      <c r="L124" s="14" t="s">
        <v>341</v>
      </c>
      <c r="M124" s="16" t="s">
        <v>782</v>
      </c>
      <c r="N124" s="14"/>
      <c r="O124" s="14" t="s">
        <v>783</v>
      </c>
      <c r="P124" s="14">
        <v>190</v>
      </c>
      <c r="Q124" s="14">
        <v>2</v>
      </c>
      <c r="R124" s="14">
        <v>2500</v>
      </c>
      <c r="S124" s="14" t="s">
        <v>784</v>
      </c>
      <c r="T124" s="14" t="s">
        <v>785</v>
      </c>
      <c r="U124" s="14">
        <v>2.3416666666666601</v>
      </c>
      <c r="V124" s="14">
        <v>2.5502777777777701</v>
      </c>
      <c r="W124" s="14">
        <v>1674</v>
      </c>
      <c r="X124" s="14">
        <v>80</v>
      </c>
      <c r="Y124" s="14">
        <v>1594</v>
      </c>
      <c r="Z124" s="14">
        <v>1726</v>
      </c>
      <c r="AA124" s="14">
        <v>643</v>
      </c>
      <c r="AB124" s="14">
        <v>252</v>
      </c>
      <c r="AC124" s="14">
        <v>751</v>
      </c>
      <c r="AD124" s="14">
        <v>80</v>
      </c>
      <c r="AE124" s="14">
        <v>3400</v>
      </c>
      <c r="AF124" s="14">
        <v>5000</v>
      </c>
      <c r="AG124" s="14">
        <v>5289</v>
      </c>
      <c r="AH124" s="14">
        <v>0</v>
      </c>
      <c r="AI124" s="14">
        <v>143</v>
      </c>
      <c r="AJ124" s="14">
        <v>306</v>
      </c>
      <c r="AK124" s="14" t="s">
        <v>781</v>
      </c>
      <c r="AL124" s="14" t="s">
        <v>786</v>
      </c>
      <c r="AM124" s="14">
        <v>669.98</v>
      </c>
      <c r="AN124" s="14">
        <v>645.11</v>
      </c>
      <c r="AO124" s="14">
        <v>215.31</v>
      </c>
      <c r="AP124" s="14">
        <v>19225</v>
      </c>
      <c r="AQ124" s="14">
        <v>19145</v>
      </c>
      <c r="AR124" s="14">
        <v>23000</v>
      </c>
      <c r="AS124" s="14">
        <v>15825</v>
      </c>
      <c r="AT124" s="14">
        <v>17551</v>
      </c>
      <c r="AU124" s="14">
        <v>16</v>
      </c>
      <c r="AV124" s="14">
        <v>276.89</v>
      </c>
      <c r="AW124" s="14">
        <v>18</v>
      </c>
      <c r="AX124" s="14">
        <v>-0.66</v>
      </c>
      <c r="AY124" s="14" t="b">
        <v>0</v>
      </c>
    </row>
    <row r="125" spans="1:51" hidden="1" x14ac:dyDescent="0.3">
      <c r="A125" t="str">
        <f>CONCATENATE(I125,E125,LEFT(G125,10))</f>
        <v>HFA203LLBG2026-03-15</v>
      </c>
      <c r="B125" s="14" t="s">
        <v>765</v>
      </c>
      <c r="C125" s="14" t="s">
        <v>336</v>
      </c>
      <c r="D125" s="14" t="s">
        <v>337</v>
      </c>
      <c r="E125" s="14" t="s">
        <v>83</v>
      </c>
      <c r="F125" s="14" t="s">
        <v>87</v>
      </c>
      <c r="G125" s="14" t="s">
        <v>766</v>
      </c>
      <c r="H125" s="14" t="s">
        <v>339</v>
      </c>
      <c r="I125" s="14" t="s">
        <v>257</v>
      </c>
      <c r="J125" s="14" t="s">
        <v>69</v>
      </c>
      <c r="K125" s="14" t="s">
        <v>471</v>
      </c>
      <c r="L125" s="14" t="s">
        <v>341</v>
      </c>
      <c r="M125" s="16" t="s">
        <v>767</v>
      </c>
      <c r="N125" s="14" t="s">
        <v>768</v>
      </c>
      <c r="O125" s="14" t="s">
        <v>769</v>
      </c>
      <c r="P125" s="14">
        <v>160</v>
      </c>
      <c r="Q125" s="14">
        <v>2</v>
      </c>
      <c r="R125" s="14">
        <v>7000</v>
      </c>
      <c r="S125" s="14" t="s">
        <v>770</v>
      </c>
      <c r="T125" s="14" t="s">
        <v>771</v>
      </c>
      <c r="U125" s="14">
        <v>0.93361111111111095</v>
      </c>
      <c r="V125" s="14">
        <v>1.2438888888888799</v>
      </c>
      <c r="W125" s="14">
        <v>997</v>
      </c>
      <c r="X125" s="14">
        <v>80</v>
      </c>
      <c r="Y125" s="14">
        <v>917</v>
      </c>
      <c r="Z125" s="14">
        <v>803</v>
      </c>
      <c r="AA125" s="14">
        <v>357</v>
      </c>
      <c r="AB125" s="14">
        <v>283</v>
      </c>
      <c r="AC125" s="14">
        <v>115</v>
      </c>
      <c r="AD125" s="14">
        <v>47</v>
      </c>
      <c r="AE125" s="14">
        <v>1800</v>
      </c>
      <c r="AF125" s="14">
        <v>5000</v>
      </c>
      <c r="AG125" s="14">
        <v>3152</v>
      </c>
      <c r="AH125" s="14">
        <v>0</v>
      </c>
      <c r="AI125" s="14">
        <v>76</v>
      </c>
      <c r="AJ125" s="14">
        <v>143</v>
      </c>
      <c r="AK125" s="14" t="s">
        <v>766</v>
      </c>
      <c r="AL125" s="14" t="s">
        <v>772</v>
      </c>
      <c r="AM125" s="14">
        <v>301.74</v>
      </c>
      <c r="AN125" s="14">
        <v>183.03</v>
      </c>
      <c r="AO125" s="14">
        <v>73.5</v>
      </c>
      <c r="AP125" s="14">
        <v>22125</v>
      </c>
      <c r="AQ125" s="14">
        <v>22045</v>
      </c>
      <c r="AR125" s="14">
        <v>23000</v>
      </c>
      <c r="AS125" s="14">
        <v>20325</v>
      </c>
      <c r="AT125" s="14">
        <v>21128</v>
      </c>
      <c r="AU125" s="14">
        <v>-9</v>
      </c>
      <c r="AV125" s="14">
        <v>269.48</v>
      </c>
      <c r="AW125" s="14">
        <v>27.42</v>
      </c>
      <c r="AX125" s="14">
        <v>-0.14000000000000001</v>
      </c>
      <c r="AY125" s="14" t="b">
        <v>0</v>
      </c>
    </row>
    <row r="126" spans="1:51" hidden="1" x14ac:dyDescent="0.3">
      <c r="A126" t="str">
        <f>CONCATENATE(I126,E126,LEFT(G126,10))</f>
        <v>HFA204LCLK2026-03-16</v>
      </c>
      <c r="B126" s="14" t="s">
        <v>2411</v>
      </c>
      <c r="C126" s="14" t="s">
        <v>336</v>
      </c>
      <c r="D126" s="14" t="s">
        <v>337</v>
      </c>
      <c r="E126" s="14" t="s">
        <v>87</v>
      </c>
      <c r="F126" s="14" t="s">
        <v>83</v>
      </c>
      <c r="G126" s="14" t="s">
        <v>2412</v>
      </c>
      <c r="H126" s="14" t="s">
        <v>339</v>
      </c>
      <c r="I126" s="14" t="s">
        <v>113</v>
      </c>
      <c r="J126" s="14" t="s">
        <v>87</v>
      </c>
      <c r="K126" s="14" t="s">
        <v>471</v>
      </c>
      <c r="L126" s="14" t="s">
        <v>341</v>
      </c>
      <c r="M126" s="16" t="s">
        <v>2413</v>
      </c>
      <c r="N126" s="14"/>
      <c r="O126" s="14" t="s">
        <v>509</v>
      </c>
      <c r="P126" s="14">
        <v>150</v>
      </c>
      <c r="Q126" s="14">
        <v>2</v>
      </c>
      <c r="R126" s="14">
        <v>3900</v>
      </c>
      <c r="S126" s="14"/>
      <c r="T126" s="14"/>
      <c r="U126" s="14"/>
      <c r="V126" s="14"/>
      <c r="W126" s="14">
        <v>897</v>
      </c>
      <c r="X126" s="14">
        <v>80</v>
      </c>
      <c r="Y126" s="14">
        <v>817</v>
      </c>
      <c r="Z126" s="14">
        <v>2603</v>
      </c>
      <c r="AA126" s="14">
        <v>944</v>
      </c>
      <c r="AB126" s="14">
        <v>271</v>
      </c>
      <c r="AC126" s="14">
        <v>1343</v>
      </c>
      <c r="AD126" s="14">
        <v>45</v>
      </c>
      <c r="AE126" s="14">
        <v>3500</v>
      </c>
      <c r="AF126" s="14">
        <v>5000</v>
      </c>
      <c r="AG126" s="14">
        <v>2835</v>
      </c>
      <c r="AH126" s="14">
        <v>0</v>
      </c>
      <c r="AI126" s="14">
        <v>65</v>
      </c>
      <c r="AJ126" s="14">
        <v>287</v>
      </c>
      <c r="AK126" s="14" t="s">
        <v>2412</v>
      </c>
      <c r="AL126" s="14" t="s">
        <v>2414</v>
      </c>
      <c r="AM126" s="14">
        <v>278.31</v>
      </c>
      <c r="AN126" s="14">
        <v>183.03</v>
      </c>
      <c r="AO126" s="14">
        <v>300.19</v>
      </c>
      <c r="AP126" s="14">
        <v>20725</v>
      </c>
      <c r="AQ126" s="14">
        <v>20645</v>
      </c>
      <c r="AR126" s="14">
        <v>23000</v>
      </c>
      <c r="AS126" s="14">
        <v>17225</v>
      </c>
      <c r="AT126" s="14">
        <v>19828</v>
      </c>
      <c r="AU126" s="14">
        <v>6</v>
      </c>
      <c r="AV126" s="14">
        <v>282.41000000000003</v>
      </c>
      <c r="AW126" s="14">
        <v>22.04</v>
      </c>
      <c r="AX126" s="14">
        <v>0.72</v>
      </c>
      <c r="AY126" s="14" t="b">
        <v>0</v>
      </c>
    </row>
    <row r="127" spans="1:51" hidden="1" x14ac:dyDescent="0.3">
      <c r="A127" t="str">
        <f>CONCATENATE(I127,E127,LEFT(G127,10))</f>
        <v>HFA204LLBG2026-01-14</v>
      </c>
      <c r="B127" s="14" t="s">
        <v>5803</v>
      </c>
      <c r="C127" s="14" t="s">
        <v>336</v>
      </c>
      <c r="D127" s="14" t="s">
        <v>337</v>
      </c>
      <c r="E127" s="14" t="s">
        <v>83</v>
      </c>
      <c r="F127" s="14" t="s">
        <v>43</v>
      </c>
      <c r="G127" s="14" t="s">
        <v>5804</v>
      </c>
      <c r="H127" s="14" t="s">
        <v>393</v>
      </c>
      <c r="I127" s="14" t="s">
        <v>113</v>
      </c>
      <c r="J127" s="14" t="s">
        <v>83</v>
      </c>
      <c r="K127" s="14" t="s">
        <v>340</v>
      </c>
      <c r="L127" s="14" t="s">
        <v>542</v>
      </c>
      <c r="M127" s="16" t="s">
        <v>5805</v>
      </c>
      <c r="N127" s="14"/>
      <c r="O127" s="14" t="s">
        <v>2349</v>
      </c>
      <c r="P127" s="14">
        <v>50</v>
      </c>
      <c r="Q127" s="14">
        <v>2</v>
      </c>
      <c r="R127" s="14">
        <v>800</v>
      </c>
      <c r="S127" s="14" t="s">
        <v>5806</v>
      </c>
      <c r="T127" s="14" t="s">
        <v>5807</v>
      </c>
      <c r="U127" s="14">
        <v>0.386388888888888</v>
      </c>
      <c r="V127" s="14">
        <v>0.67361111111111105</v>
      </c>
      <c r="W127" s="14">
        <v>330</v>
      </c>
      <c r="X127" s="14">
        <v>80</v>
      </c>
      <c r="Y127" s="14">
        <v>250</v>
      </c>
      <c r="Z127" s="14">
        <v>1140</v>
      </c>
      <c r="AA127" s="14">
        <v>253</v>
      </c>
      <c r="AB127" s="14">
        <v>236</v>
      </c>
      <c r="AC127" s="14">
        <v>613</v>
      </c>
      <c r="AD127" s="14">
        <v>39</v>
      </c>
      <c r="AE127" s="14">
        <v>1470</v>
      </c>
      <c r="AF127" s="14">
        <v>5000</v>
      </c>
      <c r="AG127" s="14">
        <v>1041</v>
      </c>
      <c r="AH127" s="14">
        <v>0</v>
      </c>
      <c r="AI127" s="14">
        <v>17</v>
      </c>
      <c r="AJ127" s="14">
        <v>116</v>
      </c>
      <c r="AK127" s="14" t="s">
        <v>5804</v>
      </c>
      <c r="AL127" s="14" t="s">
        <v>5808</v>
      </c>
      <c r="AM127" s="14">
        <v>54.6</v>
      </c>
      <c r="AN127" s="14">
        <v>48.59</v>
      </c>
      <c r="AO127" s="14">
        <v>54.99</v>
      </c>
      <c r="AP127" s="14">
        <v>15581</v>
      </c>
      <c r="AQ127" s="14">
        <v>15501</v>
      </c>
      <c r="AR127" s="14">
        <v>23000</v>
      </c>
      <c r="AS127" s="14">
        <v>14111</v>
      </c>
      <c r="AT127" s="14">
        <v>15251</v>
      </c>
      <c r="AU127" s="14">
        <v>-3</v>
      </c>
      <c r="AV127" s="14">
        <v>292.83</v>
      </c>
      <c r="AW127" s="14">
        <v>19.829999999999998</v>
      </c>
      <c r="AX127" s="14">
        <v>-3.9</v>
      </c>
      <c r="AY127" s="14" t="b">
        <v>0</v>
      </c>
    </row>
    <row r="128" spans="1:51" hidden="1" x14ac:dyDescent="0.3">
      <c r="A128" t="str">
        <f>CONCATENATE(I128,E128,LEFT(G128,10))</f>
        <v>HFA205LLBG2026-03-16</v>
      </c>
      <c r="B128" s="14" t="s">
        <v>1650</v>
      </c>
      <c r="C128" s="14" t="s">
        <v>336</v>
      </c>
      <c r="D128" s="14" t="s">
        <v>337</v>
      </c>
      <c r="E128" s="14" t="s">
        <v>83</v>
      </c>
      <c r="F128" s="14" t="s">
        <v>48</v>
      </c>
      <c r="G128" s="14" t="s">
        <v>1651</v>
      </c>
      <c r="H128" s="14" t="s">
        <v>339</v>
      </c>
      <c r="I128" s="14" t="s">
        <v>258</v>
      </c>
      <c r="J128" s="14"/>
      <c r="K128" s="14" t="s">
        <v>471</v>
      </c>
      <c r="L128" s="14" t="s">
        <v>341</v>
      </c>
      <c r="M128" s="16" t="s">
        <v>1652</v>
      </c>
      <c r="N128" s="14"/>
      <c r="O128" s="14" t="s">
        <v>495</v>
      </c>
      <c r="P128" s="14">
        <v>160</v>
      </c>
      <c r="Q128" s="14">
        <v>2</v>
      </c>
      <c r="R128" s="14">
        <v>0</v>
      </c>
      <c r="S128" s="14" t="s">
        <v>1653</v>
      </c>
      <c r="T128" s="14"/>
      <c r="U128" s="14"/>
      <c r="V128" s="14"/>
      <c r="W128" s="14">
        <v>2063</v>
      </c>
      <c r="X128" s="14">
        <v>80</v>
      </c>
      <c r="Y128" s="14">
        <v>1983</v>
      </c>
      <c r="Z128" s="14">
        <v>837</v>
      </c>
      <c r="AA128" s="14">
        <v>140</v>
      </c>
      <c r="AB128" s="14">
        <v>280</v>
      </c>
      <c r="AC128" s="14">
        <v>317</v>
      </c>
      <c r="AD128" s="14">
        <v>99</v>
      </c>
      <c r="AE128" s="14">
        <v>2900</v>
      </c>
      <c r="AF128" s="14">
        <v>5000</v>
      </c>
      <c r="AG128" s="14">
        <v>6520</v>
      </c>
      <c r="AH128" s="14">
        <v>0</v>
      </c>
      <c r="AI128" s="14">
        <v>167</v>
      </c>
      <c r="AJ128" s="14">
        <v>250</v>
      </c>
      <c r="AK128" s="14" t="s">
        <v>1651</v>
      </c>
      <c r="AL128" s="14" t="s">
        <v>1654</v>
      </c>
      <c r="AM128" s="14">
        <v>688.45</v>
      </c>
      <c r="AN128" s="14">
        <v>645.11</v>
      </c>
      <c r="AO128" s="14">
        <v>0</v>
      </c>
      <c r="AP128" s="14">
        <v>22927</v>
      </c>
      <c r="AQ128" s="14">
        <v>22847</v>
      </c>
      <c r="AR128" s="14">
        <v>23000</v>
      </c>
      <c r="AS128" s="14">
        <v>20027</v>
      </c>
      <c r="AT128" s="14">
        <v>20864</v>
      </c>
      <c r="AU128" s="14">
        <v>-15</v>
      </c>
      <c r="AV128" s="14">
        <v>277.10000000000002</v>
      </c>
      <c r="AW128" s="14">
        <v>17.55</v>
      </c>
      <c r="AX128" s="14">
        <v>0.71</v>
      </c>
      <c r="AY128" s="14" t="b">
        <v>0</v>
      </c>
    </row>
    <row r="129" spans="1:51" hidden="1" x14ac:dyDescent="0.3">
      <c r="A129" t="str">
        <f>CONCATENATE(I129,E129,LEFT(G129,10))</f>
        <v>HFA206LCLK2026-03-16</v>
      </c>
      <c r="B129" s="14" t="s">
        <v>1644</v>
      </c>
      <c r="C129" s="14" t="s">
        <v>336</v>
      </c>
      <c r="D129" s="14" t="s">
        <v>337</v>
      </c>
      <c r="E129" s="14" t="s">
        <v>87</v>
      </c>
      <c r="F129" s="14" t="s">
        <v>83</v>
      </c>
      <c r="G129" s="14" t="s">
        <v>1645</v>
      </c>
      <c r="H129" s="14" t="s">
        <v>371</v>
      </c>
      <c r="I129" s="14" t="s">
        <v>163</v>
      </c>
      <c r="J129" s="14" t="s">
        <v>87</v>
      </c>
      <c r="K129" s="14" t="s">
        <v>471</v>
      </c>
      <c r="L129" s="14" t="s">
        <v>341</v>
      </c>
      <c r="M129" s="16" t="s">
        <v>1646</v>
      </c>
      <c r="N129" s="14"/>
      <c r="O129" s="14" t="s">
        <v>509</v>
      </c>
      <c r="P129" s="14">
        <v>150</v>
      </c>
      <c r="Q129" s="14">
        <v>2</v>
      </c>
      <c r="R129" s="14">
        <v>5100</v>
      </c>
      <c r="S129" s="14" t="s">
        <v>1647</v>
      </c>
      <c r="T129" s="14" t="s">
        <v>1648</v>
      </c>
      <c r="U129" s="14">
        <v>0.96916666666666595</v>
      </c>
      <c r="V129" s="14">
        <v>1.16027777777777</v>
      </c>
      <c r="W129" s="14">
        <v>920</v>
      </c>
      <c r="X129" s="14">
        <v>80</v>
      </c>
      <c r="Y129" s="14">
        <v>840</v>
      </c>
      <c r="Z129" s="14">
        <v>1280</v>
      </c>
      <c r="AA129" s="14">
        <v>946</v>
      </c>
      <c r="AB129" s="14">
        <v>272</v>
      </c>
      <c r="AC129" s="14">
        <v>17</v>
      </c>
      <c r="AD129" s="14">
        <v>45</v>
      </c>
      <c r="AE129" s="14">
        <v>2200</v>
      </c>
      <c r="AF129" s="14">
        <v>5000</v>
      </c>
      <c r="AG129" s="14">
        <v>2909</v>
      </c>
      <c r="AH129" s="14">
        <v>0</v>
      </c>
      <c r="AI129" s="14">
        <v>66</v>
      </c>
      <c r="AJ129" s="14">
        <v>176</v>
      </c>
      <c r="AK129" s="14" t="s">
        <v>1645</v>
      </c>
      <c r="AL129" s="14" t="s">
        <v>1649</v>
      </c>
      <c r="AM129" s="14">
        <v>278.31</v>
      </c>
      <c r="AN129" s="14">
        <v>183.03</v>
      </c>
      <c r="AO129" s="14">
        <v>300.19</v>
      </c>
      <c r="AP129" s="14">
        <v>20800</v>
      </c>
      <c r="AQ129" s="14">
        <v>20720</v>
      </c>
      <c r="AR129" s="14">
        <v>23000</v>
      </c>
      <c r="AS129" s="14">
        <v>18600</v>
      </c>
      <c r="AT129" s="14">
        <v>19880</v>
      </c>
      <c r="AU129" s="14">
        <v>3</v>
      </c>
      <c r="AV129" s="14">
        <v>272.39999999999998</v>
      </c>
      <c r="AW129" s="14">
        <v>17.3</v>
      </c>
      <c r="AX129" s="14">
        <v>2.0699999999999998</v>
      </c>
      <c r="AY129" s="14" t="b">
        <v>0</v>
      </c>
    </row>
    <row r="130" spans="1:51" hidden="1" x14ac:dyDescent="0.3">
      <c r="A130" t="str">
        <f>CONCATENATE(I130,E130,LEFT(G130,10))</f>
        <v>HFA206LLBG2026-01-14</v>
      </c>
      <c r="B130" s="14" t="s">
        <v>5809</v>
      </c>
      <c r="C130" s="14" t="s">
        <v>336</v>
      </c>
      <c r="D130" s="14" t="s">
        <v>337</v>
      </c>
      <c r="E130" s="14" t="s">
        <v>83</v>
      </c>
      <c r="F130" s="14" t="s">
        <v>43</v>
      </c>
      <c r="G130" s="14" t="s">
        <v>5804</v>
      </c>
      <c r="H130" s="14" t="s">
        <v>339</v>
      </c>
      <c r="I130" s="14" t="s">
        <v>163</v>
      </c>
      <c r="J130" s="14" t="s">
        <v>83</v>
      </c>
      <c r="K130" s="14" t="s">
        <v>340</v>
      </c>
      <c r="L130" s="14" t="s">
        <v>542</v>
      </c>
      <c r="M130" s="16" t="s">
        <v>5810</v>
      </c>
      <c r="N130" s="14"/>
      <c r="O130" s="14" t="s">
        <v>2349</v>
      </c>
      <c r="P130" s="14">
        <v>50</v>
      </c>
      <c r="Q130" s="14">
        <v>2</v>
      </c>
      <c r="R130" s="14">
        <v>800</v>
      </c>
      <c r="S130" s="14" t="s">
        <v>5811</v>
      </c>
      <c r="T130" s="14" t="s">
        <v>5812</v>
      </c>
      <c r="U130" s="14">
        <v>0.44416666666666599</v>
      </c>
      <c r="V130" s="14">
        <v>0.68277777777777704</v>
      </c>
      <c r="W130" s="14">
        <v>278</v>
      </c>
      <c r="X130" s="14">
        <v>80</v>
      </c>
      <c r="Y130" s="14">
        <v>198</v>
      </c>
      <c r="Z130" s="14">
        <v>1132</v>
      </c>
      <c r="AA130" s="14">
        <v>241</v>
      </c>
      <c r="AB130" s="14">
        <v>236</v>
      </c>
      <c r="AC130" s="14">
        <v>616</v>
      </c>
      <c r="AD130" s="14">
        <v>39</v>
      </c>
      <c r="AE130" s="14">
        <v>1410</v>
      </c>
      <c r="AF130" s="14">
        <v>5000</v>
      </c>
      <c r="AG130" s="14">
        <v>878</v>
      </c>
      <c r="AH130" s="14">
        <v>0</v>
      </c>
      <c r="AI130" s="14">
        <v>17</v>
      </c>
      <c r="AJ130" s="14">
        <v>120</v>
      </c>
      <c r="AK130" s="14" t="s">
        <v>5804</v>
      </c>
      <c r="AL130" s="14" t="s">
        <v>5813</v>
      </c>
      <c r="AM130" s="14">
        <v>54.6</v>
      </c>
      <c r="AN130" s="14">
        <v>48.59</v>
      </c>
      <c r="AO130" s="14">
        <v>54.99</v>
      </c>
      <c r="AP130" s="14">
        <v>15535</v>
      </c>
      <c r="AQ130" s="14">
        <v>15455</v>
      </c>
      <c r="AR130" s="14">
        <v>23000</v>
      </c>
      <c r="AS130" s="14">
        <v>14125</v>
      </c>
      <c r="AT130" s="14">
        <v>15257</v>
      </c>
      <c r="AU130" s="14">
        <v>-3</v>
      </c>
      <c r="AV130" s="14">
        <v>292.83</v>
      </c>
      <c r="AW130" s="14">
        <v>19.829999999999998</v>
      </c>
      <c r="AX130" s="14">
        <v>-3.9</v>
      </c>
      <c r="AY130" s="14" t="b">
        <v>0</v>
      </c>
    </row>
    <row r="131" spans="1:51" hidden="1" x14ac:dyDescent="0.3">
      <c r="A131" t="str">
        <f>CONCATENATE(I131,E131,LEFT(G131,10))</f>
        <v>HFA207LLBG2026-03-16</v>
      </c>
      <c r="B131" s="14" t="s">
        <v>1638</v>
      </c>
      <c r="C131" s="14" t="s">
        <v>336</v>
      </c>
      <c r="D131" s="14" t="s">
        <v>337</v>
      </c>
      <c r="E131" s="14" t="s">
        <v>83</v>
      </c>
      <c r="F131" s="14" t="s">
        <v>48</v>
      </c>
      <c r="G131" s="14" t="s">
        <v>1639</v>
      </c>
      <c r="H131" s="14" t="s">
        <v>371</v>
      </c>
      <c r="I131" s="14" t="s">
        <v>164</v>
      </c>
      <c r="J131" s="14"/>
      <c r="K131" s="14" t="s">
        <v>471</v>
      </c>
      <c r="L131" s="14" t="s">
        <v>341</v>
      </c>
      <c r="M131" s="16" t="s">
        <v>1640</v>
      </c>
      <c r="N131" s="14"/>
      <c r="O131" s="14" t="s">
        <v>495</v>
      </c>
      <c r="P131" s="14">
        <v>160</v>
      </c>
      <c r="Q131" s="14">
        <v>2</v>
      </c>
      <c r="R131" s="14">
        <v>6800</v>
      </c>
      <c r="S131" s="14" t="s">
        <v>1641</v>
      </c>
      <c r="T131" s="14" t="s">
        <v>1642</v>
      </c>
      <c r="U131" s="14">
        <v>2.8361111111111099</v>
      </c>
      <c r="V131" s="14">
        <v>3.20611111111111</v>
      </c>
      <c r="W131" s="14">
        <v>2113</v>
      </c>
      <c r="X131" s="14">
        <v>80</v>
      </c>
      <c r="Y131" s="14">
        <v>2033</v>
      </c>
      <c r="Z131" s="14">
        <v>587</v>
      </c>
      <c r="AA131" s="14">
        <v>140</v>
      </c>
      <c r="AB131" s="14">
        <v>280</v>
      </c>
      <c r="AC131" s="14">
        <v>65</v>
      </c>
      <c r="AD131" s="14">
        <v>102</v>
      </c>
      <c r="AE131" s="14">
        <v>2700</v>
      </c>
      <c r="AF131" s="14">
        <v>5000</v>
      </c>
      <c r="AG131" s="14">
        <v>6678</v>
      </c>
      <c r="AH131" s="14">
        <v>0</v>
      </c>
      <c r="AI131" s="14">
        <v>168</v>
      </c>
      <c r="AJ131" s="14">
        <v>229</v>
      </c>
      <c r="AK131" s="14" t="s">
        <v>1639</v>
      </c>
      <c r="AL131" s="14" t="s">
        <v>1643</v>
      </c>
      <c r="AM131" s="14">
        <v>688.45</v>
      </c>
      <c r="AN131" s="14">
        <v>645.11</v>
      </c>
      <c r="AO131" s="14">
        <v>0</v>
      </c>
      <c r="AP131" s="14">
        <v>23000</v>
      </c>
      <c r="AQ131" s="14">
        <v>22920</v>
      </c>
      <c r="AR131" s="14">
        <v>23000</v>
      </c>
      <c r="AS131" s="14">
        <v>20300</v>
      </c>
      <c r="AT131" s="14">
        <v>20887</v>
      </c>
      <c r="AU131" s="14">
        <v>-16</v>
      </c>
      <c r="AV131" s="14">
        <v>270.14</v>
      </c>
      <c r="AW131" s="14">
        <v>17.18</v>
      </c>
      <c r="AX131" s="14">
        <v>1.91</v>
      </c>
      <c r="AY131" s="14" t="b">
        <v>0</v>
      </c>
    </row>
    <row r="132" spans="1:51" hidden="1" x14ac:dyDescent="0.3">
      <c r="A132" t="str">
        <f>CONCATENATE(I132,E132,LEFT(G132,10))</f>
        <v>HFA208LGAV2026-03-16</v>
      </c>
      <c r="B132" s="14" t="s">
        <v>1632</v>
      </c>
      <c r="C132" s="14" t="s">
        <v>336</v>
      </c>
      <c r="D132" s="14" t="s">
        <v>337</v>
      </c>
      <c r="E132" s="14" t="s">
        <v>48</v>
      </c>
      <c r="F132" s="14" t="s">
        <v>83</v>
      </c>
      <c r="G132" s="14" t="s">
        <v>1633</v>
      </c>
      <c r="H132" s="14" t="s">
        <v>339</v>
      </c>
      <c r="I132" s="14" t="s">
        <v>136</v>
      </c>
      <c r="J132" s="14" t="s">
        <v>87</v>
      </c>
      <c r="K132" s="14" t="s">
        <v>471</v>
      </c>
      <c r="L132" s="14" t="s">
        <v>341</v>
      </c>
      <c r="M132" s="16" t="s">
        <v>1634</v>
      </c>
      <c r="N132" s="14"/>
      <c r="O132" s="14" t="s">
        <v>1623</v>
      </c>
      <c r="P132" s="14">
        <v>150</v>
      </c>
      <c r="Q132" s="14">
        <v>2</v>
      </c>
      <c r="R132" s="14">
        <v>3800</v>
      </c>
      <c r="S132" s="14" t="s">
        <v>1635</v>
      </c>
      <c r="T132" s="14" t="s">
        <v>1636</v>
      </c>
      <c r="U132" s="14">
        <v>2.42</v>
      </c>
      <c r="V132" s="14">
        <v>2.5863888888888802</v>
      </c>
      <c r="W132" s="14">
        <v>1805</v>
      </c>
      <c r="X132" s="14">
        <v>80</v>
      </c>
      <c r="Y132" s="14">
        <v>1725</v>
      </c>
      <c r="Z132" s="14">
        <v>1495</v>
      </c>
      <c r="AA132" s="14">
        <v>923</v>
      </c>
      <c r="AB132" s="14">
        <v>261</v>
      </c>
      <c r="AC132" s="14">
        <v>225</v>
      </c>
      <c r="AD132" s="14">
        <v>86</v>
      </c>
      <c r="AE132" s="14">
        <v>3300</v>
      </c>
      <c r="AF132" s="14">
        <v>5000</v>
      </c>
      <c r="AG132" s="14">
        <v>5705</v>
      </c>
      <c r="AH132" s="14">
        <v>0</v>
      </c>
      <c r="AI132" s="14">
        <v>147</v>
      </c>
      <c r="AJ132" s="14">
        <v>283</v>
      </c>
      <c r="AK132" s="14" t="s">
        <v>1633</v>
      </c>
      <c r="AL132" s="14" t="s">
        <v>1637</v>
      </c>
      <c r="AM132" s="14">
        <v>682.75</v>
      </c>
      <c r="AN132" s="14">
        <v>645.11</v>
      </c>
      <c r="AO132" s="14">
        <v>300.19</v>
      </c>
      <c r="AP132" s="14">
        <v>20425</v>
      </c>
      <c r="AQ132" s="14">
        <v>20345</v>
      </c>
      <c r="AR132" s="14">
        <v>23000</v>
      </c>
      <c r="AS132" s="14">
        <v>17125</v>
      </c>
      <c r="AT132" s="14">
        <v>18620</v>
      </c>
      <c r="AU132" s="14">
        <v>15</v>
      </c>
      <c r="AV132" s="14">
        <v>272.19</v>
      </c>
      <c r="AW132" s="14">
        <v>20.58</v>
      </c>
      <c r="AX132" s="14">
        <v>1.82</v>
      </c>
      <c r="AY132" s="14" t="b">
        <v>0</v>
      </c>
    </row>
    <row r="133" spans="1:51" hidden="1" x14ac:dyDescent="0.3">
      <c r="A133" t="str">
        <f>CONCATENATE(I133,E133,LEFT(G133,10))</f>
        <v>HFA208LLBG2026-01-13</v>
      </c>
      <c r="B133" s="14" t="s">
        <v>2346</v>
      </c>
      <c r="C133" s="14" t="s">
        <v>336</v>
      </c>
      <c r="D133" s="14" t="s">
        <v>337</v>
      </c>
      <c r="E133" s="14" t="s">
        <v>83</v>
      </c>
      <c r="F133" s="14" t="s">
        <v>43</v>
      </c>
      <c r="G133" s="14" t="s">
        <v>2347</v>
      </c>
      <c r="H133" s="14" t="s">
        <v>371</v>
      </c>
      <c r="I133" s="14" t="s">
        <v>136</v>
      </c>
      <c r="J133" s="14" t="s">
        <v>83</v>
      </c>
      <c r="K133" s="14" t="s">
        <v>340</v>
      </c>
      <c r="L133" s="14" t="s">
        <v>341</v>
      </c>
      <c r="M133" s="16" t="s">
        <v>2348</v>
      </c>
      <c r="N133" s="14"/>
      <c r="O133" s="14" t="s">
        <v>2349</v>
      </c>
      <c r="P133" s="14">
        <v>50</v>
      </c>
      <c r="Q133" s="14">
        <v>2</v>
      </c>
      <c r="R133" s="14">
        <v>800</v>
      </c>
      <c r="S133" s="14" t="s">
        <v>2350</v>
      </c>
      <c r="T133" s="14" t="s">
        <v>2351</v>
      </c>
      <c r="U133" s="14">
        <v>0.57055555555555504</v>
      </c>
      <c r="V133" s="14">
        <v>1.26388888888888</v>
      </c>
      <c r="W133" s="14">
        <v>280</v>
      </c>
      <c r="X133" s="14">
        <v>80</v>
      </c>
      <c r="Y133" s="14">
        <v>200</v>
      </c>
      <c r="Z133" s="14">
        <v>1630</v>
      </c>
      <c r="AA133" s="14">
        <v>666</v>
      </c>
      <c r="AB133" s="14">
        <v>241</v>
      </c>
      <c r="AC133" s="14">
        <v>684</v>
      </c>
      <c r="AD133" s="14">
        <v>40</v>
      </c>
      <c r="AE133" s="14">
        <v>1910</v>
      </c>
      <c r="AF133" s="14">
        <v>5000</v>
      </c>
      <c r="AG133" s="14">
        <v>885</v>
      </c>
      <c r="AH133" s="14">
        <v>0</v>
      </c>
      <c r="AI133" s="14">
        <v>16</v>
      </c>
      <c r="AJ133" s="14">
        <v>162</v>
      </c>
      <c r="AK133" s="14" t="s">
        <v>2347</v>
      </c>
      <c r="AL133" s="14" t="s">
        <v>2352</v>
      </c>
      <c r="AM133" s="14">
        <v>54.6</v>
      </c>
      <c r="AN133" s="14">
        <v>48.59</v>
      </c>
      <c r="AO133" s="14">
        <v>54.99</v>
      </c>
      <c r="AP133" s="14">
        <v>16210</v>
      </c>
      <c r="AQ133" s="14">
        <v>16130</v>
      </c>
      <c r="AR133" s="14">
        <v>23000</v>
      </c>
      <c r="AS133" s="14">
        <v>14300</v>
      </c>
      <c r="AT133" s="14">
        <v>15930</v>
      </c>
      <c r="AU133" s="14">
        <v>2</v>
      </c>
      <c r="AV133" s="14">
        <v>276.98</v>
      </c>
      <c r="AW133" s="14">
        <v>36.49</v>
      </c>
      <c r="AX133" s="14">
        <v>-3.94</v>
      </c>
      <c r="AY133" s="14" t="b">
        <v>0</v>
      </c>
    </row>
    <row r="134" spans="1:51" hidden="1" x14ac:dyDescent="0.3">
      <c r="A134" t="str">
        <f>CONCATENATE(I134,E134,LEFT(G134,10))</f>
        <v>HFA209LLBG2026-03-16</v>
      </c>
      <c r="B134" s="14" t="s">
        <v>1627</v>
      </c>
      <c r="C134" s="14" t="s">
        <v>336</v>
      </c>
      <c r="D134" s="14" t="s">
        <v>337</v>
      </c>
      <c r="E134" s="14" t="s">
        <v>83</v>
      </c>
      <c r="F134" s="14" t="s">
        <v>87</v>
      </c>
      <c r="G134" s="14" t="s">
        <v>1628</v>
      </c>
      <c r="H134" s="14" t="s">
        <v>339</v>
      </c>
      <c r="I134" s="14" t="s">
        <v>259</v>
      </c>
      <c r="J134" s="14" t="s">
        <v>69</v>
      </c>
      <c r="K134" s="14" t="s">
        <v>471</v>
      </c>
      <c r="L134" s="14" t="s">
        <v>341</v>
      </c>
      <c r="M134" s="16" t="s">
        <v>674</v>
      </c>
      <c r="N134" s="14" t="s">
        <v>768</v>
      </c>
      <c r="O134" s="14" t="s">
        <v>474</v>
      </c>
      <c r="P134" s="14">
        <v>160</v>
      </c>
      <c r="Q134" s="14">
        <v>2</v>
      </c>
      <c r="R134" s="14">
        <v>6800</v>
      </c>
      <c r="S134" s="14" t="s">
        <v>1629</v>
      </c>
      <c r="T134" s="14" t="s">
        <v>1630</v>
      </c>
      <c r="U134" s="14">
        <v>1.01416666666666</v>
      </c>
      <c r="V134" s="14">
        <v>1.3188888888888799</v>
      </c>
      <c r="W134" s="14">
        <v>986</v>
      </c>
      <c r="X134" s="14">
        <v>80</v>
      </c>
      <c r="Y134" s="14">
        <v>906</v>
      </c>
      <c r="Z134" s="14">
        <v>1014</v>
      </c>
      <c r="AA134" s="14">
        <v>339</v>
      </c>
      <c r="AB134" s="14">
        <v>283</v>
      </c>
      <c r="AC134" s="14">
        <v>345</v>
      </c>
      <c r="AD134" s="14">
        <v>47</v>
      </c>
      <c r="AE134" s="14">
        <v>2000</v>
      </c>
      <c r="AF134" s="14">
        <v>5000</v>
      </c>
      <c r="AG134" s="14">
        <v>3115</v>
      </c>
      <c r="AH134" s="14">
        <v>0</v>
      </c>
      <c r="AI134" s="14">
        <v>77</v>
      </c>
      <c r="AJ134" s="14">
        <v>163</v>
      </c>
      <c r="AK134" s="14" t="s">
        <v>1628</v>
      </c>
      <c r="AL134" s="14" t="s">
        <v>1631</v>
      </c>
      <c r="AM134" s="14">
        <v>301.74</v>
      </c>
      <c r="AN134" s="14">
        <v>183.03</v>
      </c>
      <c r="AO134" s="14">
        <v>73.5</v>
      </c>
      <c r="AP134" s="14">
        <v>22125</v>
      </c>
      <c r="AQ134" s="14">
        <v>22045</v>
      </c>
      <c r="AR134" s="14">
        <v>23000</v>
      </c>
      <c r="AS134" s="14">
        <v>20125</v>
      </c>
      <c r="AT134" s="14">
        <v>21139</v>
      </c>
      <c r="AU134" s="14">
        <v>-9</v>
      </c>
      <c r="AV134" s="14">
        <v>273.38</v>
      </c>
      <c r="AW134" s="14">
        <v>28.7</v>
      </c>
      <c r="AX134" s="14">
        <v>3.82</v>
      </c>
      <c r="AY134" s="14" t="b">
        <v>0</v>
      </c>
    </row>
    <row r="135" spans="1:51" hidden="1" x14ac:dyDescent="0.3">
      <c r="A135" t="str">
        <f>CONCATENATE(I135,E135,LEFT(G135,10))</f>
        <v>HFA210LGAV2026-03-16</v>
      </c>
      <c r="B135" s="14" t="s">
        <v>1621</v>
      </c>
      <c r="C135" s="14" t="s">
        <v>336</v>
      </c>
      <c r="D135" s="14" t="s">
        <v>337</v>
      </c>
      <c r="E135" s="14" t="s">
        <v>48</v>
      </c>
      <c r="F135" s="14" t="s">
        <v>83</v>
      </c>
      <c r="G135" s="14" t="s">
        <v>1622</v>
      </c>
      <c r="H135" s="14" t="s">
        <v>371</v>
      </c>
      <c r="I135" s="14" t="s">
        <v>165</v>
      </c>
      <c r="J135" s="14" t="s">
        <v>87</v>
      </c>
      <c r="K135" s="14" t="s">
        <v>471</v>
      </c>
      <c r="L135" s="14" t="s">
        <v>341</v>
      </c>
      <c r="M135" s="16" t="s">
        <v>674</v>
      </c>
      <c r="N135" s="14"/>
      <c r="O135" s="14" t="s">
        <v>1623</v>
      </c>
      <c r="P135" s="14">
        <v>150</v>
      </c>
      <c r="Q135" s="14">
        <v>2</v>
      </c>
      <c r="R135" s="14">
        <v>1800</v>
      </c>
      <c r="S135" s="14" t="s">
        <v>1624</v>
      </c>
      <c r="T135" s="14" t="s">
        <v>1625</v>
      </c>
      <c r="U135" s="14">
        <v>2.4005555555555498</v>
      </c>
      <c r="V135" s="14">
        <v>2.65638888888888</v>
      </c>
      <c r="W135" s="14">
        <v>1835</v>
      </c>
      <c r="X135" s="14">
        <v>80</v>
      </c>
      <c r="Y135" s="14">
        <v>1755</v>
      </c>
      <c r="Z135" s="14">
        <v>1465</v>
      </c>
      <c r="AA135" s="14">
        <v>907</v>
      </c>
      <c r="AB135" s="14">
        <v>246</v>
      </c>
      <c r="AC135" s="14">
        <v>224</v>
      </c>
      <c r="AD135" s="14">
        <v>88</v>
      </c>
      <c r="AE135" s="14">
        <v>3300</v>
      </c>
      <c r="AF135" s="14">
        <v>5000</v>
      </c>
      <c r="AG135" s="14">
        <v>5798</v>
      </c>
      <c r="AH135" s="14">
        <v>0</v>
      </c>
      <c r="AI135" s="14">
        <v>147</v>
      </c>
      <c r="AJ135" s="14">
        <v>280</v>
      </c>
      <c r="AK135" s="14" t="s">
        <v>1622</v>
      </c>
      <c r="AL135" s="14" t="s">
        <v>1626</v>
      </c>
      <c r="AM135" s="14">
        <v>682.75</v>
      </c>
      <c r="AN135" s="14">
        <v>645.11</v>
      </c>
      <c r="AO135" s="14">
        <v>300.19</v>
      </c>
      <c r="AP135" s="14">
        <v>18600</v>
      </c>
      <c r="AQ135" s="14">
        <v>18520</v>
      </c>
      <c r="AR135" s="14">
        <v>23000</v>
      </c>
      <c r="AS135" s="14">
        <v>15300</v>
      </c>
      <c r="AT135" s="14">
        <v>16765</v>
      </c>
      <c r="AU135" s="14">
        <v>14</v>
      </c>
      <c r="AV135" s="14">
        <v>270.27</v>
      </c>
      <c r="AW135" s="14">
        <v>19</v>
      </c>
      <c r="AX135" s="14">
        <v>2.4500000000000002</v>
      </c>
      <c r="AY135" s="14" t="b">
        <v>0</v>
      </c>
    </row>
    <row r="136" spans="1:51" hidden="1" x14ac:dyDescent="0.3">
      <c r="A136" t="str">
        <f>CONCATENATE(I136,E136,LEFT(G136,10))</f>
        <v>HFA211LLBG2026-03-16</v>
      </c>
      <c r="B136" s="14" t="s">
        <v>1616</v>
      </c>
      <c r="C136" s="14" t="s">
        <v>336</v>
      </c>
      <c r="D136" s="14" t="s">
        <v>337</v>
      </c>
      <c r="E136" s="14" t="s">
        <v>83</v>
      </c>
      <c r="F136" s="14" t="s">
        <v>87</v>
      </c>
      <c r="G136" s="14" t="s">
        <v>1617</v>
      </c>
      <c r="H136" s="14" t="s">
        <v>371</v>
      </c>
      <c r="I136" s="14" t="s">
        <v>166</v>
      </c>
      <c r="J136" s="14" t="s">
        <v>69</v>
      </c>
      <c r="K136" s="14" t="s">
        <v>471</v>
      </c>
      <c r="L136" s="14" t="s">
        <v>341</v>
      </c>
      <c r="M136" s="16" t="s">
        <v>674</v>
      </c>
      <c r="N136" s="14" t="s">
        <v>768</v>
      </c>
      <c r="O136" s="14" t="s">
        <v>474</v>
      </c>
      <c r="P136" s="14">
        <v>160</v>
      </c>
      <c r="Q136" s="14">
        <v>2</v>
      </c>
      <c r="R136" s="14">
        <v>6500</v>
      </c>
      <c r="S136" s="14" t="s">
        <v>1618</v>
      </c>
      <c r="T136" s="14" t="s">
        <v>1619</v>
      </c>
      <c r="U136" s="14">
        <v>1.22888888888888</v>
      </c>
      <c r="V136" s="14">
        <v>1.6513888888888799</v>
      </c>
      <c r="W136" s="14">
        <v>985</v>
      </c>
      <c r="X136" s="14">
        <v>80</v>
      </c>
      <c r="Y136" s="14">
        <v>905</v>
      </c>
      <c r="Z136" s="14">
        <v>1015</v>
      </c>
      <c r="AA136" s="14">
        <v>343</v>
      </c>
      <c r="AB136" s="14">
        <v>282</v>
      </c>
      <c r="AC136" s="14">
        <v>343</v>
      </c>
      <c r="AD136" s="14">
        <v>47</v>
      </c>
      <c r="AE136" s="14">
        <v>2000</v>
      </c>
      <c r="AF136" s="14">
        <v>5000</v>
      </c>
      <c r="AG136" s="14">
        <v>3113</v>
      </c>
      <c r="AH136" s="14">
        <v>0</v>
      </c>
      <c r="AI136" s="14">
        <v>75</v>
      </c>
      <c r="AJ136" s="14">
        <v>160</v>
      </c>
      <c r="AK136" s="14" t="s">
        <v>1617</v>
      </c>
      <c r="AL136" s="14" t="s">
        <v>1620</v>
      </c>
      <c r="AM136" s="14">
        <v>301.74</v>
      </c>
      <c r="AN136" s="14">
        <v>183.03</v>
      </c>
      <c r="AO136" s="14">
        <v>73.5</v>
      </c>
      <c r="AP136" s="14">
        <v>22000</v>
      </c>
      <c r="AQ136" s="14">
        <v>21920</v>
      </c>
      <c r="AR136" s="14">
        <v>23000</v>
      </c>
      <c r="AS136" s="14">
        <v>20000</v>
      </c>
      <c r="AT136" s="14">
        <v>21015</v>
      </c>
      <c r="AU136" s="14">
        <v>-4</v>
      </c>
      <c r="AV136" s="14">
        <v>257.47000000000003</v>
      </c>
      <c r="AW136" s="14">
        <v>27.47</v>
      </c>
      <c r="AX136" s="14">
        <v>4.13</v>
      </c>
      <c r="AY136" s="14" t="b">
        <v>0</v>
      </c>
    </row>
    <row r="137" spans="1:51" hidden="1" x14ac:dyDescent="0.3">
      <c r="A137" t="str">
        <f>CONCATENATE(I137,E137,LEFT(G137,10))</f>
        <v>HFA212LCLK2026-03-17</v>
      </c>
      <c r="B137" s="14" t="s">
        <v>506</v>
      </c>
      <c r="C137" s="14" t="s">
        <v>336</v>
      </c>
      <c r="D137" s="14" t="s">
        <v>337</v>
      </c>
      <c r="E137" s="14" t="s">
        <v>87</v>
      </c>
      <c r="F137" s="14" t="s">
        <v>83</v>
      </c>
      <c r="G137" s="14" t="s">
        <v>507</v>
      </c>
      <c r="H137" s="14" t="s">
        <v>357</v>
      </c>
      <c r="I137" s="14" t="s">
        <v>200</v>
      </c>
      <c r="J137" s="14" t="s">
        <v>87</v>
      </c>
      <c r="K137" s="14" t="s">
        <v>471</v>
      </c>
      <c r="L137" s="14" t="s">
        <v>341</v>
      </c>
      <c r="M137" s="16" t="s">
        <v>508</v>
      </c>
      <c r="N137" s="14" t="s">
        <v>359</v>
      </c>
      <c r="O137" s="14" t="s">
        <v>509</v>
      </c>
      <c r="P137" s="14">
        <v>150</v>
      </c>
      <c r="Q137" s="14">
        <v>2</v>
      </c>
      <c r="R137" s="14">
        <v>2100</v>
      </c>
      <c r="S137" s="14" t="s">
        <v>510</v>
      </c>
      <c r="T137" s="14" t="s">
        <v>511</v>
      </c>
      <c r="U137" s="14">
        <v>0.913333333333333</v>
      </c>
      <c r="V137" s="14">
        <v>1.10194444444444</v>
      </c>
      <c r="W137" s="14">
        <v>881</v>
      </c>
      <c r="X137" s="14">
        <v>80</v>
      </c>
      <c r="Y137" s="14">
        <v>801</v>
      </c>
      <c r="Z137" s="14">
        <v>1719</v>
      </c>
      <c r="AA137" s="14">
        <v>869</v>
      </c>
      <c r="AB137" s="14">
        <v>248</v>
      </c>
      <c r="AC137" s="14">
        <v>561</v>
      </c>
      <c r="AD137" s="14">
        <v>41</v>
      </c>
      <c r="AE137" s="14">
        <v>2600</v>
      </c>
      <c r="AF137" s="14">
        <v>5000</v>
      </c>
      <c r="AG137" s="14">
        <v>2784</v>
      </c>
      <c r="AH137" s="14">
        <v>0</v>
      </c>
      <c r="AI137" s="14">
        <v>67</v>
      </c>
      <c r="AJ137" s="14">
        <v>221</v>
      </c>
      <c r="AK137" s="14" t="s">
        <v>507</v>
      </c>
      <c r="AL137" s="14" t="s">
        <v>512</v>
      </c>
      <c r="AM137" s="14">
        <v>278.31</v>
      </c>
      <c r="AN137" s="14">
        <v>183.03</v>
      </c>
      <c r="AO137" s="14">
        <v>300.19</v>
      </c>
      <c r="AP137" s="14">
        <v>17925</v>
      </c>
      <c r="AQ137" s="14">
        <v>17845</v>
      </c>
      <c r="AR137" s="14">
        <v>23000</v>
      </c>
      <c r="AS137" s="14">
        <v>15325</v>
      </c>
      <c r="AT137" s="14">
        <v>17044</v>
      </c>
      <c r="AU137" s="14">
        <v>-1</v>
      </c>
      <c r="AV137" s="14">
        <v>254.35</v>
      </c>
      <c r="AW137" s="14">
        <v>16.82</v>
      </c>
      <c r="AX137" s="14">
        <v>3.77</v>
      </c>
      <c r="AY137" s="14" t="b">
        <v>0</v>
      </c>
    </row>
    <row r="138" spans="1:51" hidden="1" x14ac:dyDescent="0.3">
      <c r="A138" t="str">
        <f>CONCATENATE(I138,E138,LEFT(G138,10))</f>
        <v>HFA213LLBG2026-03-17</v>
      </c>
      <c r="B138" s="14" t="s">
        <v>492</v>
      </c>
      <c r="C138" s="14" t="s">
        <v>336</v>
      </c>
      <c r="D138" s="14" t="s">
        <v>337</v>
      </c>
      <c r="E138" s="14" t="s">
        <v>83</v>
      </c>
      <c r="F138" s="14" t="s">
        <v>48</v>
      </c>
      <c r="G138" s="14" t="s">
        <v>493</v>
      </c>
      <c r="H138" s="14" t="s">
        <v>357</v>
      </c>
      <c r="I138" s="14" t="s">
        <v>201</v>
      </c>
      <c r="J138" s="14"/>
      <c r="K138" s="14" t="s">
        <v>471</v>
      </c>
      <c r="L138" s="14" t="s">
        <v>341</v>
      </c>
      <c r="M138" s="16" t="s">
        <v>494</v>
      </c>
      <c r="N138" s="14" t="s">
        <v>359</v>
      </c>
      <c r="O138" s="14" t="s">
        <v>495</v>
      </c>
      <c r="P138" s="14">
        <v>200</v>
      </c>
      <c r="Q138" s="14">
        <v>2</v>
      </c>
      <c r="R138" s="14">
        <v>6400</v>
      </c>
      <c r="S138" s="14" t="s">
        <v>496</v>
      </c>
      <c r="T138" s="14" t="s">
        <v>497</v>
      </c>
      <c r="U138" s="14">
        <v>2.7647222222222201</v>
      </c>
      <c r="V138" s="14">
        <v>3.11388888888888</v>
      </c>
      <c r="W138" s="14">
        <v>1831</v>
      </c>
      <c r="X138" s="14">
        <v>80</v>
      </c>
      <c r="Y138" s="14">
        <v>1751</v>
      </c>
      <c r="Z138" s="14">
        <v>802</v>
      </c>
      <c r="AA138" s="14">
        <v>138</v>
      </c>
      <c r="AB138" s="14">
        <v>276</v>
      </c>
      <c r="AC138" s="14">
        <v>300</v>
      </c>
      <c r="AD138" s="14">
        <v>88</v>
      </c>
      <c r="AE138" s="14">
        <v>2633</v>
      </c>
      <c r="AF138" s="14">
        <v>5000</v>
      </c>
      <c r="AG138" s="14">
        <v>5786</v>
      </c>
      <c r="AH138" s="14">
        <v>0</v>
      </c>
      <c r="AI138" s="14">
        <v>164</v>
      </c>
      <c r="AJ138" s="14">
        <v>248</v>
      </c>
      <c r="AK138" s="14" t="s">
        <v>493</v>
      </c>
      <c r="AL138" s="14" t="s">
        <v>498</v>
      </c>
      <c r="AM138" s="14">
        <v>688.45</v>
      </c>
      <c r="AN138" s="14">
        <v>645.11</v>
      </c>
      <c r="AO138" s="14">
        <v>0</v>
      </c>
      <c r="AP138" s="14">
        <v>22258</v>
      </c>
      <c r="AQ138" s="14">
        <v>22178</v>
      </c>
      <c r="AR138" s="14">
        <v>23000</v>
      </c>
      <c r="AS138" s="14">
        <v>19625</v>
      </c>
      <c r="AT138" s="14">
        <v>20427</v>
      </c>
      <c r="AU138" s="14">
        <v>-6</v>
      </c>
      <c r="AV138" s="14">
        <v>219.91</v>
      </c>
      <c r="AW138" s="14">
        <v>26.13</v>
      </c>
      <c r="AX138" s="14">
        <v>1.56</v>
      </c>
      <c r="AY138" s="14" t="b">
        <v>0</v>
      </c>
    </row>
    <row r="139" spans="1:51" hidden="1" x14ac:dyDescent="0.3">
      <c r="A139" t="str">
        <f>CONCATENATE(I139,E139,LEFT(G139,10))</f>
        <v>HFA214LCLK2026-03-17</v>
      </c>
      <c r="B139" s="14" t="s">
        <v>499</v>
      </c>
      <c r="C139" s="14" t="s">
        <v>336</v>
      </c>
      <c r="D139" s="14" t="s">
        <v>337</v>
      </c>
      <c r="E139" s="14" t="s">
        <v>87</v>
      </c>
      <c r="F139" s="14" t="s">
        <v>83</v>
      </c>
      <c r="G139" s="14" t="s">
        <v>500</v>
      </c>
      <c r="H139" s="14" t="s">
        <v>339</v>
      </c>
      <c r="I139" s="14" t="s">
        <v>260</v>
      </c>
      <c r="J139" s="14" t="s">
        <v>87</v>
      </c>
      <c r="K139" s="14" t="s">
        <v>471</v>
      </c>
      <c r="L139" s="14" t="s">
        <v>341</v>
      </c>
      <c r="M139" s="16" t="s">
        <v>501</v>
      </c>
      <c r="N139" s="14"/>
      <c r="O139" s="14" t="s">
        <v>502</v>
      </c>
      <c r="P139" s="14">
        <v>150</v>
      </c>
      <c r="Q139" s="14">
        <v>2</v>
      </c>
      <c r="R139" s="14">
        <v>3000</v>
      </c>
      <c r="S139" s="14" t="s">
        <v>503</v>
      </c>
      <c r="T139" s="14" t="s">
        <v>504</v>
      </c>
      <c r="U139" s="14">
        <v>0.93583333333333296</v>
      </c>
      <c r="V139" s="14">
        <v>1.12611111111111</v>
      </c>
      <c r="W139" s="14">
        <v>897</v>
      </c>
      <c r="X139" s="14">
        <v>80</v>
      </c>
      <c r="Y139" s="14">
        <v>817</v>
      </c>
      <c r="Z139" s="14">
        <v>1703</v>
      </c>
      <c r="AA139" s="14">
        <v>885</v>
      </c>
      <c r="AB139" s="14">
        <v>256</v>
      </c>
      <c r="AC139" s="14">
        <v>519</v>
      </c>
      <c r="AD139" s="14">
        <v>43</v>
      </c>
      <c r="AE139" s="14">
        <v>2600</v>
      </c>
      <c r="AF139" s="14">
        <v>5000</v>
      </c>
      <c r="AG139" s="14">
        <v>2835</v>
      </c>
      <c r="AH139" s="14">
        <v>0</v>
      </c>
      <c r="AI139" s="14">
        <v>67</v>
      </c>
      <c r="AJ139" s="14">
        <v>218</v>
      </c>
      <c r="AK139" s="14" t="s">
        <v>500</v>
      </c>
      <c r="AL139" s="14" t="s">
        <v>505</v>
      </c>
      <c r="AM139" s="14">
        <v>278.31</v>
      </c>
      <c r="AN139" s="14">
        <v>183.03</v>
      </c>
      <c r="AO139" s="14">
        <v>300.19</v>
      </c>
      <c r="AP139" s="14">
        <v>18925</v>
      </c>
      <c r="AQ139" s="14">
        <v>18845</v>
      </c>
      <c r="AR139" s="14">
        <v>23000</v>
      </c>
      <c r="AS139" s="14">
        <v>16325</v>
      </c>
      <c r="AT139" s="14">
        <v>18028</v>
      </c>
      <c r="AU139" s="14">
        <v>-1</v>
      </c>
      <c r="AV139" s="14">
        <v>251.35</v>
      </c>
      <c r="AW139" s="14">
        <v>16.489999999999998</v>
      </c>
      <c r="AX139" s="14">
        <v>4.09</v>
      </c>
      <c r="AY139" s="14" t="b">
        <v>0</v>
      </c>
    </row>
    <row r="140" spans="1:51" hidden="1" x14ac:dyDescent="0.3">
      <c r="A140" t="str">
        <f>CONCATENATE(I140,E140,LEFT(G140,10))</f>
        <v>HFA215LLBG2026-03-17</v>
      </c>
      <c r="B140" s="14" t="s">
        <v>485</v>
      </c>
      <c r="C140" s="14" t="s">
        <v>336</v>
      </c>
      <c r="D140" s="14" t="s">
        <v>337</v>
      </c>
      <c r="E140" s="14" t="s">
        <v>83</v>
      </c>
      <c r="F140" s="14" t="s">
        <v>87</v>
      </c>
      <c r="G140" s="14" t="s">
        <v>486</v>
      </c>
      <c r="H140" s="14" t="s">
        <v>339</v>
      </c>
      <c r="I140" s="14" t="s">
        <v>261</v>
      </c>
      <c r="J140" s="14" t="s">
        <v>69</v>
      </c>
      <c r="K140" s="14" t="s">
        <v>471</v>
      </c>
      <c r="L140" s="14" t="s">
        <v>341</v>
      </c>
      <c r="M140" s="16" t="s">
        <v>487</v>
      </c>
      <c r="N140" s="14"/>
      <c r="O140" s="14" t="s">
        <v>488</v>
      </c>
      <c r="P140" s="14">
        <v>160</v>
      </c>
      <c r="Q140" s="14">
        <v>2</v>
      </c>
      <c r="R140" s="14">
        <v>7000</v>
      </c>
      <c r="S140" s="14" t="s">
        <v>489</v>
      </c>
      <c r="T140" s="14" t="s">
        <v>490</v>
      </c>
      <c r="U140" s="14">
        <v>0.99611111111111095</v>
      </c>
      <c r="V140" s="14">
        <v>1.33666666666666</v>
      </c>
      <c r="W140" s="14">
        <v>954</v>
      </c>
      <c r="X140" s="14">
        <v>80</v>
      </c>
      <c r="Y140" s="14">
        <v>874</v>
      </c>
      <c r="Z140" s="14">
        <v>867</v>
      </c>
      <c r="AA140" s="14">
        <v>336</v>
      </c>
      <c r="AB140" s="14">
        <v>284</v>
      </c>
      <c r="AC140" s="14">
        <v>200</v>
      </c>
      <c r="AD140" s="14">
        <v>47</v>
      </c>
      <c r="AE140" s="14">
        <v>1821</v>
      </c>
      <c r="AF140" s="14">
        <v>5000</v>
      </c>
      <c r="AG140" s="14">
        <v>3013</v>
      </c>
      <c r="AH140" s="14">
        <v>0</v>
      </c>
      <c r="AI140" s="14">
        <v>74</v>
      </c>
      <c r="AJ140" s="14">
        <v>147</v>
      </c>
      <c r="AK140" s="14" t="s">
        <v>486</v>
      </c>
      <c r="AL140" s="14" t="s">
        <v>491</v>
      </c>
      <c r="AM140" s="14">
        <v>301.74</v>
      </c>
      <c r="AN140" s="14">
        <v>183.03</v>
      </c>
      <c r="AO140" s="14">
        <v>73.5</v>
      </c>
      <c r="AP140" s="14">
        <v>22146</v>
      </c>
      <c r="AQ140" s="14">
        <v>22066</v>
      </c>
      <c r="AR140" s="14">
        <v>23000</v>
      </c>
      <c r="AS140" s="14">
        <v>20325</v>
      </c>
      <c r="AT140" s="14">
        <v>21192</v>
      </c>
      <c r="AU140" s="14">
        <v>0</v>
      </c>
      <c r="AV140" s="14">
        <v>246.57</v>
      </c>
      <c r="AW140" s="14">
        <v>21</v>
      </c>
      <c r="AX140" s="14">
        <v>4.17</v>
      </c>
      <c r="AY140" s="14" t="b">
        <v>0</v>
      </c>
    </row>
    <row r="141" spans="1:51" hidden="1" x14ac:dyDescent="0.3">
      <c r="A141" t="str">
        <f>CONCATENATE(I141,E141,LEFT(G141,10))</f>
        <v>HFA216LGAV2026-03-17</v>
      </c>
      <c r="B141" s="14" t="s">
        <v>478</v>
      </c>
      <c r="C141" s="14" t="s">
        <v>336</v>
      </c>
      <c r="D141" s="14" t="s">
        <v>337</v>
      </c>
      <c r="E141" s="14" t="s">
        <v>48</v>
      </c>
      <c r="F141" s="14" t="s">
        <v>83</v>
      </c>
      <c r="G141" s="14" t="s">
        <v>479</v>
      </c>
      <c r="H141" s="14" t="s">
        <v>357</v>
      </c>
      <c r="I141" s="14" t="s">
        <v>202</v>
      </c>
      <c r="J141" s="14" t="s">
        <v>87</v>
      </c>
      <c r="K141" s="14" t="s">
        <v>471</v>
      </c>
      <c r="L141" s="14" t="s">
        <v>341</v>
      </c>
      <c r="M141" s="16" t="s">
        <v>480</v>
      </c>
      <c r="N141" s="14" t="s">
        <v>359</v>
      </c>
      <c r="O141" s="14" t="s">
        <v>481</v>
      </c>
      <c r="P141" s="14">
        <v>190</v>
      </c>
      <c r="Q141" s="14">
        <v>2</v>
      </c>
      <c r="R141" s="14">
        <v>3900</v>
      </c>
      <c r="S141" s="14" t="s">
        <v>482</v>
      </c>
      <c r="T141" s="14" t="s">
        <v>483</v>
      </c>
      <c r="U141" s="14">
        <v>2.62472222222222</v>
      </c>
      <c r="V141" s="14">
        <v>2.74833333333333</v>
      </c>
      <c r="W141" s="14">
        <v>1767</v>
      </c>
      <c r="X141" s="14">
        <v>80</v>
      </c>
      <c r="Y141" s="14">
        <v>1687</v>
      </c>
      <c r="Z141" s="14">
        <v>1933</v>
      </c>
      <c r="AA141" s="14">
        <v>870</v>
      </c>
      <c r="AB141" s="14">
        <v>264</v>
      </c>
      <c r="AC141" s="14">
        <v>714</v>
      </c>
      <c r="AD141" s="14">
        <v>84</v>
      </c>
      <c r="AE141" s="14">
        <v>3700</v>
      </c>
      <c r="AF141" s="14">
        <v>5000</v>
      </c>
      <c r="AG141" s="14">
        <v>5584</v>
      </c>
      <c r="AH141" s="14">
        <v>0</v>
      </c>
      <c r="AI141" s="14">
        <v>154</v>
      </c>
      <c r="AJ141" s="14">
        <v>333</v>
      </c>
      <c r="AK141" s="14" t="s">
        <v>479</v>
      </c>
      <c r="AL141" s="14" t="s">
        <v>484</v>
      </c>
      <c r="AM141" s="14">
        <v>669.98</v>
      </c>
      <c r="AN141" s="14">
        <v>645.11</v>
      </c>
      <c r="AO141" s="14">
        <v>300.19</v>
      </c>
      <c r="AP141" s="14">
        <v>20825</v>
      </c>
      <c r="AQ141" s="14">
        <v>20745</v>
      </c>
      <c r="AR141" s="14">
        <v>23000</v>
      </c>
      <c r="AS141" s="14">
        <v>17125</v>
      </c>
      <c r="AT141" s="14">
        <v>19058</v>
      </c>
      <c r="AU141" s="14">
        <v>-2</v>
      </c>
      <c r="AV141" s="14">
        <v>212.23</v>
      </c>
      <c r="AW141" s="14">
        <v>27.63</v>
      </c>
      <c r="AX141" s="14">
        <v>0.88</v>
      </c>
      <c r="AY141" s="14" t="b">
        <v>0</v>
      </c>
    </row>
    <row r="142" spans="1:51" hidden="1" x14ac:dyDescent="0.3">
      <c r="A142" t="str">
        <f>CONCATENATE(I142,E142,LEFT(G142,10))</f>
        <v>HFA217LLBG2026-03-17</v>
      </c>
      <c r="B142" s="14" t="s">
        <v>469</v>
      </c>
      <c r="C142" s="14" t="s">
        <v>336</v>
      </c>
      <c r="D142" s="14" t="s">
        <v>337</v>
      </c>
      <c r="E142" s="14" t="s">
        <v>83</v>
      </c>
      <c r="F142" s="14" t="s">
        <v>87</v>
      </c>
      <c r="G142" s="14" t="s">
        <v>470</v>
      </c>
      <c r="H142" s="14" t="s">
        <v>357</v>
      </c>
      <c r="I142" s="14" t="s">
        <v>203</v>
      </c>
      <c r="J142" s="14" t="s">
        <v>69</v>
      </c>
      <c r="K142" s="14" t="s">
        <v>471</v>
      </c>
      <c r="L142" s="14" t="s">
        <v>341</v>
      </c>
      <c r="M142" s="16" t="s">
        <v>472</v>
      </c>
      <c r="N142" s="14" t="s">
        <v>473</v>
      </c>
      <c r="O142" s="14" t="s">
        <v>474</v>
      </c>
      <c r="P142" s="14">
        <v>160</v>
      </c>
      <c r="Q142" s="14">
        <v>2</v>
      </c>
      <c r="R142" s="14">
        <v>0</v>
      </c>
      <c r="S142" s="14" t="s">
        <v>475</v>
      </c>
      <c r="T142" s="14" t="s">
        <v>476</v>
      </c>
      <c r="U142" s="14">
        <v>1.3105555555555499</v>
      </c>
      <c r="V142" s="14">
        <v>1.6272222222222199</v>
      </c>
      <c r="W142" s="14">
        <v>931</v>
      </c>
      <c r="X142" s="14">
        <v>80</v>
      </c>
      <c r="Y142" s="14">
        <v>851</v>
      </c>
      <c r="Z142" s="14">
        <v>969</v>
      </c>
      <c r="AA142" s="14">
        <v>323</v>
      </c>
      <c r="AB142" s="14">
        <v>282</v>
      </c>
      <c r="AC142" s="14">
        <v>318</v>
      </c>
      <c r="AD142" s="14">
        <v>47</v>
      </c>
      <c r="AE142" s="14">
        <v>1900</v>
      </c>
      <c r="AF142" s="14">
        <v>5000</v>
      </c>
      <c r="AG142" s="14">
        <v>2941</v>
      </c>
      <c r="AH142" s="14">
        <v>0</v>
      </c>
      <c r="AI142" s="14">
        <v>73</v>
      </c>
      <c r="AJ142" s="14">
        <v>156</v>
      </c>
      <c r="AK142" s="14" t="s">
        <v>470</v>
      </c>
      <c r="AL142" s="14" t="s">
        <v>477</v>
      </c>
      <c r="AM142" s="14">
        <v>301.74</v>
      </c>
      <c r="AN142" s="14">
        <v>183.03</v>
      </c>
      <c r="AO142" s="14">
        <v>73.5</v>
      </c>
      <c r="AP142" s="14">
        <v>21898</v>
      </c>
      <c r="AQ142" s="14">
        <v>21818</v>
      </c>
      <c r="AR142" s="14">
        <v>23000</v>
      </c>
      <c r="AS142" s="14">
        <v>19998</v>
      </c>
      <c r="AT142" s="14">
        <v>20967</v>
      </c>
      <c r="AU142" s="14">
        <v>4</v>
      </c>
      <c r="AV142" s="14">
        <v>215.75</v>
      </c>
      <c r="AW142" s="14">
        <v>20.11</v>
      </c>
      <c r="AX142" s="14">
        <v>4.37</v>
      </c>
      <c r="AY142" s="14" t="b">
        <v>0</v>
      </c>
    </row>
    <row r="143" spans="1:51" hidden="1" x14ac:dyDescent="0.3">
      <c r="A143" t="str">
        <f>CONCATENATE(I143,E143,LEFT(G143,10))</f>
        <v>HFA220LCLK2026-03-18</v>
      </c>
      <c r="B143" s="14" t="s">
        <v>6394</v>
      </c>
      <c r="C143" s="14" t="s">
        <v>336</v>
      </c>
      <c r="D143" s="14" t="s">
        <v>337</v>
      </c>
      <c r="E143" s="14" t="s">
        <v>87</v>
      </c>
      <c r="F143" s="14" t="s">
        <v>83</v>
      </c>
      <c r="G143" s="14" t="s">
        <v>6395</v>
      </c>
      <c r="H143" s="14" t="s">
        <v>357</v>
      </c>
      <c r="I143" s="14" t="s">
        <v>204</v>
      </c>
      <c r="J143" s="14" t="s">
        <v>87</v>
      </c>
      <c r="K143" s="14" t="s">
        <v>471</v>
      </c>
      <c r="L143" s="14" t="s">
        <v>341</v>
      </c>
      <c r="M143" s="16" t="s">
        <v>6396</v>
      </c>
      <c r="N143" s="14" t="s">
        <v>359</v>
      </c>
      <c r="O143" s="14" t="s">
        <v>509</v>
      </c>
      <c r="P143" s="14">
        <v>150</v>
      </c>
      <c r="Q143" s="14">
        <v>2</v>
      </c>
      <c r="R143" s="14">
        <v>0</v>
      </c>
      <c r="S143" s="14" t="s">
        <v>6397</v>
      </c>
      <c r="T143" s="14" t="s">
        <v>6398</v>
      </c>
      <c r="U143" s="14">
        <v>0.97666666666666602</v>
      </c>
      <c r="V143" s="14">
        <v>1.3049999999999999</v>
      </c>
      <c r="W143" s="14">
        <v>929</v>
      </c>
      <c r="X143" s="14">
        <v>80</v>
      </c>
      <c r="Y143" s="14">
        <v>849</v>
      </c>
      <c r="Z143" s="14">
        <v>3071</v>
      </c>
      <c r="AA143" s="14">
        <v>844</v>
      </c>
      <c r="AB143" s="14">
        <v>266</v>
      </c>
      <c r="AC143" s="14">
        <v>1918</v>
      </c>
      <c r="AD143" s="14">
        <v>44</v>
      </c>
      <c r="AE143" s="14">
        <v>4000</v>
      </c>
      <c r="AF143" s="14">
        <v>5000</v>
      </c>
      <c r="AG143" s="14">
        <v>2934</v>
      </c>
      <c r="AH143" s="14">
        <v>0</v>
      </c>
      <c r="AI143" s="14">
        <v>70</v>
      </c>
      <c r="AJ143" s="14">
        <v>342</v>
      </c>
      <c r="AK143" s="14" t="s">
        <v>6395</v>
      </c>
      <c r="AL143" s="14" t="s">
        <v>6399</v>
      </c>
      <c r="AM143" s="14">
        <v>278.31</v>
      </c>
      <c r="AN143" s="14">
        <v>183.03</v>
      </c>
      <c r="AO143" s="14">
        <v>300.19</v>
      </c>
      <c r="AP143" s="14">
        <v>20130</v>
      </c>
      <c r="AQ143" s="14">
        <v>20050</v>
      </c>
      <c r="AR143" s="14">
        <v>23000</v>
      </c>
      <c r="AS143" s="14">
        <v>16130</v>
      </c>
      <c r="AT143" s="14">
        <v>19201</v>
      </c>
      <c r="AU143" s="14">
        <v>-13</v>
      </c>
      <c r="AV143" s="14">
        <v>205.07</v>
      </c>
      <c r="AW143" s="14">
        <v>30.84</v>
      </c>
      <c r="AX143" s="14">
        <v>5.71</v>
      </c>
      <c r="AY143" s="14" t="b">
        <v>0</v>
      </c>
    </row>
    <row r="144" spans="1:51" hidden="1" x14ac:dyDescent="0.3">
      <c r="A144" t="str">
        <f>CONCATENATE(I144,E144,LEFT(G144,10))</f>
        <v>HFA221LLBG2026-03-18</v>
      </c>
      <c r="B144" s="14" t="s">
        <v>6388</v>
      </c>
      <c r="C144" s="14" t="s">
        <v>336</v>
      </c>
      <c r="D144" s="14" t="s">
        <v>337</v>
      </c>
      <c r="E144" s="14" t="s">
        <v>83</v>
      </c>
      <c r="F144" s="14" t="s">
        <v>48</v>
      </c>
      <c r="G144" s="14" t="s">
        <v>6389</v>
      </c>
      <c r="H144" s="14" t="s">
        <v>357</v>
      </c>
      <c r="I144" s="14" t="s">
        <v>205</v>
      </c>
      <c r="J144" s="14" t="s">
        <v>401</v>
      </c>
      <c r="K144" s="14" t="s">
        <v>471</v>
      </c>
      <c r="L144" s="14" t="s">
        <v>341</v>
      </c>
      <c r="M144" s="16" t="s">
        <v>6390</v>
      </c>
      <c r="N144" s="14" t="s">
        <v>359</v>
      </c>
      <c r="O144" s="14" t="s">
        <v>495</v>
      </c>
      <c r="P144" s="14">
        <v>160</v>
      </c>
      <c r="Q144" s="14">
        <v>2</v>
      </c>
      <c r="R144" s="14">
        <v>6500</v>
      </c>
      <c r="S144" s="14" t="s">
        <v>6391</v>
      </c>
      <c r="T144" s="14" t="s">
        <v>6392</v>
      </c>
      <c r="U144" s="14">
        <v>2.6366666666666601</v>
      </c>
      <c r="V144" s="14">
        <v>2.9577777777777698</v>
      </c>
      <c r="W144" s="14">
        <v>1884</v>
      </c>
      <c r="X144" s="14">
        <v>80</v>
      </c>
      <c r="Y144" s="14">
        <v>1804</v>
      </c>
      <c r="Z144" s="14">
        <v>1201</v>
      </c>
      <c r="AA144" s="14">
        <v>630</v>
      </c>
      <c r="AB144" s="14">
        <v>281</v>
      </c>
      <c r="AC144" s="14">
        <v>200</v>
      </c>
      <c r="AD144" s="14">
        <v>90</v>
      </c>
      <c r="AE144" s="14">
        <v>3085</v>
      </c>
      <c r="AF144" s="14">
        <v>5000</v>
      </c>
      <c r="AG144" s="14">
        <v>5953</v>
      </c>
      <c r="AH144" s="14">
        <v>0</v>
      </c>
      <c r="AI144" s="14">
        <v>156</v>
      </c>
      <c r="AJ144" s="14">
        <v>259</v>
      </c>
      <c r="AK144" s="14" t="s">
        <v>6389</v>
      </c>
      <c r="AL144" s="14" t="s">
        <v>6393</v>
      </c>
      <c r="AM144" s="14">
        <v>688.45</v>
      </c>
      <c r="AN144" s="14">
        <v>645.11</v>
      </c>
      <c r="AO144" s="14">
        <v>176.85</v>
      </c>
      <c r="AP144" s="14">
        <v>22810</v>
      </c>
      <c r="AQ144" s="14">
        <v>22730</v>
      </c>
      <c r="AR144" s="14">
        <v>23000</v>
      </c>
      <c r="AS144" s="14">
        <v>19725</v>
      </c>
      <c r="AT144" s="14">
        <v>20926</v>
      </c>
      <c r="AU144" s="14">
        <v>6</v>
      </c>
      <c r="AV144" s="14">
        <v>189.22</v>
      </c>
      <c r="AW144" s="14">
        <v>18.54</v>
      </c>
      <c r="AX144" s="14">
        <v>1.88</v>
      </c>
      <c r="AY144" s="14" t="b">
        <v>0</v>
      </c>
    </row>
    <row r="145" spans="1:51" hidden="1" x14ac:dyDescent="0.3">
      <c r="A145" t="str">
        <f>CONCATENATE(I145,E145,LEFT(G145,10))</f>
        <v>HFA224LGAV2026-03-18</v>
      </c>
      <c r="B145" s="14" t="s">
        <v>6370</v>
      </c>
      <c r="C145" s="14" t="s">
        <v>336</v>
      </c>
      <c r="D145" s="14" t="s">
        <v>337</v>
      </c>
      <c r="E145" s="14" t="s">
        <v>48</v>
      </c>
      <c r="F145" s="14" t="s">
        <v>83</v>
      </c>
      <c r="G145" s="14" t="s">
        <v>6371</v>
      </c>
      <c r="H145" s="14" t="s">
        <v>357</v>
      </c>
      <c r="I145" s="14" t="s">
        <v>206</v>
      </c>
      <c r="J145" s="14" t="s">
        <v>87</v>
      </c>
      <c r="K145" s="14" t="s">
        <v>471</v>
      </c>
      <c r="L145" s="14" t="s">
        <v>341</v>
      </c>
      <c r="M145" s="16" t="s">
        <v>2598</v>
      </c>
      <c r="N145" s="14" t="s">
        <v>359</v>
      </c>
      <c r="O145" s="14" t="s">
        <v>6372</v>
      </c>
      <c r="P145" s="14">
        <v>210</v>
      </c>
      <c r="Q145" s="14">
        <v>2</v>
      </c>
      <c r="R145" s="14">
        <v>1800</v>
      </c>
      <c r="S145" s="14" t="s">
        <v>6373</v>
      </c>
      <c r="T145" s="14" t="s">
        <v>6374</v>
      </c>
      <c r="U145" s="14">
        <v>2.8166666666666602</v>
      </c>
      <c r="V145" s="14">
        <v>3.0080555555555502</v>
      </c>
      <c r="W145" s="14">
        <v>1741</v>
      </c>
      <c r="X145" s="14">
        <v>80</v>
      </c>
      <c r="Y145" s="14">
        <v>1661</v>
      </c>
      <c r="Z145" s="14">
        <v>1959</v>
      </c>
      <c r="AA145" s="14">
        <v>852</v>
      </c>
      <c r="AB145" s="14">
        <v>247</v>
      </c>
      <c r="AC145" s="14">
        <v>776</v>
      </c>
      <c r="AD145" s="14">
        <v>83</v>
      </c>
      <c r="AE145" s="14">
        <v>3700</v>
      </c>
      <c r="AF145" s="14">
        <v>5000</v>
      </c>
      <c r="AG145" s="14">
        <v>5501</v>
      </c>
      <c r="AH145" s="14">
        <v>0</v>
      </c>
      <c r="AI145" s="14">
        <v>159</v>
      </c>
      <c r="AJ145" s="14">
        <v>348</v>
      </c>
      <c r="AK145" s="14" t="s">
        <v>6371</v>
      </c>
      <c r="AL145" s="14" t="s">
        <v>6375</v>
      </c>
      <c r="AM145" s="14">
        <v>660.15</v>
      </c>
      <c r="AN145" s="14">
        <v>645.11</v>
      </c>
      <c r="AO145" s="14">
        <v>300.19</v>
      </c>
      <c r="AP145" s="14">
        <v>18725</v>
      </c>
      <c r="AQ145" s="14">
        <v>18645</v>
      </c>
      <c r="AR145" s="14">
        <v>23000</v>
      </c>
      <c r="AS145" s="14">
        <v>15025</v>
      </c>
      <c r="AT145" s="14">
        <v>16984</v>
      </c>
      <c r="AU145" s="14">
        <v>-12</v>
      </c>
      <c r="AV145" s="14">
        <v>173.16</v>
      </c>
      <c r="AW145" s="14">
        <v>18.39</v>
      </c>
      <c r="AX145" s="14">
        <v>0.36</v>
      </c>
      <c r="AY145" s="14" t="b">
        <v>0</v>
      </c>
    </row>
    <row r="146" spans="1:51" hidden="1" x14ac:dyDescent="0.3">
      <c r="A146" t="str">
        <f>CONCATENATE(I146,E146,LEFT(G146,10))</f>
        <v>HFA225LLBG2026-03-18</v>
      </c>
      <c r="B146" s="14" t="s">
        <v>6363</v>
      </c>
      <c r="C146" s="14" t="s">
        <v>336</v>
      </c>
      <c r="D146" s="14" t="s">
        <v>337</v>
      </c>
      <c r="E146" s="14" t="s">
        <v>83</v>
      </c>
      <c r="F146" s="14" t="s">
        <v>87</v>
      </c>
      <c r="G146" s="14" t="s">
        <v>6364</v>
      </c>
      <c r="H146" s="14" t="s">
        <v>357</v>
      </c>
      <c r="I146" s="14" t="s">
        <v>207</v>
      </c>
      <c r="J146" s="14" t="s">
        <v>69</v>
      </c>
      <c r="K146" s="14" t="s">
        <v>471</v>
      </c>
      <c r="L146" s="14" t="s">
        <v>341</v>
      </c>
      <c r="M146" s="16" t="s">
        <v>6365</v>
      </c>
      <c r="N146" s="14" t="s">
        <v>473</v>
      </c>
      <c r="O146" s="14" t="s">
        <v>6366</v>
      </c>
      <c r="P146" s="14">
        <v>160</v>
      </c>
      <c r="Q146" s="14">
        <v>2</v>
      </c>
      <c r="R146" s="14">
        <v>0</v>
      </c>
      <c r="S146" s="14" t="s">
        <v>6367</v>
      </c>
      <c r="T146" s="14" t="s">
        <v>6368</v>
      </c>
      <c r="U146" s="14">
        <v>1.11638888888888</v>
      </c>
      <c r="V146" s="14">
        <v>1.4438888888888799</v>
      </c>
      <c r="W146" s="14">
        <v>931</v>
      </c>
      <c r="X146" s="14">
        <v>80</v>
      </c>
      <c r="Y146" s="14">
        <v>851</v>
      </c>
      <c r="Z146" s="14">
        <v>1269</v>
      </c>
      <c r="AA146" s="14">
        <v>325</v>
      </c>
      <c r="AB146" s="14">
        <v>285</v>
      </c>
      <c r="AC146" s="14">
        <v>612</v>
      </c>
      <c r="AD146" s="14">
        <v>48</v>
      </c>
      <c r="AE146" s="14">
        <v>2200</v>
      </c>
      <c r="AF146" s="14">
        <v>5000</v>
      </c>
      <c r="AG146" s="14">
        <v>2941</v>
      </c>
      <c r="AH146" s="14">
        <v>0</v>
      </c>
      <c r="AI146" s="14">
        <v>72</v>
      </c>
      <c r="AJ146" s="14">
        <v>181</v>
      </c>
      <c r="AK146" s="14" t="s">
        <v>6364</v>
      </c>
      <c r="AL146" s="14" t="s">
        <v>6369</v>
      </c>
      <c r="AM146" s="14">
        <v>301.74</v>
      </c>
      <c r="AN146" s="14">
        <v>183.03</v>
      </c>
      <c r="AO146" s="14">
        <v>73.5</v>
      </c>
      <c r="AP146" s="14">
        <v>22216</v>
      </c>
      <c r="AQ146" s="14">
        <v>22136</v>
      </c>
      <c r="AR146" s="14">
        <v>23000</v>
      </c>
      <c r="AS146" s="14">
        <v>20016</v>
      </c>
      <c r="AT146" s="14">
        <v>21285</v>
      </c>
      <c r="AU146" s="14">
        <v>7</v>
      </c>
      <c r="AV146" s="14">
        <v>207.93</v>
      </c>
      <c r="AW146" s="14">
        <v>32.979999999999997</v>
      </c>
      <c r="AX146" s="14">
        <v>2.46</v>
      </c>
      <c r="AY146" s="14" t="b">
        <v>0</v>
      </c>
    </row>
    <row r="147" spans="1:51" hidden="1" x14ac:dyDescent="0.3">
      <c r="A147" t="str">
        <f>CONCATENATE(I147,E147,LEFT(G147,10))</f>
        <v>HFA226LCLK2026-03-18</v>
      </c>
      <c r="B147" s="14" t="s">
        <v>6382</v>
      </c>
      <c r="C147" s="14" t="s">
        <v>336</v>
      </c>
      <c r="D147" s="14" t="s">
        <v>337</v>
      </c>
      <c r="E147" s="14" t="s">
        <v>87</v>
      </c>
      <c r="F147" s="14" t="s">
        <v>83</v>
      </c>
      <c r="G147" s="14" t="s">
        <v>6383</v>
      </c>
      <c r="H147" s="14" t="s">
        <v>436</v>
      </c>
      <c r="I147" s="14" t="s">
        <v>100</v>
      </c>
      <c r="J147" s="14" t="s">
        <v>87</v>
      </c>
      <c r="K147" s="14" t="s">
        <v>471</v>
      </c>
      <c r="L147" s="14" t="s">
        <v>341</v>
      </c>
      <c r="M147" s="16" t="s">
        <v>6384</v>
      </c>
      <c r="N147" s="14" t="s">
        <v>359</v>
      </c>
      <c r="O147" s="14" t="s">
        <v>817</v>
      </c>
      <c r="P147" s="14">
        <v>150</v>
      </c>
      <c r="Q147" s="14">
        <v>2</v>
      </c>
      <c r="R147" s="14">
        <v>900</v>
      </c>
      <c r="S147" s="14" t="s">
        <v>6385</v>
      </c>
      <c r="T147" s="14" t="s">
        <v>6386</v>
      </c>
      <c r="U147" s="14">
        <v>1.37777777777777</v>
      </c>
      <c r="V147" s="14">
        <v>1.65166666666666</v>
      </c>
      <c r="W147" s="14">
        <v>875</v>
      </c>
      <c r="X147" s="14">
        <v>80</v>
      </c>
      <c r="Y147" s="14">
        <v>795</v>
      </c>
      <c r="Z147" s="14">
        <v>1800</v>
      </c>
      <c r="AA147" s="14">
        <v>845</v>
      </c>
      <c r="AB147" s="14">
        <v>240</v>
      </c>
      <c r="AC147" s="14">
        <v>675</v>
      </c>
      <c r="AD147" s="14">
        <v>40</v>
      </c>
      <c r="AE147" s="14">
        <v>2675</v>
      </c>
      <c r="AF147" s="14">
        <v>5000</v>
      </c>
      <c r="AG147" s="14">
        <v>2766</v>
      </c>
      <c r="AH147" s="14">
        <v>0</v>
      </c>
      <c r="AI147" s="14">
        <v>66</v>
      </c>
      <c r="AJ147" s="14">
        <v>227</v>
      </c>
      <c r="AK147" s="14" t="s">
        <v>6383</v>
      </c>
      <c r="AL147" s="14" t="s">
        <v>6387</v>
      </c>
      <c r="AM147" s="14">
        <v>264.72000000000003</v>
      </c>
      <c r="AN147" s="14">
        <v>183.03</v>
      </c>
      <c r="AO147" s="14">
        <v>300.19</v>
      </c>
      <c r="AP147" s="14">
        <v>16780</v>
      </c>
      <c r="AQ147" s="14">
        <v>16700</v>
      </c>
      <c r="AR147" s="14">
        <v>23000</v>
      </c>
      <c r="AS147" s="14">
        <v>14105</v>
      </c>
      <c r="AT147" s="14">
        <v>15905</v>
      </c>
      <c r="AU147" s="14">
        <v>-15</v>
      </c>
      <c r="AV147" s="14">
        <v>196.08</v>
      </c>
      <c r="AW147" s="14">
        <v>31.2</v>
      </c>
      <c r="AX147" s="14">
        <v>5.27</v>
      </c>
      <c r="AY147" s="14" t="b">
        <v>0</v>
      </c>
    </row>
    <row r="148" spans="1:51" hidden="1" x14ac:dyDescent="0.3">
      <c r="A148" t="str">
        <f>CONCATENATE(I148,E148,LEFT(G148,10))</f>
        <v>HFA227LLBG2026-03-18</v>
      </c>
      <c r="B148" s="14" t="s">
        <v>6376</v>
      </c>
      <c r="C148" s="14" t="s">
        <v>336</v>
      </c>
      <c r="D148" s="14" t="s">
        <v>337</v>
      </c>
      <c r="E148" s="14" t="s">
        <v>83</v>
      </c>
      <c r="F148" s="14" t="s">
        <v>87</v>
      </c>
      <c r="G148" s="14" t="s">
        <v>6377</v>
      </c>
      <c r="H148" s="14" t="s">
        <v>436</v>
      </c>
      <c r="I148" s="14" t="s">
        <v>101</v>
      </c>
      <c r="J148" s="14" t="s">
        <v>69</v>
      </c>
      <c r="K148" s="14" t="s">
        <v>471</v>
      </c>
      <c r="L148" s="14" t="s">
        <v>341</v>
      </c>
      <c r="M148" s="16" t="s">
        <v>6378</v>
      </c>
      <c r="N148" s="14" t="s">
        <v>473</v>
      </c>
      <c r="O148" s="14" t="s">
        <v>1606</v>
      </c>
      <c r="P148" s="14">
        <v>160</v>
      </c>
      <c r="Q148" s="14">
        <v>2</v>
      </c>
      <c r="R148" s="14">
        <v>6600</v>
      </c>
      <c r="S148" s="14" t="s">
        <v>6379</v>
      </c>
      <c r="T148" s="14" t="s">
        <v>6380</v>
      </c>
      <c r="U148" s="14">
        <v>0.93194444444444402</v>
      </c>
      <c r="V148" s="14">
        <v>1.18</v>
      </c>
      <c r="W148" s="14">
        <v>925</v>
      </c>
      <c r="X148" s="14">
        <v>80</v>
      </c>
      <c r="Y148" s="14">
        <v>845</v>
      </c>
      <c r="Z148" s="14">
        <v>975</v>
      </c>
      <c r="AA148" s="14">
        <v>311</v>
      </c>
      <c r="AB148" s="14">
        <v>280</v>
      </c>
      <c r="AC148" s="14">
        <v>337</v>
      </c>
      <c r="AD148" s="14">
        <v>47</v>
      </c>
      <c r="AE148" s="14">
        <v>1900</v>
      </c>
      <c r="AF148" s="14">
        <v>5000</v>
      </c>
      <c r="AG148" s="14">
        <v>2924</v>
      </c>
      <c r="AH148" s="14">
        <v>0</v>
      </c>
      <c r="AI148" s="14">
        <v>71</v>
      </c>
      <c r="AJ148" s="14">
        <v>154</v>
      </c>
      <c r="AK148" s="14" t="s">
        <v>6377</v>
      </c>
      <c r="AL148" s="14" t="s">
        <v>6381</v>
      </c>
      <c r="AM148" s="14">
        <v>301.67</v>
      </c>
      <c r="AN148" s="14">
        <v>183.03</v>
      </c>
      <c r="AO148" s="14">
        <v>73.5</v>
      </c>
      <c r="AP148" s="14">
        <v>21705</v>
      </c>
      <c r="AQ148" s="14">
        <v>21625</v>
      </c>
      <c r="AR148" s="14">
        <v>23000</v>
      </c>
      <c r="AS148" s="14">
        <v>19805</v>
      </c>
      <c r="AT148" s="14">
        <v>20780</v>
      </c>
      <c r="AU148" s="14">
        <v>10</v>
      </c>
      <c r="AV148" s="14">
        <v>208.18</v>
      </c>
      <c r="AW148" s="14">
        <v>42.76</v>
      </c>
      <c r="AX148" s="14">
        <v>4.92</v>
      </c>
      <c r="AY148" s="14" t="b">
        <v>0</v>
      </c>
    </row>
    <row r="149" spans="1:51" hidden="1" x14ac:dyDescent="0.3">
      <c r="A149" t="str">
        <f>CONCATENATE(I149,E149,LEFT(G149,10))</f>
        <v>HFA228LCLK2026-03-19</v>
      </c>
      <c r="B149" s="14" t="s">
        <v>6490</v>
      </c>
      <c r="C149" s="14" t="s">
        <v>336</v>
      </c>
      <c r="D149" s="14" t="s">
        <v>337</v>
      </c>
      <c r="E149" s="14" t="s">
        <v>87</v>
      </c>
      <c r="F149" s="14" t="s">
        <v>83</v>
      </c>
      <c r="G149" s="14" t="s">
        <v>6491</v>
      </c>
      <c r="H149" s="14" t="s">
        <v>357</v>
      </c>
      <c r="I149" s="14" t="s">
        <v>208</v>
      </c>
      <c r="J149" s="14" t="s">
        <v>87</v>
      </c>
      <c r="K149" s="14" t="s">
        <v>471</v>
      </c>
      <c r="L149" s="14" t="s">
        <v>341</v>
      </c>
      <c r="M149" s="16" t="s">
        <v>6492</v>
      </c>
      <c r="N149" s="14" t="s">
        <v>359</v>
      </c>
      <c r="O149" s="14" t="s">
        <v>804</v>
      </c>
      <c r="P149" s="14">
        <v>150</v>
      </c>
      <c r="Q149" s="14">
        <v>2</v>
      </c>
      <c r="R149" s="14">
        <v>2000</v>
      </c>
      <c r="S149" s="14" t="s">
        <v>6493</v>
      </c>
      <c r="T149" s="14" t="s">
        <v>6494</v>
      </c>
      <c r="U149" s="14">
        <v>1.0422222222222199</v>
      </c>
      <c r="V149" s="14">
        <v>1.3022222222222199</v>
      </c>
      <c r="W149" s="14">
        <v>906</v>
      </c>
      <c r="X149" s="14">
        <v>80</v>
      </c>
      <c r="Y149" s="14">
        <v>826</v>
      </c>
      <c r="Z149" s="14">
        <v>2994</v>
      </c>
      <c r="AA149" s="14">
        <v>894</v>
      </c>
      <c r="AB149" s="14">
        <v>257</v>
      </c>
      <c r="AC149" s="14">
        <v>1800</v>
      </c>
      <c r="AD149" s="14">
        <v>43</v>
      </c>
      <c r="AE149" s="14">
        <v>3900</v>
      </c>
      <c r="AF149" s="14">
        <v>5000</v>
      </c>
      <c r="AG149" s="14">
        <v>2863</v>
      </c>
      <c r="AH149" s="14">
        <v>0</v>
      </c>
      <c r="AI149" s="14">
        <v>68</v>
      </c>
      <c r="AJ149" s="14">
        <v>327</v>
      </c>
      <c r="AK149" s="14" t="s">
        <v>6491</v>
      </c>
      <c r="AL149" s="14" t="s">
        <v>6495</v>
      </c>
      <c r="AM149" s="14">
        <v>278.31</v>
      </c>
      <c r="AN149" s="14">
        <v>183.03</v>
      </c>
      <c r="AO149" s="14">
        <v>300.19</v>
      </c>
      <c r="AP149" s="14">
        <v>19125</v>
      </c>
      <c r="AQ149" s="14">
        <v>19045</v>
      </c>
      <c r="AR149" s="14">
        <v>23000</v>
      </c>
      <c r="AS149" s="14">
        <v>15225</v>
      </c>
      <c r="AT149" s="14">
        <v>18219</v>
      </c>
      <c r="AU149" s="14">
        <v>-4</v>
      </c>
      <c r="AV149" s="14">
        <v>217.42</v>
      </c>
      <c r="AW149" s="14">
        <v>12.45</v>
      </c>
      <c r="AX149" s="14">
        <v>1.07</v>
      </c>
      <c r="AY149" s="14" t="b">
        <v>0</v>
      </c>
    </row>
    <row r="150" spans="1:51" hidden="1" x14ac:dyDescent="0.3">
      <c r="A150" t="str">
        <f>CONCATENATE(I150,E150,LEFT(G150,10))</f>
        <v>HFA229LLBG2026-03-19</v>
      </c>
      <c r="B150" s="14" t="s">
        <v>6484</v>
      </c>
      <c r="C150" s="14" t="s">
        <v>336</v>
      </c>
      <c r="D150" s="14" t="s">
        <v>337</v>
      </c>
      <c r="E150" s="14" t="s">
        <v>83</v>
      </c>
      <c r="F150" s="14" t="s">
        <v>48</v>
      </c>
      <c r="G150" s="14" t="s">
        <v>6485</v>
      </c>
      <c r="H150" s="14" t="s">
        <v>357</v>
      </c>
      <c r="I150" s="14" t="s">
        <v>209</v>
      </c>
      <c r="J150" s="14" t="s">
        <v>401</v>
      </c>
      <c r="K150" s="14" t="s">
        <v>471</v>
      </c>
      <c r="L150" s="14" t="s">
        <v>341</v>
      </c>
      <c r="M150" s="16" t="s">
        <v>6486</v>
      </c>
      <c r="N150" s="14" t="s">
        <v>359</v>
      </c>
      <c r="O150" s="14" t="s">
        <v>495</v>
      </c>
      <c r="P150" s="14">
        <v>160</v>
      </c>
      <c r="Q150" s="14">
        <v>2</v>
      </c>
      <c r="R150" s="14">
        <v>6400</v>
      </c>
      <c r="S150" s="14" t="s">
        <v>6487</v>
      </c>
      <c r="T150" s="14" t="s">
        <v>6488</v>
      </c>
      <c r="U150" s="14">
        <v>2.8241666666666601</v>
      </c>
      <c r="V150" s="14">
        <v>3.0988888888888799</v>
      </c>
      <c r="W150" s="14">
        <v>2055</v>
      </c>
      <c r="X150" s="14">
        <v>80</v>
      </c>
      <c r="Y150" s="14">
        <v>1975</v>
      </c>
      <c r="Z150" s="14">
        <v>1145</v>
      </c>
      <c r="AA150" s="14">
        <v>599</v>
      </c>
      <c r="AB150" s="14">
        <v>279</v>
      </c>
      <c r="AC150" s="14">
        <v>168</v>
      </c>
      <c r="AD150" s="14">
        <v>99</v>
      </c>
      <c r="AE150" s="14">
        <v>3200</v>
      </c>
      <c r="AF150" s="14">
        <v>5000</v>
      </c>
      <c r="AG150" s="14">
        <v>6493</v>
      </c>
      <c r="AH150" s="14">
        <v>0</v>
      </c>
      <c r="AI150" s="14">
        <v>169</v>
      </c>
      <c r="AJ150" s="14">
        <v>268</v>
      </c>
      <c r="AK150" s="14" t="s">
        <v>6485</v>
      </c>
      <c r="AL150" s="14" t="s">
        <v>6489</v>
      </c>
      <c r="AM150" s="14">
        <v>688.45</v>
      </c>
      <c r="AN150" s="14">
        <v>645.11</v>
      </c>
      <c r="AO150" s="14">
        <v>176.85</v>
      </c>
      <c r="AP150" s="14">
        <v>22825</v>
      </c>
      <c r="AQ150" s="14">
        <v>22745</v>
      </c>
      <c r="AR150" s="14">
        <v>23000</v>
      </c>
      <c r="AS150" s="14">
        <v>19625</v>
      </c>
      <c r="AT150" s="14">
        <v>20770</v>
      </c>
      <c r="AU150" s="14">
        <v>-18</v>
      </c>
      <c r="AV150" s="14">
        <v>282.48</v>
      </c>
      <c r="AW150" s="14">
        <v>17.21</v>
      </c>
      <c r="AX150" s="14">
        <v>-0.19</v>
      </c>
      <c r="AY150" s="14" t="b">
        <v>0</v>
      </c>
    </row>
    <row r="151" spans="1:51" hidden="1" x14ac:dyDescent="0.3">
      <c r="A151" t="str">
        <f>CONCATENATE(I151,E151,LEFT(G151,10))</f>
        <v>HFA232LCLK2026-03-19</v>
      </c>
      <c r="B151" s="14" t="s">
        <v>6478</v>
      </c>
      <c r="C151" s="14" t="s">
        <v>336</v>
      </c>
      <c r="D151" s="14" t="s">
        <v>337</v>
      </c>
      <c r="E151" s="14" t="s">
        <v>87</v>
      </c>
      <c r="F151" s="14" t="s">
        <v>83</v>
      </c>
      <c r="G151" s="14" t="s">
        <v>6479</v>
      </c>
      <c r="H151" s="14" t="s">
        <v>339</v>
      </c>
      <c r="I151" s="14" t="s">
        <v>262</v>
      </c>
      <c r="J151" s="14" t="s">
        <v>87</v>
      </c>
      <c r="K151" s="14" t="s">
        <v>471</v>
      </c>
      <c r="L151" s="14" t="s">
        <v>542</v>
      </c>
      <c r="M151" s="16" t="s">
        <v>6480</v>
      </c>
      <c r="N151" s="14"/>
      <c r="O151" s="14" t="s">
        <v>817</v>
      </c>
      <c r="P151" s="14">
        <v>150</v>
      </c>
      <c r="Q151" s="14">
        <v>2</v>
      </c>
      <c r="R151" s="14">
        <v>700</v>
      </c>
      <c r="S151" s="14" t="s">
        <v>6481</v>
      </c>
      <c r="T151" s="14" t="s">
        <v>6482</v>
      </c>
      <c r="U151" s="14">
        <v>1.79527777777777</v>
      </c>
      <c r="V151" s="14">
        <v>2.3230555555555501</v>
      </c>
      <c r="W151" s="14">
        <v>824</v>
      </c>
      <c r="X151" s="14">
        <v>80</v>
      </c>
      <c r="Y151" s="14">
        <v>744</v>
      </c>
      <c r="Z151" s="14">
        <v>2076</v>
      </c>
      <c r="AA151" s="14">
        <v>913</v>
      </c>
      <c r="AB151" s="14">
        <v>241</v>
      </c>
      <c r="AC151" s="14">
        <v>881</v>
      </c>
      <c r="AD151" s="14">
        <v>40</v>
      </c>
      <c r="AE151" s="14">
        <v>2900</v>
      </c>
      <c r="AF151" s="14">
        <v>5000</v>
      </c>
      <c r="AG151" s="14">
        <v>2605</v>
      </c>
      <c r="AH151" s="14">
        <v>0</v>
      </c>
      <c r="AI151" s="14">
        <v>61</v>
      </c>
      <c r="AJ151" s="14">
        <v>243</v>
      </c>
      <c r="AK151" s="14" t="s">
        <v>6479</v>
      </c>
      <c r="AL151" s="14" t="s">
        <v>6483</v>
      </c>
      <c r="AM151" s="14">
        <v>264.72000000000003</v>
      </c>
      <c r="AN151" s="14">
        <v>183.03</v>
      </c>
      <c r="AO151" s="14">
        <v>300.19</v>
      </c>
      <c r="AP151" s="14">
        <v>16925</v>
      </c>
      <c r="AQ151" s="14">
        <v>16845</v>
      </c>
      <c r="AR151" s="14">
        <v>23000</v>
      </c>
      <c r="AS151" s="14">
        <v>14025</v>
      </c>
      <c r="AT151" s="14">
        <v>16101</v>
      </c>
      <c r="AU151" s="14">
        <v>5</v>
      </c>
      <c r="AV151" s="14">
        <v>269.93</v>
      </c>
      <c r="AW151" s="14">
        <v>16.38</v>
      </c>
      <c r="AX151" s="14">
        <v>1.1000000000000001</v>
      </c>
      <c r="AY151" s="14" t="b">
        <v>0</v>
      </c>
    </row>
    <row r="152" spans="1:51" hidden="1" x14ac:dyDescent="0.3">
      <c r="A152" t="str">
        <f>CONCATENATE(I152,E152,LEFT(G152,10))</f>
        <v>HFA233LLBG2026-03-19</v>
      </c>
      <c r="B152" s="14" t="s">
        <v>6466</v>
      </c>
      <c r="C152" s="14" t="s">
        <v>336</v>
      </c>
      <c r="D152" s="14" t="s">
        <v>337</v>
      </c>
      <c r="E152" s="14" t="s">
        <v>83</v>
      </c>
      <c r="F152" s="14" t="s">
        <v>87</v>
      </c>
      <c r="G152" s="14" t="s">
        <v>6467</v>
      </c>
      <c r="H152" s="14" t="s">
        <v>339</v>
      </c>
      <c r="I152" s="14" t="s">
        <v>263</v>
      </c>
      <c r="J152" s="14" t="s">
        <v>69</v>
      </c>
      <c r="K152" s="14" t="s">
        <v>471</v>
      </c>
      <c r="L152" s="14" t="s">
        <v>341</v>
      </c>
      <c r="M152" s="16" t="s">
        <v>6468</v>
      </c>
      <c r="N152" s="14" t="s">
        <v>675</v>
      </c>
      <c r="O152" s="14" t="s">
        <v>5267</v>
      </c>
      <c r="P152" s="14">
        <v>160</v>
      </c>
      <c r="Q152" s="14">
        <v>2</v>
      </c>
      <c r="R152" s="14">
        <v>0</v>
      </c>
      <c r="S152" s="14" t="s">
        <v>6469</v>
      </c>
      <c r="T152" s="14" t="s">
        <v>6470</v>
      </c>
      <c r="U152" s="14">
        <v>1.0405555555555499</v>
      </c>
      <c r="V152" s="14">
        <v>1.39777777777777</v>
      </c>
      <c r="W152" s="14">
        <v>1021</v>
      </c>
      <c r="X152" s="14">
        <v>80</v>
      </c>
      <c r="Y152" s="14">
        <v>941</v>
      </c>
      <c r="Z152" s="14">
        <v>1279</v>
      </c>
      <c r="AA152" s="14">
        <v>346</v>
      </c>
      <c r="AB152" s="14">
        <v>291</v>
      </c>
      <c r="AC152" s="14">
        <v>594</v>
      </c>
      <c r="AD152" s="14">
        <v>48</v>
      </c>
      <c r="AE152" s="14">
        <v>2300</v>
      </c>
      <c r="AF152" s="14">
        <v>5000</v>
      </c>
      <c r="AG152" s="14">
        <v>3228</v>
      </c>
      <c r="AH152" s="14">
        <v>0</v>
      </c>
      <c r="AI152" s="14">
        <v>78</v>
      </c>
      <c r="AJ152" s="14">
        <v>186</v>
      </c>
      <c r="AK152" s="14" t="s">
        <v>6467</v>
      </c>
      <c r="AL152" s="14" t="s">
        <v>6471</v>
      </c>
      <c r="AM152" s="14">
        <v>301.67</v>
      </c>
      <c r="AN152" s="14">
        <v>183.03</v>
      </c>
      <c r="AO152" s="14">
        <v>73.5</v>
      </c>
      <c r="AP152" s="14">
        <v>22835</v>
      </c>
      <c r="AQ152" s="14">
        <v>22755</v>
      </c>
      <c r="AR152" s="14">
        <v>23000</v>
      </c>
      <c r="AS152" s="14">
        <v>20535</v>
      </c>
      <c r="AT152" s="14">
        <v>21814</v>
      </c>
      <c r="AU152" s="14">
        <v>-15</v>
      </c>
      <c r="AV152" s="14">
        <v>288</v>
      </c>
      <c r="AW152" s="14">
        <v>29.99</v>
      </c>
      <c r="AX152" s="14">
        <v>1.18</v>
      </c>
      <c r="AY152" s="14" t="b">
        <v>0</v>
      </c>
    </row>
    <row r="153" spans="1:51" hidden="1" x14ac:dyDescent="0.3">
      <c r="A153" t="str">
        <f>CONCATENATE(I153,E153,LEFT(G153,10))</f>
        <v>HFA234LGAV2026-03-19</v>
      </c>
      <c r="B153" s="14" t="s">
        <v>6472</v>
      </c>
      <c r="C153" s="14" t="s">
        <v>336</v>
      </c>
      <c r="D153" s="14" t="s">
        <v>337</v>
      </c>
      <c r="E153" s="14" t="s">
        <v>48</v>
      </c>
      <c r="F153" s="14" t="s">
        <v>83</v>
      </c>
      <c r="G153" s="14" t="s">
        <v>6473</v>
      </c>
      <c r="H153" s="14" t="s">
        <v>357</v>
      </c>
      <c r="I153" s="14" t="s">
        <v>210</v>
      </c>
      <c r="J153" s="14" t="s">
        <v>87</v>
      </c>
      <c r="K153" s="14" t="s">
        <v>471</v>
      </c>
      <c r="L153" s="14" t="s">
        <v>341</v>
      </c>
      <c r="M153" s="16" t="s">
        <v>6474</v>
      </c>
      <c r="N153" s="14" t="s">
        <v>359</v>
      </c>
      <c r="O153" s="14" t="s">
        <v>2533</v>
      </c>
      <c r="P153" s="14">
        <v>210</v>
      </c>
      <c r="Q153" s="14">
        <v>2</v>
      </c>
      <c r="R153" s="14">
        <v>3300</v>
      </c>
      <c r="S153" s="14" t="s">
        <v>6475</v>
      </c>
      <c r="T153" s="14" t="s">
        <v>6476</v>
      </c>
      <c r="U153" s="14">
        <v>2.4069444444444401</v>
      </c>
      <c r="V153" s="14">
        <v>2.6030555555555499</v>
      </c>
      <c r="W153" s="14">
        <v>1648</v>
      </c>
      <c r="X153" s="14">
        <v>80</v>
      </c>
      <c r="Y153" s="14">
        <v>1568</v>
      </c>
      <c r="Z153" s="14">
        <v>1752</v>
      </c>
      <c r="AA153" s="14">
        <v>930</v>
      </c>
      <c r="AB153" s="14">
        <v>258</v>
      </c>
      <c r="AC153" s="14">
        <v>486</v>
      </c>
      <c r="AD153" s="14">
        <v>78</v>
      </c>
      <c r="AE153" s="14">
        <v>3400</v>
      </c>
      <c r="AF153" s="14">
        <v>5000</v>
      </c>
      <c r="AG153" s="14">
        <v>5207</v>
      </c>
      <c r="AH153" s="14">
        <v>0</v>
      </c>
      <c r="AI153" s="14">
        <v>147</v>
      </c>
      <c r="AJ153" s="14">
        <v>311</v>
      </c>
      <c r="AK153" s="14" t="s">
        <v>6473</v>
      </c>
      <c r="AL153" s="14" t="s">
        <v>6477</v>
      </c>
      <c r="AM153" s="14">
        <v>682.75</v>
      </c>
      <c r="AN153" s="14">
        <v>645.11</v>
      </c>
      <c r="AO153" s="14">
        <v>300.19</v>
      </c>
      <c r="AP153" s="14">
        <v>19925</v>
      </c>
      <c r="AQ153" s="14">
        <v>19845</v>
      </c>
      <c r="AR153" s="14">
        <v>23000</v>
      </c>
      <c r="AS153" s="14">
        <v>16525</v>
      </c>
      <c r="AT153" s="14">
        <v>18277</v>
      </c>
      <c r="AU153" s="14">
        <v>17</v>
      </c>
      <c r="AV153" s="14">
        <v>279.76</v>
      </c>
      <c r="AW153" s="14">
        <v>23.13</v>
      </c>
      <c r="AX153" s="14">
        <v>-0.67</v>
      </c>
      <c r="AY153" s="14" t="b">
        <v>0</v>
      </c>
    </row>
    <row r="154" spans="1:51" hidden="1" x14ac:dyDescent="0.3">
      <c r="A154" t="str">
        <f>CONCATENATE(I154,E154,LEFT(G154,10))</f>
        <v>HFA235LLBG2026-03-19</v>
      </c>
      <c r="B154" s="14" t="s">
        <v>6460</v>
      </c>
      <c r="C154" s="14" t="s">
        <v>336</v>
      </c>
      <c r="D154" s="14" t="s">
        <v>337</v>
      </c>
      <c r="E154" s="14" t="s">
        <v>83</v>
      </c>
      <c r="F154" s="14" t="s">
        <v>87</v>
      </c>
      <c r="G154" s="14" t="s">
        <v>6461</v>
      </c>
      <c r="H154" s="14" t="s">
        <v>357</v>
      </c>
      <c r="I154" s="14" t="s">
        <v>211</v>
      </c>
      <c r="J154" s="14" t="s">
        <v>69</v>
      </c>
      <c r="K154" s="14" t="s">
        <v>471</v>
      </c>
      <c r="L154" s="14" t="s">
        <v>341</v>
      </c>
      <c r="M154" s="16" t="s">
        <v>6462</v>
      </c>
      <c r="N154" s="14" t="s">
        <v>473</v>
      </c>
      <c r="O154" s="14" t="s">
        <v>1606</v>
      </c>
      <c r="P154" s="14">
        <v>160</v>
      </c>
      <c r="Q154" s="14">
        <v>2</v>
      </c>
      <c r="R154" s="14">
        <v>6300</v>
      </c>
      <c r="S154" s="14" t="s">
        <v>6463</v>
      </c>
      <c r="T154" s="14" t="s">
        <v>6464</v>
      </c>
      <c r="U154" s="14">
        <v>1.12472222222222</v>
      </c>
      <c r="V154" s="14">
        <v>1.42166666666666</v>
      </c>
      <c r="W154" s="14">
        <v>989</v>
      </c>
      <c r="X154" s="14">
        <v>80</v>
      </c>
      <c r="Y154" s="14">
        <v>909</v>
      </c>
      <c r="Z154" s="14">
        <v>862</v>
      </c>
      <c r="AA154" s="14">
        <v>340</v>
      </c>
      <c r="AB154" s="14">
        <v>276</v>
      </c>
      <c r="AC154" s="14">
        <v>200</v>
      </c>
      <c r="AD154" s="14">
        <v>46</v>
      </c>
      <c r="AE154" s="14">
        <v>1851</v>
      </c>
      <c r="AF154" s="14">
        <v>5000</v>
      </c>
      <c r="AG154" s="14">
        <v>3124</v>
      </c>
      <c r="AH154" s="14">
        <v>0</v>
      </c>
      <c r="AI154" s="14">
        <v>76</v>
      </c>
      <c r="AJ154" s="14">
        <v>150</v>
      </c>
      <c r="AK154" s="14" t="s">
        <v>6461</v>
      </c>
      <c r="AL154" s="14" t="s">
        <v>6465</v>
      </c>
      <c r="AM154" s="14">
        <v>301.67</v>
      </c>
      <c r="AN154" s="14">
        <v>183.03</v>
      </c>
      <c r="AO154" s="14">
        <v>73.5</v>
      </c>
      <c r="AP154" s="14">
        <v>21376</v>
      </c>
      <c r="AQ154" s="14">
        <v>21296</v>
      </c>
      <c r="AR154" s="14">
        <v>23000</v>
      </c>
      <c r="AS154" s="14">
        <v>19525</v>
      </c>
      <c r="AT154" s="14">
        <v>20387</v>
      </c>
      <c r="AU154" s="14">
        <v>-13</v>
      </c>
      <c r="AV154" s="14">
        <v>281.16000000000003</v>
      </c>
      <c r="AW154" s="14">
        <v>27.91</v>
      </c>
      <c r="AX154" s="14">
        <v>1</v>
      </c>
      <c r="AY154" s="14" t="b">
        <v>0</v>
      </c>
    </row>
    <row r="155" spans="1:51" hidden="1" x14ac:dyDescent="0.3">
      <c r="A155" t="str">
        <f>CONCATENATE(I155,E155,LEFT(G155,10))</f>
        <v>HFA236LCLK2026-03-20</v>
      </c>
      <c r="B155" s="14" t="s">
        <v>2650</v>
      </c>
      <c r="C155" s="14" t="s">
        <v>336</v>
      </c>
      <c r="D155" s="14" t="s">
        <v>337</v>
      </c>
      <c r="E155" s="14" t="s">
        <v>87</v>
      </c>
      <c r="F155" s="14" t="s">
        <v>83</v>
      </c>
      <c r="G155" s="14" t="s">
        <v>2651</v>
      </c>
      <c r="H155" s="14" t="s">
        <v>339</v>
      </c>
      <c r="I155" s="14" t="s">
        <v>264</v>
      </c>
      <c r="J155" s="14" t="s">
        <v>87</v>
      </c>
      <c r="K155" s="14" t="s">
        <v>471</v>
      </c>
      <c r="L155" s="14" t="s">
        <v>341</v>
      </c>
      <c r="M155" s="16" t="s">
        <v>2652</v>
      </c>
      <c r="N155" s="14"/>
      <c r="O155" s="14" t="s">
        <v>804</v>
      </c>
      <c r="P155" s="14">
        <v>150</v>
      </c>
      <c r="Q155" s="14">
        <v>2</v>
      </c>
      <c r="R155" s="14">
        <v>2800</v>
      </c>
      <c r="S155" s="14" t="s">
        <v>2653</v>
      </c>
      <c r="T155" s="14" t="s">
        <v>2654</v>
      </c>
      <c r="U155" s="14">
        <v>0.93055555555555503</v>
      </c>
      <c r="V155" s="14">
        <v>1.11805555555555</v>
      </c>
      <c r="W155" s="14">
        <v>923</v>
      </c>
      <c r="X155" s="14">
        <v>80</v>
      </c>
      <c r="Y155" s="14">
        <v>843</v>
      </c>
      <c r="Z155" s="14">
        <v>2577</v>
      </c>
      <c r="AA155" s="14">
        <v>870</v>
      </c>
      <c r="AB155" s="14">
        <v>261</v>
      </c>
      <c r="AC155" s="14">
        <v>1402</v>
      </c>
      <c r="AD155" s="14">
        <v>44</v>
      </c>
      <c r="AE155" s="14">
        <v>3500</v>
      </c>
      <c r="AF155" s="14">
        <v>5000</v>
      </c>
      <c r="AG155" s="14">
        <v>2918</v>
      </c>
      <c r="AH155" s="14">
        <v>0</v>
      </c>
      <c r="AI155" s="14">
        <v>68</v>
      </c>
      <c r="AJ155" s="14">
        <v>293</v>
      </c>
      <c r="AK155" s="14" t="s">
        <v>2651</v>
      </c>
      <c r="AL155" s="14" t="s">
        <v>2655</v>
      </c>
      <c r="AM155" s="14">
        <v>278.31</v>
      </c>
      <c r="AN155" s="14">
        <v>183.03</v>
      </c>
      <c r="AO155" s="14">
        <v>300.19</v>
      </c>
      <c r="AP155" s="14">
        <v>19625</v>
      </c>
      <c r="AQ155" s="14">
        <v>19545</v>
      </c>
      <c r="AR155" s="14">
        <v>23000</v>
      </c>
      <c r="AS155" s="14">
        <v>16125</v>
      </c>
      <c r="AT155" s="14">
        <v>18702</v>
      </c>
      <c r="AU155" s="14">
        <v>-5</v>
      </c>
      <c r="AV155" s="14">
        <v>241.14</v>
      </c>
      <c r="AW155" s="14">
        <v>33.450000000000003</v>
      </c>
      <c r="AX155" s="14">
        <v>0.55000000000000004</v>
      </c>
      <c r="AY155" s="14" t="b">
        <v>0</v>
      </c>
    </row>
    <row r="156" spans="1:51" hidden="1" x14ac:dyDescent="0.3">
      <c r="A156" t="str">
        <f>CONCATENATE(I156,E156,LEFT(G156,10))</f>
        <v>HFA237LLBG2026-03-20</v>
      </c>
      <c r="B156" s="14" t="s">
        <v>2637</v>
      </c>
      <c r="C156" s="14" t="s">
        <v>336</v>
      </c>
      <c r="D156" s="14" t="s">
        <v>337</v>
      </c>
      <c r="E156" s="14" t="s">
        <v>83</v>
      </c>
      <c r="F156" s="14" t="s">
        <v>48</v>
      </c>
      <c r="G156" s="14" t="s">
        <v>2638</v>
      </c>
      <c r="H156" s="14" t="s">
        <v>339</v>
      </c>
      <c r="I156" s="14" t="s">
        <v>265</v>
      </c>
      <c r="J156" s="14"/>
      <c r="K156" s="14" t="s">
        <v>471</v>
      </c>
      <c r="L156" s="14" t="s">
        <v>341</v>
      </c>
      <c r="M156" s="16" t="s">
        <v>2639</v>
      </c>
      <c r="N156" s="14"/>
      <c r="O156" s="14" t="s">
        <v>2640</v>
      </c>
      <c r="P156" s="14">
        <v>160</v>
      </c>
      <c r="Q156" s="14">
        <v>2</v>
      </c>
      <c r="R156" s="14">
        <v>6800</v>
      </c>
      <c r="S156" s="14" t="s">
        <v>2641</v>
      </c>
      <c r="T156" s="14" t="s">
        <v>2642</v>
      </c>
      <c r="U156" s="14">
        <v>3.0391666666666599</v>
      </c>
      <c r="V156" s="14">
        <v>3.1583333333333301</v>
      </c>
      <c r="W156" s="14">
        <v>2070</v>
      </c>
      <c r="X156" s="14">
        <v>80</v>
      </c>
      <c r="Y156" s="14">
        <v>1990</v>
      </c>
      <c r="Z156" s="14">
        <v>830</v>
      </c>
      <c r="AA156" s="14">
        <v>140</v>
      </c>
      <c r="AB156" s="14">
        <v>281</v>
      </c>
      <c r="AC156" s="14">
        <v>310</v>
      </c>
      <c r="AD156" s="14">
        <v>99</v>
      </c>
      <c r="AE156" s="14">
        <v>2900</v>
      </c>
      <c r="AF156" s="14">
        <v>5000</v>
      </c>
      <c r="AG156" s="14">
        <v>6540</v>
      </c>
      <c r="AH156" s="14">
        <v>0</v>
      </c>
      <c r="AI156" s="14">
        <v>166</v>
      </c>
      <c r="AJ156" s="14">
        <v>247</v>
      </c>
      <c r="AK156" s="14" t="s">
        <v>2638</v>
      </c>
      <c r="AL156" s="14" t="s">
        <v>2643</v>
      </c>
      <c r="AM156" s="14">
        <v>688.95</v>
      </c>
      <c r="AN156" s="14">
        <v>645.11</v>
      </c>
      <c r="AO156" s="14">
        <v>0</v>
      </c>
      <c r="AP156" s="14">
        <v>23025</v>
      </c>
      <c r="AQ156" s="14">
        <v>22945</v>
      </c>
      <c r="AR156" s="14">
        <v>23000</v>
      </c>
      <c r="AS156" s="14">
        <v>20125</v>
      </c>
      <c r="AT156" s="14">
        <v>20955</v>
      </c>
      <c r="AU156" s="14">
        <v>-14</v>
      </c>
      <c r="AV156" s="14">
        <v>264.60000000000002</v>
      </c>
      <c r="AW156" s="14">
        <v>15.76</v>
      </c>
      <c r="AX156" s="14">
        <v>-1.51</v>
      </c>
      <c r="AY156" s="14" t="b">
        <v>0</v>
      </c>
    </row>
    <row r="157" spans="1:51" hidden="1" x14ac:dyDescent="0.3">
      <c r="A157" t="str">
        <f>CONCATENATE(I157,E157,LEFT(G157,10))</f>
        <v>HFA238LCLK2026-03-20</v>
      </c>
      <c r="B157" s="14" t="s">
        <v>2644</v>
      </c>
      <c r="C157" s="14" t="s">
        <v>336</v>
      </c>
      <c r="D157" s="14" t="s">
        <v>337</v>
      </c>
      <c r="E157" s="14" t="s">
        <v>87</v>
      </c>
      <c r="F157" s="14" t="s">
        <v>83</v>
      </c>
      <c r="G157" s="14" t="s">
        <v>2645</v>
      </c>
      <c r="H157" s="14" t="s">
        <v>1838</v>
      </c>
      <c r="I157" s="14" t="s">
        <v>283</v>
      </c>
      <c r="J157" s="14" t="s">
        <v>87</v>
      </c>
      <c r="K157" s="14" t="s">
        <v>471</v>
      </c>
      <c r="L157" s="14" t="s">
        <v>341</v>
      </c>
      <c r="M157" s="16" t="s">
        <v>2646</v>
      </c>
      <c r="N157" s="14"/>
      <c r="O157" s="14" t="s">
        <v>817</v>
      </c>
      <c r="P157" s="14">
        <v>150</v>
      </c>
      <c r="Q157" s="14">
        <v>2</v>
      </c>
      <c r="R157" s="14">
        <v>2300</v>
      </c>
      <c r="S157" s="14" t="s">
        <v>2647</v>
      </c>
      <c r="T157" s="14" t="s">
        <v>2648</v>
      </c>
      <c r="U157" s="14">
        <v>1.38805555555555</v>
      </c>
      <c r="V157" s="14">
        <v>1.9272222222222199</v>
      </c>
      <c r="W157" s="14">
        <v>950</v>
      </c>
      <c r="X157" s="14">
        <v>80</v>
      </c>
      <c r="Y157" s="14">
        <v>870</v>
      </c>
      <c r="Z157" s="14">
        <v>1950</v>
      </c>
      <c r="AA157" s="14">
        <v>949</v>
      </c>
      <c r="AB157" s="14">
        <v>252</v>
      </c>
      <c r="AC157" s="14">
        <v>705</v>
      </c>
      <c r="AD157" s="14">
        <v>44</v>
      </c>
      <c r="AE157" s="14">
        <v>2900</v>
      </c>
      <c r="AF157" s="14">
        <v>5000</v>
      </c>
      <c r="AG157" s="14">
        <v>3003</v>
      </c>
      <c r="AH157" s="14">
        <v>0</v>
      </c>
      <c r="AI157" s="14">
        <v>64</v>
      </c>
      <c r="AJ157" s="14">
        <v>225</v>
      </c>
      <c r="AK157" s="14" t="s">
        <v>2645</v>
      </c>
      <c r="AL157" s="14" t="s">
        <v>2649</v>
      </c>
      <c r="AM157" s="14">
        <v>264.72000000000003</v>
      </c>
      <c r="AN157" s="14">
        <v>183.03</v>
      </c>
      <c r="AO157" s="14">
        <v>300.19</v>
      </c>
      <c r="AP157" s="14">
        <v>18538</v>
      </c>
      <c r="AQ157" s="14">
        <v>18458</v>
      </c>
      <c r="AR157" s="14">
        <v>23000</v>
      </c>
      <c r="AS157" s="14">
        <v>15638</v>
      </c>
      <c r="AT157" s="14">
        <v>17588</v>
      </c>
      <c r="AU157" s="14">
        <v>-4</v>
      </c>
      <c r="AV157" s="14">
        <v>236.15</v>
      </c>
      <c r="AW157" s="14">
        <v>34.97</v>
      </c>
      <c r="AX157" s="14">
        <v>0.6</v>
      </c>
      <c r="AY157" s="14" t="b">
        <v>0</v>
      </c>
    </row>
    <row r="158" spans="1:51" hidden="1" x14ac:dyDescent="0.3">
      <c r="A158" t="str">
        <f>CONCATENATE(I158,E158,LEFT(G158,10))</f>
        <v>HFA239LLBG2026-03-20</v>
      </c>
      <c r="B158" s="14" t="s">
        <v>2625</v>
      </c>
      <c r="C158" s="14" t="s">
        <v>336</v>
      </c>
      <c r="D158" s="14" t="s">
        <v>337</v>
      </c>
      <c r="E158" s="14" t="s">
        <v>83</v>
      </c>
      <c r="F158" s="14" t="s">
        <v>87</v>
      </c>
      <c r="G158" s="14" t="s">
        <v>2626</v>
      </c>
      <c r="H158" s="14" t="s">
        <v>1838</v>
      </c>
      <c r="I158" s="14" t="s">
        <v>284</v>
      </c>
      <c r="J158" s="14" t="s">
        <v>69</v>
      </c>
      <c r="K158" s="14" t="s">
        <v>471</v>
      </c>
      <c r="L158" s="14" t="s">
        <v>341</v>
      </c>
      <c r="M158" s="16" t="s">
        <v>2627</v>
      </c>
      <c r="N158" s="14" t="s">
        <v>768</v>
      </c>
      <c r="O158" s="14" t="s">
        <v>2586</v>
      </c>
      <c r="P158" s="14">
        <v>160</v>
      </c>
      <c r="Q158" s="14">
        <v>2</v>
      </c>
      <c r="R158" s="14">
        <v>5520</v>
      </c>
      <c r="S158" s="14" t="s">
        <v>2628</v>
      </c>
      <c r="T158" s="14" t="s">
        <v>2629</v>
      </c>
      <c r="U158" s="14">
        <v>1.3586111111111101</v>
      </c>
      <c r="V158" s="14">
        <v>1.8572222222222201</v>
      </c>
      <c r="W158" s="14">
        <v>1047</v>
      </c>
      <c r="X158" s="14">
        <v>80</v>
      </c>
      <c r="Y158" s="14">
        <v>967</v>
      </c>
      <c r="Z158" s="14">
        <v>1013</v>
      </c>
      <c r="AA158" s="14">
        <v>360</v>
      </c>
      <c r="AB158" s="14">
        <v>272</v>
      </c>
      <c r="AC158" s="14">
        <v>332</v>
      </c>
      <c r="AD158" s="14">
        <v>48</v>
      </c>
      <c r="AE158" s="14">
        <v>2060</v>
      </c>
      <c r="AF158" s="14">
        <v>5000</v>
      </c>
      <c r="AG158" s="14">
        <v>3309</v>
      </c>
      <c r="AH158" s="14">
        <v>0</v>
      </c>
      <c r="AI158" s="14">
        <v>72</v>
      </c>
      <c r="AJ158" s="14">
        <v>154</v>
      </c>
      <c r="AK158" s="14" t="s">
        <v>2626</v>
      </c>
      <c r="AL158" s="14" t="s">
        <v>2630</v>
      </c>
      <c r="AM158" s="14">
        <v>301.67</v>
      </c>
      <c r="AN158" s="14">
        <v>183.03</v>
      </c>
      <c r="AO158" s="14">
        <v>73.5</v>
      </c>
      <c r="AP158" s="14">
        <v>20918</v>
      </c>
      <c r="AQ158" s="14">
        <v>20838</v>
      </c>
      <c r="AR158" s="14">
        <v>23000</v>
      </c>
      <c r="AS158" s="14">
        <v>18858</v>
      </c>
      <c r="AT158" s="14">
        <v>19871</v>
      </c>
      <c r="AU158" s="14">
        <v>1</v>
      </c>
      <c r="AV158" s="14">
        <v>232.82</v>
      </c>
      <c r="AW158" s="14">
        <v>42.52</v>
      </c>
      <c r="AX158" s="14">
        <v>-0.96</v>
      </c>
      <c r="AY158" s="14" t="b">
        <v>0</v>
      </c>
    </row>
    <row r="159" spans="1:51" hidden="1" x14ac:dyDescent="0.3">
      <c r="A159" t="str">
        <f>CONCATENATE(I159,E159,LEFT(G159,10))</f>
        <v>HFA240LCLK2026-03-20</v>
      </c>
      <c r="B159" s="14" t="s">
        <v>2631</v>
      </c>
      <c r="C159" s="14" t="s">
        <v>336</v>
      </c>
      <c r="D159" s="14" t="s">
        <v>337</v>
      </c>
      <c r="E159" s="14" t="s">
        <v>87</v>
      </c>
      <c r="F159" s="14" t="s">
        <v>83</v>
      </c>
      <c r="G159" s="14" t="s">
        <v>2632</v>
      </c>
      <c r="H159" s="14" t="s">
        <v>371</v>
      </c>
      <c r="I159" s="14" t="s">
        <v>167</v>
      </c>
      <c r="J159" s="14" t="s">
        <v>87</v>
      </c>
      <c r="K159" s="14" t="s">
        <v>471</v>
      </c>
      <c r="L159" s="14" t="s">
        <v>341</v>
      </c>
      <c r="M159" s="16" t="s">
        <v>2633</v>
      </c>
      <c r="N159" s="14" t="s">
        <v>768</v>
      </c>
      <c r="O159" s="14" t="s">
        <v>817</v>
      </c>
      <c r="P159" s="14">
        <v>150</v>
      </c>
      <c r="Q159" s="14">
        <v>2</v>
      </c>
      <c r="R159" s="14">
        <v>0</v>
      </c>
      <c r="S159" s="14" t="s">
        <v>2634</v>
      </c>
      <c r="T159" s="14" t="s">
        <v>2635</v>
      </c>
      <c r="U159" s="14">
        <v>1.05527777777777</v>
      </c>
      <c r="V159" s="14">
        <v>1.2944444444444401</v>
      </c>
      <c r="W159" s="14">
        <v>891</v>
      </c>
      <c r="X159" s="14">
        <v>80</v>
      </c>
      <c r="Y159" s="14">
        <v>811</v>
      </c>
      <c r="Z159" s="14">
        <v>2109</v>
      </c>
      <c r="AA159" s="14">
        <v>909</v>
      </c>
      <c r="AB159" s="14">
        <v>250</v>
      </c>
      <c r="AC159" s="14">
        <v>908</v>
      </c>
      <c r="AD159" s="14">
        <v>42</v>
      </c>
      <c r="AE159" s="14">
        <v>3000</v>
      </c>
      <c r="AF159" s="14">
        <v>5000</v>
      </c>
      <c r="AG159" s="14">
        <v>2817</v>
      </c>
      <c r="AH159" s="14">
        <v>0</v>
      </c>
      <c r="AI159" s="14">
        <v>65</v>
      </c>
      <c r="AJ159" s="14">
        <v>244</v>
      </c>
      <c r="AK159" s="14" t="s">
        <v>2632</v>
      </c>
      <c r="AL159" s="14" t="s">
        <v>2636</v>
      </c>
      <c r="AM159" s="14">
        <v>264.72000000000003</v>
      </c>
      <c r="AN159" s="14">
        <v>183.03</v>
      </c>
      <c r="AO159" s="14">
        <v>300.19</v>
      </c>
      <c r="AP159" s="14">
        <v>18214</v>
      </c>
      <c r="AQ159" s="14">
        <v>18134</v>
      </c>
      <c r="AR159" s="14">
        <v>23000</v>
      </c>
      <c r="AS159" s="14">
        <v>15214</v>
      </c>
      <c r="AT159" s="14">
        <v>17323</v>
      </c>
      <c r="AU159" s="14">
        <v>-7</v>
      </c>
      <c r="AV159" s="14">
        <v>228.82</v>
      </c>
      <c r="AW159" s="14">
        <v>38.369999999999997</v>
      </c>
      <c r="AX159" s="14">
        <v>-0.09</v>
      </c>
      <c r="AY159" s="14" t="b">
        <v>0</v>
      </c>
    </row>
    <row r="160" spans="1:51" hidden="1" x14ac:dyDescent="0.3">
      <c r="A160" t="str">
        <f>CONCATENATE(I160,E160,LEFT(G160,10))</f>
        <v>HFA241LLBG2026-03-20</v>
      </c>
      <c r="B160" s="14" t="s">
        <v>2613</v>
      </c>
      <c r="C160" s="14" t="s">
        <v>336</v>
      </c>
      <c r="D160" s="14" t="s">
        <v>337</v>
      </c>
      <c r="E160" s="14" t="s">
        <v>83</v>
      </c>
      <c r="F160" s="14" t="s">
        <v>87</v>
      </c>
      <c r="G160" s="14" t="s">
        <v>2614</v>
      </c>
      <c r="H160" s="14" t="s">
        <v>371</v>
      </c>
      <c r="I160" s="14" t="s">
        <v>168</v>
      </c>
      <c r="J160" s="14" t="s">
        <v>69</v>
      </c>
      <c r="K160" s="14" t="s">
        <v>471</v>
      </c>
      <c r="L160" s="14" t="s">
        <v>341</v>
      </c>
      <c r="M160" s="16" t="s">
        <v>2615</v>
      </c>
      <c r="N160" s="14" t="s">
        <v>768</v>
      </c>
      <c r="O160" s="14" t="s">
        <v>2586</v>
      </c>
      <c r="P160" s="14">
        <v>160</v>
      </c>
      <c r="Q160" s="14">
        <v>2</v>
      </c>
      <c r="R160" s="14">
        <v>6500</v>
      </c>
      <c r="S160" s="14" t="s">
        <v>2616</v>
      </c>
      <c r="T160" s="14" t="s">
        <v>2617</v>
      </c>
      <c r="U160" s="14">
        <v>1.2197222222222199</v>
      </c>
      <c r="V160" s="14">
        <v>1.51583333333333</v>
      </c>
      <c r="W160" s="14">
        <v>985</v>
      </c>
      <c r="X160" s="14">
        <v>80</v>
      </c>
      <c r="Y160" s="14">
        <v>905</v>
      </c>
      <c r="Z160" s="14">
        <v>1087</v>
      </c>
      <c r="AA160" s="14">
        <v>357</v>
      </c>
      <c r="AB160" s="14">
        <v>283</v>
      </c>
      <c r="AC160" s="14">
        <v>400</v>
      </c>
      <c r="AD160" s="14">
        <v>47</v>
      </c>
      <c r="AE160" s="14">
        <v>2071</v>
      </c>
      <c r="AF160" s="14">
        <v>5000</v>
      </c>
      <c r="AG160" s="14">
        <v>3111</v>
      </c>
      <c r="AH160" s="14">
        <v>0</v>
      </c>
      <c r="AI160" s="14">
        <v>73</v>
      </c>
      <c r="AJ160" s="14">
        <v>162</v>
      </c>
      <c r="AK160" s="14" t="s">
        <v>2614</v>
      </c>
      <c r="AL160" s="14" t="s">
        <v>2618</v>
      </c>
      <c r="AM160" s="14">
        <v>301.67</v>
      </c>
      <c r="AN160" s="14">
        <v>183.03</v>
      </c>
      <c r="AO160" s="14">
        <v>73.5</v>
      </c>
      <c r="AP160" s="14">
        <v>22071</v>
      </c>
      <c r="AQ160" s="14">
        <v>21991</v>
      </c>
      <c r="AR160" s="14">
        <v>23000</v>
      </c>
      <c r="AS160" s="14">
        <v>20000</v>
      </c>
      <c r="AT160" s="14">
        <v>21087</v>
      </c>
      <c r="AU160" s="14">
        <v>1</v>
      </c>
      <c r="AV160" s="14">
        <v>232.37</v>
      </c>
      <c r="AW160" s="14">
        <v>41.22</v>
      </c>
      <c r="AX160" s="14">
        <v>-1.22</v>
      </c>
      <c r="AY160" s="14" t="b">
        <v>0</v>
      </c>
    </row>
    <row r="161" spans="1:51" hidden="1" x14ac:dyDescent="0.3">
      <c r="A161" t="str">
        <f>CONCATENATE(I161,E161,LEFT(G161,10))</f>
        <v>HFA242LGAV2026-03-20</v>
      </c>
      <c r="B161" s="14" t="s">
        <v>2619</v>
      </c>
      <c r="C161" s="14" t="s">
        <v>336</v>
      </c>
      <c r="D161" s="14" t="s">
        <v>337</v>
      </c>
      <c r="E161" s="14" t="s">
        <v>48</v>
      </c>
      <c r="F161" s="14" t="s">
        <v>83</v>
      </c>
      <c r="G161" s="14" t="s">
        <v>2620</v>
      </c>
      <c r="H161" s="14" t="s">
        <v>339</v>
      </c>
      <c r="I161" s="14" t="s">
        <v>266</v>
      </c>
      <c r="J161" s="14" t="s">
        <v>87</v>
      </c>
      <c r="K161" s="14" t="s">
        <v>471</v>
      </c>
      <c r="L161" s="14" t="s">
        <v>341</v>
      </c>
      <c r="M161" s="16" t="s">
        <v>2598</v>
      </c>
      <c r="N161" s="14"/>
      <c r="O161" s="14" t="s">
        <v>2621</v>
      </c>
      <c r="P161" s="14">
        <v>150</v>
      </c>
      <c r="Q161" s="14">
        <v>2</v>
      </c>
      <c r="R161" s="14">
        <v>1700</v>
      </c>
      <c r="S161" s="14" t="s">
        <v>2622</v>
      </c>
      <c r="T161" s="14" t="s">
        <v>2623</v>
      </c>
      <c r="U161" s="14">
        <v>2.4447222222222198</v>
      </c>
      <c r="V161" s="14">
        <v>2.6286111111111099</v>
      </c>
      <c r="W161" s="14">
        <v>1782</v>
      </c>
      <c r="X161" s="14">
        <v>80</v>
      </c>
      <c r="Y161" s="14">
        <v>1702</v>
      </c>
      <c r="Z161" s="14">
        <v>2017</v>
      </c>
      <c r="AA161" s="14">
        <v>894</v>
      </c>
      <c r="AB161" s="14">
        <v>248</v>
      </c>
      <c r="AC161" s="14">
        <v>790</v>
      </c>
      <c r="AD161" s="14">
        <v>85</v>
      </c>
      <c r="AE161" s="14">
        <v>3800</v>
      </c>
      <c r="AF161" s="14">
        <v>5000</v>
      </c>
      <c r="AG161" s="14">
        <v>5633</v>
      </c>
      <c r="AH161" s="14">
        <v>0</v>
      </c>
      <c r="AI161" s="14">
        <v>145</v>
      </c>
      <c r="AJ161" s="14">
        <v>333</v>
      </c>
      <c r="AK161" s="14" t="s">
        <v>2620</v>
      </c>
      <c r="AL161" s="14" t="s">
        <v>2624</v>
      </c>
      <c r="AM161" s="14">
        <v>682.75</v>
      </c>
      <c r="AN161" s="14">
        <v>645.11</v>
      </c>
      <c r="AO161" s="14">
        <v>300.19</v>
      </c>
      <c r="AP161" s="14">
        <v>18825</v>
      </c>
      <c r="AQ161" s="14">
        <v>18745</v>
      </c>
      <c r="AR161" s="14">
        <v>23000</v>
      </c>
      <c r="AS161" s="14">
        <v>15025</v>
      </c>
      <c r="AT161" s="14">
        <v>17042</v>
      </c>
      <c r="AU161" s="14">
        <v>16</v>
      </c>
      <c r="AV161" s="14">
        <v>299.54000000000002</v>
      </c>
      <c r="AW161" s="14">
        <v>20</v>
      </c>
      <c r="AX161" s="14">
        <v>-1.93</v>
      </c>
      <c r="AY161" s="14" t="b">
        <v>0</v>
      </c>
    </row>
    <row r="162" spans="1:51" hidden="1" x14ac:dyDescent="0.3">
      <c r="A162" t="str">
        <f>CONCATENATE(I162,E162,LEFT(G162,10))</f>
        <v>HFA243LLBG2026-03-20</v>
      </c>
      <c r="B162" s="14" t="s">
        <v>2603</v>
      </c>
      <c r="C162" s="14" t="s">
        <v>336</v>
      </c>
      <c r="D162" s="14" t="s">
        <v>337</v>
      </c>
      <c r="E162" s="14" t="s">
        <v>83</v>
      </c>
      <c r="F162" s="14" t="s">
        <v>87</v>
      </c>
      <c r="G162" s="14" t="s">
        <v>2604</v>
      </c>
      <c r="H162" s="14" t="s">
        <v>339</v>
      </c>
      <c r="I162" s="14" t="s">
        <v>267</v>
      </c>
      <c r="J162" s="14" t="s">
        <v>69</v>
      </c>
      <c r="K162" s="14" t="s">
        <v>471</v>
      </c>
      <c r="L162" s="14" t="s">
        <v>341</v>
      </c>
      <c r="M162" s="16" t="s">
        <v>2605</v>
      </c>
      <c r="N162" s="14" t="s">
        <v>768</v>
      </c>
      <c r="O162" s="14" t="s">
        <v>2586</v>
      </c>
      <c r="P162" s="14">
        <v>160</v>
      </c>
      <c r="Q162" s="14">
        <v>2</v>
      </c>
      <c r="R162" s="14">
        <v>6500</v>
      </c>
      <c r="S162" s="14" t="s">
        <v>2606</v>
      </c>
      <c r="T162" s="14" t="s">
        <v>2607</v>
      </c>
      <c r="U162" s="14">
        <v>1.2041666666666599</v>
      </c>
      <c r="V162" s="14">
        <v>1.4308333333333301</v>
      </c>
      <c r="W162" s="14">
        <v>984</v>
      </c>
      <c r="X162" s="14">
        <v>80</v>
      </c>
      <c r="Y162" s="14">
        <v>904</v>
      </c>
      <c r="Z162" s="14">
        <v>1082</v>
      </c>
      <c r="AA162" s="14">
        <v>354</v>
      </c>
      <c r="AB162" s="14">
        <v>281</v>
      </c>
      <c r="AC162" s="14">
        <v>400</v>
      </c>
      <c r="AD162" s="14">
        <v>47</v>
      </c>
      <c r="AE162" s="14">
        <v>2066</v>
      </c>
      <c r="AF162" s="14">
        <v>5000</v>
      </c>
      <c r="AG162" s="14">
        <v>3110</v>
      </c>
      <c r="AH162" s="14">
        <v>0</v>
      </c>
      <c r="AI162" s="14">
        <v>74</v>
      </c>
      <c r="AJ162" s="14">
        <v>165</v>
      </c>
      <c r="AK162" s="14" t="s">
        <v>2604</v>
      </c>
      <c r="AL162" s="14" t="s">
        <v>2608</v>
      </c>
      <c r="AM162" s="14">
        <v>301.67</v>
      </c>
      <c r="AN162" s="14">
        <v>183.03</v>
      </c>
      <c r="AO162" s="14">
        <v>73.5</v>
      </c>
      <c r="AP162" s="14">
        <v>21891</v>
      </c>
      <c r="AQ162" s="14">
        <v>21811</v>
      </c>
      <c r="AR162" s="14">
        <v>23000</v>
      </c>
      <c r="AS162" s="14">
        <v>19825</v>
      </c>
      <c r="AT162" s="14">
        <v>20907</v>
      </c>
      <c r="AU162" s="14">
        <v>-4</v>
      </c>
      <c r="AV162" s="14">
        <v>248.44</v>
      </c>
      <c r="AW162" s="14">
        <v>38.630000000000003</v>
      </c>
      <c r="AX162" s="14">
        <v>-1.87</v>
      </c>
      <c r="AY162" s="14" t="b">
        <v>0</v>
      </c>
    </row>
    <row r="163" spans="1:51" hidden="1" x14ac:dyDescent="0.3">
      <c r="A163" t="str">
        <f>CONCATENATE(I163,E163,LEFT(G163,10))</f>
        <v>HFA244LCLK2026-03-21</v>
      </c>
      <c r="B163" s="14" t="s">
        <v>2590</v>
      </c>
      <c r="C163" s="14" t="s">
        <v>336</v>
      </c>
      <c r="D163" s="14" t="s">
        <v>337</v>
      </c>
      <c r="E163" s="14" t="s">
        <v>87</v>
      </c>
      <c r="F163" s="14" t="s">
        <v>83</v>
      </c>
      <c r="G163" s="14" t="s">
        <v>2591</v>
      </c>
      <c r="H163" s="14" t="s">
        <v>357</v>
      </c>
      <c r="I163" s="14" t="s">
        <v>212</v>
      </c>
      <c r="J163" s="14" t="s">
        <v>87</v>
      </c>
      <c r="K163" s="14" t="s">
        <v>471</v>
      </c>
      <c r="L163" s="14" t="s">
        <v>542</v>
      </c>
      <c r="M163" s="16" t="s">
        <v>2592</v>
      </c>
      <c r="N163" s="14" t="s">
        <v>2545</v>
      </c>
      <c r="O163" s="14" t="s">
        <v>1868</v>
      </c>
      <c r="P163" s="14">
        <v>150</v>
      </c>
      <c r="Q163" s="14">
        <v>2</v>
      </c>
      <c r="R163" s="14">
        <v>700</v>
      </c>
      <c r="S163" s="14" t="s">
        <v>2593</v>
      </c>
      <c r="T163" s="14" t="s">
        <v>2594</v>
      </c>
      <c r="U163" s="14">
        <v>1.01</v>
      </c>
      <c r="V163" s="14">
        <v>1.3952777777777701</v>
      </c>
      <c r="W163" s="14">
        <v>844</v>
      </c>
      <c r="X163" s="14">
        <v>80</v>
      </c>
      <c r="Y163" s="14">
        <v>764</v>
      </c>
      <c r="Z163" s="14">
        <v>2456</v>
      </c>
      <c r="AA163" s="14">
        <v>890</v>
      </c>
      <c r="AB163" s="14">
        <v>243</v>
      </c>
      <c r="AC163" s="14">
        <v>1282</v>
      </c>
      <c r="AD163" s="14">
        <v>41</v>
      </c>
      <c r="AE163" s="14">
        <v>3300</v>
      </c>
      <c r="AF163" s="14">
        <v>5000</v>
      </c>
      <c r="AG163" s="14">
        <v>2666</v>
      </c>
      <c r="AH163" s="14">
        <v>0</v>
      </c>
      <c r="AI163" s="14">
        <v>62</v>
      </c>
      <c r="AJ163" s="14">
        <v>276</v>
      </c>
      <c r="AK163" s="14" t="s">
        <v>2591</v>
      </c>
      <c r="AL163" s="14" t="s">
        <v>2595</v>
      </c>
      <c r="AM163" s="14">
        <v>264.72000000000003</v>
      </c>
      <c r="AN163" s="14">
        <v>183.03</v>
      </c>
      <c r="AO163" s="14">
        <v>300.19</v>
      </c>
      <c r="AP163" s="14">
        <v>17225</v>
      </c>
      <c r="AQ163" s="14">
        <v>17145</v>
      </c>
      <c r="AR163" s="14">
        <v>23000</v>
      </c>
      <c r="AS163" s="14">
        <v>13925</v>
      </c>
      <c r="AT163" s="14">
        <v>16381</v>
      </c>
      <c r="AU163" s="14">
        <v>-2</v>
      </c>
      <c r="AV163" s="14">
        <v>235.79</v>
      </c>
      <c r="AW163" s="14">
        <v>23.23</v>
      </c>
      <c r="AX163" s="14">
        <v>-1.45</v>
      </c>
      <c r="AY163" s="14" t="b">
        <v>0</v>
      </c>
    </row>
    <row r="164" spans="1:51" hidden="1" x14ac:dyDescent="0.3">
      <c r="A164" t="str">
        <f>CONCATENATE(I164,E164,LEFT(G164,10))</f>
        <v>HFA245LLBG2026-03-21</v>
      </c>
      <c r="B164" s="14" t="s">
        <v>2573</v>
      </c>
      <c r="C164" s="14" t="s">
        <v>336</v>
      </c>
      <c r="D164" s="14" t="s">
        <v>337</v>
      </c>
      <c r="E164" s="14" t="s">
        <v>83</v>
      </c>
      <c r="F164" s="14" t="s">
        <v>48</v>
      </c>
      <c r="G164" s="14" t="s">
        <v>2574</v>
      </c>
      <c r="H164" s="14" t="s">
        <v>357</v>
      </c>
      <c r="I164" s="14" t="s">
        <v>213</v>
      </c>
      <c r="J164" s="14" t="s">
        <v>401</v>
      </c>
      <c r="K164" s="14" t="s">
        <v>471</v>
      </c>
      <c r="L164" s="14" t="s">
        <v>341</v>
      </c>
      <c r="M164" s="16" t="s">
        <v>2575</v>
      </c>
      <c r="N164" s="14" t="s">
        <v>359</v>
      </c>
      <c r="O164" s="14" t="s">
        <v>495</v>
      </c>
      <c r="P164" s="14">
        <v>180</v>
      </c>
      <c r="Q164" s="14">
        <v>2</v>
      </c>
      <c r="R164" s="14">
        <v>6500</v>
      </c>
      <c r="S164" s="14" t="s">
        <v>2576</v>
      </c>
      <c r="T164" s="14" t="s">
        <v>2577</v>
      </c>
      <c r="U164" s="14">
        <v>2.8186111111111098</v>
      </c>
      <c r="V164" s="14">
        <v>3.1761111111111102</v>
      </c>
      <c r="W164" s="14">
        <v>1980</v>
      </c>
      <c r="X164" s="14">
        <v>80</v>
      </c>
      <c r="Y164" s="14">
        <v>1900</v>
      </c>
      <c r="Z164" s="14">
        <v>1156</v>
      </c>
      <c r="AA164" s="14">
        <v>581</v>
      </c>
      <c r="AB164" s="14">
        <v>280</v>
      </c>
      <c r="AC164" s="14">
        <v>200</v>
      </c>
      <c r="AD164" s="14">
        <v>95</v>
      </c>
      <c r="AE164" s="14">
        <v>3136</v>
      </c>
      <c r="AF164" s="14">
        <v>5000</v>
      </c>
      <c r="AG164" s="14">
        <v>6256</v>
      </c>
      <c r="AH164" s="14">
        <v>0</v>
      </c>
      <c r="AI164" s="14">
        <v>167</v>
      </c>
      <c r="AJ164" s="14">
        <v>267</v>
      </c>
      <c r="AK164" s="14" t="s">
        <v>2574</v>
      </c>
      <c r="AL164" s="14" t="s">
        <v>2578</v>
      </c>
      <c r="AM164" s="14">
        <v>688.45</v>
      </c>
      <c r="AN164" s="14">
        <v>645.11</v>
      </c>
      <c r="AO164" s="14">
        <v>176.85</v>
      </c>
      <c r="AP164" s="14">
        <v>22861</v>
      </c>
      <c r="AQ164" s="14">
        <v>22781</v>
      </c>
      <c r="AR164" s="14">
        <v>23000</v>
      </c>
      <c r="AS164" s="14">
        <v>19725</v>
      </c>
      <c r="AT164" s="14">
        <v>20881</v>
      </c>
      <c r="AU164" s="14">
        <v>-13</v>
      </c>
      <c r="AV164" s="14">
        <v>282.97000000000003</v>
      </c>
      <c r="AW164" s="14">
        <v>11.89</v>
      </c>
      <c r="AX164" s="14">
        <v>-2.69</v>
      </c>
      <c r="AY164" s="14" t="b">
        <v>0</v>
      </c>
    </row>
    <row r="165" spans="1:51" hidden="1" x14ac:dyDescent="0.3">
      <c r="A165" t="str">
        <f>CONCATENATE(I165,E165,LEFT(G165,10))</f>
        <v>HFA246LGAV2026-03-21</v>
      </c>
      <c r="B165" s="14" t="s">
        <v>2542</v>
      </c>
      <c r="C165" s="14" t="s">
        <v>336</v>
      </c>
      <c r="D165" s="14" t="s">
        <v>337</v>
      </c>
      <c r="E165" s="14" t="s">
        <v>48</v>
      </c>
      <c r="F165" s="14" t="s">
        <v>83</v>
      </c>
      <c r="G165" s="14" t="s">
        <v>2543</v>
      </c>
      <c r="H165" s="14" t="s">
        <v>357</v>
      </c>
      <c r="I165" s="14" t="s">
        <v>214</v>
      </c>
      <c r="J165" s="14" t="s">
        <v>87</v>
      </c>
      <c r="K165" s="14" t="s">
        <v>471</v>
      </c>
      <c r="L165" s="14" t="s">
        <v>542</v>
      </c>
      <c r="M165" s="16" t="s">
        <v>2544</v>
      </c>
      <c r="N165" s="14" t="s">
        <v>2545</v>
      </c>
      <c r="O165" s="14" t="s">
        <v>2533</v>
      </c>
      <c r="P165" s="14">
        <v>190</v>
      </c>
      <c r="Q165" s="14">
        <v>2</v>
      </c>
      <c r="R165" s="14">
        <v>800</v>
      </c>
      <c r="S165" s="14" t="s">
        <v>2546</v>
      </c>
      <c r="T165" s="14" t="s">
        <v>2547</v>
      </c>
      <c r="U165" s="14">
        <v>2.45055555555555</v>
      </c>
      <c r="V165" s="14">
        <v>2.74138888888888</v>
      </c>
      <c r="W165" s="14">
        <v>1740</v>
      </c>
      <c r="X165" s="14">
        <v>80</v>
      </c>
      <c r="Y165" s="14">
        <v>1660</v>
      </c>
      <c r="Z165" s="14">
        <v>1960</v>
      </c>
      <c r="AA165" s="14">
        <v>893</v>
      </c>
      <c r="AB165" s="14">
        <v>240</v>
      </c>
      <c r="AC165" s="14">
        <v>744</v>
      </c>
      <c r="AD165" s="14">
        <v>83</v>
      </c>
      <c r="AE165" s="14">
        <v>3700</v>
      </c>
      <c r="AF165" s="14">
        <v>5000</v>
      </c>
      <c r="AG165" s="14">
        <v>5498</v>
      </c>
      <c r="AH165" s="14">
        <v>0</v>
      </c>
      <c r="AI165" s="14">
        <v>148</v>
      </c>
      <c r="AJ165" s="14">
        <v>328</v>
      </c>
      <c r="AK165" s="14" t="s">
        <v>2543</v>
      </c>
      <c r="AL165" s="14" t="s">
        <v>2548</v>
      </c>
      <c r="AM165" s="14">
        <v>682.75</v>
      </c>
      <c r="AN165" s="14">
        <v>645.11</v>
      </c>
      <c r="AO165" s="14">
        <v>300.19</v>
      </c>
      <c r="AP165" s="14">
        <v>17725</v>
      </c>
      <c r="AQ165" s="14">
        <v>17645</v>
      </c>
      <c r="AR165" s="14">
        <v>23000</v>
      </c>
      <c r="AS165" s="14">
        <v>14025</v>
      </c>
      <c r="AT165" s="14">
        <v>15985</v>
      </c>
      <c r="AU165" s="14">
        <v>8</v>
      </c>
      <c r="AV165" s="14">
        <v>300.39999999999998</v>
      </c>
      <c r="AW165" s="14">
        <v>9.18</v>
      </c>
      <c r="AX165" s="14">
        <v>-2.62</v>
      </c>
      <c r="AY165" s="14" t="b">
        <v>0</v>
      </c>
    </row>
    <row r="166" spans="1:51" hidden="1" x14ac:dyDescent="0.3">
      <c r="A166" t="str">
        <f>CONCATENATE(I166,E166,LEFT(G166,10))</f>
        <v>HFA247LLBG2026-03-21</v>
      </c>
      <c r="B166" s="14" t="s">
        <v>2537</v>
      </c>
      <c r="C166" s="14" t="s">
        <v>336</v>
      </c>
      <c r="D166" s="14" t="s">
        <v>337</v>
      </c>
      <c r="E166" s="14" t="s">
        <v>83</v>
      </c>
      <c r="F166" s="14" t="s">
        <v>87</v>
      </c>
      <c r="G166" s="14" t="s">
        <v>2538</v>
      </c>
      <c r="H166" s="14" t="s">
        <v>371</v>
      </c>
      <c r="I166" s="14" t="s">
        <v>170</v>
      </c>
      <c r="J166" s="14" t="s">
        <v>69</v>
      </c>
      <c r="K166" s="14" t="s">
        <v>471</v>
      </c>
      <c r="L166" s="14" t="s">
        <v>341</v>
      </c>
      <c r="M166" s="16" t="s">
        <v>2517</v>
      </c>
      <c r="N166" s="14" t="s">
        <v>768</v>
      </c>
      <c r="O166" s="14" t="s">
        <v>1606</v>
      </c>
      <c r="P166" s="14">
        <v>160</v>
      </c>
      <c r="Q166" s="14">
        <v>2</v>
      </c>
      <c r="R166" s="14">
        <v>6620</v>
      </c>
      <c r="S166" s="14" t="s">
        <v>2539</v>
      </c>
      <c r="T166" s="14" t="s">
        <v>2540</v>
      </c>
      <c r="U166" s="14">
        <v>0.98111111111111104</v>
      </c>
      <c r="V166" s="14">
        <v>1.68611111111111</v>
      </c>
      <c r="W166" s="14">
        <v>1014</v>
      </c>
      <c r="X166" s="14">
        <v>80</v>
      </c>
      <c r="Y166" s="14">
        <v>934</v>
      </c>
      <c r="Z166" s="14">
        <v>986</v>
      </c>
      <c r="AA166" s="14">
        <v>356</v>
      </c>
      <c r="AB166" s="14">
        <v>283</v>
      </c>
      <c r="AC166" s="14">
        <v>300</v>
      </c>
      <c r="AD166" s="14">
        <v>47</v>
      </c>
      <c r="AE166" s="14">
        <v>2000</v>
      </c>
      <c r="AF166" s="14">
        <v>5000</v>
      </c>
      <c r="AG166" s="14">
        <v>3204</v>
      </c>
      <c r="AH166" s="14">
        <v>0</v>
      </c>
      <c r="AI166" s="14">
        <v>75</v>
      </c>
      <c r="AJ166" s="14">
        <v>155</v>
      </c>
      <c r="AK166" s="14" t="s">
        <v>2538</v>
      </c>
      <c r="AL166" s="14" t="s">
        <v>2541</v>
      </c>
      <c r="AM166" s="14">
        <v>301.67</v>
      </c>
      <c r="AN166" s="14">
        <v>183.03</v>
      </c>
      <c r="AO166" s="14">
        <v>73.5</v>
      </c>
      <c r="AP166" s="14">
        <v>22120</v>
      </c>
      <c r="AQ166" s="14">
        <v>22040</v>
      </c>
      <c r="AR166" s="14">
        <v>23000</v>
      </c>
      <c r="AS166" s="14">
        <v>20120</v>
      </c>
      <c r="AT166" s="14">
        <v>21106</v>
      </c>
      <c r="AU166" s="14">
        <v>-6</v>
      </c>
      <c r="AV166" s="14">
        <v>249.4</v>
      </c>
      <c r="AW166" s="14">
        <v>20.96</v>
      </c>
      <c r="AX166" s="14">
        <v>-2.65</v>
      </c>
      <c r="AY166" s="14" t="b">
        <v>0</v>
      </c>
    </row>
    <row r="167" spans="1:51" hidden="1" x14ac:dyDescent="0.3">
      <c r="A167" t="str">
        <f>CONCATENATE(I167,E167,LEFT(G167,10))</f>
        <v>HFA248LCLK2026-03-21</v>
      </c>
      <c r="B167" s="14" t="s">
        <v>2579</v>
      </c>
      <c r="C167" s="14" t="s">
        <v>336</v>
      </c>
      <c r="D167" s="14" t="s">
        <v>337</v>
      </c>
      <c r="E167" s="14" t="s">
        <v>87</v>
      </c>
      <c r="F167" s="14" t="s">
        <v>83</v>
      </c>
      <c r="G167" s="14" t="s">
        <v>2580</v>
      </c>
      <c r="H167" s="14" t="s">
        <v>436</v>
      </c>
      <c r="I167" s="14" t="s">
        <v>102</v>
      </c>
      <c r="J167" s="14" t="s">
        <v>87</v>
      </c>
      <c r="K167" s="14" t="s">
        <v>471</v>
      </c>
      <c r="L167" s="14" t="s">
        <v>542</v>
      </c>
      <c r="M167" s="16" t="s">
        <v>1867</v>
      </c>
      <c r="N167" s="14" t="s">
        <v>2545</v>
      </c>
      <c r="O167" s="14" t="s">
        <v>1868</v>
      </c>
      <c r="P167" s="14">
        <v>150</v>
      </c>
      <c r="Q167" s="14">
        <v>2</v>
      </c>
      <c r="R167" s="14">
        <v>700</v>
      </c>
      <c r="S167" s="14" t="s">
        <v>2581</v>
      </c>
      <c r="T167" s="14" t="s">
        <v>2582</v>
      </c>
      <c r="U167" s="14">
        <v>0.99</v>
      </c>
      <c r="V167" s="14">
        <v>1.3225</v>
      </c>
      <c r="W167" s="14">
        <v>861</v>
      </c>
      <c r="X167" s="14">
        <v>80</v>
      </c>
      <c r="Y167" s="14">
        <v>781</v>
      </c>
      <c r="Z167" s="14">
        <v>2439</v>
      </c>
      <c r="AA167" s="14">
        <v>906</v>
      </c>
      <c r="AB167" s="14">
        <v>243</v>
      </c>
      <c r="AC167" s="14">
        <v>1250</v>
      </c>
      <c r="AD167" s="14">
        <v>40</v>
      </c>
      <c r="AE167" s="14">
        <v>3300</v>
      </c>
      <c r="AF167" s="14">
        <v>5000</v>
      </c>
      <c r="AG167" s="14">
        <v>2722</v>
      </c>
      <c r="AH167" s="14">
        <v>0</v>
      </c>
      <c r="AI167" s="14">
        <v>62</v>
      </c>
      <c r="AJ167" s="14">
        <v>270</v>
      </c>
      <c r="AK167" s="14" t="s">
        <v>2580</v>
      </c>
      <c r="AL167" s="14" t="s">
        <v>2583</v>
      </c>
      <c r="AM167" s="14">
        <v>264.72000000000003</v>
      </c>
      <c r="AN167" s="14">
        <v>183.03</v>
      </c>
      <c r="AO167" s="14">
        <v>300.19</v>
      </c>
      <c r="AP167" s="14">
        <v>17205</v>
      </c>
      <c r="AQ167" s="14">
        <v>17125</v>
      </c>
      <c r="AR167" s="14">
        <v>23000</v>
      </c>
      <c r="AS167" s="14">
        <v>13905</v>
      </c>
      <c r="AT167" s="14">
        <v>16344</v>
      </c>
      <c r="AU167" s="14">
        <v>-2</v>
      </c>
      <c r="AV167" s="14">
        <v>234.37</v>
      </c>
      <c r="AW167" s="14">
        <v>23.53</v>
      </c>
      <c r="AX167" s="14">
        <v>-1.6</v>
      </c>
      <c r="AY167" s="14" t="b">
        <v>0</v>
      </c>
    </row>
    <row r="168" spans="1:51" hidden="1" x14ac:dyDescent="0.3">
      <c r="A168" t="str">
        <f>CONCATENATE(I168,E168,LEFT(G168,10))</f>
        <v>HFA249LLBG2026-03-21</v>
      </c>
      <c r="B168" s="14" t="s">
        <v>2563</v>
      </c>
      <c r="C168" s="14" t="s">
        <v>336</v>
      </c>
      <c r="D168" s="14" t="s">
        <v>337</v>
      </c>
      <c r="E168" s="14" t="s">
        <v>83</v>
      </c>
      <c r="F168" s="14" t="s">
        <v>48</v>
      </c>
      <c r="G168" s="14" t="s">
        <v>2564</v>
      </c>
      <c r="H168" s="14" t="s">
        <v>436</v>
      </c>
      <c r="I168" s="14" t="s">
        <v>103</v>
      </c>
      <c r="J168" s="14" t="s">
        <v>401</v>
      </c>
      <c r="K168" s="14" t="s">
        <v>471</v>
      </c>
      <c r="L168" s="14" t="s">
        <v>341</v>
      </c>
      <c r="M168" s="16" t="s">
        <v>2478</v>
      </c>
      <c r="N168" s="14" t="s">
        <v>359</v>
      </c>
      <c r="O168" s="14" t="s">
        <v>495</v>
      </c>
      <c r="P168" s="14">
        <v>200</v>
      </c>
      <c r="Q168" s="14">
        <v>2</v>
      </c>
      <c r="R168" s="14">
        <v>5400</v>
      </c>
      <c r="S168" s="14" t="s">
        <v>2565</v>
      </c>
      <c r="T168" s="14" t="s">
        <v>2566</v>
      </c>
      <c r="U168" s="14">
        <v>2.7308333333333299</v>
      </c>
      <c r="V168" s="14">
        <v>3.0052777777777702</v>
      </c>
      <c r="W168" s="14">
        <v>1927</v>
      </c>
      <c r="X168" s="14">
        <v>80</v>
      </c>
      <c r="Y168" s="14">
        <v>1847</v>
      </c>
      <c r="Z168" s="14">
        <v>1240</v>
      </c>
      <c r="AA168" s="14">
        <v>577</v>
      </c>
      <c r="AB168" s="14">
        <v>271</v>
      </c>
      <c r="AC168" s="14">
        <v>300</v>
      </c>
      <c r="AD168" s="14">
        <v>92</v>
      </c>
      <c r="AE168" s="14">
        <v>3167</v>
      </c>
      <c r="AF168" s="14">
        <v>5000</v>
      </c>
      <c r="AG168" s="14">
        <v>6089</v>
      </c>
      <c r="AH168" s="14">
        <v>0</v>
      </c>
      <c r="AI168" s="14">
        <v>166</v>
      </c>
      <c r="AJ168" s="14">
        <v>276</v>
      </c>
      <c r="AK168" s="14" t="s">
        <v>2564</v>
      </c>
      <c r="AL168" s="14" t="s">
        <v>2567</v>
      </c>
      <c r="AM168" s="14">
        <v>688.45</v>
      </c>
      <c r="AN168" s="14">
        <v>645.11</v>
      </c>
      <c r="AO168" s="14">
        <v>176.85</v>
      </c>
      <c r="AP168" s="14">
        <v>21772</v>
      </c>
      <c r="AQ168" s="14">
        <v>21692</v>
      </c>
      <c r="AR168" s="14">
        <v>23000</v>
      </c>
      <c r="AS168" s="14">
        <v>18605</v>
      </c>
      <c r="AT168" s="14">
        <v>19845</v>
      </c>
      <c r="AU168" s="14">
        <v>-12</v>
      </c>
      <c r="AV168" s="14">
        <v>276.05</v>
      </c>
      <c r="AW168" s="14">
        <v>10.93</v>
      </c>
      <c r="AX168" s="14">
        <v>-3.32</v>
      </c>
      <c r="AY168" s="14" t="b">
        <v>0</v>
      </c>
    </row>
    <row r="169" spans="1:51" hidden="1" x14ac:dyDescent="0.3">
      <c r="A169" t="str">
        <f>CONCATENATE(I169,E169,LEFT(G169,10))</f>
        <v>HFA250LGAV2026-03-21</v>
      </c>
      <c r="B169" s="14" t="s">
        <v>2530</v>
      </c>
      <c r="C169" s="14" t="s">
        <v>336</v>
      </c>
      <c r="D169" s="14" t="s">
        <v>337</v>
      </c>
      <c r="E169" s="14" t="s">
        <v>48</v>
      </c>
      <c r="F169" s="14" t="s">
        <v>83</v>
      </c>
      <c r="G169" s="14" t="s">
        <v>2531</v>
      </c>
      <c r="H169" s="14" t="s">
        <v>436</v>
      </c>
      <c r="I169" s="14" t="s">
        <v>104</v>
      </c>
      <c r="J169" s="14" t="s">
        <v>87</v>
      </c>
      <c r="K169" s="14" t="s">
        <v>471</v>
      </c>
      <c r="L169" s="14" t="s">
        <v>341</v>
      </c>
      <c r="M169" s="16" t="s">
        <v>2532</v>
      </c>
      <c r="N169" s="14" t="s">
        <v>359</v>
      </c>
      <c r="O169" s="14" t="s">
        <v>2533</v>
      </c>
      <c r="P169" s="14">
        <v>190</v>
      </c>
      <c r="Q169" s="14">
        <v>2</v>
      </c>
      <c r="R169" s="14">
        <v>2000</v>
      </c>
      <c r="S169" s="14" t="s">
        <v>2534</v>
      </c>
      <c r="T169" s="14" t="s">
        <v>2535</v>
      </c>
      <c r="U169" s="14">
        <v>2.49972222222222</v>
      </c>
      <c r="V169" s="14">
        <v>2.6508333333333298</v>
      </c>
      <c r="W169" s="14">
        <v>1791</v>
      </c>
      <c r="X169" s="14">
        <v>80</v>
      </c>
      <c r="Y169" s="14">
        <v>1711</v>
      </c>
      <c r="Z169" s="14">
        <v>1909</v>
      </c>
      <c r="AA169" s="14">
        <v>923</v>
      </c>
      <c r="AB169" s="14">
        <v>249</v>
      </c>
      <c r="AC169" s="14">
        <v>651</v>
      </c>
      <c r="AD169" s="14">
        <v>86</v>
      </c>
      <c r="AE169" s="14">
        <v>3700</v>
      </c>
      <c r="AF169" s="14">
        <v>5000</v>
      </c>
      <c r="AG169" s="14">
        <v>5660</v>
      </c>
      <c r="AH169" s="14">
        <v>0</v>
      </c>
      <c r="AI169" s="14">
        <v>149</v>
      </c>
      <c r="AJ169" s="14">
        <v>319</v>
      </c>
      <c r="AK169" s="14" t="s">
        <v>2531</v>
      </c>
      <c r="AL169" s="14" t="s">
        <v>2536</v>
      </c>
      <c r="AM169" s="14">
        <v>682.75</v>
      </c>
      <c r="AN169" s="14">
        <v>645.11</v>
      </c>
      <c r="AO169" s="14">
        <v>300.19</v>
      </c>
      <c r="AP169" s="14">
        <v>18905</v>
      </c>
      <c r="AQ169" s="14">
        <v>18825</v>
      </c>
      <c r="AR169" s="14">
        <v>23000</v>
      </c>
      <c r="AS169" s="14">
        <v>15205</v>
      </c>
      <c r="AT169" s="14">
        <v>17114</v>
      </c>
      <c r="AU169" s="14">
        <v>9</v>
      </c>
      <c r="AV169" s="14">
        <v>313.44</v>
      </c>
      <c r="AW169" s="14">
        <v>9.93</v>
      </c>
      <c r="AX169" s="14">
        <v>-2.69</v>
      </c>
      <c r="AY169" s="14" t="b">
        <v>0</v>
      </c>
    </row>
    <row r="170" spans="1:51" hidden="1" x14ac:dyDescent="0.3">
      <c r="A170" t="str">
        <f>CONCATENATE(I170,E170,LEFT(G170,10))</f>
        <v>HFA251LLBG2026-03-21</v>
      </c>
      <c r="B170" s="14" t="s">
        <v>2525</v>
      </c>
      <c r="C170" s="14" t="s">
        <v>336</v>
      </c>
      <c r="D170" s="14" t="s">
        <v>337</v>
      </c>
      <c r="E170" s="14" t="s">
        <v>83</v>
      </c>
      <c r="F170" s="14" t="s">
        <v>87</v>
      </c>
      <c r="G170" s="14" t="s">
        <v>2526</v>
      </c>
      <c r="H170" s="14" t="s">
        <v>357</v>
      </c>
      <c r="I170" s="14" t="s">
        <v>215</v>
      </c>
      <c r="J170" s="14" t="s">
        <v>69</v>
      </c>
      <c r="K170" s="14" t="s">
        <v>471</v>
      </c>
      <c r="L170" s="14" t="s">
        <v>341</v>
      </c>
      <c r="M170" s="16" t="s">
        <v>2517</v>
      </c>
      <c r="N170" s="14" t="s">
        <v>473</v>
      </c>
      <c r="O170" s="14" t="s">
        <v>1606</v>
      </c>
      <c r="P170" s="14">
        <v>160</v>
      </c>
      <c r="Q170" s="14">
        <v>2</v>
      </c>
      <c r="R170" s="14">
        <v>5500</v>
      </c>
      <c r="S170" s="14" t="s">
        <v>2527</v>
      </c>
      <c r="T170" s="14" t="s">
        <v>2528</v>
      </c>
      <c r="U170" s="14">
        <v>1.345</v>
      </c>
      <c r="V170" s="14">
        <v>1.6013888888888801</v>
      </c>
      <c r="W170" s="14">
        <v>972</v>
      </c>
      <c r="X170" s="14">
        <v>80</v>
      </c>
      <c r="Y170" s="14">
        <v>892</v>
      </c>
      <c r="Z170" s="14">
        <v>954</v>
      </c>
      <c r="AA170" s="14">
        <v>339</v>
      </c>
      <c r="AB170" s="14">
        <v>270</v>
      </c>
      <c r="AC170" s="14">
        <v>300</v>
      </c>
      <c r="AD170" s="14">
        <v>45</v>
      </c>
      <c r="AE170" s="14">
        <v>1926</v>
      </c>
      <c r="AF170" s="14">
        <v>5000</v>
      </c>
      <c r="AG170" s="14">
        <v>3072</v>
      </c>
      <c r="AH170" s="14">
        <v>0</v>
      </c>
      <c r="AI170" s="14">
        <v>73</v>
      </c>
      <c r="AJ170" s="14">
        <v>154</v>
      </c>
      <c r="AK170" s="14" t="s">
        <v>2526</v>
      </c>
      <c r="AL170" s="14" t="s">
        <v>2529</v>
      </c>
      <c r="AM170" s="14">
        <v>301.67</v>
      </c>
      <c r="AN170" s="14">
        <v>183.03</v>
      </c>
      <c r="AO170" s="14">
        <v>73.5</v>
      </c>
      <c r="AP170" s="14">
        <v>20651</v>
      </c>
      <c r="AQ170" s="14">
        <v>20571</v>
      </c>
      <c r="AR170" s="14">
        <v>23000</v>
      </c>
      <c r="AS170" s="14">
        <v>18725</v>
      </c>
      <c r="AT170" s="14">
        <v>19679</v>
      </c>
      <c r="AU170" s="14">
        <v>-5</v>
      </c>
      <c r="AV170" s="14">
        <v>254.36</v>
      </c>
      <c r="AW170" s="14">
        <v>17.739999999999998</v>
      </c>
      <c r="AX170" s="14">
        <v>-2.97</v>
      </c>
      <c r="AY170" s="14" t="b">
        <v>0</v>
      </c>
    </row>
    <row r="171" spans="1:51" hidden="1" x14ac:dyDescent="0.3">
      <c r="A171" t="str">
        <f>CONCATENATE(I171,E171,LEFT(G171,10))</f>
        <v>HFA252LCLK2026-03-21</v>
      </c>
      <c r="B171" s="14" t="s">
        <v>2596</v>
      </c>
      <c r="C171" s="14" t="s">
        <v>336</v>
      </c>
      <c r="D171" s="14" t="s">
        <v>337</v>
      </c>
      <c r="E171" s="14" t="s">
        <v>87</v>
      </c>
      <c r="F171" s="14" t="s">
        <v>83</v>
      </c>
      <c r="G171" s="14" t="s">
        <v>2597</v>
      </c>
      <c r="H171" s="14" t="s">
        <v>339</v>
      </c>
      <c r="I171" s="14" t="s">
        <v>268</v>
      </c>
      <c r="J171" s="14" t="s">
        <v>87</v>
      </c>
      <c r="K171" s="14" t="s">
        <v>471</v>
      </c>
      <c r="L171" s="14" t="s">
        <v>542</v>
      </c>
      <c r="M171" s="16" t="s">
        <v>2598</v>
      </c>
      <c r="N171" s="14" t="s">
        <v>2599</v>
      </c>
      <c r="O171" s="14" t="s">
        <v>1868</v>
      </c>
      <c r="P171" s="14">
        <v>150</v>
      </c>
      <c r="Q171" s="14">
        <v>2</v>
      </c>
      <c r="R171" s="14">
        <v>700</v>
      </c>
      <c r="S171" s="14" t="s">
        <v>2600</v>
      </c>
      <c r="T171" s="14" t="s">
        <v>2601</v>
      </c>
      <c r="U171" s="14">
        <v>1.0363888888888799</v>
      </c>
      <c r="V171" s="14">
        <v>1.1766666666666601</v>
      </c>
      <c r="W171" s="14">
        <v>849</v>
      </c>
      <c r="X171" s="14">
        <v>80</v>
      </c>
      <c r="Y171" s="14">
        <v>769</v>
      </c>
      <c r="Z171" s="14">
        <v>1951</v>
      </c>
      <c r="AA171" s="14">
        <v>898</v>
      </c>
      <c r="AB171" s="14">
        <v>240</v>
      </c>
      <c r="AC171" s="14">
        <v>773</v>
      </c>
      <c r="AD171" s="14">
        <v>40</v>
      </c>
      <c r="AE171" s="14">
        <v>2800</v>
      </c>
      <c r="AF171" s="14">
        <v>5000</v>
      </c>
      <c r="AG171" s="14">
        <v>2682</v>
      </c>
      <c r="AH171" s="14">
        <v>0</v>
      </c>
      <c r="AI171" s="14">
        <v>62</v>
      </c>
      <c r="AJ171" s="14">
        <v>231</v>
      </c>
      <c r="AK171" s="14" t="s">
        <v>2597</v>
      </c>
      <c r="AL171" s="14" t="s">
        <v>2602</v>
      </c>
      <c r="AM171" s="14">
        <v>264.72000000000003</v>
      </c>
      <c r="AN171" s="14">
        <v>183.03</v>
      </c>
      <c r="AO171" s="14">
        <v>300.19</v>
      </c>
      <c r="AP171" s="14">
        <v>16825</v>
      </c>
      <c r="AQ171" s="14">
        <v>16745</v>
      </c>
      <c r="AR171" s="14">
        <v>23000</v>
      </c>
      <c r="AS171" s="14">
        <v>14025</v>
      </c>
      <c r="AT171" s="14">
        <v>15976</v>
      </c>
      <c r="AU171" s="14">
        <v>-1</v>
      </c>
      <c r="AV171" s="14">
        <v>240.92</v>
      </c>
      <c r="AW171" s="14">
        <v>25.08</v>
      </c>
      <c r="AX171" s="14">
        <v>-1.35</v>
      </c>
      <c r="AY171" s="14" t="b">
        <v>0</v>
      </c>
    </row>
    <row r="172" spans="1:51" hidden="1" x14ac:dyDescent="0.3">
      <c r="A172" t="str">
        <f>CONCATENATE(I172,E172,LEFT(G172,10))</f>
        <v>HFA253LLBG2026-03-21</v>
      </c>
      <c r="B172" s="14" t="s">
        <v>2584</v>
      </c>
      <c r="C172" s="14" t="s">
        <v>336</v>
      </c>
      <c r="D172" s="14" t="s">
        <v>337</v>
      </c>
      <c r="E172" s="14" t="s">
        <v>83</v>
      </c>
      <c r="F172" s="14" t="s">
        <v>87</v>
      </c>
      <c r="G172" s="14" t="s">
        <v>2585</v>
      </c>
      <c r="H172" s="14" t="s">
        <v>339</v>
      </c>
      <c r="I172" s="14" t="s">
        <v>269</v>
      </c>
      <c r="J172" s="14" t="s">
        <v>69</v>
      </c>
      <c r="K172" s="14" t="s">
        <v>471</v>
      </c>
      <c r="L172" s="14" t="s">
        <v>341</v>
      </c>
      <c r="M172" s="16" t="s">
        <v>2575</v>
      </c>
      <c r="N172" s="14" t="s">
        <v>768</v>
      </c>
      <c r="O172" s="14" t="s">
        <v>2586</v>
      </c>
      <c r="P172" s="14">
        <v>160</v>
      </c>
      <c r="Q172" s="14">
        <v>3</v>
      </c>
      <c r="R172" s="14">
        <v>6700</v>
      </c>
      <c r="S172" s="14" t="s">
        <v>2587</v>
      </c>
      <c r="T172" s="14" t="s">
        <v>2588</v>
      </c>
      <c r="U172" s="14">
        <v>1.2391666666666601</v>
      </c>
      <c r="V172" s="14">
        <v>1.49972222222222</v>
      </c>
      <c r="W172" s="14">
        <v>984</v>
      </c>
      <c r="X172" s="14">
        <v>80</v>
      </c>
      <c r="Y172" s="14">
        <v>904</v>
      </c>
      <c r="Z172" s="14">
        <v>981</v>
      </c>
      <c r="AA172" s="14">
        <v>352</v>
      </c>
      <c r="AB172" s="14">
        <v>282</v>
      </c>
      <c r="AC172" s="14">
        <v>300</v>
      </c>
      <c r="AD172" s="14">
        <v>47</v>
      </c>
      <c r="AE172" s="14">
        <v>1965</v>
      </c>
      <c r="AF172" s="14">
        <v>5000</v>
      </c>
      <c r="AG172" s="14">
        <v>3108</v>
      </c>
      <c r="AH172" s="14">
        <v>0</v>
      </c>
      <c r="AI172" s="14">
        <v>74</v>
      </c>
      <c r="AJ172" s="14">
        <v>156</v>
      </c>
      <c r="AK172" s="14" t="s">
        <v>2585</v>
      </c>
      <c r="AL172" s="14" t="s">
        <v>2589</v>
      </c>
      <c r="AM172" s="14">
        <v>301.67</v>
      </c>
      <c r="AN172" s="14">
        <v>183.03</v>
      </c>
      <c r="AO172" s="14">
        <v>73.5</v>
      </c>
      <c r="AP172" s="14">
        <v>21990</v>
      </c>
      <c r="AQ172" s="14">
        <v>21910</v>
      </c>
      <c r="AR172" s="14">
        <v>23000</v>
      </c>
      <c r="AS172" s="14">
        <v>20025</v>
      </c>
      <c r="AT172" s="14">
        <v>21006</v>
      </c>
      <c r="AU172" s="14">
        <v>-3</v>
      </c>
      <c r="AV172" s="14">
        <v>245.14</v>
      </c>
      <c r="AW172" s="14">
        <v>25.53</v>
      </c>
      <c r="AX172" s="14">
        <v>-2.21</v>
      </c>
      <c r="AY172" s="14" t="b">
        <v>0</v>
      </c>
    </row>
    <row r="173" spans="1:51" hidden="1" x14ac:dyDescent="0.3">
      <c r="A173" t="str">
        <f>CONCATENATE(I173,E173,LEFT(G173,10))</f>
        <v>HFA254LCLK2026-03-21</v>
      </c>
      <c r="B173" s="14" t="s">
        <v>2568</v>
      </c>
      <c r="C173" s="14" t="s">
        <v>336</v>
      </c>
      <c r="D173" s="14" t="s">
        <v>337</v>
      </c>
      <c r="E173" s="14" t="s">
        <v>87</v>
      </c>
      <c r="F173" s="14" t="s">
        <v>83</v>
      </c>
      <c r="G173" s="14" t="s">
        <v>2569</v>
      </c>
      <c r="H173" s="14" t="s">
        <v>339</v>
      </c>
      <c r="I173" s="14" t="s">
        <v>270</v>
      </c>
      <c r="J173" s="14" t="s">
        <v>87</v>
      </c>
      <c r="K173" s="14" t="s">
        <v>471</v>
      </c>
      <c r="L173" s="14" t="s">
        <v>542</v>
      </c>
      <c r="M173" s="16" t="s">
        <v>2570</v>
      </c>
      <c r="N173" s="14" t="s">
        <v>1840</v>
      </c>
      <c r="O173" s="14" t="s">
        <v>1868</v>
      </c>
      <c r="P173" s="14">
        <v>150</v>
      </c>
      <c r="Q173" s="14">
        <v>3</v>
      </c>
      <c r="R173" s="14">
        <v>700</v>
      </c>
      <c r="S173" s="14"/>
      <c r="T173" s="14" t="s">
        <v>2571</v>
      </c>
      <c r="U173" s="14"/>
      <c r="V173" s="14">
        <v>1.5008333333333299</v>
      </c>
      <c r="W173" s="14">
        <v>853</v>
      </c>
      <c r="X173" s="14">
        <v>80</v>
      </c>
      <c r="Y173" s="14">
        <v>773</v>
      </c>
      <c r="Z173" s="14">
        <v>1947</v>
      </c>
      <c r="AA173" s="14">
        <v>892</v>
      </c>
      <c r="AB173" s="14">
        <v>240</v>
      </c>
      <c r="AC173" s="14">
        <v>774</v>
      </c>
      <c r="AD173" s="14">
        <v>40</v>
      </c>
      <c r="AE173" s="14">
        <v>2800</v>
      </c>
      <c r="AF173" s="14">
        <v>5000</v>
      </c>
      <c r="AG173" s="14">
        <v>2696</v>
      </c>
      <c r="AH173" s="14">
        <v>0</v>
      </c>
      <c r="AI173" s="14">
        <v>62</v>
      </c>
      <c r="AJ173" s="14">
        <v>231</v>
      </c>
      <c r="AK173" s="14" t="s">
        <v>2569</v>
      </c>
      <c r="AL173" s="14" t="s">
        <v>2572</v>
      </c>
      <c r="AM173" s="14">
        <v>264.72000000000003</v>
      </c>
      <c r="AN173" s="14">
        <v>183.03</v>
      </c>
      <c r="AO173" s="14">
        <v>300.19</v>
      </c>
      <c r="AP173" s="14">
        <v>16825</v>
      </c>
      <c r="AQ173" s="14">
        <v>16745</v>
      </c>
      <c r="AR173" s="14">
        <v>23000</v>
      </c>
      <c r="AS173" s="14">
        <v>14025</v>
      </c>
      <c r="AT173" s="14">
        <v>15972</v>
      </c>
      <c r="AU173" s="14">
        <v>-2</v>
      </c>
      <c r="AV173" s="14">
        <v>231.73</v>
      </c>
      <c r="AW173" s="14">
        <v>21.68</v>
      </c>
      <c r="AX173" s="14">
        <v>-1.71</v>
      </c>
      <c r="AY173" s="14" t="b">
        <v>0</v>
      </c>
    </row>
    <row r="174" spans="1:51" hidden="1" x14ac:dyDescent="0.3">
      <c r="A174" t="str">
        <f>CONCATENATE(I174,E174,LEFT(G174,10))</f>
        <v>HFA255LLBG2026-03-21</v>
      </c>
      <c r="B174" s="14" t="s">
        <v>2556</v>
      </c>
      <c r="C174" s="14" t="s">
        <v>336</v>
      </c>
      <c r="D174" s="14" t="s">
        <v>337</v>
      </c>
      <c r="E174" s="14" t="s">
        <v>83</v>
      </c>
      <c r="F174" s="14" t="s">
        <v>87</v>
      </c>
      <c r="G174" s="14" t="s">
        <v>2557</v>
      </c>
      <c r="H174" s="14" t="s">
        <v>339</v>
      </c>
      <c r="I174" s="14" t="s">
        <v>271</v>
      </c>
      <c r="J174" s="14" t="s">
        <v>69</v>
      </c>
      <c r="K174" s="14" t="s">
        <v>471</v>
      </c>
      <c r="L174" s="14" t="s">
        <v>341</v>
      </c>
      <c r="M174" s="16" t="s">
        <v>2558</v>
      </c>
      <c r="N174" s="14" t="s">
        <v>675</v>
      </c>
      <c r="O174" s="14" t="s">
        <v>2559</v>
      </c>
      <c r="P174" s="14">
        <v>160</v>
      </c>
      <c r="Q174" s="14">
        <v>2</v>
      </c>
      <c r="R174" s="14">
        <v>6700</v>
      </c>
      <c r="S174" s="14" t="s">
        <v>2560</v>
      </c>
      <c r="T174" s="14" t="s">
        <v>2561</v>
      </c>
      <c r="U174" s="14">
        <v>1.0825</v>
      </c>
      <c r="V174" s="14">
        <v>1.6013888888888801</v>
      </c>
      <c r="W174" s="14">
        <v>980</v>
      </c>
      <c r="X174" s="14">
        <v>80</v>
      </c>
      <c r="Y174" s="14">
        <v>900</v>
      </c>
      <c r="Z174" s="14">
        <v>984</v>
      </c>
      <c r="AA174" s="14">
        <v>355</v>
      </c>
      <c r="AB174" s="14">
        <v>282</v>
      </c>
      <c r="AC174" s="14">
        <v>300</v>
      </c>
      <c r="AD174" s="14">
        <v>47</v>
      </c>
      <c r="AE174" s="14">
        <v>1964</v>
      </c>
      <c r="AF174" s="14">
        <v>5000</v>
      </c>
      <c r="AG174" s="14">
        <v>3097</v>
      </c>
      <c r="AH174" s="14">
        <v>0</v>
      </c>
      <c r="AI174" s="14">
        <v>73</v>
      </c>
      <c r="AJ174" s="14">
        <v>156</v>
      </c>
      <c r="AK174" s="14" t="s">
        <v>2557</v>
      </c>
      <c r="AL174" s="14" t="s">
        <v>2562</v>
      </c>
      <c r="AM174" s="14">
        <v>301.67</v>
      </c>
      <c r="AN174" s="14">
        <v>183.03</v>
      </c>
      <c r="AO174" s="14">
        <v>73.5</v>
      </c>
      <c r="AP174" s="14">
        <v>21989</v>
      </c>
      <c r="AQ174" s="14">
        <v>21909</v>
      </c>
      <c r="AR174" s="14">
        <v>23000</v>
      </c>
      <c r="AS174" s="14">
        <v>20025</v>
      </c>
      <c r="AT174" s="14">
        <v>21009</v>
      </c>
      <c r="AU174" s="14">
        <v>-2</v>
      </c>
      <c r="AV174" s="14">
        <v>239.77</v>
      </c>
      <c r="AW174" s="14">
        <v>23.83</v>
      </c>
      <c r="AX174" s="14">
        <v>-2.5499999999999998</v>
      </c>
      <c r="AY174" s="14" t="b">
        <v>0</v>
      </c>
    </row>
    <row r="175" spans="1:51" hidden="1" x14ac:dyDescent="0.3">
      <c r="A175" t="str">
        <f>CONCATENATE(I175,E175,LEFT(G175,10))</f>
        <v>HFA256LCLK2026-03-22</v>
      </c>
      <c r="B175" s="14" t="s">
        <v>2761</v>
      </c>
      <c r="C175" s="14" t="s">
        <v>336</v>
      </c>
      <c r="D175" s="14" t="s">
        <v>337</v>
      </c>
      <c r="E175" s="14" t="s">
        <v>87</v>
      </c>
      <c r="F175" s="14" t="s">
        <v>83</v>
      </c>
      <c r="G175" s="14" t="s">
        <v>2762</v>
      </c>
      <c r="H175" s="14" t="s">
        <v>436</v>
      </c>
      <c r="I175" s="14" t="s">
        <v>106</v>
      </c>
      <c r="J175" s="14" t="s">
        <v>87</v>
      </c>
      <c r="K175" s="14" t="s">
        <v>471</v>
      </c>
      <c r="L175" s="14" t="s">
        <v>341</v>
      </c>
      <c r="M175" s="16" t="s">
        <v>2763</v>
      </c>
      <c r="N175" s="14" t="s">
        <v>359</v>
      </c>
      <c r="O175" s="14" t="s">
        <v>2764</v>
      </c>
      <c r="P175" s="14">
        <v>150</v>
      </c>
      <c r="Q175" s="14">
        <v>4</v>
      </c>
      <c r="R175" s="14">
        <v>3600</v>
      </c>
      <c r="S175" s="14"/>
      <c r="T175" s="14" t="s">
        <v>2765</v>
      </c>
      <c r="U175" s="14"/>
      <c r="V175" s="14">
        <v>1.3047222222222199</v>
      </c>
      <c r="W175" s="14">
        <v>869</v>
      </c>
      <c r="X175" s="14">
        <v>80</v>
      </c>
      <c r="Y175" s="14">
        <v>789</v>
      </c>
      <c r="Z175" s="14">
        <v>2931</v>
      </c>
      <c r="AA175" s="14">
        <v>947</v>
      </c>
      <c r="AB175" s="14">
        <v>270</v>
      </c>
      <c r="AC175" s="14">
        <v>1669</v>
      </c>
      <c r="AD175" s="14">
        <v>45</v>
      </c>
      <c r="AE175" s="14">
        <v>3800</v>
      </c>
      <c r="AF175" s="14">
        <v>5000</v>
      </c>
      <c r="AG175" s="14">
        <v>2746</v>
      </c>
      <c r="AH175" s="14">
        <v>0</v>
      </c>
      <c r="AI175" s="14">
        <v>62</v>
      </c>
      <c r="AJ175" s="14">
        <v>306</v>
      </c>
      <c r="AK175" s="14" t="s">
        <v>2762</v>
      </c>
      <c r="AL175" s="14" t="s">
        <v>2766</v>
      </c>
      <c r="AM175" s="14">
        <v>264.72000000000003</v>
      </c>
      <c r="AN175" s="14">
        <v>183.03</v>
      </c>
      <c r="AO175" s="14">
        <v>300.19</v>
      </c>
      <c r="AP175" s="14">
        <v>20605</v>
      </c>
      <c r="AQ175" s="14">
        <v>20525</v>
      </c>
      <c r="AR175" s="14">
        <v>23000</v>
      </c>
      <c r="AS175" s="14">
        <v>16805</v>
      </c>
      <c r="AT175" s="14">
        <v>19736</v>
      </c>
      <c r="AU175" s="14">
        <v>3</v>
      </c>
      <c r="AV175" s="14">
        <v>259.23</v>
      </c>
      <c r="AW175" s="14">
        <v>14.5</v>
      </c>
      <c r="AX175" s="14">
        <v>-1.83</v>
      </c>
      <c r="AY175" s="14" t="b">
        <v>0</v>
      </c>
    </row>
    <row r="176" spans="1:51" hidden="1" x14ac:dyDescent="0.3">
      <c r="A176" t="str">
        <f>CONCATENATE(I176,E176,LEFT(G176,10))</f>
        <v>HFA257LLBG2026-03-22</v>
      </c>
      <c r="B176" s="14" t="s">
        <v>2756</v>
      </c>
      <c r="C176" s="14" t="s">
        <v>336</v>
      </c>
      <c r="D176" s="14" t="s">
        <v>337</v>
      </c>
      <c r="E176" s="14" t="s">
        <v>83</v>
      </c>
      <c r="F176" s="14" t="s">
        <v>48</v>
      </c>
      <c r="G176" s="14" t="s">
        <v>2757</v>
      </c>
      <c r="H176" s="14" t="s">
        <v>436</v>
      </c>
      <c r="I176" s="14" t="s">
        <v>107</v>
      </c>
      <c r="J176" s="14" t="s">
        <v>751</v>
      </c>
      <c r="K176" s="14" t="s">
        <v>471</v>
      </c>
      <c r="L176" s="14" t="s">
        <v>341</v>
      </c>
      <c r="M176" s="16" t="s">
        <v>2758</v>
      </c>
      <c r="N176" s="14" t="s">
        <v>359</v>
      </c>
      <c r="O176" s="14" t="s">
        <v>2759</v>
      </c>
      <c r="P176" s="14">
        <v>180</v>
      </c>
      <c r="Q176" s="14">
        <v>2</v>
      </c>
      <c r="R176" s="14">
        <v>6300</v>
      </c>
      <c r="S176" s="14"/>
      <c r="T176" s="14"/>
      <c r="U176" s="14"/>
      <c r="V176" s="14"/>
      <c r="W176" s="14">
        <v>2022</v>
      </c>
      <c r="X176" s="14">
        <v>80</v>
      </c>
      <c r="Y176" s="14">
        <v>1942</v>
      </c>
      <c r="Z176" s="14">
        <v>886</v>
      </c>
      <c r="AA176" s="14">
        <v>413</v>
      </c>
      <c r="AB176" s="14">
        <v>276</v>
      </c>
      <c r="AC176" s="14">
        <v>100</v>
      </c>
      <c r="AD176" s="14">
        <v>97</v>
      </c>
      <c r="AE176" s="14">
        <v>2908</v>
      </c>
      <c r="AF176" s="14">
        <v>5000</v>
      </c>
      <c r="AG176" s="14">
        <v>6391</v>
      </c>
      <c r="AH176" s="14">
        <v>0</v>
      </c>
      <c r="AI176" s="14">
        <v>168</v>
      </c>
      <c r="AJ176" s="14">
        <v>244</v>
      </c>
      <c r="AK176" s="14" t="s">
        <v>2757</v>
      </c>
      <c r="AL176" s="14" t="s">
        <v>2760</v>
      </c>
      <c r="AM176" s="14">
        <v>688.95</v>
      </c>
      <c r="AN176" s="14">
        <v>645.11</v>
      </c>
      <c r="AO176" s="14">
        <v>103.63</v>
      </c>
      <c r="AP176" s="14">
        <v>22413</v>
      </c>
      <c r="AQ176" s="14">
        <v>22333</v>
      </c>
      <c r="AR176" s="14">
        <v>23000</v>
      </c>
      <c r="AS176" s="14">
        <v>19505</v>
      </c>
      <c r="AT176" s="14">
        <v>20391</v>
      </c>
      <c r="AU176" s="14">
        <v>-15</v>
      </c>
      <c r="AV176" s="14">
        <v>294.51</v>
      </c>
      <c r="AW176" s="14">
        <v>15.44</v>
      </c>
      <c r="AX176" s="14">
        <v>-1.65</v>
      </c>
      <c r="AY176" s="14" t="b">
        <v>0</v>
      </c>
    </row>
    <row r="177" spans="1:51" hidden="1" x14ac:dyDescent="0.3">
      <c r="A177" t="str">
        <f>CONCATENATE(I177,E177,LEFT(G177,10))</f>
        <v>HFA258LGAV2026-03-22</v>
      </c>
      <c r="B177" s="14" t="s">
        <v>5302</v>
      </c>
      <c r="C177" s="14" t="s">
        <v>336</v>
      </c>
      <c r="D177" s="14" t="s">
        <v>337</v>
      </c>
      <c r="E177" s="14" t="s">
        <v>48</v>
      </c>
      <c r="F177" s="14" t="s">
        <v>83</v>
      </c>
      <c r="G177" s="14" t="s">
        <v>5303</v>
      </c>
      <c r="H177" s="14" t="s">
        <v>436</v>
      </c>
      <c r="I177" s="14" t="s">
        <v>108</v>
      </c>
      <c r="J177" s="14" t="s">
        <v>87</v>
      </c>
      <c r="K177" s="14" t="s">
        <v>471</v>
      </c>
      <c r="L177" s="14" t="s">
        <v>341</v>
      </c>
      <c r="M177" s="16" t="s">
        <v>5304</v>
      </c>
      <c r="N177" s="14" t="s">
        <v>359</v>
      </c>
      <c r="O177" s="14" t="s">
        <v>2621</v>
      </c>
      <c r="P177" s="14">
        <v>150</v>
      </c>
      <c r="Q177" s="14">
        <v>2</v>
      </c>
      <c r="R177" s="14">
        <v>1900</v>
      </c>
      <c r="S177" s="14" t="s">
        <v>5305</v>
      </c>
      <c r="T177" s="14" t="s">
        <v>5306</v>
      </c>
      <c r="U177" s="14">
        <v>2.39222222222222</v>
      </c>
      <c r="V177" s="14">
        <v>2.66361111111111</v>
      </c>
      <c r="W177" s="14">
        <v>1801</v>
      </c>
      <c r="X177" s="14">
        <v>80</v>
      </c>
      <c r="Y177" s="14">
        <v>1721</v>
      </c>
      <c r="Z177" s="14">
        <v>1899</v>
      </c>
      <c r="AA177" s="14">
        <v>924</v>
      </c>
      <c r="AB177" s="14">
        <v>248</v>
      </c>
      <c r="AC177" s="14">
        <v>641</v>
      </c>
      <c r="AD177" s="14">
        <v>86</v>
      </c>
      <c r="AE177" s="14">
        <v>3700</v>
      </c>
      <c r="AF177" s="14">
        <v>5000</v>
      </c>
      <c r="AG177" s="14">
        <v>5692</v>
      </c>
      <c r="AH177" s="14">
        <v>0</v>
      </c>
      <c r="AI177" s="14">
        <v>146</v>
      </c>
      <c r="AJ177" s="14">
        <v>322</v>
      </c>
      <c r="AK177" s="14" t="s">
        <v>5303</v>
      </c>
      <c r="AL177" s="14" t="s">
        <v>5307</v>
      </c>
      <c r="AM177" s="14">
        <v>682.75</v>
      </c>
      <c r="AN177" s="14">
        <v>645.11</v>
      </c>
      <c r="AO177" s="14">
        <v>300.19</v>
      </c>
      <c r="AP177" s="14">
        <v>18805</v>
      </c>
      <c r="AQ177" s="14">
        <v>18725</v>
      </c>
      <c r="AR177" s="14">
        <v>23000</v>
      </c>
      <c r="AS177" s="14">
        <v>15105</v>
      </c>
      <c r="AT177" s="14">
        <v>17004</v>
      </c>
      <c r="AU177" s="14">
        <v>15</v>
      </c>
      <c r="AV177" s="14">
        <v>291.33999999999997</v>
      </c>
      <c r="AW177" s="14">
        <v>16.489999999999998</v>
      </c>
      <c r="AX177" s="14">
        <v>-1.22</v>
      </c>
      <c r="AY177" s="14" t="b">
        <v>0</v>
      </c>
    </row>
    <row r="178" spans="1:51" hidden="1" x14ac:dyDescent="0.3">
      <c r="A178" t="str">
        <f>CONCATENATE(I178,E178,LEFT(G178,10))</f>
        <v>HFA259LLBG2026-03-22</v>
      </c>
      <c r="B178" s="14" t="s">
        <v>5296</v>
      </c>
      <c r="C178" s="14" t="s">
        <v>336</v>
      </c>
      <c r="D178" s="14" t="s">
        <v>337</v>
      </c>
      <c r="E178" s="14" t="s">
        <v>83</v>
      </c>
      <c r="F178" s="14" t="s">
        <v>87</v>
      </c>
      <c r="G178" s="14" t="s">
        <v>5297</v>
      </c>
      <c r="H178" s="14" t="s">
        <v>436</v>
      </c>
      <c r="I178" s="14" t="s">
        <v>109</v>
      </c>
      <c r="J178" s="14" t="s">
        <v>69</v>
      </c>
      <c r="K178" s="14" t="s">
        <v>471</v>
      </c>
      <c r="L178" s="14" t="s">
        <v>341</v>
      </c>
      <c r="M178" s="16" t="s">
        <v>5298</v>
      </c>
      <c r="N178" s="14" t="s">
        <v>768</v>
      </c>
      <c r="O178" s="14" t="s">
        <v>1606</v>
      </c>
      <c r="P178" s="14">
        <v>160</v>
      </c>
      <c r="Q178" s="14">
        <v>2</v>
      </c>
      <c r="R178" s="14">
        <v>0</v>
      </c>
      <c r="S178" s="14" t="s">
        <v>5299</v>
      </c>
      <c r="T178" s="14" t="s">
        <v>5300</v>
      </c>
      <c r="U178" s="14">
        <v>1.0827777777777701</v>
      </c>
      <c r="V178" s="14">
        <v>1.3827777777777699</v>
      </c>
      <c r="W178" s="14">
        <v>997</v>
      </c>
      <c r="X178" s="14">
        <v>80</v>
      </c>
      <c r="Y178" s="14">
        <v>917</v>
      </c>
      <c r="Z178" s="14">
        <v>1333</v>
      </c>
      <c r="AA178" s="14">
        <v>342</v>
      </c>
      <c r="AB178" s="14">
        <v>283</v>
      </c>
      <c r="AC178" s="14">
        <v>661</v>
      </c>
      <c r="AD178" s="14">
        <v>47</v>
      </c>
      <c r="AE178" s="14">
        <v>2330</v>
      </c>
      <c r="AF178" s="14">
        <v>5000</v>
      </c>
      <c r="AG178" s="14">
        <v>3149</v>
      </c>
      <c r="AH178" s="14">
        <v>0</v>
      </c>
      <c r="AI178" s="14">
        <v>75</v>
      </c>
      <c r="AJ178" s="14">
        <v>187</v>
      </c>
      <c r="AK178" s="14" t="s">
        <v>5297</v>
      </c>
      <c r="AL178" s="14" t="s">
        <v>5301</v>
      </c>
      <c r="AM178" s="14">
        <v>301.67</v>
      </c>
      <c r="AN178" s="14">
        <v>183.03</v>
      </c>
      <c r="AO178" s="14">
        <v>73.5</v>
      </c>
      <c r="AP178" s="14">
        <v>22130</v>
      </c>
      <c r="AQ178" s="14">
        <v>22050</v>
      </c>
      <c r="AR178" s="14">
        <v>23000</v>
      </c>
      <c r="AS178" s="14">
        <v>19800</v>
      </c>
      <c r="AT178" s="14">
        <v>21133</v>
      </c>
      <c r="AU178" s="14">
        <v>-7</v>
      </c>
      <c r="AV178" s="14">
        <v>278.33</v>
      </c>
      <c r="AW178" s="14">
        <v>19.53</v>
      </c>
      <c r="AX178" s="14">
        <v>0.01</v>
      </c>
      <c r="AY178" s="14" t="b">
        <v>0</v>
      </c>
    </row>
    <row r="179" spans="1:51" hidden="1" x14ac:dyDescent="0.3">
      <c r="A179" t="str">
        <f>CONCATENATE(I179,E179,LEFT(G179,10))</f>
        <v>HFA260LCLK2026-03-23</v>
      </c>
      <c r="B179" s="14" t="s">
        <v>5289</v>
      </c>
      <c r="C179" s="14" t="s">
        <v>336</v>
      </c>
      <c r="D179" s="14" t="s">
        <v>337</v>
      </c>
      <c r="E179" s="14" t="s">
        <v>87</v>
      </c>
      <c r="F179" s="14" t="s">
        <v>83</v>
      </c>
      <c r="G179" s="14" t="s">
        <v>5290</v>
      </c>
      <c r="H179" s="14" t="s">
        <v>357</v>
      </c>
      <c r="I179" s="14" t="s">
        <v>216</v>
      </c>
      <c r="J179" s="14" t="s">
        <v>87</v>
      </c>
      <c r="K179" s="14" t="s">
        <v>471</v>
      </c>
      <c r="L179" s="14" t="s">
        <v>341</v>
      </c>
      <c r="M179" s="16" t="s">
        <v>5291</v>
      </c>
      <c r="N179" s="14" t="s">
        <v>359</v>
      </c>
      <c r="O179" s="14" t="s">
        <v>5292</v>
      </c>
      <c r="P179" s="14">
        <v>150</v>
      </c>
      <c r="Q179" s="14">
        <v>2</v>
      </c>
      <c r="R179" s="14">
        <v>0</v>
      </c>
      <c r="S179" s="14" t="s">
        <v>5293</v>
      </c>
      <c r="T179" s="14" t="s">
        <v>5294</v>
      </c>
      <c r="U179" s="14">
        <v>0.97555555555555495</v>
      </c>
      <c r="V179" s="14">
        <v>1.1883333333333299</v>
      </c>
      <c r="W179" s="14">
        <v>859</v>
      </c>
      <c r="X179" s="14">
        <v>80</v>
      </c>
      <c r="Y179" s="14">
        <v>779</v>
      </c>
      <c r="Z179" s="14">
        <v>1541</v>
      </c>
      <c r="AA179" s="14">
        <v>927</v>
      </c>
      <c r="AB179" s="14">
        <v>276</v>
      </c>
      <c r="AC179" s="14">
        <v>291</v>
      </c>
      <c r="AD179" s="14">
        <v>46</v>
      </c>
      <c r="AE179" s="14">
        <v>2400</v>
      </c>
      <c r="AF179" s="14">
        <v>5000</v>
      </c>
      <c r="AG179" s="14">
        <v>2715</v>
      </c>
      <c r="AH179" s="14">
        <v>0</v>
      </c>
      <c r="AI179" s="14">
        <v>63</v>
      </c>
      <c r="AJ179" s="14">
        <v>196</v>
      </c>
      <c r="AK179" s="14" t="s">
        <v>5290</v>
      </c>
      <c r="AL179" s="14" t="s">
        <v>5295</v>
      </c>
      <c r="AM179" s="14">
        <v>264.72000000000003</v>
      </c>
      <c r="AN179" s="14">
        <v>183.03</v>
      </c>
      <c r="AO179" s="14">
        <v>300.19</v>
      </c>
      <c r="AP179" s="14">
        <v>21235</v>
      </c>
      <c r="AQ179" s="14">
        <v>21155</v>
      </c>
      <c r="AR179" s="14">
        <v>23000</v>
      </c>
      <c r="AS179" s="14">
        <v>18835</v>
      </c>
      <c r="AT179" s="14">
        <v>20376</v>
      </c>
      <c r="AU179" s="14">
        <v>1</v>
      </c>
      <c r="AV179" s="14">
        <v>243.59</v>
      </c>
      <c r="AW179" s="14">
        <v>14.06</v>
      </c>
      <c r="AX179" s="14">
        <v>-0.28999999999999998</v>
      </c>
      <c r="AY179" s="14" t="b">
        <v>0</v>
      </c>
    </row>
    <row r="180" spans="1:51" hidden="1" x14ac:dyDescent="0.3">
      <c r="A180" t="str">
        <f>CONCATENATE(I180,E180,LEFT(G180,10))</f>
        <v>HFA261LLBG2026-03-23</v>
      </c>
      <c r="B180" s="14" t="s">
        <v>5277</v>
      </c>
      <c r="C180" s="14" t="s">
        <v>336</v>
      </c>
      <c r="D180" s="14" t="s">
        <v>337</v>
      </c>
      <c r="E180" s="14" t="s">
        <v>83</v>
      </c>
      <c r="F180" s="14" t="s">
        <v>48</v>
      </c>
      <c r="G180" s="14" t="s">
        <v>5278</v>
      </c>
      <c r="H180" s="14" t="s">
        <v>357</v>
      </c>
      <c r="I180" s="14" t="s">
        <v>217</v>
      </c>
      <c r="J180" s="14" t="s">
        <v>401</v>
      </c>
      <c r="K180" s="14" t="s">
        <v>471</v>
      </c>
      <c r="L180" s="14" t="s">
        <v>341</v>
      </c>
      <c r="M180" s="16" t="s">
        <v>5279</v>
      </c>
      <c r="N180" s="14" t="s">
        <v>359</v>
      </c>
      <c r="O180" s="14" t="s">
        <v>5280</v>
      </c>
      <c r="P180" s="14">
        <v>160</v>
      </c>
      <c r="Q180" s="14">
        <v>2</v>
      </c>
      <c r="R180" s="14">
        <v>6300</v>
      </c>
      <c r="S180" s="14" t="s">
        <v>5281</v>
      </c>
      <c r="T180" s="14" t="s">
        <v>5282</v>
      </c>
      <c r="U180" s="14">
        <v>2.7316666666666598</v>
      </c>
      <c r="V180" s="14">
        <v>2.9886111111111102</v>
      </c>
      <c r="W180" s="14">
        <v>2025</v>
      </c>
      <c r="X180" s="14">
        <v>80</v>
      </c>
      <c r="Y180" s="14">
        <v>1945</v>
      </c>
      <c r="Z180" s="14">
        <v>1072</v>
      </c>
      <c r="AA180" s="14">
        <v>597</v>
      </c>
      <c r="AB180" s="14">
        <v>278</v>
      </c>
      <c r="AC180" s="14">
        <v>100</v>
      </c>
      <c r="AD180" s="14">
        <v>97</v>
      </c>
      <c r="AE180" s="14">
        <v>3096</v>
      </c>
      <c r="AF180" s="14">
        <v>5000</v>
      </c>
      <c r="AG180" s="14">
        <v>6398</v>
      </c>
      <c r="AH180" s="14">
        <v>0</v>
      </c>
      <c r="AI180" s="14">
        <v>165</v>
      </c>
      <c r="AJ180" s="14">
        <v>258</v>
      </c>
      <c r="AK180" s="14" t="s">
        <v>5278</v>
      </c>
      <c r="AL180" s="14" t="s">
        <v>5283</v>
      </c>
      <c r="AM180" s="14">
        <v>688.95</v>
      </c>
      <c r="AN180" s="14">
        <v>645.11</v>
      </c>
      <c r="AO180" s="14">
        <v>176.85</v>
      </c>
      <c r="AP180" s="14">
        <v>22621</v>
      </c>
      <c r="AQ180" s="14">
        <v>22541</v>
      </c>
      <c r="AR180" s="14">
        <v>23000</v>
      </c>
      <c r="AS180" s="14">
        <v>19525</v>
      </c>
      <c r="AT180" s="14">
        <v>20597</v>
      </c>
      <c r="AU180" s="14">
        <v>-13</v>
      </c>
      <c r="AV180" s="14">
        <v>280.18</v>
      </c>
      <c r="AW180" s="14">
        <v>14.22</v>
      </c>
      <c r="AX180" s="14">
        <v>-1.01</v>
      </c>
      <c r="AY180" s="14" t="b">
        <v>0</v>
      </c>
    </row>
    <row r="181" spans="1:51" hidden="1" x14ac:dyDescent="0.3">
      <c r="A181" t="str">
        <f>CONCATENATE(I181,E181,LEFT(G181,10))</f>
        <v>HFA262LGAV2026-03-23</v>
      </c>
      <c r="B181" s="14" t="s">
        <v>5271</v>
      </c>
      <c r="C181" s="14" t="s">
        <v>336</v>
      </c>
      <c r="D181" s="14" t="s">
        <v>337</v>
      </c>
      <c r="E181" s="14" t="s">
        <v>48</v>
      </c>
      <c r="F181" s="14" t="s">
        <v>83</v>
      </c>
      <c r="G181" s="14" t="s">
        <v>5272</v>
      </c>
      <c r="H181" s="14" t="s">
        <v>357</v>
      </c>
      <c r="I181" s="14" t="s">
        <v>218</v>
      </c>
      <c r="J181" s="14" t="s">
        <v>87</v>
      </c>
      <c r="K181" s="14" t="s">
        <v>471</v>
      </c>
      <c r="L181" s="14" t="s">
        <v>341</v>
      </c>
      <c r="M181" s="16" t="s">
        <v>5273</v>
      </c>
      <c r="N181" s="14" t="s">
        <v>359</v>
      </c>
      <c r="O181" s="14" t="s">
        <v>2621</v>
      </c>
      <c r="P181" s="14">
        <v>210</v>
      </c>
      <c r="Q181" s="14">
        <v>2</v>
      </c>
      <c r="R181" s="14">
        <v>4900</v>
      </c>
      <c r="S181" s="14" t="s">
        <v>5274</v>
      </c>
      <c r="T181" s="14" t="s">
        <v>5275</v>
      </c>
      <c r="U181" s="14">
        <v>2.4624999999999999</v>
      </c>
      <c r="V181" s="14">
        <v>2.7858333333333301</v>
      </c>
      <c r="W181" s="14">
        <v>1702</v>
      </c>
      <c r="X181" s="14">
        <v>80</v>
      </c>
      <c r="Y181" s="14">
        <v>1622</v>
      </c>
      <c r="Z181" s="14">
        <v>1998</v>
      </c>
      <c r="AA181" s="14">
        <v>929</v>
      </c>
      <c r="AB181" s="14">
        <v>274</v>
      </c>
      <c r="AC181" s="14">
        <v>714</v>
      </c>
      <c r="AD181" s="14">
        <v>81</v>
      </c>
      <c r="AE181" s="14">
        <v>3700</v>
      </c>
      <c r="AF181" s="14">
        <v>5000</v>
      </c>
      <c r="AG181" s="14">
        <v>5378</v>
      </c>
      <c r="AH181" s="14">
        <v>0</v>
      </c>
      <c r="AI181" s="14">
        <v>151</v>
      </c>
      <c r="AJ181" s="14">
        <v>336</v>
      </c>
      <c r="AK181" s="14" t="s">
        <v>5272</v>
      </c>
      <c r="AL181" s="14" t="s">
        <v>5276</v>
      </c>
      <c r="AM181" s="14">
        <v>682.75</v>
      </c>
      <c r="AN181" s="14">
        <v>645.11</v>
      </c>
      <c r="AO181" s="14">
        <v>300.19</v>
      </c>
      <c r="AP181" s="14">
        <v>21825</v>
      </c>
      <c r="AQ181" s="14">
        <v>21745</v>
      </c>
      <c r="AR181" s="14">
        <v>23000</v>
      </c>
      <c r="AS181" s="14">
        <v>18125</v>
      </c>
      <c r="AT181" s="14">
        <v>20123</v>
      </c>
      <c r="AU181" s="14">
        <v>15</v>
      </c>
      <c r="AV181" s="14">
        <v>278.2</v>
      </c>
      <c r="AW181" s="14">
        <v>21.69</v>
      </c>
      <c r="AX181" s="14">
        <v>-1.69</v>
      </c>
      <c r="AY181" s="14" t="b">
        <v>0</v>
      </c>
    </row>
    <row r="182" spans="1:51" hidden="1" x14ac:dyDescent="0.3">
      <c r="A182" t="str">
        <f>CONCATENATE(I182,E182,LEFT(G182,10))</f>
        <v>HFA263LLBG2026-03-23</v>
      </c>
      <c r="B182" s="14" t="s">
        <v>5264</v>
      </c>
      <c r="C182" s="14" t="s">
        <v>336</v>
      </c>
      <c r="D182" s="14" t="s">
        <v>337</v>
      </c>
      <c r="E182" s="14" t="s">
        <v>83</v>
      </c>
      <c r="F182" s="14" t="s">
        <v>87</v>
      </c>
      <c r="G182" s="14" t="s">
        <v>5265</v>
      </c>
      <c r="H182" s="14" t="s">
        <v>357</v>
      </c>
      <c r="I182" s="14" t="s">
        <v>219</v>
      </c>
      <c r="J182" s="14" t="s">
        <v>69</v>
      </c>
      <c r="K182" s="14" t="s">
        <v>471</v>
      </c>
      <c r="L182" s="14" t="s">
        <v>341</v>
      </c>
      <c r="M182" s="16" t="s">
        <v>5266</v>
      </c>
      <c r="N182" s="14" t="s">
        <v>768</v>
      </c>
      <c r="O182" s="14" t="s">
        <v>5267</v>
      </c>
      <c r="P182" s="14">
        <v>160</v>
      </c>
      <c r="Q182" s="14">
        <v>2</v>
      </c>
      <c r="R182" s="14">
        <v>6200</v>
      </c>
      <c r="S182" s="14" t="s">
        <v>5268</v>
      </c>
      <c r="T182" s="14" t="s">
        <v>5269</v>
      </c>
      <c r="U182" s="14">
        <v>1.0202777777777701</v>
      </c>
      <c r="V182" s="14">
        <v>1.3261111111111099</v>
      </c>
      <c r="W182" s="14">
        <v>972</v>
      </c>
      <c r="X182" s="14">
        <v>80</v>
      </c>
      <c r="Y182" s="14">
        <v>892</v>
      </c>
      <c r="Z182" s="14">
        <v>1057</v>
      </c>
      <c r="AA182" s="14">
        <v>333</v>
      </c>
      <c r="AB182" s="14">
        <v>277</v>
      </c>
      <c r="AC182" s="14">
        <v>400</v>
      </c>
      <c r="AD182" s="14">
        <v>46</v>
      </c>
      <c r="AE182" s="14">
        <v>2028</v>
      </c>
      <c r="AF182" s="14">
        <v>5000</v>
      </c>
      <c r="AG182" s="14">
        <v>3070</v>
      </c>
      <c r="AH182" s="14">
        <v>0</v>
      </c>
      <c r="AI182" s="14">
        <v>75</v>
      </c>
      <c r="AJ182" s="14">
        <v>165</v>
      </c>
      <c r="AK182" s="14" t="s">
        <v>5265</v>
      </c>
      <c r="AL182" s="14" t="s">
        <v>5270</v>
      </c>
      <c r="AM182" s="14">
        <v>301.67</v>
      </c>
      <c r="AN182" s="14">
        <v>183.03</v>
      </c>
      <c r="AO182" s="14">
        <v>73.5</v>
      </c>
      <c r="AP182" s="14">
        <v>21453</v>
      </c>
      <c r="AQ182" s="14">
        <v>21373</v>
      </c>
      <c r="AR182" s="14">
        <v>23000</v>
      </c>
      <c r="AS182" s="14">
        <v>19425</v>
      </c>
      <c r="AT182" s="14">
        <v>20482</v>
      </c>
      <c r="AU182" s="14">
        <v>-7</v>
      </c>
      <c r="AV182" s="14">
        <v>268.06</v>
      </c>
      <c r="AW182" s="14">
        <v>17.11</v>
      </c>
      <c r="AX182" s="14">
        <v>0.12</v>
      </c>
      <c r="AY182" s="14" t="b">
        <v>0</v>
      </c>
    </row>
    <row r="183" spans="1:51" hidden="1" x14ac:dyDescent="0.3">
      <c r="A183" t="str">
        <f>CONCATENATE(I183,E183,LEFT(G183,10))</f>
        <v>HFA264LCLK2026-03-24</v>
      </c>
      <c r="B183" s="14" t="s">
        <v>1610</v>
      </c>
      <c r="C183" s="14" t="s">
        <v>336</v>
      </c>
      <c r="D183" s="14" t="s">
        <v>337</v>
      </c>
      <c r="E183" s="14" t="s">
        <v>87</v>
      </c>
      <c r="F183" s="14" t="s">
        <v>83</v>
      </c>
      <c r="G183" s="14" t="s">
        <v>1611</v>
      </c>
      <c r="H183" s="14" t="s">
        <v>339</v>
      </c>
      <c r="I183" s="14" t="s">
        <v>272</v>
      </c>
      <c r="J183" s="14" t="s">
        <v>87</v>
      </c>
      <c r="K183" s="14" t="s">
        <v>471</v>
      </c>
      <c r="L183" s="14" t="s">
        <v>341</v>
      </c>
      <c r="M183" s="16" t="s">
        <v>1612</v>
      </c>
      <c r="N183" s="14"/>
      <c r="O183" s="14" t="s">
        <v>817</v>
      </c>
      <c r="P183" s="14">
        <v>150</v>
      </c>
      <c r="Q183" s="14">
        <v>2</v>
      </c>
      <c r="R183" s="14">
        <v>4600</v>
      </c>
      <c r="S183" s="14" t="s">
        <v>1613</v>
      </c>
      <c r="T183" s="14" t="s">
        <v>1614</v>
      </c>
      <c r="U183" s="14">
        <v>0.919722222222222</v>
      </c>
      <c r="V183" s="14">
        <v>1.14333333333333</v>
      </c>
      <c r="W183" s="14">
        <v>867</v>
      </c>
      <c r="X183" s="14">
        <v>80</v>
      </c>
      <c r="Y183" s="14">
        <v>787</v>
      </c>
      <c r="Z183" s="14">
        <v>1933</v>
      </c>
      <c r="AA183" s="14">
        <v>681</v>
      </c>
      <c r="AB183" s="14">
        <v>271</v>
      </c>
      <c r="AC183" s="14">
        <v>936</v>
      </c>
      <c r="AD183" s="14">
        <v>45</v>
      </c>
      <c r="AE183" s="14">
        <v>2800</v>
      </c>
      <c r="AF183" s="14">
        <v>5000</v>
      </c>
      <c r="AG183" s="14">
        <v>2740</v>
      </c>
      <c r="AH183" s="14">
        <v>0</v>
      </c>
      <c r="AI183" s="14">
        <v>63</v>
      </c>
      <c r="AJ183" s="14">
        <v>230</v>
      </c>
      <c r="AK183" s="14" t="s">
        <v>1611</v>
      </c>
      <c r="AL183" s="14" t="s">
        <v>1615</v>
      </c>
      <c r="AM183" s="14">
        <v>264.72000000000003</v>
      </c>
      <c r="AN183" s="14">
        <v>183.03</v>
      </c>
      <c r="AO183" s="14">
        <v>215.32</v>
      </c>
      <c r="AP183" s="14">
        <v>20725</v>
      </c>
      <c r="AQ183" s="14">
        <v>20645</v>
      </c>
      <c r="AR183" s="14">
        <v>23000</v>
      </c>
      <c r="AS183" s="14">
        <v>17925</v>
      </c>
      <c r="AT183" s="14">
        <v>19858</v>
      </c>
      <c r="AU183" s="14">
        <v>0</v>
      </c>
      <c r="AV183" s="14">
        <v>233.99</v>
      </c>
      <c r="AW183" s="14">
        <v>11.75</v>
      </c>
      <c r="AX183" s="14">
        <v>-0.28999999999999998</v>
      </c>
      <c r="AY183" s="14" t="b">
        <v>0</v>
      </c>
    </row>
    <row r="184" spans="1:51" hidden="1" x14ac:dyDescent="0.3">
      <c r="A184" t="str">
        <f>CONCATENATE(I184,E184,LEFT(G184,10))</f>
        <v>HFA267LLBG2026-03-24</v>
      </c>
      <c r="B184" s="14" t="s">
        <v>1603</v>
      </c>
      <c r="C184" s="14" t="s">
        <v>336</v>
      </c>
      <c r="D184" s="14" t="s">
        <v>337</v>
      </c>
      <c r="E184" s="14" t="s">
        <v>83</v>
      </c>
      <c r="F184" s="14" t="s">
        <v>87</v>
      </c>
      <c r="G184" s="14" t="s">
        <v>1604</v>
      </c>
      <c r="H184" s="14" t="s">
        <v>339</v>
      </c>
      <c r="I184" s="14" t="s">
        <v>273</v>
      </c>
      <c r="J184" s="14" t="s">
        <v>69</v>
      </c>
      <c r="K184" s="14" t="s">
        <v>471</v>
      </c>
      <c r="L184" s="14" t="s">
        <v>341</v>
      </c>
      <c r="M184" s="16" t="s">
        <v>1605</v>
      </c>
      <c r="N184" s="14" t="s">
        <v>768</v>
      </c>
      <c r="O184" s="14" t="s">
        <v>1606</v>
      </c>
      <c r="P184" s="14">
        <v>160</v>
      </c>
      <c r="Q184" s="14">
        <v>2</v>
      </c>
      <c r="R184" s="14">
        <v>6200</v>
      </c>
      <c r="S184" s="14" t="s">
        <v>1607</v>
      </c>
      <c r="T184" s="14" t="s">
        <v>1608</v>
      </c>
      <c r="U184" s="14">
        <v>1.2405555555555501</v>
      </c>
      <c r="V184" s="14">
        <v>1.5316666666666601</v>
      </c>
      <c r="W184" s="14">
        <v>975</v>
      </c>
      <c r="X184" s="14">
        <v>80</v>
      </c>
      <c r="Y184" s="14">
        <v>895</v>
      </c>
      <c r="Z184" s="14">
        <v>960</v>
      </c>
      <c r="AA184" s="14">
        <v>337</v>
      </c>
      <c r="AB184" s="14">
        <v>277</v>
      </c>
      <c r="AC184" s="14">
        <v>300</v>
      </c>
      <c r="AD184" s="14">
        <v>46</v>
      </c>
      <c r="AE184" s="14">
        <v>1936</v>
      </c>
      <c r="AF184" s="14">
        <v>5000</v>
      </c>
      <c r="AG184" s="14">
        <v>3081</v>
      </c>
      <c r="AH184" s="14">
        <v>0</v>
      </c>
      <c r="AI184" s="14">
        <v>74</v>
      </c>
      <c r="AJ184" s="14">
        <v>155</v>
      </c>
      <c r="AK184" s="14" t="s">
        <v>1604</v>
      </c>
      <c r="AL184" s="14" t="s">
        <v>1609</v>
      </c>
      <c r="AM184" s="14">
        <v>301.67</v>
      </c>
      <c r="AN184" s="14">
        <v>183.03</v>
      </c>
      <c r="AO184" s="14">
        <v>73.5</v>
      </c>
      <c r="AP184" s="14">
        <v>21461</v>
      </c>
      <c r="AQ184" s="14">
        <v>21381</v>
      </c>
      <c r="AR184" s="14">
        <v>23000</v>
      </c>
      <c r="AS184" s="14">
        <v>19525</v>
      </c>
      <c r="AT184" s="14">
        <v>20486</v>
      </c>
      <c r="AU184" s="14">
        <v>-4</v>
      </c>
      <c r="AV184" s="14">
        <v>250.01</v>
      </c>
      <c r="AW184" s="14">
        <v>18.71</v>
      </c>
      <c r="AX184" s="14">
        <v>-0.65</v>
      </c>
      <c r="AY184" s="14" t="b">
        <v>0</v>
      </c>
    </row>
    <row r="185" spans="1:51" hidden="1" x14ac:dyDescent="0.3">
      <c r="A185" t="str">
        <f>CONCATENATE(I185,E185,LEFT(G185,10))</f>
        <v>HFA268LCLK2026-03-25</v>
      </c>
      <c r="B185" s="14" t="s">
        <v>2275</v>
      </c>
      <c r="C185" s="14" t="s">
        <v>336</v>
      </c>
      <c r="D185" s="14" t="s">
        <v>337</v>
      </c>
      <c r="E185" s="14" t="s">
        <v>87</v>
      </c>
      <c r="F185" s="14" t="s">
        <v>83</v>
      </c>
      <c r="G185" s="14" t="s">
        <v>2276</v>
      </c>
      <c r="H185" s="14" t="s">
        <v>339</v>
      </c>
      <c r="I185" s="14" t="s">
        <v>274</v>
      </c>
      <c r="J185" s="14" t="s">
        <v>87</v>
      </c>
      <c r="K185" s="14" t="s">
        <v>471</v>
      </c>
      <c r="L185" s="14" t="s">
        <v>341</v>
      </c>
      <c r="M185" s="16" t="s">
        <v>2277</v>
      </c>
      <c r="N185" s="14" t="s">
        <v>768</v>
      </c>
      <c r="O185" s="14" t="s">
        <v>2278</v>
      </c>
      <c r="P185" s="14">
        <v>150</v>
      </c>
      <c r="Q185" s="14">
        <v>2</v>
      </c>
      <c r="R185" s="14">
        <v>0</v>
      </c>
      <c r="S185" s="14" t="s">
        <v>2279</v>
      </c>
      <c r="T185" s="14" t="s">
        <v>2280</v>
      </c>
      <c r="U185" s="14">
        <v>0.956666666666666</v>
      </c>
      <c r="V185" s="14">
        <v>1.1511111111111101</v>
      </c>
      <c r="W185" s="14">
        <v>888</v>
      </c>
      <c r="X185" s="14">
        <v>80</v>
      </c>
      <c r="Y185" s="14">
        <v>808</v>
      </c>
      <c r="Z185" s="14">
        <v>1912</v>
      </c>
      <c r="AA185" s="14">
        <v>936</v>
      </c>
      <c r="AB185" s="14">
        <v>287</v>
      </c>
      <c r="AC185" s="14">
        <v>641</v>
      </c>
      <c r="AD185" s="14">
        <v>48</v>
      </c>
      <c r="AE185" s="14">
        <v>2800</v>
      </c>
      <c r="AF185" s="14">
        <v>5000</v>
      </c>
      <c r="AG185" s="14">
        <v>2806</v>
      </c>
      <c r="AH185" s="14">
        <v>0</v>
      </c>
      <c r="AI185" s="14">
        <v>65</v>
      </c>
      <c r="AJ185" s="14">
        <v>226</v>
      </c>
      <c r="AK185" s="14" t="s">
        <v>2276</v>
      </c>
      <c r="AL185" s="14" t="s">
        <v>2281</v>
      </c>
      <c r="AM185" s="14">
        <v>264.72000000000003</v>
      </c>
      <c r="AN185" s="14">
        <v>183.03</v>
      </c>
      <c r="AO185" s="14">
        <v>300.19</v>
      </c>
      <c r="AP185" s="14">
        <v>22400</v>
      </c>
      <c r="AQ185" s="14">
        <v>22320</v>
      </c>
      <c r="AR185" s="14">
        <v>23000</v>
      </c>
      <c r="AS185" s="14">
        <v>19600</v>
      </c>
      <c r="AT185" s="14">
        <v>21512</v>
      </c>
      <c r="AU185" s="14">
        <v>-1</v>
      </c>
      <c r="AV185" s="14">
        <v>227.26</v>
      </c>
      <c r="AW185" s="14">
        <v>8.1300000000000008</v>
      </c>
      <c r="AX185" s="14">
        <v>-1.0900000000000001</v>
      </c>
      <c r="AY185" s="14" t="b">
        <v>0</v>
      </c>
    </row>
    <row r="186" spans="1:51" hidden="1" x14ac:dyDescent="0.3">
      <c r="A186" t="str">
        <f>CONCATENATE(I186,E186,LEFT(G186,10))</f>
        <v>HFA271LLBG2026-03-25</v>
      </c>
      <c r="B186" s="14" t="s">
        <v>2269</v>
      </c>
      <c r="C186" s="14" t="s">
        <v>336</v>
      </c>
      <c r="D186" s="14" t="s">
        <v>337</v>
      </c>
      <c r="E186" s="14" t="s">
        <v>83</v>
      </c>
      <c r="F186" s="14" t="s">
        <v>87</v>
      </c>
      <c r="G186" s="14" t="s">
        <v>2270</v>
      </c>
      <c r="H186" s="14" t="s">
        <v>339</v>
      </c>
      <c r="I186" s="14" t="s">
        <v>275</v>
      </c>
      <c r="J186" s="14" t="s">
        <v>69</v>
      </c>
      <c r="K186" s="14" t="s">
        <v>471</v>
      </c>
      <c r="L186" s="14" t="s">
        <v>341</v>
      </c>
      <c r="M186" s="16" t="s">
        <v>2271</v>
      </c>
      <c r="N186" s="14" t="s">
        <v>675</v>
      </c>
      <c r="O186" s="14" t="s">
        <v>1606</v>
      </c>
      <c r="P186" s="14">
        <v>160</v>
      </c>
      <c r="Q186" s="14">
        <v>2</v>
      </c>
      <c r="R186" s="14">
        <v>6800</v>
      </c>
      <c r="S186" s="14" t="s">
        <v>2272</v>
      </c>
      <c r="T186" s="14" t="s">
        <v>2273</v>
      </c>
      <c r="U186" s="14">
        <v>0.950277777777777</v>
      </c>
      <c r="V186" s="14">
        <v>1.3147222222222199</v>
      </c>
      <c r="W186" s="14">
        <v>973</v>
      </c>
      <c r="X186" s="14">
        <v>80</v>
      </c>
      <c r="Y186" s="14">
        <v>893</v>
      </c>
      <c r="Z186" s="14">
        <v>1207</v>
      </c>
      <c r="AA186" s="14">
        <v>338</v>
      </c>
      <c r="AB186" s="14">
        <v>285</v>
      </c>
      <c r="AC186" s="14">
        <v>536</v>
      </c>
      <c r="AD186" s="14">
        <v>48</v>
      </c>
      <c r="AE186" s="14">
        <v>2180</v>
      </c>
      <c r="AF186" s="14">
        <v>5000</v>
      </c>
      <c r="AG186" s="14">
        <v>3074</v>
      </c>
      <c r="AH186" s="14">
        <v>0</v>
      </c>
      <c r="AI186" s="14">
        <v>73</v>
      </c>
      <c r="AJ186" s="14">
        <v>175</v>
      </c>
      <c r="AK186" s="14" t="s">
        <v>2270</v>
      </c>
      <c r="AL186" s="14" t="s">
        <v>2274</v>
      </c>
      <c r="AM186" s="14">
        <v>301.67</v>
      </c>
      <c r="AN186" s="14">
        <v>183.03</v>
      </c>
      <c r="AO186" s="14">
        <v>73.5</v>
      </c>
      <c r="AP186" s="14">
        <v>22305</v>
      </c>
      <c r="AQ186" s="14">
        <v>22225</v>
      </c>
      <c r="AR186" s="14">
        <v>23000</v>
      </c>
      <c r="AS186" s="14">
        <v>20125</v>
      </c>
      <c r="AT186" s="14">
        <v>21332</v>
      </c>
      <c r="AU186" s="14">
        <v>0</v>
      </c>
      <c r="AV186" s="14">
        <v>199.55</v>
      </c>
      <c r="AW186" s="14">
        <v>9.8800000000000008</v>
      </c>
      <c r="AX186" s="14">
        <v>-1.1299999999999999</v>
      </c>
      <c r="AY186" s="14" t="b">
        <v>0</v>
      </c>
    </row>
    <row r="187" spans="1:51" hidden="1" x14ac:dyDescent="0.3">
      <c r="A187" t="str">
        <f>CONCATENATE(I187,E187,LEFT(G187,10))</f>
        <v>HFA272LCLK2026-03-26</v>
      </c>
      <c r="B187" s="14" t="s">
        <v>5434</v>
      </c>
      <c r="C187" s="14" t="s">
        <v>336</v>
      </c>
      <c r="D187" s="14" t="s">
        <v>337</v>
      </c>
      <c r="E187" s="14" t="s">
        <v>87</v>
      </c>
      <c r="F187" s="14" t="s">
        <v>83</v>
      </c>
      <c r="G187" s="14" t="s">
        <v>5435</v>
      </c>
      <c r="H187" s="14" t="s">
        <v>339</v>
      </c>
      <c r="I187" s="14" t="s">
        <v>276</v>
      </c>
      <c r="J187" s="14" t="s">
        <v>87</v>
      </c>
      <c r="K187" s="14" t="s">
        <v>471</v>
      </c>
      <c r="L187" s="14" t="s">
        <v>341</v>
      </c>
      <c r="M187" s="16" t="s">
        <v>5436</v>
      </c>
      <c r="N187" s="14" t="s">
        <v>768</v>
      </c>
      <c r="O187" s="14" t="s">
        <v>1868</v>
      </c>
      <c r="P187" s="14">
        <v>150</v>
      </c>
      <c r="Q187" s="14">
        <v>2</v>
      </c>
      <c r="R187" s="14">
        <v>7400</v>
      </c>
      <c r="S187" s="14" t="s">
        <v>5437</v>
      </c>
      <c r="T187" s="14" t="s">
        <v>5438</v>
      </c>
      <c r="U187" s="14">
        <v>0.81333333333333302</v>
      </c>
      <c r="V187" s="14">
        <v>1.08</v>
      </c>
      <c r="W187" s="14">
        <v>848</v>
      </c>
      <c r="X187" s="14">
        <v>80</v>
      </c>
      <c r="Y187" s="14">
        <v>768</v>
      </c>
      <c r="Z187" s="14">
        <v>1352</v>
      </c>
      <c r="AA187" s="14">
        <v>983</v>
      </c>
      <c r="AB187" s="14">
        <v>293</v>
      </c>
      <c r="AC187" s="14">
        <v>27</v>
      </c>
      <c r="AD187" s="14">
        <v>49</v>
      </c>
      <c r="AE187" s="14">
        <v>2200</v>
      </c>
      <c r="AF187" s="14">
        <v>5000</v>
      </c>
      <c r="AG187" s="14">
        <v>2679</v>
      </c>
      <c r="AH187" s="14">
        <v>0</v>
      </c>
      <c r="AI187" s="14">
        <v>62</v>
      </c>
      <c r="AJ187" s="14">
        <v>176</v>
      </c>
      <c r="AK187" s="14" t="s">
        <v>5435</v>
      </c>
      <c r="AL187" s="14" t="s">
        <v>5439</v>
      </c>
      <c r="AM187" s="14">
        <v>264.72000000000003</v>
      </c>
      <c r="AN187" s="14">
        <v>183.03</v>
      </c>
      <c r="AO187" s="14">
        <v>300.19</v>
      </c>
      <c r="AP187" s="14">
        <v>22925</v>
      </c>
      <c r="AQ187" s="14">
        <v>22845</v>
      </c>
      <c r="AR187" s="14">
        <v>23000</v>
      </c>
      <c r="AS187" s="14">
        <v>20725</v>
      </c>
      <c r="AT187" s="14">
        <v>22077</v>
      </c>
      <c r="AU187" s="14">
        <v>14</v>
      </c>
      <c r="AV187" s="14">
        <v>322.74</v>
      </c>
      <c r="AW187" s="14">
        <v>19.8</v>
      </c>
      <c r="AX187" s="14">
        <v>0.21</v>
      </c>
      <c r="AY187" s="14" t="b">
        <v>0</v>
      </c>
    </row>
    <row r="188" spans="1:51" hidden="1" x14ac:dyDescent="0.3">
      <c r="A188" t="str">
        <f>CONCATENATE(I188,E188,LEFT(G188,10))</f>
        <v>HFA275LLBG2026-03-26</v>
      </c>
      <c r="B188" s="14" t="s">
        <v>5428</v>
      </c>
      <c r="C188" s="14" t="s">
        <v>336</v>
      </c>
      <c r="D188" s="14" t="s">
        <v>337</v>
      </c>
      <c r="E188" s="14" t="s">
        <v>83</v>
      </c>
      <c r="F188" s="14" t="s">
        <v>87</v>
      </c>
      <c r="G188" s="14" t="s">
        <v>5429</v>
      </c>
      <c r="H188" s="14" t="s">
        <v>339</v>
      </c>
      <c r="I188" s="14" t="s">
        <v>277</v>
      </c>
      <c r="J188" s="14" t="s">
        <v>69</v>
      </c>
      <c r="K188" s="14" t="s">
        <v>471</v>
      </c>
      <c r="L188" s="14" t="s">
        <v>341</v>
      </c>
      <c r="M188" s="16" t="s">
        <v>5430</v>
      </c>
      <c r="N188" s="14" t="s">
        <v>768</v>
      </c>
      <c r="O188" s="14" t="s">
        <v>2586</v>
      </c>
      <c r="P188" s="14">
        <v>180</v>
      </c>
      <c r="Q188" s="14">
        <v>2</v>
      </c>
      <c r="R188" s="14">
        <v>6200</v>
      </c>
      <c r="S188" s="14" t="s">
        <v>5431</v>
      </c>
      <c r="T188" s="14" t="s">
        <v>5432</v>
      </c>
      <c r="U188" s="14">
        <v>0.99888888888888805</v>
      </c>
      <c r="V188" s="14">
        <v>1.3272222222222201</v>
      </c>
      <c r="W188" s="14">
        <v>988</v>
      </c>
      <c r="X188" s="14">
        <v>80</v>
      </c>
      <c r="Y188" s="14">
        <v>908</v>
      </c>
      <c r="Z188" s="14">
        <v>762</v>
      </c>
      <c r="AA188" s="14">
        <v>343</v>
      </c>
      <c r="AB188" s="14">
        <v>276</v>
      </c>
      <c r="AC188" s="14">
        <v>98</v>
      </c>
      <c r="AD188" s="14">
        <v>46</v>
      </c>
      <c r="AE188" s="14">
        <v>1750</v>
      </c>
      <c r="AF188" s="14">
        <v>5000</v>
      </c>
      <c r="AG188" s="14">
        <v>3122</v>
      </c>
      <c r="AH188" s="14">
        <v>0</v>
      </c>
      <c r="AI188" s="14">
        <v>77</v>
      </c>
      <c r="AJ188" s="14">
        <v>142</v>
      </c>
      <c r="AK188" s="14" t="s">
        <v>5429</v>
      </c>
      <c r="AL188" s="14" t="s">
        <v>5433</v>
      </c>
      <c r="AM188" s="14">
        <v>301.67</v>
      </c>
      <c r="AN188" s="14">
        <v>183.03</v>
      </c>
      <c r="AO188" s="14">
        <v>73.5</v>
      </c>
      <c r="AP188" s="14">
        <v>21275</v>
      </c>
      <c r="AQ188" s="14">
        <v>21195</v>
      </c>
      <c r="AR188" s="14">
        <v>23000</v>
      </c>
      <c r="AS188" s="14">
        <v>19525</v>
      </c>
      <c r="AT188" s="14">
        <v>20287</v>
      </c>
      <c r="AU188" s="14">
        <v>-14</v>
      </c>
      <c r="AV188" s="14">
        <v>313.17</v>
      </c>
      <c r="AW188" s="14">
        <v>23.17</v>
      </c>
      <c r="AX188" s="14">
        <v>-0.23</v>
      </c>
      <c r="AY188" s="14" t="b">
        <v>0</v>
      </c>
    </row>
    <row r="189" spans="1:51" hidden="1" x14ac:dyDescent="0.3">
      <c r="A189" t="str">
        <f>CONCATENATE(I189,E189,LEFT(G189,10))</f>
        <v>HFA276LCLK2026-03-27</v>
      </c>
      <c r="B189" s="14" t="s">
        <v>4799</v>
      </c>
      <c r="C189" s="14" t="s">
        <v>336</v>
      </c>
      <c r="D189" s="14" t="s">
        <v>337</v>
      </c>
      <c r="E189" s="14" t="s">
        <v>87</v>
      </c>
      <c r="F189" s="14" t="s">
        <v>83</v>
      </c>
      <c r="G189" s="14" t="s">
        <v>4800</v>
      </c>
      <c r="H189" s="14" t="s">
        <v>339</v>
      </c>
      <c r="I189" s="14" t="s">
        <v>278</v>
      </c>
      <c r="J189" s="14" t="s">
        <v>87</v>
      </c>
      <c r="K189" s="14" t="s">
        <v>471</v>
      </c>
      <c r="L189" s="14" t="s">
        <v>341</v>
      </c>
      <c r="M189" s="16" t="s">
        <v>4801</v>
      </c>
      <c r="N189" s="14"/>
      <c r="O189" s="14" t="s">
        <v>509</v>
      </c>
      <c r="P189" s="14">
        <v>150</v>
      </c>
      <c r="Q189" s="14">
        <v>2</v>
      </c>
      <c r="R189" s="14">
        <v>4800</v>
      </c>
      <c r="S189" s="14" t="s">
        <v>4802</v>
      </c>
      <c r="T189" s="14" t="s">
        <v>4803</v>
      </c>
      <c r="U189" s="14">
        <v>1.1413888888888799</v>
      </c>
      <c r="V189" s="14">
        <v>1.3683333333333301</v>
      </c>
      <c r="W189" s="14">
        <v>899</v>
      </c>
      <c r="X189" s="14">
        <v>80</v>
      </c>
      <c r="Y189" s="14">
        <v>819</v>
      </c>
      <c r="Z189" s="14">
        <v>2001</v>
      </c>
      <c r="AA189" s="14">
        <v>934</v>
      </c>
      <c r="AB189" s="14">
        <v>274</v>
      </c>
      <c r="AC189" s="14">
        <v>748</v>
      </c>
      <c r="AD189" s="14">
        <v>46</v>
      </c>
      <c r="AE189" s="14">
        <v>2900</v>
      </c>
      <c r="AF189" s="14">
        <v>5000</v>
      </c>
      <c r="AG189" s="14">
        <v>2839</v>
      </c>
      <c r="AH189" s="14">
        <v>0</v>
      </c>
      <c r="AI189" s="14">
        <v>66</v>
      </c>
      <c r="AJ189" s="14">
        <v>240</v>
      </c>
      <c r="AK189" s="14" t="s">
        <v>4800</v>
      </c>
      <c r="AL189" s="14" t="s">
        <v>4804</v>
      </c>
      <c r="AM189" s="14">
        <v>278.31</v>
      </c>
      <c r="AN189" s="14">
        <v>183.03</v>
      </c>
      <c r="AO189" s="14">
        <v>300.19</v>
      </c>
      <c r="AP189" s="14">
        <v>21025</v>
      </c>
      <c r="AQ189" s="14">
        <v>20945</v>
      </c>
      <c r="AR189" s="14">
        <v>23000</v>
      </c>
      <c r="AS189" s="14">
        <v>18125</v>
      </c>
      <c r="AT189" s="14">
        <v>20126</v>
      </c>
      <c r="AU189" s="14">
        <v>4</v>
      </c>
      <c r="AV189" s="14">
        <v>281.68</v>
      </c>
      <c r="AW189" s="14">
        <v>20.79</v>
      </c>
      <c r="AX189" s="14">
        <v>2.87</v>
      </c>
      <c r="AY189" s="14" t="b">
        <v>0</v>
      </c>
    </row>
    <row r="190" spans="1:51" hidden="1" x14ac:dyDescent="0.3">
      <c r="A190" t="str">
        <f>CONCATENATE(I190,E190,LEFT(G190,10))</f>
        <v>HFA279LLBG2026-03-27</v>
      </c>
      <c r="B190" s="14" t="s">
        <v>4776</v>
      </c>
      <c r="C190" s="14" t="s">
        <v>336</v>
      </c>
      <c r="D190" s="14" t="s">
        <v>337</v>
      </c>
      <c r="E190" s="14" t="s">
        <v>83</v>
      </c>
      <c r="F190" s="14" t="s">
        <v>87</v>
      </c>
      <c r="G190" s="14" t="s">
        <v>4777</v>
      </c>
      <c r="H190" s="14" t="s">
        <v>371</v>
      </c>
      <c r="I190" s="14" t="s">
        <v>174</v>
      </c>
      <c r="J190" s="14" t="s">
        <v>69</v>
      </c>
      <c r="K190" s="14" t="s">
        <v>471</v>
      </c>
      <c r="L190" s="14" t="s">
        <v>341</v>
      </c>
      <c r="M190" s="16" t="s">
        <v>674</v>
      </c>
      <c r="N190" s="14"/>
      <c r="O190" s="14" t="s">
        <v>4778</v>
      </c>
      <c r="P190" s="14">
        <v>160</v>
      </c>
      <c r="Q190" s="14">
        <v>2</v>
      </c>
      <c r="R190" s="14">
        <v>6500</v>
      </c>
      <c r="S190" s="14" t="s">
        <v>4779</v>
      </c>
      <c r="T190" s="14" t="s">
        <v>4780</v>
      </c>
      <c r="U190" s="14">
        <v>1.0077777777777699</v>
      </c>
      <c r="V190" s="14">
        <v>1.28111111111111</v>
      </c>
      <c r="W190" s="14">
        <v>1009</v>
      </c>
      <c r="X190" s="14">
        <v>80</v>
      </c>
      <c r="Y190" s="14">
        <v>929</v>
      </c>
      <c r="Z190" s="14">
        <v>982</v>
      </c>
      <c r="AA190" s="14">
        <v>354</v>
      </c>
      <c r="AB190" s="14">
        <v>282</v>
      </c>
      <c r="AC190" s="14">
        <v>300</v>
      </c>
      <c r="AD190" s="14">
        <v>47</v>
      </c>
      <c r="AE190" s="14">
        <v>1991</v>
      </c>
      <c r="AF190" s="14">
        <v>5000</v>
      </c>
      <c r="AG190" s="14">
        <v>3187</v>
      </c>
      <c r="AH190" s="14">
        <v>0</v>
      </c>
      <c r="AI190" s="14">
        <v>77</v>
      </c>
      <c r="AJ190" s="14">
        <v>159</v>
      </c>
      <c r="AK190" s="14" t="s">
        <v>4777</v>
      </c>
      <c r="AL190" s="14" t="s">
        <v>4781</v>
      </c>
      <c r="AM190" s="14">
        <v>301.74</v>
      </c>
      <c r="AN190" s="14">
        <v>183.03</v>
      </c>
      <c r="AO190" s="14">
        <v>73.5</v>
      </c>
      <c r="AP190" s="14">
        <v>21991</v>
      </c>
      <c r="AQ190" s="14">
        <v>21911</v>
      </c>
      <c r="AR190" s="14">
        <v>23000</v>
      </c>
      <c r="AS190" s="14">
        <v>20000</v>
      </c>
      <c r="AT190" s="14">
        <v>20982</v>
      </c>
      <c r="AU190" s="14">
        <v>-11</v>
      </c>
      <c r="AV190" s="14">
        <v>279.14999999999998</v>
      </c>
      <c r="AW190" s="14">
        <v>28.7</v>
      </c>
      <c r="AX190" s="14">
        <v>4.28</v>
      </c>
      <c r="AY190" s="14" t="b">
        <v>0</v>
      </c>
    </row>
    <row r="191" spans="1:51" hidden="1" x14ac:dyDescent="0.3">
      <c r="A191" t="str">
        <f>CONCATENATE(I191,E191,LEFT(G191,10))</f>
        <v>HFA280LCLK2026-03-28</v>
      </c>
      <c r="B191" s="14" t="s">
        <v>2510</v>
      </c>
      <c r="C191" s="14" t="s">
        <v>336</v>
      </c>
      <c r="D191" s="14" t="s">
        <v>337</v>
      </c>
      <c r="E191" s="14" t="s">
        <v>87</v>
      </c>
      <c r="F191" s="14" t="s">
        <v>83</v>
      </c>
      <c r="G191" s="14" t="s">
        <v>2511</v>
      </c>
      <c r="H191" s="14" t="s">
        <v>357</v>
      </c>
      <c r="I191" s="14" t="s">
        <v>220</v>
      </c>
      <c r="J191" s="14" t="s">
        <v>87</v>
      </c>
      <c r="K191" s="14" t="s">
        <v>471</v>
      </c>
      <c r="L191" s="14" t="s">
        <v>341</v>
      </c>
      <c r="M191" s="16" t="s">
        <v>2496</v>
      </c>
      <c r="N191" s="14" t="s">
        <v>359</v>
      </c>
      <c r="O191" s="14" t="s">
        <v>502</v>
      </c>
      <c r="P191" s="14">
        <v>150</v>
      </c>
      <c r="Q191" s="14">
        <v>2</v>
      </c>
      <c r="R191" s="14">
        <v>3900</v>
      </c>
      <c r="S191" s="14" t="s">
        <v>2512</v>
      </c>
      <c r="T191" s="14" t="s">
        <v>2513</v>
      </c>
      <c r="U191" s="14">
        <v>0.89861111111111103</v>
      </c>
      <c r="V191" s="14">
        <v>1.18888888888888</v>
      </c>
      <c r="W191" s="14">
        <v>890</v>
      </c>
      <c r="X191" s="14">
        <v>80</v>
      </c>
      <c r="Y191" s="14">
        <v>810</v>
      </c>
      <c r="Z191" s="14">
        <v>1910</v>
      </c>
      <c r="AA191" s="14">
        <v>891</v>
      </c>
      <c r="AB191" s="14">
        <v>264</v>
      </c>
      <c r="AC191" s="14">
        <v>711</v>
      </c>
      <c r="AD191" s="14">
        <v>44</v>
      </c>
      <c r="AE191" s="14">
        <v>2800</v>
      </c>
      <c r="AF191" s="14">
        <v>5000</v>
      </c>
      <c r="AG191" s="14">
        <v>2812</v>
      </c>
      <c r="AH191" s="14">
        <v>0</v>
      </c>
      <c r="AI191" s="14">
        <v>67</v>
      </c>
      <c r="AJ191" s="14">
        <v>239</v>
      </c>
      <c r="AK191" s="14" t="s">
        <v>2511</v>
      </c>
      <c r="AL191" s="14" t="s">
        <v>2514</v>
      </c>
      <c r="AM191" s="14">
        <v>278.31</v>
      </c>
      <c r="AN191" s="14">
        <v>183.03</v>
      </c>
      <c r="AO191" s="14">
        <v>300.19</v>
      </c>
      <c r="AP191" s="14">
        <v>19925</v>
      </c>
      <c r="AQ191" s="14">
        <v>19845</v>
      </c>
      <c r="AR191" s="14">
        <v>23000</v>
      </c>
      <c r="AS191" s="14">
        <v>17125</v>
      </c>
      <c r="AT191" s="14">
        <v>19035</v>
      </c>
      <c r="AU191" s="14">
        <v>-1</v>
      </c>
      <c r="AV191" s="14">
        <v>255.98</v>
      </c>
      <c r="AW191" s="14">
        <v>27.45</v>
      </c>
      <c r="AX191" s="14">
        <v>5.75</v>
      </c>
      <c r="AY191" s="14" t="b">
        <v>0</v>
      </c>
    </row>
    <row r="192" spans="1:51" hidden="1" x14ac:dyDescent="0.3">
      <c r="A192" t="str">
        <f>CONCATENATE(I192,E192,LEFT(G192,10))</f>
        <v>HFA283LLBG2026-03-28</v>
      </c>
      <c r="B192" s="14" t="s">
        <v>2489</v>
      </c>
      <c r="C192" s="14" t="s">
        <v>336</v>
      </c>
      <c r="D192" s="14" t="s">
        <v>337</v>
      </c>
      <c r="E192" s="14" t="s">
        <v>83</v>
      </c>
      <c r="F192" s="14" t="s">
        <v>87</v>
      </c>
      <c r="G192" s="14" t="s">
        <v>2490</v>
      </c>
      <c r="H192" s="14" t="s">
        <v>357</v>
      </c>
      <c r="I192" s="14" t="s">
        <v>221</v>
      </c>
      <c r="J192" s="14" t="s">
        <v>69</v>
      </c>
      <c r="K192" s="14" t="s">
        <v>471</v>
      </c>
      <c r="L192" s="14" t="s">
        <v>341</v>
      </c>
      <c r="M192" s="16" t="s">
        <v>2484</v>
      </c>
      <c r="N192" s="14" t="s">
        <v>768</v>
      </c>
      <c r="O192" s="14" t="s">
        <v>488</v>
      </c>
      <c r="P192" s="14">
        <v>160</v>
      </c>
      <c r="Q192" s="14">
        <v>2</v>
      </c>
      <c r="R192" s="14">
        <v>6000</v>
      </c>
      <c r="S192" s="14" t="s">
        <v>2491</v>
      </c>
      <c r="T192" s="14" t="s">
        <v>2492</v>
      </c>
      <c r="U192" s="14">
        <v>1.05083333333333</v>
      </c>
      <c r="V192" s="14">
        <v>1.2961111111111101</v>
      </c>
      <c r="W192" s="14">
        <v>940</v>
      </c>
      <c r="X192" s="14">
        <v>80</v>
      </c>
      <c r="Y192" s="14">
        <v>860</v>
      </c>
      <c r="Z192" s="14">
        <v>950</v>
      </c>
      <c r="AA192" s="14">
        <v>330</v>
      </c>
      <c r="AB192" s="14">
        <v>275</v>
      </c>
      <c r="AC192" s="14">
        <v>300</v>
      </c>
      <c r="AD192" s="14">
        <v>46</v>
      </c>
      <c r="AE192" s="14">
        <v>1890</v>
      </c>
      <c r="AF192" s="14">
        <v>5000</v>
      </c>
      <c r="AG192" s="14">
        <v>2970</v>
      </c>
      <c r="AH192" s="14">
        <v>0</v>
      </c>
      <c r="AI192" s="14">
        <v>74</v>
      </c>
      <c r="AJ192" s="14">
        <v>157</v>
      </c>
      <c r="AK192" s="14" t="s">
        <v>2490</v>
      </c>
      <c r="AL192" s="14" t="s">
        <v>2493</v>
      </c>
      <c r="AM192" s="14">
        <v>301.74</v>
      </c>
      <c r="AN192" s="14">
        <v>183.03</v>
      </c>
      <c r="AO192" s="14">
        <v>73.5</v>
      </c>
      <c r="AP192" s="14">
        <v>21115</v>
      </c>
      <c r="AQ192" s="14">
        <v>21035</v>
      </c>
      <c r="AR192" s="14">
        <v>23000</v>
      </c>
      <c r="AS192" s="14">
        <v>19225</v>
      </c>
      <c r="AT192" s="14">
        <v>20175</v>
      </c>
      <c r="AU192" s="14">
        <v>-4</v>
      </c>
      <c r="AV192" s="14">
        <v>250.97</v>
      </c>
      <c r="AW192" s="14">
        <v>37.44</v>
      </c>
      <c r="AX192" s="14">
        <v>6.79</v>
      </c>
      <c r="AY192" s="14" t="b">
        <v>0</v>
      </c>
    </row>
    <row r="193" spans="1:51" hidden="1" x14ac:dyDescent="0.3">
      <c r="A193" t="str">
        <f>CONCATENATE(I193,E193,LEFT(G193,10))</f>
        <v>HFA284LCLK2026-03-27</v>
      </c>
      <c r="B193" s="14" t="s">
        <v>4782</v>
      </c>
      <c r="C193" s="14" t="s">
        <v>336</v>
      </c>
      <c r="D193" s="14" t="s">
        <v>337</v>
      </c>
      <c r="E193" s="14" t="s">
        <v>87</v>
      </c>
      <c r="F193" s="14" t="s">
        <v>83</v>
      </c>
      <c r="G193" s="14" t="s">
        <v>4783</v>
      </c>
      <c r="H193" s="14" t="s">
        <v>371</v>
      </c>
      <c r="I193" s="14" t="s">
        <v>173</v>
      </c>
      <c r="J193" s="14" t="s">
        <v>87</v>
      </c>
      <c r="K193" s="14" t="s">
        <v>471</v>
      </c>
      <c r="L193" s="14" t="s">
        <v>341</v>
      </c>
      <c r="M193" s="16" t="s">
        <v>4784</v>
      </c>
      <c r="N193" s="14"/>
      <c r="O193" s="14" t="s">
        <v>509</v>
      </c>
      <c r="P193" s="14">
        <v>150</v>
      </c>
      <c r="Q193" s="14">
        <v>2</v>
      </c>
      <c r="R193" s="14">
        <v>1700</v>
      </c>
      <c r="S193" s="14" t="s">
        <v>4785</v>
      </c>
      <c r="T193" s="14" t="s">
        <v>4786</v>
      </c>
      <c r="U193" s="14">
        <v>0.87416666666666598</v>
      </c>
      <c r="V193" s="14">
        <v>1.2466666666666599</v>
      </c>
      <c r="W193" s="14">
        <v>895</v>
      </c>
      <c r="X193" s="14">
        <v>80</v>
      </c>
      <c r="Y193" s="14">
        <v>815</v>
      </c>
      <c r="Z193" s="14">
        <v>1905</v>
      </c>
      <c r="AA193" s="14">
        <v>925</v>
      </c>
      <c r="AB193" s="14">
        <v>248</v>
      </c>
      <c r="AC193" s="14">
        <v>690</v>
      </c>
      <c r="AD193" s="14">
        <v>41</v>
      </c>
      <c r="AE193" s="14">
        <v>2800</v>
      </c>
      <c r="AF193" s="14">
        <v>5000</v>
      </c>
      <c r="AG193" s="14">
        <v>2829</v>
      </c>
      <c r="AH193" s="14">
        <v>0</v>
      </c>
      <c r="AI193" s="14">
        <v>66</v>
      </c>
      <c r="AJ193" s="14">
        <v>231</v>
      </c>
      <c r="AK193" s="14" t="s">
        <v>4783</v>
      </c>
      <c r="AL193" s="14" t="s">
        <v>4787</v>
      </c>
      <c r="AM193" s="14">
        <v>278.31</v>
      </c>
      <c r="AN193" s="14">
        <v>183.03</v>
      </c>
      <c r="AO193" s="14">
        <v>300.19</v>
      </c>
      <c r="AP193" s="14">
        <v>18000</v>
      </c>
      <c r="AQ193" s="14">
        <v>17920</v>
      </c>
      <c r="AR193" s="14">
        <v>23000</v>
      </c>
      <c r="AS193" s="14">
        <v>15200</v>
      </c>
      <c r="AT193" s="14">
        <v>17105</v>
      </c>
      <c r="AU193" s="14">
        <v>4</v>
      </c>
      <c r="AV193" s="14">
        <v>272.64</v>
      </c>
      <c r="AW193" s="14">
        <v>22.29</v>
      </c>
      <c r="AX193" s="14">
        <v>3.49</v>
      </c>
      <c r="AY193" s="14" t="b">
        <v>0</v>
      </c>
    </row>
    <row r="194" spans="1:51" hidden="1" x14ac:dyDescent="0.3">
      <c r="A194" t="str">
        <f>CONCATENATE(I194,E194,LEFT(G194,10))</f>
        <v>HFA285LLBG2026-03-27</v>
      </c>
      <c r="B194" s="14" t="s">
        <v>4788</v>
      </c>
      <c r="C194" s="14" t="s">
        <v>336</v>
      </c>
      <c r="D194" s="14" t="s">
        <v>337</v>
      </c>
      <c r="E194" s="14" t="s">
        <v>83</v>
      </c>
      <c r="F194" s="14" t="s">
        <v>87</v>
      </c>
      <c r="G194" s="14" t="s">
        <v>4789</v>
      </c>
      <c r="H194" s="14" t="s">
        <v>339</v>
      </c>
      <c r="I194" s="14" t="s">
        <v>279</v>
      </c>
      <c r="J194" s="14" t="s">
        <v>69</v>
      </c>
      <c r="K194" s="14" t="s">
        <v>471</v>
      </c>
      <c r="L194" s="14" t="s">
        <v>341</v>
      </c>
      <c r="M194" s="16" t="s">
        <v>4790</v>
      </c>
      <c r="N194" s="14" t="s">
        <v>768</v>
      </c>
      <c r="O194" s="14" t="s">
        <v>2485</v>
      </c>
      <c r="P194" s="14">
        <v>160</v>
      </c>
      <c r="Q194" s="14">
        <v>2</v>
      </c>
      <c r="R194" s="14">
        <v>6700</v>
      </c>
      <c r="S194" s="14" t="s">
        <v>4791</v>
      </c>
      <c r="T194" s="14" t="s">
        <v>4792</v>
      </c>
      <c r="U194" s="14">
        <v>0.98361111111111099</v>
      </c>
      <c r="V194" s="14">
        <v>1.3002777777777701</v>
      </c>
      <c r="W194" s="14">
        <v>984</v>
      </c>
      <c r="X194" s="14">
        <v>80</v>
      </c>
      <c r="Y194" s="14">
        <v>904</v>
      </c>
      <c r="Z194" s="14">
        <v>978</v>
      </c>
      <c r="AA194" s="14">
        <v>349</v>
      </c>
      <c r="AB194" s="14">
        <v>282</v>
      </c>
      <c r="AC194" s="14">
        <v>300</v>
      </c>
      <c r="AD194" s="14">
        <v>47</v>
      </c>
      <c r="AE194" s="14">
        <v>1962</v>
      </c>
      <c r="AF194" s="14">
        <v>5000</v>
      </c>
      <c r="AG194" s="14">
        <v>3109</v>
      </c>
      <c r="AH194" s="14">
        <v>0</v>
      </c>
      <c r="AI194" s="14">
        <v>76</v>
      </c>
      <c r="AJ194" s="14">
        <v>160</v>
      </c>
      <c r="AK194" s="14" t="s">
        <v>4789</v>
      </c>
      <c r="AL194" s="14" t="s">
        <v>4793</v>
      </c>
      <c r="AM194" s="14">
        <v>301.74</v>
      </c>
      <c r="AN194" s="14">
        <v>183.03</v>
      </c>
      <c r="AO194" s="14">
        <v>73.5</v>
      </c>
      <c r="AP194" s="14">
        <v>21987</v>
      </c>
      <c r="AQ194" s="14">
        <v>21907</v>
      </c>
      <c r="AR194" s="14">
        <v>23000</v>
      </c>
      <c r="AS194" s="14">
        <v>20025</v>
      </c>
      <c r="AT194" s="14">
        <v>21003</v>
      </c>
      <c r="AU194" s="14">
        <v>-9</v>
      </c>
      <c r="AV194" s="14">
        <v>276.86</v>
      </c>
      <c r="AW194" s="14">
        <v>25.69</v>
      </c>
      <c r="AX194" s="14">
        <v>3.93</v>
      </c>
      <c r="AY194" s="14" t="b">
        <v>0</v>
      </c>
    </row>
    <row r="195" spans="1:51" hidden="1" x14ac:dyDescent="0.3">
      <c r="A195" t="str">
        <f>CONCATENATE(I195,E195,LEFT(G195,10))</f>
        <v>HFA286LCLK2026-03-27</v>
      </c>
      <c r="B195" s="14" t="s">
        <v>4805</v>
      </c>
      <c r="C195" s="14" t="s">
        <v>336</v>
      </c>
      <c r="D195" s="14" t="s">
        <v>337</v>
      </c>
      <c r="E195" s="14" t="s">
        <v>87</v>
      </c>
      <c r="F195" s="14" t="s">
        <v>83</v>
      </c>
      <c r="G195" s="14" t="s">
        <v>4806</v>
      </c>
      <c r="H195" s="14" t="s">
        <v>371</v>
      </c>
      <c r="I195" s="14" t="s">
        <v>171</v>
      </c>
      <c r="J195" s="14" t="s">
        <v>87</v>
      </c>
      <c r="K195" s="14" t="s">
        <v>471</v>
      </c>
      <c r="L195" s="14" t="s">
        <v>542</v>
      </c>
      <c r="M195" s="16" t="s">
        <v>4807</v>
      </c>
      <c r="N195" s="14"/>
      <c r="O195" s="14" t="s">
        <v>509</v>
      </c>
      <c r="P195" s="14">
        <v>150</v>
      </c>
      <c r="Q195" s="14">
        <v>2</v>
      </c>
      <c r="R195" s="14">
        <v>1000</v>
      </c>
      <c r="S195" s="14" t="s">
        <v>4808</v>
      </c>
      <c r="T195" s="14" t="s">
        <v>4809</v>
      </c>
      <c r="U195" s="14">
        <v>1.2419444444444401</v>
      </c>
      <c r="V195" s="14">
        <v>1.49972222222222</v>
      </c>
      <c r="W195" s="14">
        <v>889</v>
      </c>
      <c r="X195" s="14">
        <v>80</v>
      </c>
      <c r="Y195" s="14">
        <v>809</v>
      </c>
      <c r="Z195" s="14">
        <v>1911</v>
      </c>
      <c r="AA195" s="14">
        <v>920</v>
      </c>
      <c r="AB195" s="14">
        <v>243</v>
      </c>
      <c r="AC195" s="14">
        <v>707</v>
      </c>
      <c r="AD195" s="14">
        <v>41</v>
      </c>
      <c r="AE195" s="14">
        <v>2800</v>
      </c>
      <c r="AF195" s="14">
        <v>5000</v>
      </c>
      <c r="AG195" s="14">
        <v>2810</v>
      </c>
      <c r="AH195" s="14">
        <v>0</v>
      </c>
      <c r="AI195" s="14">
        <v>65</v>
      </c>
      <c r="AJ195" s="14">
        <v>231</v>
      </c>
      <c r="AK195" s="14" t="s">
        <v>4806</v>
      </c>
      <c r="AL195" s="14" t="s">
        <v>4810</v>
      </c>
      <c r="AM195" s="14">
        <v>278.31</v>
      </c>
      <c r="AN195" s="14">
        <v>183.03</v>
      </c>
      <c r="AO195" s="14">
        <v>300.19</v>
      </c>
      <c r="AP195" s="14">
        <v>17300</v>
      </c>
      <c r="AQ195" s="14">
        <v>17220</v>
      </c>
      <c r="AR195" s="14">
        <v>23000</v>
      </c>
      <c r="AS195" s="14">
        <v>14500</v>
      </c>
      <c r="AT195" s="14">
        <v>16411</v>
      </c>
      <c r="AU195" s="14">
        <v>5</v>
      </c>
      <c r="AV195" s="14">
        <v>286</v>
      </c>
      <c r="AW195" s="14">
        <v>20.89</v>
      </c>
      <c r="AX195" s="14">
        <v>2.77</v>
      </c>
      <c r="AY195" s="14" t="b">
        <v>0</v>
      </c>
    </row>
    <row r="196" spans="1:51" hidden="1" x14ac:dyDescent="0.3">
      <c r="A196" t="str">
        <f>CONCATENATE(I196,E196,LEFT(G196,10))</f>
        <v>HFA287LLBG2026-03-27</v>
      </c>
      <c r="B196" s="14" t="s">
        <v>4794</v>
      </c>
      <c r="C196" s="14" t="s">
        <v>336</v>
      </c>
      <c r="D196" s="14" t="s">
        <v>337</v>
      </c>
      <c r="E196" s="14" t="s">
        <v>83</v>
      </c>
      <c r="F196" s="14" t="s">
        <v>87</v>
      </c>
      <c r="G196" s="14" t="s">
        <v>4795</v>
      </c>
      <c r="H196" s="14" t="s">
        <v>371</v>
      </c>
      <c r="I196" s="14" t="s">
        <v>172</v>
      </c>
      <c r="J196" s="14" t="s">
        <v>69</v>
      </c>
      <c r="K196" s="14" t="s">
        <v>471</v>
      </c>
      <c r="L196" s="14" t="s">
        <v>341</v>
      </c>
      <c r="M196" s="16" t="s">
        <v>4790</v>
      </c>
      <c r="N196" s="14"/>
      <c r="O196" s="14" t="s">
        <v>4778</v>
      </c>
      <c r="P196" s="14">
        <v>160</v>
      </c>
      <c r="Q196" s="14">
        <v>2</v>
      </c>
      <c r="R196" s="14">
        <v>6400</v>
      </c>
      <c r="S196" s="14" t="s">
        <v>4796</v>
      </c>
      <c r="T196" s="14" t="s">
        <v>4797</v>
      </c>
      <c r="U196" s="14">
        <v>1.1225000000000001</v>
      </c>
      <c r="V196" s="14">
        <v>1.3911111111111101</v>
      </c>
      <c r="W196" s="14">
        <v>1005</v>
      </c>
      <c r="X196" s="14">
        <v>80</v>
      </c>
      <c r="Y196" s="14">
        <v>925</v>
      </c>
      <c r="Z196" s="14">
        <v>980</v>
      </c>
      <c r="AA196" s="14">
        <v>353</v>
      </c>
      <c r="AB196" s="14">
        <v>281</v>
      </c>
      <c r="AC196" s="14">
        <v>300</v>
      </c>
      <c r="AD196" s="14">
        <v>47</v>
      </c>
      <c r="AE196" s="14">
        <v>1985</v>
      </c>
      <c r="AF196" s="14">
        <v>5000</v>
      </c>
      <c r="AG196" s="14">
        <v>3176</v>
      </c>
      <c r="AH196" s="14">
        <v>0</v>
      </c>
      <c r="AI196" s="14">
        <v>76</v>
      </c>
      <c r="AJ196" s="14">
        <v>159</v>
      </c>
      <c r="AK196" s="14" t="s">
        <v>4795</v>
      </c>
      <c r="AL196" s="14" t="s">
        <v>4798</v>
      </c>
      <c r="AM196" s="14">
        <v>301.74</v>
      </c>
      <c r="AN196" s="14">
        <v>183.03</v>
      </c>
      <c r="AO196" s="14">
        <v>73.5</v>
      </c>
      <c r="AP196" s="14">
        <v>21885</v>
      </c>
      <c r="AQ196" s="14">
        <v>21805</v>
      </c>
      <c r="AR196" s="14">
        <v>23000</v>
      </c>
      <c r="AS196" s="14">
        <v>19900</v>
      </c>
      <c r="AT196" s="14">
        <v>20880</v>
      </c>
      <c r="AU196" s="14">
        <v>-9</v>
      </c>
      <c r="AV196" s="14">
        <v>277.04000000000002</v>
      </c>
      <c r="AW196" s="14">
        <v>25.91</v>
      </c>
      <c r="AX196" s="14">
        <v>3.81</v>
      </c>
      <c r="AY196" s="14" t="b">
        <v>0</v>
      </c>
    </row>
    <row r="197" spans="1:51" hidden="1" x14ac:dyDescent="0.3">
      <c r="A197" t="str">
        <f>CONCATENATE(I197,E197,LEFT(G197,10))</f>
        <v>HFA288LCLK2026-03-28</v>
      </c>
      <c r="B197" s="14" t="s">
        <v>2494</v>
      </c>
      <c r="C197" s="14" t="s">
        <v>336</v>
      </c>
      <c r="D197" s="14" t="s">
        <v>337</v>
      </c>
      <c r="E197" s="14" t="s">
        <v>87</v>
      </c>
      <c r="F197" s="14" t="s">
        <v>83</v>
      </c>
      <c r="G197" s="14" t="s">
        <v>2495</v>
      </c>
      <c r="H197" s="14" t="s">
        <v>436</v>
      </c>
      <c r="I197" s="14" t="s">
        <v>110</v>
      </c>
      <c r="J197" s="14" t="s">
        <v>87</v>
      </c>
      <c r="K197" s="14" t="s">
        <v>471</v>
      </c>
      <c r="L197" s="14" t="s">
        <v>341</v>
      </c>
      <c r="M197" s="16" t="s">
        <v>2496</v>
      </c>
      <c r="N197" s="14" t="s">
        <v>359</v>
      </c>
      <c r="O197" s="14" t="s">
        <v>502</v>
      </c>
      <c r="P197" s="14">
        <v>150</v>
      </c>
      <c r="Q197" s="14">
        <v>2</v>
      </c>
      <c r="R197" s="14">
        <v>500</v>
      </c>
      <c r="S197" s="14" t="s">
        <v>2497</v>
      </c>
      <c r="T197" s="14" t="s">
        <v>2498</v>
      </c>
      <c r="U197" s="14">
        <v>0.90027777777777696</v>
      </c>
      <c r="V197" s="14">
        <v>1.125</v>
      </c>
      <c r="W197" s="14">
        <v>888</v>
      </c>
      <c r="X197" s="14">
        <v>80</v>
      </c>
      <c r="Y197" s="14">
        <v>808</v>
      </c>
      <c r="Z197" s="14">
        <v>1912</v>
      </c>
      <c r="AA197" s="14">
        <v>873</v>
      </c>
      <c r="AB197" s="14">
        <v>238</v>
      </c>
      <c r="AC197" s="14">
        <v>761</v>
      </c>
      <c r="AD197" s="14">
        <v>40</v>
      </c>
      <c r="AE197" s="14">
        <v>2800</v>
      </c>
      <c r="AF197" s="14">
        <v>5000</v>
      </c>
      <c r="AG197" s="14">
        <v>2807</v>
      </c>
      <c r="AH197" s="14">
        <v>0</v>
      </c>
      <c r="AI197" s="14">
        <v>67</v>
      </c>
      <c r="AJ197" s="14">
        <v>239</v>
      </c>
      <c r="AK197" s="14" t="s">
        <v>2495</v>
      </c>
      <c r="AL197" s="14" t="s">
        <v>2499</v>
      </c>
      <c r="AM197" s="14">
        <v>278.31</v>
      </c>
      <c r="AN197" s="14">
        <v>183.03</v>
      </c>
      <c r="AO197" s="14">
        <v>300.19</v>
      </c>
      <c r="AP197" s="14">
        <v>16505</v>
      </c>
      <c r="AQ197" s="14">
        <v>16425</v>
      </c>
      <c r="AR197" s="14">
        <v>23000</v>
      </c>
      <c r="AS197" s="14">
        <v>13705</v>
      </c>
      <c r="AT197" s="14">
        <v>15617</v>
      </c>
      <c r="AU197" s="14">
        <v>-4</v>
      </c>
      <c r="AV197" s="14">
        <v>247.49</v>
      </c>
      <c r="AW197" s="14">
        <v>29.09</v>
      </c>
      <c r="AX197" s="14">
        <v>5.96</v>
      </c>
      <c r="AY197" s="14" t="b">
        <v>0</v>
      </c>
    </row>
    <row r="198" spans="1:51" hidden="1" x14ac:dyDescent="0.3">
      <c r="A198" t="str">
        <f>CONCATENATE(I198,E198,LEFT(G198,10))</f>
        <v>HFA289LLBG2026-03-28</v>
      </c>
      <c r="B198" s="14" t="s">
        <v>2476</v>
      </c>
      <c r="C198" s="14" t="s">
        <v>336</v>
      </c>
      <c r="D198" s="14" t="s">
        <v>337</v>
      </c>
      <c r="E198" s="14" t="s">
        <v>83</v>
      </c>
      <c r="F198" s="14" t="s">
        <v>87</v>
      </c>
      <c r="G198" s="14" t="s">
        <v>2477</v>
      </c>
      <c r="H198" s="14" t="s">
        <v>436</v>
      </c>
      <c r="I198" s="14" t="s">
        <v>111</v>
      </c>
      <c r="J198" s="14" t="s">
        <v>69</v>
      </c>
      <c r="K198" s="14" t="s">
        <v>471</v>
      </c>
      <c r="L198" s="14" t="s">
        <v>341</v>
      </c>
      <c r="M198" s="16" t="s">
        <v>2478</v>
      </c>
      <c r="N198" s="14" t="s">
        <v>768</v>
      </c>
      <c r="O198" s="14" t="s">
        <v>474</v>
      </c>
      <c r="P198" s="14">
        <v>160</v>
      </c>
      <c r="Q198" s="14">
        <v>2</v>
      </c>
      <c r="R198" s="14">
        <v>5900</v>
      </c>
      <c r="S198" s="14" t="s">
        <v>2479</v>
      </c>
      <c r="T198" s="14" t="s">
        <v>2480</v>
      </c>
      <c r="U198" s="14">
        <v>1.18611111111111</v>
      </c>
      <c r="V198" s="14">
        <v>1.46333333333333</v>
      </c>
      <c r="W198" s="14">
        <v>948</v>
      </c>
      <c r="X198" s="14">
        <v>80</v>
      </c>
      <c r="Y198" s="14">
        <v>868</v>
      </c>
      <c r="Z198" s="14">
        <v>955</v>
      </c>
      <c r="AA198" s="14">
        <v>336</v>
      </c>
      <c r="AB198" s="14">
        <v>274</v>
      </c>
      <c r="AC198" s="14">
        <v>300</v>
      </c>
      <c r="AD198" s="14">
        <v>46</v>
      </c>
      <c r="AE198" s="14">
        <v>1902</v>
      </c>
      <c r="AF198" s="14">
        <v>5000</v>
      </c>
      <c r="AG198" s="14">
        <v>2994</v>
      </c>
      <c r="AH198" s="14">
        <v>0</v>
      </c>
      <c r="AI198" s="14">
        <v>73</v>
      </c>
      <c r="AJ198" s="14">
        <v>156</v>
      </c>
      <c r="AK198" s="14" t="s">
        <v>2477</v>
      </c>
      <c r="AL198" s="14" t="s">
        <v>2481</v>
      </c>
      <c r="AM198" s="14">
        <v>301.74</v>
      </c>
      <c r="AN198" s="14">
        <v>183.03</v>
      </c>
      <c r="AO198" s="14">
        <v>73.5</v>
      </c>
      <c r="AP198" s="14">
        <v>21007</v>
      </c>
      <c r="AQ198" s="14">
        <v>20927</v>
      </c>
      <c r="AR198" s="14">
        <v>23000</v>
      </c>
      <c r="AS198" s="14">
        <v>19105</v>
      </c>
      <c r="AT198" s="14">
        <v>20060</v>
      </c>
      <c r="AU198" s="14">
        <v>-2</v>
      </c>
      <c r="AV198" s="14">
        <v>247.86</v>
      </c>
      <c r="AW198" s="14">
        <v>41.41</v>
      </c>
      <c r="AX198" s="14">
        <v>6.54</v>
      </c>
      <c r="AY198" s="14" t="b">
        <v>0</v>
      </c>
    </row>
    <row r="199" spans="1:51" hidden="1" x14ac:dyDescent="0.3">
      <c r="A199" t="str">
        <f>CONCATENATE(I199,E199,LEFT(G199,10))</f>
        <v>HFA290LCLK2026-03-28</v>
      </c>
      <c r="B199" s="14" t="s">
        <v>2500</v>
      </c>
      <c r="C199" s="14" t="s">
        <v>336</v>
      </c>
      <c r="D199" s="14" t="s">
        <v>337</v>
      </c>
      <c r="E199" s="14" t="s">
        <v>87</v>
      </c>
      <c r="F199" s="14" t="s">
        <v>83</v>
      </c>
      <c r="G199" s="14" t="s">
        <v>2501</v>
      </c>
      <c r="H199" s="14" t="s">
        <v>339</v>
      </c>
      <c r="I199" s="14" t="s">
        <v>280</v>
      </c>
      <c r="J199" s="14" t="s">
        <v>87</v>
      </c>
      <c r="K199" s="14" t="s">
        <v>471</v>
      </c>
      <c r="L199" s="14" t="s">
        <v>341</v>
      </c>
      <c r="M199" s="16" t="s">
        <v>2496</v>
      </c>
      <c r="N199" s="14"/>
      <c r="O199" s="14" t="s">
        <v>502</v>
      </c>
      <c r="P199" s="14">
        <v>150</v>
      </c>
      <c r="Q199" s="14">
        <v>2</v>
      </c>
      <c r="R199" s="14">
        <v>700</v>
      </c>
      <c r="S199" s="14" t="s">
        <v>2502</v>
      </c>
      <c r="T199" s="14" t="s">
        <v>2503</v>
      </c>
      <c r="U199" s="14">
        <v>1.14055555555555</v>
      </c>
      <c r="V199" s="14">
        <v>1.3569444444444401</v>
      </c>
      <c r="W199" s="14">
        <v>880</v>
      </c>
      <c r="X199" s="14">
        <v>80</v>
      </c>
      <c r="Y199" s="14">
        <v>800</v>
      </c>
      <c r="Z199" s="14">
        <v>1920</v>
      </c>
      <c r="AA199" s="14">
        <v>870</v>
      </c>
      <c r="AB199" s="14">
        <v>240</v>
      </c>
      <c r="AC199" s="14">
        <v>770</v>
      </c>
      <c r="AD199" s="14">
        <v>40</v>
      </c>
      <c r="AE199" s="14">
        <v>2800</v>
      </c>
      <c r="AF199" s="14">
        <v>5000</v>
      </c>
      <c r="AG199" s="14">
        <v>2780</v>
      </c>
      <c r="AH199" s="14">
        <v>0</v>
      </c>
      <c r="AI199" s="14">
        <v>66</v>
      </c>
      <c r="AJ199" s="14">
        <v>240</v>
      </c>
      <c r="AK199" s="14" t="s">
        <v>2501</v>
      </c>
      <c r="AL199" s="14" t="s">
        <v>2504</v>
      </c>
      <c r="AM199" s="14">
        <v>278.31</v>
      </c>
      <c r="AN199" s="14">
        <v>183.03</v>
      </c>
      <c r="AO199" s="14">
        <v>300.19</v>
      </c>
      <c r="AP199" s="14">
        <v>16825</v>
      </c>
      <c r="AQ199" s="14">
        <v>16745</v>
      </c>
      <c r="AR199" s="14">
        <v>23000</v>
      </c>
      <c r="AS199" s="14">
        <v>14025</v>
      </c>
      <c r="AT199" s="14">
        <v>15945</v>
      </c>
      <c r="AU199" s="14">
        <v>-2</v>
      </c>
      <c r="AV199" s="14">
        <v>251.98</v>
      </c>
      <c r="AW199" s="14">
        <v>28.47</v>
      </c>
      <c r="AX199" s="14">
        <v>5.89</v>
      </c>
      <c r="AY199" s="14" t="b">
        <v>0</v>
      </c>
    </row>
    <row r="200" spans="1:51" hidden="1" x14ac:dyDescent="0.3">
      <c r="A200" t="str">
        <f>CONCATENATE(I200,E200,LEFT(G200,10))</f>
        <v>HFA291LLBG2026-03-28</v>
      </c>
      <c r="B200" s="14" t="s">
        <v>2482</v>
      </c>
      <c r="C200" s="14" t="s">
        <v>336</v>
      </c>
      <c r="D200" s="14" t="s">
        <v>337</v>
      </c>
      <c r="E200" s="14" t="s">
        <v>83</v>
      </c>
      <c r="F200" s="14" t="s">
        <v>87</v>
      </c>
      <c r="G200" s="14" t="s">
        <v>2483</v>
      </c>
      <c r="H200" s="14" t="s">
        <v>339</v>
      </c>
      <c r="I200" s="14" t="s">
        <v>281</v>
      </c>
      <c r="J200" s="14" t="s">
        <v>69</v>
      </c>
      <c r="K200" s="14" t="s">
        <v>471</v>
      </c>
      <c r="L200" s="14" t="s">
        <v>341</v>
      </c>
      <c r="M200" s="16" t="s">
        <v>2484</v>
      </c>
      <c r="N200" s="14" t="s">
        <v>768</v>
      </c>
      <c r="O200" s="14" t="s">
        <v>2485</v>
      </c>
      <c r="P200" s="14">
        <v>160</v>
      </c>
      <c r="Q200" s="14">
        <v>2</v>
      </c>
      <c r="R200" s="14">
        <v>6600</v>
      </c>
      <c r="S200" s="14" t="s">
        <v>2486</v>
      </c>
      <c r="T200" s="14" t="s">
        <v>2487</v>
      </c>
      <c r="U200" s="14">
        <v>1.02694444444444</v>
      </c>
      <c r="V200" s="14">
        <v>1.4694444444444399</v>
      </c>
      <c r="W200" s="14">
        <v>952</v>
      </c>
      <c r="X200" s="14">
        <v>80</v>
      </c>
      <c r="Y200" s="14">
        <v>872</v>
      </c>
      <c r="Z200" s="14">
        <v>964</v>
      </c>
      <c r="AA200" s="14">
        <v>336</v>
      </c>
      <c r="AB200" s="14">
        <v>281</v>
      </c>
      <c r="AC200" s="14">
        <v>300</v>
      </c>
      <c r="AD200" s="14">
        <v>47</v>
      </c>
      <c r="AE200" s="14">
        <v>1916</v>
      </c>
      <c r="AF200" s="14">
        <v>5000</v>
      </c>
      <c r="AG200" s="14">
        <v>3009</v>
      </c>
      <c r="AH200" s="14">
        <v>0</v>
      </c>
      <c r="AI200" s="14">
        <v>75</v>
      </c>
      <c r="AJ200" s="14">
        <v>157</v>
      </c>
      <c r="AK200" s="14" t="s">
        <v>2483</v>
      </c>
      <c r="AL200" s="14" t="s">
        <v>2488</v>
      </c>
      <c r="AM200" s="14">
        <v>301.74</v>
      </c>
      <c r="AN200" s="14">
        <v>183.03</v>
      </c>
      <c r="AO200" s="14">
        <v>73.5</v>
      </c>
      <c r="AP200" s="14">
        <v>21841</v>
      </c>
      <c r="AQ200" s="14">
        <v>21761</v>
      </c>
      <c r="AR200" s="14">
        <v>23000</v>
      </c>
      <c r="AS200" s="14">
        <v>19925</v>
      </c>
      <c r="AT200" s="14">
        <v>20889</v>
      </c>
      <c r="AU200" s="14">
        <v>-3</v>
      </c>
      <c r="AV200" s="14">
        <v>248.81</v>
      </c>
      <c r="AW200" s="14">
        <v>41.11</v>
      </c>
      <c r="AX200" s="14">
        <v>6.52</v>
      </c>
      <c r="AY200" s="14" t="b">
        <v>0</v>
      </c>
    </row>
    <row r="201" spans="1:51" hidden="1" x14ac:dyDescent="0.3">
      <c r="A201" t="str">
        <f>CONCATENATE(I201,E201,LEFT(G201,10))</f>
        <v>HFA301LLHA2026-02-28</v>
      </c>
      <c r="B201" s="14" t="s">
        <v>919</v>
      </c>
      <c r="C201" s="14" t="s">
        <v>336</v>
      </c>
      <c r="D201" s="14" t="s">
        <v>337</v>
      </c>
      <c r="E201" s="14" t="s">
        <v>43</v>
      </c>
      <c r="F201" s="14" t="s">
        <v>87</v>
      </c>
      <c r="G201" s="14" t="s">
        <v>920</v>
      </c>
      <c r="H201" s="14" t="s">
        <v>371</v>
      </c>
      <c r="I201" s="14" t="s">
        <v>137</v>
      </c>
      <c r="J201" s="14" t="s">
        <v>69</v>
      </c>
      <c r="K201" s="14" t="s">
        <v>349</v>
      </c>
      <c r="L201" s="14" t="s">
        <v>341</v>
      </c>
      <c r="M201" s="16" t="s">
        <v>911</v>
      </c>
      <c r="N201" s="14"/>
      <c r="O201" s="14" t="s">
        <v>912</v>
      </c>
      <c r="P201" s="14">
        <v>50</v>
      </c>
      <c r="Q201" s="14">
        <v>2</v>
      </c>
      <c r="R201" s="14">
        <v>500</v>
      </c>
      <c r="S201" s="14" t="s">
        <v>921</v>
      </c>
      <c r="T201" s="14" t="s">
        <v>922</v>
      </c>
      <c r="U201" s="14">
        <v>0.72722222222222199</v>
      </c>
      <c r="V201" s="14">
        <v>0.96527777777777701</v>
      </c>
      <c r="W201" s="14">
        <v>634</v>
      </c>
      <c r="X201" s="14">
        <v>50</v>
      </c>
      <c r="Y201" s="14">
        <v>584</v>
      </c>
      <c r="Z201" s="14">
        <v>956</v>
      </c>
      <c r="AA201" s="14">
        <v>323</v>
      </c>
      <c r="AB201" s="14">
        <v>234</v>
      </c>
      <c r="AC201" s="14">
        <v>361</v>
      </c>
      <c r="AD201" s="14">
        <v>39</v>
      </c>
      <c r="AE201" s="14">
        <v>1590</v>
      </c>
      <c r="AF201" s="14">
        <v>5000</v>
      </c>
      <c r="AG201" s="14">
        <v>2002</v>
      </c>
      <c r="AH201" s="14">
        <v>0</v>
      </c>
      <c r="AI201" s="14">
        <v>45</v>
      </c>
      <c r="AJ201" s="14">
        <v>128</v>
      </c>
      <c r="AK201" s="14" t="s">
        <v>920</v>
      </c>
      <c r="AL201" s="14" t="s">
        <v>923</v>
      </c>
      <c r="AM201" s="14">
        <v>179.36</v>
      </c>
      <c r="AN201" s="14">
        <v>142.63999999999999</v>
      </c>
      <c r="AO201" s="14">
        <v>73.5</v>
      </c>
      <c r="AP201" s="14">
        <v>15590</v>
      </c>
      <c r="AQ201" s="14">
        <v>15540</v>
      </c>
      <c r="AR201" s="14">
        <v>23000</v>
      </c>
      <c r="AS201" s="14">
        <v>14000</v>
      </c>
      <c r="AT201" s="14">
        <v>14956</v>
      </c>
      <c r="AU201" s="14">
        <v>-7</v>
      </c>
      <c r="AV201" s="14">
        <v>335.7</v>
      </c>
      <c r="AW201" s="14">
        <v>8.32</v>
      </c>
      <c r="AX201" s="14">
        <v>-3.21</v>
      </c>
      <c r="AY201" s="14" t="b">
        <v>0</v>
      </c>
    </row>
    <row r="202" spans="1:51" hidden="1" x14ac:dyDescent="0.3">
      <c r="A202" t="str">
        <f>CONCATENATE(I202,E202,LEFT(G202,10))</f>
        <v>HFA401LLHA2026-02-28</v>
      </c>
      <c r="B202" s="14" t="s">
        <v>916</v>
      </c>
      <c r="C202" s="14" t="s">
        <v>336</v>
      </c>
      <c r="D202" s="14" t="s">
        <v>337</v>
      </c>
      <c r="E202" s="14" t="s">
        <v>43</v>
      </c>
      <c r="F202" s="14" t="s">
        <v>87</v>
      </c>
      <c r="G202" s="14" t="s">
        <v>917</v>
      </c>
      <c r="H202" s="14" t="s">
        <v>357</v>
      </c>
      <c r="I202" s="14" t="s">
        <v>178</v>
      </c>
      <c r="J202" s="14" t="s">
        <v>69</v>
      </c>
      <c r="K202" s="14" t="s">
        <v>349</v>
      </c>
      <c r="L202" s="14" t="s">
        <v>341</v>
      </c>
      <c r="M202" s="16" t="s">
        <v>911</v>
      </c>
      <c r="N202" s="14" t="s">
        <v>359</v>
      </c>
      <c r="O202" s="14" t="s">
        <v>912</v>
      </c>
      <c r="P202" s="14">
        <v>50</v>
      </c>
      <c r="Q202" s="14">
        <v>2</v>
      </c>
      <c r="R202" s="14">
        <v>500</v>
      </c>
      <c r="S202" s="14"/>
      <c r="T202" s="14"/>
      <c r="U202" s="14"/>
      <c r="V202" s="14"/>
      <c r="W202" s="14">
        <v>614</v>
      </c>
      <c r="X202" s="14">
        <v>50</v>
      </c>
      <c r="Y202" s="14">
        <v>564</v>
      </c>
      <c r="Z202" s="14">
        <v>1126</v>
      </c>
      <c r="AA202" s="14">
        <v>315</v>
      </c>
      <c r="AB202" s="14">
        <v>233</v>
      </c>
      <c r="AC202" s="14">
        <v>540</v>
      </c>
      <c r="AD202" s="14">
        <v>39</v>
      </c>
      <c r="AE202" s="14">
        <v>1740</v>
      </c>
      <c r="AF202" s="14">
        <v>5000</v>
      </c>
      <c r="AG202" s="14">
        <v>1941</v>
      </c>
      <c r="AH202" s="14">
        <v>0</v>
      </c>
      <c r="AI202" s="14">
        <v>45</v>
      </c>
      <c r="AJ202" s="14">
        <v>144</v>
      </c>
      <c r="AK202" s="14" t="s">
        <v>917</v>
      </c>
      <c r="AL202" s="14" t="s">
        <v>918</v>
      </c>
      <c r="AM202" s="14">
        <v>179.36</v>
      </c>
      <c r="AN202" s="14">
        <v>142.63999999999999</v>
      </c>
      <c r="AO202" s="14">
        <v>73.5</v>
      </c>
      <c r="AP202" s="14">
        <v>15465</v>
      </c>
      <c r="AQ202" s="14">
        <v>15415</v>
      </c>
      <c r="AR202" s="14">
        <v>23000</v>
      </c>
      <c r="AS202" s="14">
        <v>13725</v>
      </c>
      <c r="AT202" s="14">
        <v>14851</v>
      </c>
      <c r="AU202" s="14">
        <v>-7</v>
      </c>
      <c r="AV202" s="14">
        <v>336.3</v>
      </c>
      <c r="AW202" s="14">
        <v>8.24</v>
      </c>
      <c r="AX202" s="14">
        <v>-3.19</v>
      </c>
      <c r="AY202" s="14" t="b">
        <v>0</v>
      </c>
    </row>
    <row r="203" spans="1:51" hidden="1" x14ac:dyDescent="0.3">
      <c r="A203" t="str">
        <f>CONCATENATE(I203,E203,LEFT(G203,10))</f>
        <v>HFA501LLHA2026-02-28</v>
      </c>
      <c r="B203" s="14" t="s">
        <v>909</v>
      </c>
      <c r="C203" s="14" t="s">
        <v>336</v>
      </c>
      <c r="D203" s="14" t="s">
        <v>337</v>
      </c>
      <c r="E203" s="14" t="s">
        <v>43</v>
      </c>
      <c r="F203" s="14" t="s">
        <v>87</v>
      </c>
      <c r="G203" s="14" t="s">
        <v>910</v>
      </c>
      <c r="H203" s="14" t="s">
        <v>339</v>
      </c>
      <c r="I203" s="14" t="s">
        <v>225</v>
      </c>
      <c r="J203" s="14" t="s">
        <v>69</v>
      </c>
      <c r="K203" s="14" t="s">
        <v>349</v>
      </c>
      <c r="L203" s="14" t="s">
        <v>341</v>
      </c>
      <c r="M203" s="16" t="s">
        <v>911</v>
      </c>
      <c r="N203" s="14"/>
      <c r="O203" s="14" t="s">
        <v>912</v>
      </c>
      <c r="P203" s="14">
        <v>50</v>
      </c>
      <c r="Q203" s="14">
        <v>2</v>
      </c>
      <c r="R203" s="14">
        <v>500</v>
      </c>
      <c r="S203" s="14" t="s">
        <v>913</v>
      </c>
      <c r="T203" s="14" t="s">
        <v>914</v>
      </c>
      <c r="U203" s="14">
        <v>0.77777777777777701</v>
      </c>
      <c r="V203" s="14">
        <v>0.89472222222222197</v>
      </c>
      <c r="W203" s="14">
        <v>620</v>
      </c>
      <c r="X203" s="14">
        <v>50</v>
      </c>
      <c r="Y203" s="14">
        <v>570</v>
      </c>
      <c r="Z203" s="14">
        <v>980</v>
      </c>
      <c r="AA203" s="14">
        <v>318</v>
      </c>
      <c r="AB203" s="14">
        <v>232</v>
      </c>
      <c r="AC203" s="14">
        <v>391</v>
      </c>
      <c r="AD203" s="14">
        <v>39</v>
      </c>
      <c r="AE203" s="14">
        <v>1600</v>
      </c>
      <c r="AF203" s="14">
        <v>5000</v>
      </c>
      <c r="AG203" s="14">
        <v>1961</v>
      </c>
      <c r="AH203" s="14">
        <v>0</v>
      </c>
      <c r="AI203" s="14">
        <v>45</v>
      </c>
      <c r="AJ203" s="14">
        <v>131</v>
      </c>
      <c r="AK203" s="14" t="s">
        <v>910</v>
      </c>
      <c r="AL203" s="14" t="s">
        <v>915</v>
      </c>
      <c r="AM203" s="14">
        <v>179.36</v>
      </c>
      <c r="AN203" s="14">
        <v>142.63999999999999</v>
      </c>
      <c r="AO203" s="14">
        <v>73.5</v>
      </c>
      <c r="AP203" s="14">
        <v>15425</v>
      </c>
      <c r="AQ203" s="14">
        <v>15375</v>
      </c>
      <c r="AR203" s="14">
        <v>23000</v>
      </c>
      <c r="AS203" s="14">
        <v>13825</v>
      </c>
      <c r="AT203" s="14">
        <v>14805</v>
      </c>
      <c r="AU203" s="14">
        <v>-7</v>
      </c>
      <c r="AV203" s="14">
        <v>336.39</v>
      </c>
      <c r="AW203" s="14">
        <v>8.23</v>
      </c>
      <c r="AX203" s="14">
        <v>-3.18</v>
      </c>
      <c r="AY203" s="14" t="b">
        <v>0</v>
      </c>
    </row>
    <row r="204" spans="1:51" hidden="1" x14ac:dyDescent="0.3">
      <c r="A204" t="str">
        <f>CONCATENATE(I204,E204,LEFT(G204,10))</f>
        <v>HFA601LLHA2026-01-01</v>
      </c>
      <c r="B204" s="14" t="s">
        <v>4568</v>
      </c>
      <c r="C204" s="14" t="s">
        <v>336</v>
      </c>
      <c r="D204" s="14" t="s">
        <v>337</v>
      </c>
      <c r="E204" s="14" t="s">
        <v>43</v>
      </c>
      <c r="F204" s="14" t="s">
        <v>59</v>
      </c>
      <c r="G204" s="14" t="s">
        <v>4569</v>
      </c>
      <c r="H204" s="14" t="s">
        <v>393</v>
      </c>
      <c r="I204" s="14" t="s">
        <v>57</v>
      </c>
      <c r="J204" s="14" t="s">
        <v>83</v>
      </c>
      <c r="K204" s="14" t="s">
        <v>349</v>
      </c>
      <c r="L204" s="14" t="s">
        <v>341</v>
      </c>
      <c r="M204" s="16" t="s">
        <v>4570</v>
      </c>
      <c r="N204" s="14"/>
      <c r="O204" s="14" t="s">
        <v>4571</v>
      </c>
      <c r="P204" s="14">
        <v>50</v>
      </c>
      <c r="Q204" s="14">
        <v>2</v>
      </c>
      <c r="R204" s="14">
        <v>5150</v>
      </c>
      <c r="S204" s="14" t="s">
        <v>4572</v>
      </c>
      <c r="T204" s="14" t="s">
        <v>4573</v>
      </c>
      <c r="U204" s="14">
        <v>0.87888888888888805</v>
      </c>
      <c r="V204" s="14">
        <v>1.0180555555555499</v>
      </c>
      <c r="W204" s="14">
        <v>884</v>
      </c>
      <c r="X204" s="14">
        <v>50</v>
      </c>
      <c r="Y204" s="14">
        <v>834</v>
      </c>
      <c r="Z204" s="14">
        <v>1093</v>
      </c>
      <c r="AA204" s="14">
        <v>580</v>
      </c>
      <c r="AB204" s="14">
        <v>268</v>
      </c>
      <c r="AC204" s="14">
        <v>200</v>
      </c>
      <c r="AD204" s="14">
        <v>45</v>
      </c>
      <c r="AE204" s="14">
        <v>1976</v>
      </c>
      <c r="AF204" s="14">
        <v>5000</v>
      </c>
      <c r="AG204" s="14">
        <v>2792</v>
      </c>
      <c r="AH204" s="14">
        <v>0</v>
      </c>
      <c r="AI204" s="14">
        <v>58</v>
      </c>
      <c r="AJ204" s="14">
        <v>148</v>
      </c>
      <c r="AK204" s="14" t="s">
        <v>4569</v>
      </c>
      <c r="AL204" s="14" t="s">
        <v>4574</v>
      </c>
      <c r="AM204" s="14">
        <v>230.38</v>
      </c>
      <c r="AN204" s="14">
        <v>184.55</v>
      </c>
      <c r="AO204" s="14">
        <v>155.72</v>
      </c>
      <c r="AP204" s="14">
        <v>20437</v>
      </c>
      <c r="AQ204" s="14">
        <v>20387</v>
      </c>
      <c r="AR204" s="14">
        <v>23000</v>
      </c>
      <c r="AS204" s="14">
        <v>18461</v>
      </c>
      <c r="AT204" s="14">
        <v>19554</v>
      </c>
      <c r="AU204" s="14">
        <v>-9</v>
      </c>
      <c r="AV204" s="14">
        <v>261.41000000000003</v>
      </c>
      <c r="AW204" s="14">
        <v>42.73</v>
      </c>
      <c r="AX204" s="14">
        <v>2.69</v>
      </c>
      <c r="AY204" s="14" t="b">
        <v>0</v>
      </c>
    </row>
    <row r="205" spans="1:51" hidden="1" x14ac:dyDescent="0.3">
      <c r="A205" t="str">
        <f>CONCATENATE(I205,E205,LEFT(G205,10))</f>
        <v>HFA601LLHA2026-01-02</v>
      </c>
      <c r="B205" s="14" t="s">
        <v>6254</v>
      </c>
      <c r="C205" s="14" t="s">
        <v>336</v>
      </c>
      <c r="D205" s="14" t="s">
        <v>337</v>
      </c>
      <c r="E205" s="14" t="s">
        <v>43</v>
      </c>
      <c r="F205" s="14" t="s">
        <v>59</v>
      </c>
      <c r="G205" s="14" t="s">
        <v>6255</v>
      </c>
      <c r="H205" s="14" t="s">
        <v>339</v>
      </c>
      <c r="I205" s="14" t="s">
        <v>57</v>
      </c>
      <c r="J205" s="14" t="s">
        <v>83</v>
      </c>
      <c r="K205" s="14" t="s">
        <v>349</v>
      </c>
      <c r="L205" s="14" t="s">
        <v>341</v>
      </c>
      <c r="M205" s="16" t="s">
        <v>6256</v>
      </c>
      <c r="N205" s="14"/>
      <c r="O205" s="14" t="s">
        <v>739</v>
      </c>
      <c r="P205" s="14">
        <v>50</v>
      </c>
      <c r="Q205" s="14">
        <v>2</v>
      </c>
      <c r="R205" s="14">
        <v>5800</v>
      </c>
      <c r="S205" s="14" t="s">
        <v>6257</v>
      </c>
      <c r="T205" s="14" t="s">
        <v>6258</v>
      </c>
      <c r="U205" s="14">
        <v>0.82861111111111097</v>
      </c>
      <c r="V205" s="14">
        <v>0.96583333333333299</v>
      </c>
      <c r="W205" s="14">
        <v>798</v>
      </c>
      <c r="X205" s="14">
        <v>50</v>
      </c>
      <c r="Y205" s="14">
        <v>748</v>
      </c>
      <c r="Z205" s="14">
        <v>1202</v>
      </c>
      <c r="AA205" s="14">
        <v>564</v>
      </c>
      <c r="AB205" s="14">
        <v>275</v>
      </c>
      <c r="AC205" s="14">
        <v>317</v>
      </c>
      <c r="AD205" s="14">
        <v>46</v>
      </c>
      <c r="AE205" s="14">
        <v>2000</v>
      </c>
      <c r="AF205" s="14">
        <v>5000</v>
      </c>
      <c r="AG205" s="14">
        <v>2522</v>
      </c>
      <c r="AH205" s="14">
        <v>0</v>
      </c>
      <c r="AI205" s="14">
        <v>58</v>
      </c>
      <c r="AJ205" s="14">
        <v>158</v>
      </c>
      <c r="AK205" s="14" t="s">
        <v>6255</v>
      </c>
      <c r="AL205" s="14" t="s">
        <v>6259</v>
      </c>
      <c r="AM205" s="14">
        <v>230.38</v>
      </c>
      <c r="AN205" s="14">
        <v>184.55</v>
      </c>
      <c r="AO205" s="14">
        <v>155.72</v>
      </c>
      <c r="AP205" s="14">
        <v>21125</v>
      </c>
      <c r="AQ205" s="14">
        <v>21075</v>
      </c>
      <c r="AR205" s="14">
        <v>23000</v>
      </c>
      <c r="AS205" s="14">
        <v>19125</v>
      </c>
      <c r="AT205" s="14">
        <v>20327</v>
      </c>
      <c r="AU205" s="14">
        <v>-6</v>
      </c>
      <c r="AV205" s="14">
        <v>262.83</v>
      </c>
      <c r="AW205" s="14">
        <v>32.549999999999997</v>
      </c>
      <c r="AX205" s="14">
        <v>-0.39</v>
      </c>
      <c r="AY205" s="14" t="b">
        <v>0</v>
      </c>
    </row>
    <row r="206" spans="1:51" hidden="1" x14ac:dyDescent="0.3">
      <c r="A206" t="str">
        <f>CONCATENATE(I206,E206,LEFT(G206,10))</f>
        <v>HFA601LLHA2026-01-04</v>
      </c>
      <c r="B206" s="14" t="s">
        <v>5410</v>
      </c>
      <c r="C206" s="14" t="s">
        <v>336</v>
      </c>
      <c r="D206" s="14" t="s">
        <v>337</v>
      </c>
      <c r="E206" s="14" t="s">
        <v>43</v>
      </c>
      <c r="F206" s="14" t="s">
        <v>59</v>
      </c>
      <c r="G206" s="14" t="s">
        <v>5411</v>
      </c>
      <c r="H206" s="14" t="s">
        <v>339</v>
      </c>
      <c r="I206" s="14" t="s">
        <v>57</v>
      </c>
      <c r="J206" s="14" t="s">
        <v>83</v>
      </c>
      <c r="K206" s="14" t="s">
        <v>349</v>
      </c>
      <c r="L206" s="14" t="s">
        <v>341</v>
      </c>
      <c r="M206" s="16" t="s">
        <v>5412</v>
      </c>
      <c r="N206" s="14"/>
      <c r="O206" s="14" t="s">
        <v>3951</v>
      </c>
      <c r="P206" s="14">
        <v>50</v>
      </c>
      <c r="Q206" s="14">
        <v>2</v>
      </c>
      <c r="R206" s="14">
        <v>5300</v>
      </c>
      <c r="S206" s="14" t="s">
        <v>5413</v>
      </c>
      <c r="T206" s="14" t="s">
        <v>5414</v>
      </c>
      <c r="U206" s="14">
        <v>0.94777777777777705</v>
      </c>
      <c r="V206" s="14">
        <v>1.06944444444444</v>
      </c>
      <c r="W206" s="14">
        <v>774</v>
      </c>
      <c r="X206" s="14">
        <v>50</v>
      </c>
      <c r="Y206" s="14">
        <v>724</v>
      </c>
      <c r="Z206" s="14">
        <v>1076</v>
      </c>
      <c r="AA206" s="14">
        <v>536</v>
      </c>
      <c r="AB206" s="14">
        <v>270</v>
      </c>
      <c r="AC206" s="14">
        <v>225</v>
      </c>
      <c r="AD206" s="14">
        <v>45</v>
      </c>
      <c r="AE206" s="14">
        <v>1850</v>
      </c>
      <c r="AF206" s="14">
        <v>5000</v>
      </c>
      <c r="AG206" s="14">
        <v>2447</v>
      </c>
      <c r="AH206" s="14">
        <v>0</v>
      </c>
      <c r="AI206" s="14">
        <v>58</v>
      </c>
      <c r="AJ206" s="14">
        <v>150</v>
      </c>
      <c r="AK206" s="14" t="s">
        <v>5411</v>
      </c>
      <c r="AL206" s="14" t="s">
        <v>5415</v>
      </c>
      <c r="AM206" s="14">
        <v>230.38</v>
      </c>
      <c r="AN206" s="14">
        <v>184.55</v>
      </c>
      <c r="AO206" s="14">
        <v>155.72</v>
      </c>
      <c r="AP206" s="14">
        <v>20475</v>
      </c>
      <c r="AQ206" s="14">
        <v>20425</v>
      </c>
      <c r="AR206" s="14">
        <v>23000</v>
      </c>
      <c r="AS206" s="14">
        <v>18625</v>
      </c>
      <c r="AT206" s="14">
        <v>19701</v>
      </c>
      <c r="AU206" s="14">
        <v>-4</v>
      </c>
      <c r="AV206" s="14">
        <v>168.46</v>
      </c>
      <c r="AW206" s="14">
        <v>5.22</v>
      </c>
      <c r="AX206" s="14">
        <v>6.56</v>
      </c>
      <c r="AY206" s="14" t="b">
        <v>0</v>
      </c>
    </row>
    <row r="207" spans="1:51" hidden="1" x14ac:dyDescent="0.3">
      <c r="A207" t="str">
        <f>CONCATENATE(I207,E207,LEFT(G207,10))</f>
        <v>HFA601LLHA2026-01-05</v>
      </c>
      <c r="B207" s="15" t="s">
        <v>1739</v>
      </c>
      <c r="C207" s="14" t="s">
        <v>336</v>
      </c>
      <c r="D207" s="14" t="s">
        <v>337</v>
      </c>
      <c r="E207" s="14" t="s">
        <v>43</v>
      </c>
      <c r="F207" s="14" t="s">
        <v>59</v>
      </c>
      <c r="G207" s="14" t="s">
        <v>1740</v>
      </c>
      <c r="H207" s="14" t="s">
        <v>339</v>
      </c>
      <c r="I207" s="14" t="s">
        <v>57</v>
      </c>
      <c r="J207" s="14" t="s">
        <v>83</v>
      </c>
      <c r="K207" s="14" t="s">
        <v>349</v>
      </c>
      <c r="L207" s="14" t="s">
        <v>341</v>
      </c>
      <c r="M207" s="16" t="s">
        <v>1741</v>
      </c>
      <c r="N207" s="14"/>
      <c r="O207" s="14" t="s">
        <v>1742</v>
      </c>
      <c r="P207" s="14">
        <v>50</v>
      </c>
      <c r="Q207" s="14">
        <v>3</v>
      </c>
      <c r="R207" s="14">
        <v>5800</v>
      </c>
      <c r="S207" s="14" t="s">
        <v>1743</v>
      </c>
      <c r="T207" s="14" t="s">
        <v>1744</v>
      </c>
      <c r="U207" s="14">
        <v>3.9722222222222201</v>
      </c>
      <c r="V207" s="14">
        <v>1.1344444444444399</v>
      </c>
      <c r="W207" s="14">
        <v>769</v>
      </c>
      <c r="X207" s="14">
        <v>50</v>
      </c>
      <c r="Y207" s="14">
        <v>719</v>
      </c>
      <c r="Z207" s="14">
        <v>1081</v>
      </c>
      <c r="AA207" s="14">
        <v>543</v>
      </c>
      <c r="AB207" s="14">
        <v>274</v>
      </c>
      <c r="AC207" s="14">
        <v>219</v>
      </c>
      <c r="AD207" s="14">
        <v>46</v>
      </c>
      <c r="AE207" s="14">
        <v>1850</v>
      </c>
      <c r="AF207" s="14">
        <v>5000</v>
      </c>
      <c r="AG207" s="14">
        <v>2429</v>
      </c>
      <c r="AH207" s="14">
        <v>0</v>
      </c>
      <c r="AI207" s="14">
        <v>58</v>
      </c>
      <c r="AJ207" s="14">
        <v>150</v>
      </c>
      <c r="AK207" s="14" t="s">
        <v>1740</v>
      </c>
      <c r="AL207" s="14" t="s">
        <v>1745</v>
      </c>
      <c r="AM207" s="14">
        <v>230.38</v>
      </c>
      <c r="AN207" s="14">
        <v>184.55</v>
      </c>
      <c r="AO207" s="14">
        <v>155.72</v>
      </c>
      <c r="AP207" s="14">
        <v>20975</v>
      </c>
      <c r="AQ207" s="14">
        <v>20925</v>
      </c>
      <c r="AR207" s="14">
        <v>23000</v>
      </c>
      <c r="AS207" s="14">
        <v>19125</v>
      </c>
      <c r="AT207" s="14">
        <v>20206</v>
      </c>
      <c r="AU207" s="14">
        <v>-3</v>
      </c>
      <c r="AV207" s="14">
        <v>182.34</v>
      </c>
      <c r="AW207" s="14">
        <v>3.42</v>
      </c>
      <c r="AX207" s="14">
        <v>7.19</v>
      </c>
      <c r="AY207" s="14" t="b">
        <v>0</v>
      </c>
    </row>
    <row r="208" spans="1:51" hidden="1" x14ac:dyDescent="0.3">
      <c r="A208" t="str">
        <f>CONCATENATE(I208,E208,LEFT(G208,10))</f>
        <v>HFA601LLHA2026-01-06</v>
      </c>
      <c r="B208" s="14" t="s">
        <v>4872</v>
      </c>
      <c r="C208" s="14" t="s">
        <v>336</v>
      </c>
      <c r="D208" s="14" t="s">
        <v>337</v>
      </c>
      <c r="E208" s="14" t="s">
        <v>43</v>
      </c>
      <c r="F208" s="14" t="s">
        <v>59</v>
      </c>
      <c r="G208" s="14" t="s">
        <v>4873</v>
      </c>
      <c r="H208" s="14" t="s">
        <v>357</v>
      </c>
      <c r="I208" s="14" t="s">
        <v>57</v>
      </c>
      <c r="J208" s="14" t="s">
        <v>83</v>
      </c>
      <c r="K208" s="14" t="s">
        <v>349</v>
      </c>
      <c r="L208" s="14" t="s">
        <v>341</v>
      </c>
      <c r="M208" s="16" t="s">
        <v>4874</v>
      </c>
      <c r="N208" s="14" t="s">
        <v>359</v>
      </c>
      <c r="O208" s="14" t="s">
        <v>4875</v>
      </c>
      <c r="P208" s="14">
        <v>50</v>
      </c>
      <c r="Q208" s="14">
        <v>2</v>
      </c>
      <c r="R208" s="14">
        <v>4750</v>
      </c>
      <c r="S208" s="14" t="s">
        <v>4876</v>
      </c>
      <c r="T208" s="14" t="s">
        <v>4877</v>
      </c>
      <c r="U208" s="14">
        <v>0.97750000000000004</v>
      </c>
      <c r="V208" s="14">
        <v>1.0941666666666601</v>
      </c>
      <c r="W208" s="14">
        <v>765</v>
      </c>
      <c r="X208" s="14">
        <v>50</v>
      </c>
      <c r="Y208" s="14">
        <v>715</v>
      </c>
      <c r="Z208" s="14">
        <v>1065</v>
      </c>
      <c r="AA208" s="14">
        <v>538</v>
      </c>
      <c r="AB208" s="14">
        <v>264</v>
      </c>
      <c r="AC208" s="14">
        <v>219</v>
      </c>
      <c r="AD208" s="14">
        <v>44</v>
      </c>
      <c r="AE208" s="14">
        <v>1830</v>
      </c>
      <c r="AF208" s="14">
        <v>5000</v>
      </c>
      <c r="AG208" s="14">
        <v>2419</v>
      </c>
      <c r="AH208" s="14">
        <v>0</v>
      </c>
      <c r="AI208" s="14">
        <v>58</v>
      </c>
      <c r="AJ208" s="14">
        <v>151</v>
      </c>
      <c r="AK208" s="14" t="s">
        <v>4873</v>
      </c>
      <c r="AL208" s="14" t="s">
        <v>4878</v>
      </c>
      <c r="AM208" s="14">
        <v>230.38</v>
      </c>
      <c r="AN208" s="14">
        <v>184.55</v>
      </c>
      <c r="AO208" s="14">
        <v>155.72</v>
      </c>
      <c r="AP208" s="14">
        <v>19805</v>
      </c>
      <c r="AQ208" s="14">
        <v>19755</v>
      </c>
      <c r="AR208" s="14">
        <v>23000</v>
      </c>
      <c r="AS208" s="14">
        <v>17975</v>
      </c>
      <c r="AT208" s="14">
        <v>19040</v>
      </c>
      <c r="AU208" s="14">
        <v>-4</v>
      </c>
      <c r="AV208" s="14">
        <v>253.61</v>
      </c>
      <c r="AW208" s="14">
        <v>14.79</v>
      </c>
      <c r="AX208" s="14">
        <v>8</v>
      </c>
      <c r="AY208" s="14" t="b">
        <v>0</v>
      </c>
    </row>
    <row r="209" spans="1:51" hidden="1" x14ac:dyDescent="0.3">
      <c r="A209" t="str">
        <f>CONCATENATE(I209,E209,LEFT(G209,10))</f>
        <v>HFA601LLHA2026-01-07</v>
      </c>
      <c r="B209" s="14" t="s">
        <v>1480</v>
      </c>
      <c r="C209" s="14" t="s">
        <v>336</v>
      </c>
      <c r="D209" s="14" t="s">
        <v>337</v>
      </c>
      <c r="E209" s="14" t="s">
        <v>43</v>
      </c>
      <c r="F209" s="14" t="s">
        <v>59</v>
      </c>
      <c r="G209" s="14" t="s">
        <v>1481</v>
      </c>
      <c r="H209" s="14" t="s">
        <v>339</v>
      </c>
      <c r="I209" s="14" t="s">
        <v>57</v>
      </c>
      <c r="J209" s="14" t="s">
        <v>83</v>
      </c>
      <c r="K209" s="14" t="s">
        <v>349</v>
      </c>
      <c r="L209" s="14" t="s">
        <v>341</v>
      </c>
      <c r="M209" s="16" t="s">
        <v>1482</v>
      </c>
      <c r="N209" s="14"/>
      <c r="O209" s="14" t="s">
        <v>739</v>
      </c>
      <c r="P209" s="14">
        <v>50</v>
      </c>
      <c r="Q209" s="14">
        <v>3</v>
      </c>
      <c r="R209" s="14">
        <v>6300</v>
      </c>
      <c r="S209" s="14" t="s">
        <v>1483</v>
      </c>
      <c r="T209" s="14" t="s">
        <v>1484</v>
      </c>
      <c r="U209" s="14">
        <v>0.87361111111111101</v>
      </c>
      <c r="V209" s="14">
        <v>0.97277777777777696</v>
      </c>
      <c r="W209" s="14">
        <v>754</v>
      </c>
      <c r="X209" s="14">
        <v>50</v>
      </c>
      <c r="Y209" s="14">
        <v>704</v>
      </c>
      <c r="Z209" s="14">
        <v>1106</v>
      </c>
      <c r="AA209" s="14">
        <v>559</v>
      </c>
      <c r="AB209" s="14">
        <v>279</v>
      </c>
      <c r="AC209" s="14">
        <v>222</v>
      </c>
      <c r="AD209" s="14">
        <v>46</v>
      </c>
      <c r="AE209" s="14">
        <v>1860</v>
      </c>
      <c r="AF209" s="14">
        <v>5000</v>
      </c>
      <c r="AG209" s="14">
        <v>2382</v>
      </c>
      <c r="AH209" s="14">
        <v>0</v>
      </c>
      <c r="AI209" s="14">
        <v>57</v>
      </c>
      <c r="AJ209" s="14">
        <v>152</v>
      </c>
      <c r="AK209" s="14" t="s">
        <v>1481</v>
      </c>
      <c r="AL209" s="14" t="s">
        <v>1485</v>
      </c>
      <c r="AM209" s="14">
        <v>230.38</v>
      </c>
      <c r="AN209" s="14">
        <v>184.55</v>
      </c>
      <c r="AO209" s="14">
        <v>155.72</v>
      </c>
      <c r="AP209" s="14">
        <v>21485</v>
      </c>
      <c r="AQ209" s="14">
        <v>21435</v>
      </c>
      <c r="AR209" s="14">
        <v>23000</v>
      </c>
      <c r="AS209" s="14">
        <v>19625</v>
      </c>
      <c r="AT209" s="14">
        <v>20731</v>
      </c>
      <c r="AU209" s="14">
        <v>2</v>
      </c>
      <c r="AV209" s="14">
        <v>290.57</v>
      </c>
      <c r="AW209" s="14">
        <v>13.07</v>
      </c>
      <c r="AX209" s="14">
        <v>8.89</v>
      </c>
      <c r="AY209" s="14" t="b">
        <v>0</v>
      </c>
    </row>
    <row r="210" spans="1:51" hidden="1" x14ac:dyDescent="0.3">
      <c r="A210" t="str">
        <f>CONCATENATE(I210,E210,LEFT(G210,10))</f>
        <v>HFA601LLHA2026-01-08</v>
      </c>
      <c r="B210" s="14" t="s">
        <v>2918</v>
      </c>
      <c r="C210" s="14" t="s">
        <v>336</v>
      </c>
      <c r="D210" s="14" t="s">
        <v>337</v>
      </c>
      <c r="E210" s="14" t="s">
        <v>43</v>
      </c>
      <c r="F210" s="14" t="s">
        <v>59</v>
      </c>
      <c r="G210" s="14" t="s">
        <v>2919</v>
      </c>
      <c r="H210" s="14" t="s">
        <v>436</v>
      </c>
      <c r="I210" s="14" t="s">
        <v>57</v>
      </c>
      <c r="J210" s="14" t="s">
        <v>83</v>
      </c>
      <c r="K210" s="14" t="s">
        <v>349</v>
      </c>
      <c r="L210" s="14" t="s">
        <v>341</v>
      </c>
      <c r="M210" s="16" t="s">
        <v>2920</v>
      </c>
      <c r="N210" s="14" t="s">
        <v>359</v>
      </c>
      <c r="O210" s="14" t="s">
        <v>2921</v>
      </c>
      <c r="P210" s="14">
        <v>50</v>
      </c>
      <c r="Q210" s="14">
        <v>2</v>
      </c>
      <c r="R210" s="14">
        <v>6500</v>
      </c>
      <c r="S210" s="14" t="s">
        <v>2922</v>
      </c>
      <c r="T210" s="14" t="s">
        <v>2923</v>
      </c>
      <c r="U210" s="14">
        <v>1.01</v>
      </c>
      <c r="V210" s="14">
        <v>1.1827777777777699</v>
      </c>
      <c r="W210" s="14">
        <v>777</v>
      </c>
      <c r="X210" s="14">
        <v>50</v>
      </c>
      <c r="Y210" s="14">
        <v>727</v>
      </c>
      <c r="Z210" s="14">
        <v>1033</v>
      </c>
      <c r="AA210" s="14">
        <v>540</v>
      </c>
      <c r="AB210" s="14">
        <v>279</v>
      </c>
      <c r="AC210" s="14">
        <v>168</v>
      </c>
      <c r="AD210" s="14">
        <v>47</v>
      </c>
      <c r="AE210" s="14">
        <v>1810</v>
      </c>
      <c r="AF210" s="14">
        <v>5000</v>
      </c>
      <c r="AG210" s="14">
        <v>2455</v>
      </c>
      <c r="AH210" s="14">
        <v>0</v>
      </c>
      <c r="AI210" s="14">
        <v>59</v>
      </c>
      <c r="AJ210" s="14">
        <v>147</v>
      </c>
      <c r="AK210" s="14" t="s">
        <v>2919</v>
      </c>
      <c r="AL210" s="14" t="s">
        <v>2924</v>
      </c>
      <c r="AM210" s="14">
        <v>230.38</v>
      </c>
      <c r="AN210" s="14">
        <v>184.55</v>
      </c>
      <c r="AO210" s="14">
        <v>155.72</v>
      </c>
      <c r="AP210" s="14">
        <v>21515</v>
      </c>
      <c r="AQ210" s="14">
        <v>21465</v>
      </c>
      <c r="AR210" s="14">
        <v>23000</v>
      </c>
      <c r="AS210" s="14">
        <v>19705</v>
      </c>
      <c r="AT210" s="14">
        <v>20738</v>
      </c>
      <c r="AU210" s="14">
        <v>-5</v>
      </c>
      <c r="AV210" s="14">
        <v>211.23</v>
      </c>
      <c r="AW210" s="14">
        <v>7.42</v>
      </c>
      <c r="AX210" s="14">
        <v>9.77</v>
      </c>
      <c r="AY210" s="14" t="b">
        <v>0</v>
      </c>
    </row>
    <row r="211" spans="1:51" hidden="1" x14ac:dyDescent="0.3">
      <c r="A211" t="str">
        <f>CONCATENATE(I211,E211,LEFT(G211,10))</f>
        <v>HFA601LLHA2026-01-09</v>
      </c>
      <c r="B211" s="14" t="s">
        <v>2319</v>
      </c>
      <c r="C211" s="14" t="s">
        <v>336</v>
      </c>
      <c r="D211" s="14" t="s">
        <v>337</v>
      </c>
      <c r="E211" s="14" t="s">
        <v>43</v>
      </c>
      <c r="F211" s="14" t="s">
        <v>59</v>
      </c>
      <c r="G211" s="14" t="s">
        <v>2320</v>
      </c>
      <c r="H211" s="14" t="s">
        <v>339</v>
      </c>
      <c r="I211" s="14" t="s">
        <v>57</v>
      </c>
      <c r="J211" s="14" t="s">
        <v>83</v>
      </c>
      <c r="K211" s="14" t="s">
        <v>349</v>
      </c>
      <c r="L211" s="14" t="s">
        <v>341</v>
      </c>
      <c r="M211" s="16" t="s">
        <v>2321</v>
      </c>
      <c r="N211" s="14"/>
      <c r="O211" s="14" t="s">
        <v>1103</v>
      </c>
      <c r="P211" s="14">
        <v>50</v>
      </c>
      <c r="Q211" s="14">
        <v>2</v>
      </c>
      <c r="R211" s="14">
        <v>7100</v>
      </c>
      <c r="S211" s="14" t="s">
        <v>2322</v>
      </c>
      <c r="T211" s="14" t="s">
        <v>2323</v>
      </c>
      <c r="U211" s="14">
        <v>1.0408333333333299</v>
      </c>
      <c r="V211" s="14">
        <v>1.145</v>
      </c>
      <c r="W211" s="14">
        <v>830</v>
      </c>
      <c r="X211" s="14">
        <v>50</v>
      </c>
      <c r="Y211" s="14">
        <v>780</v>
      </c>
      <c r="Z211" s="14">
        <v>1270</v>
      </c>
      <c r="AA211" s="14">
        <v>560</v>
      </c>
      <c r="AB211" s="14">
        <v>289</v>
      </c>
      <c r="AC211" s="14">
        <v>372</v>
      </c>
      <c r="AD211" s="14">
        <v>48</v>
      </c>
      <c r="AE211" s="14">
        <v>2100</v>
      </c>
      <c r="AF211" s="14">
        <v>5000</v>
      </c>
      <c r="AG211" s="14">
        <v>2623</v>
      </c>
      <c r="AH211" s="14">
        <v>0</v>
      </c>
      <c r="AI211" s="14">
        <v>61</v>
      </c>
      <c r="AJ211" s="14">
        <v>166</v>
      </c>
      <c r="AK211" s="14" t="s">
        <v>2320</v>
      </c>
      <c r="AL211" s="14" t="s">
        <v>2324</v>
      </c>
      <c r="AM211" s="14">
        <v>230.38</v>
      </c>
      <c r="AN211" s="14">
        <v>184.55</v>
      </c>
      <c r="AO211" s="14">
        <v>155.72</v>
      </c>
      <c r="AP211" s="14">
        <v>22525</v>
      </c>
      <c r="AQ211" s="14">
        <v>22475</v>
      </c>
      <c r="AR211" s="14">
        <v>23000</v>
      </c>
      <c r="AS211" s="14">
        <v>20425</v>
      </c>
      <c r="AT211" s="14">
        <v>21695</v>
      </c>
      <c r="AU211" s="14">
        <v>-16</v>
      </c>
      <c r="AV211" s="14">
        <v>255.23</v>
      </c>
      <c r="AW211" s="14">
        <v>48.31</v>
      </c>
      <c r="AX211" s="14">
        <v>1.95</v>
      </c>
      <c r="AY211" s="14" t="b">
        <v>0</v>
      </c>
    </row>
    <row r="212" spans="1:51" hidden="1" x14ac:dyDescent="0.3">
      <c r="A212" t="str">
        <f>CONCATENATE(I212,E212,LEFT(G212,10))</f>
        <v>HFA601LLHA2026-01-11</v>
      </c>
      <c r="B212" s="14" t="s">
        <v>2256</v>
      </c>
      <c r="C212" s="14" t="s">
        <v>336</v>
      </c>
      <c r="D212" s="14" t="s">
        <v>337</v>
      </c>
      <c r="E212" s="14" t="s">
        <v>43</v>
      </c>
      <c r="F212" s="14" t="s">
        <v>59</v>
      </c>
      <c r="G212" s="14" t="s">
        <v>2257</v>
      </c>
      <c r="H212" s="14" t="s">
        <v>393</v>
      </c>
      <c r="I212" s="14" t="s">
        <v>57</v>
      </c>
      <c r="J212" s="14" t="s">
        <v>83</v>
      </c>
      <c r="K212" s="14" t="s">
        <v>349</v>
      </c>
      <c r="L212" s="14" t="s">
        <v>341</v>
      </c>
      <c r="M212" s="16" t="s">
        <v>2258</v>
      </c>
      <c r="N212" s="14"/>
      <c r="O212" s="14" t="s">
        <v>2259</v>
      </c>
      <c r="P212" s="14">
        <v>50</v>
      </c>
      <c r="Q212" s="14">
        <v>2</v>
      </c>
      <c r="R212" s="14">
        <v>4700</v>
      </c>
      <c r="S212" s="14" t="s">
        <v>2260</v>
      </c>
      <c r="T212" s="14" t="s">
        <v>2261</v>
      </c>
      <c r="U212" s="14">
        <v>1.01277777777777</v>
      </c>
      <c r="V212" s="14">
        <v>1.1883333333333299</v>
      </c>
      <c r="W212" s="14">
        <v>878</v>
      </c>
      <c r="X212" s="14">
        <v>50</v>
      </c>
      <c r="Y212" s="14">
        <v>828</v>
      </c>
      <c r="Z212" s="14">
        <v>968</v>
      </c>
      <c r="AA212" s="14">
        <v>561</v>
      </c>
      <c r="AB212" s="14">
        <v>263</v>
      </c>
      <c r="AC212" s="14">
        <v>100</v>
      </c>
      <c r="AD212" s="14">
        <v>44</v>
      </c>
      <c r="AE212" s="14">
        <v>1846</v>
      </c>
      <c r="AF212" s="14">
        <v>5000</v>
      </c>
      <c r="AG212" s="14">
        <v>2775</v>
      </c>
      <c r="AH212" s="14">
        <v>0</v>
      </c>
      <c r="AI212" s="14">
        <v>59</v>
      </c>
      <c r="AJ212" s="14">
        <v>140</v>
      </c>
      <c r="AK212" s="14" t="s">
        <v>2257</v>
      </c>
      <c r="AL212" s="14" t="s">
        <v>2262</v>
      </c>
      <c r="AM212" s="14">
        <v>230.38</v>
      </c>
      <c r="AN212" s="14">
        <v>184.55</v>
      </c>
      <c r="AO212" s="14">
        <v>155.72</v>
      </c>
      <c r="AP212" s="14">
        <v>19857</v>
      </c>
      <c r="AQ212" s="14">
        <v>19807</v>
      </c>
      <c r="AR212" s="14">
        <v>23000</v>
      </c>
      <c r="AS212" s="14">
        <v>18011</v>
      </c>
      <c r="AT212" s="14">
        <v>18979</v>
      </c>
      <c r="AU212" s="14">
        <v>-10</v>
      </c>
      <c r="AV212" s="14">
        <v>242.08</v>
      </c>
      <c r="AW212" s="14">
        <v>22.62</v>
      </c>
      <c r="AX212" s="14">
        <v>4.26</v>
      </c>
      <c r="AY212" s="14" t="b">
        <v>0</v>
      </c>
    </row>
    <row r="213" spans="1:51" hidden="1" x14ac:dyDescent="0.3">
      <c r="A213" t="str">
        <f>CONCATENATE(I213,E213,LEFT(G213,10))</f>
        <v>HFA601LLHA2026-01-12</v>
      </c>
      <c r="B213" s="14" t="s">
        <v>6064</v>
      </c>
      <c r="C213" s="14" t="s">
        <v>336</v>
      </c>
      <c r="D213" s="14" t="s">
        <v>337</v>
      </c>
      <c r="E213" s="14" t="s">
        <v>43</v>
      </c>
      <c r="F213" s="14" t="s">
        <v>59</v>
      </c>
      <c r="G213" s="14" t="s">
        <v>6065</v>
      </c>
      <c r="H213" s="14" t="s">
        <v>436</v>
      </c>
      <c r="I213" s="14" t="s">
        <v>57</v>
      </c>
      <c r="J213" s="14" t="s">
        <v>83</v>
      </c>
      <c r="K213" s="14" t="s">
        <v>349</v>
      </c>
      <c r="L213" s="14" t="s">
        <v>341</v>
      </c>
      <c r="M213" s="16" t="s">
        <v>6066</v>
      </c>
      <c r="N213" s="14" t="s">
        <v>359</v>
      </c>
      <c r="O213" s="14" t="s">
        <v>1529</v>
      </c>
      <c r="P213" s="14">
        <v>50</v>
      </c>
      <c r="Q213" s="14">
        <v>2</v>
      </c>
      <c r="R213" s="14">
        <v>5700</v>
      </c>
      <c r="S213" s="14" t="s">
        <v>6067</v>
      </c>
      <c r="T213" s="14" t="s">
        <v>6068</v>
      </c>
      <c r="U213" s="14">
        <v>0.95833333333333304</v>
      </c>
      <c r="V213" s="14">
        <v>1.2636111111111099</v>
      </c>
      <c r="W213" s="14">
        <v>820</v>
      </c>
      <c r="X213" s="14">
        <v>50</v>
      </c>
      <c r="Y213" s="14">
        <v>770</v>
      </c>
      <c r="Z213" s="14">
        <v>1180</v>
      </c>
      <c r="AA213" s="14">
        <v>541</v>
      </c>
      <c r="AB213" s="14">
        <v>273</v>
      </c>
      <c r="AC213" s="14">
        <v>320</v>
      </c>
      <c r="AD213" s="14">
        <v>46</v>
      </c>
      <c r="AE213" s="14">
        <v>2000</v>
      </c>
      <c r="AF213" s="14">
        <v>5000</v>
      </c>
      <c r="AG213" s="14">
        <v>2593</v>
      </c>
      <c r="AH213" s="14">
        <v>0</v>
      </c>
      <c r="AI213" s="14">
        <v>60</v>
      </c>
      <c r="AJ213" s="14">
        <v>160</v>
      </c>
      <c r="AK213" s="14" t="s">
        <v>6065</v>
      </c>
      <c r="AL213" s="14" t="s">
        <v>6069</v>
      </c>
      <c r="AM213" s="14">
        <v>230.38</v>
      </c>
      <c r="AN213" s="14">
        <v>184.55</v>
      </c>
      <c r="AO213" s="14">
        <v>155.72</v>
      </c>
      <c r="AP213" s="14">
        <v>20905</v>
      </c>
      <c r="AQ213" s="14">
        <v>20855</v>
      </c>
      <c r="AR213" s="14">
        <v>23000</v>
      </c>
      <c r="AS213" s="14">
        <v>18905</v>
      </c>
      <c r="AT213" s="14">
        <v>20085</v>
      </c>
      <c r="AU213" s="14">
        <v>-16</v>
      </c>
      <c r="AV213" s="14">
        <v>245.29</v>
      </c>
      <c r="AW213" s="14">
        <v>38.78</v>
      </c>
      <c r="AX213" s="14">
        <v>3.9</v>
      </c>
      <c r="AY213" s="14" t="b">
        <v>0</v>
      </c>
    </row>
    <row r="214" spans="1:51" hidden="1" x14ac:dyDescent="0.3">
      <c r="A214" t="str">
        <f>CONCATENATE(I214,E214,LEFT(G214,10))</f>
        <v>HFA601LLHA2026-01-14</v>
      </c>
      <c r="B214" s="14" t="s">
        <v>5787</v>
      </c>
      <c r="C214" s="14" t="s">
        <v>336</v>
      </c>
      <c r="D214" s="14" t="s">
        <v>337</v>
      </c>
      <c r="E214" s="14" t="s">
        <v>43</v>
      </c>
      <c r="F214" s="14" t="s">
        <v>59</v>
      </c>
      <c r="G214" s="14" t="s">
        <v>5788</v>
      </c>
      <c r="H214" s="14" t="s">
        <v>339</v>
      </c>
      <c r="I214" s="14" t="s">
        <v>57</v>
      </c>
      <c r="J214" s="14" t="s">
        <v>83</v>
      </c>
      <c r="K214" s="14" t="s">
        <v>349</v>
      </c>
      <c r="L214" s="14" t="s">
        <v>341</v>
      </c>
      <c r="M214" s="16" t="s">
        <v>5789</v>
      </c>
      <c r="N214" s="14"/>
      <c r="O214" s="14" t="s">
        <v>739</v>
      </c>
      <c r="P214" s="14">
        <v>50</v>
      </c>
      <c r="Q214" s="14">
        <v>2</v>
      </c>
      <c r="R214" s="14">
        <v>6700</v>
      </c>
      <c r="S214" s="14" t="s">
        <v>5790</v>
      </c>
      <c r="T214" s="14" t="s">
        <v>5791</v>
      </c>
      <c r="U214" s="14">
        <v>0.83222222222222197</v>
      </c>
      <c r="V214" s="14">
        <v>0.90361111111111103</v>
      </c>
      <c r="W214" s="14">
        <v>757</v>
      </c>
      <c r="X214" s="14">
        <v>50</v>
      </c>
      <c r="Y214" s="14">
        <v>707</v>
      </c>
      <c r="Z214" s="14">
        <v>1034</v>
      </c>
      <c r="AA214" s="14">
        <v>605</v>
      </c>
      <c r="AB214" s="14">
        <v>282</v>
      </c>
      <c r="AC214" s="14">
        <v>100</v>
      </c>
      <c r="AD214" s="14">
        <v>47</v>
      </c>
      <c r="AE214" s="14">
        <v>1791</v>
      </c>
      <c r="AF214" s="14">
        <v>5000</v>
      </c>
      <c r="AG214" s="14">
        <v>2391</v>
      </c>
      <c r="AH214" s="14">
        <v>0</v>
      </c>
      <c r="AI214" s="14">
        <v>55</v>
      </c>
      <c r="AJ214" s="14">
        <v>142</v>
      </c>
      <c r="AK214" s="14" t="s">
        <v>5788</v>
      </c>
      <c r="AL214" s="14" t="s">
        <v>5792</v>
      </c>
      <c r="AM214" s="14">
        <v>230.38</v>
      </c>
      <c r="AN214" s="14">
        <v>184.55</v>
      </c>
      <c r="AO214" s="14">
        <v>155.72</v>
      </c>
      <c r="AP214" s="14">
        <v>21816</v>
      </c>
      <c r="AQ214" s="14">
        <v>21766</v>
      </c>
      <c r="AR214" s="14">
        <v>23000</v>
      </c>
      <c r="AS214" s="14">
        <v>20025</v>
      </c>
      <c r="AT214" s="14">
        <v>21059</v>
      </c>
      <c r="AU214" s="14">
        <v>10</v>
      </c>
      <c r="AV214" s="14">
        <v>300.07</v>
      </c>
      <c r="AW214" s="14">
        <v>34.28</v>
      </c>
      <c r="AX214" s="14">
        <v>1.26</v>
      </c>
      <c r="AY214" s="14" t="b">
        <v>0</v>
      </c>
    </row>
    <row r="215" spans="1:51" hidden="1" x14ac:dyDescent="0.3">
      <c r="A215" t="str">
        <f>CONCATENATE(I215,E215,LEFT(G215,10))</f>
        <v>HFA601LLHA2026-01-15</v>
      </c>
      <c r="B215" s="14" t="s">
        <v>6196</v>
      </c>
      <c r="C215" s="14" t="s">
        <v>336</v>
      </c>
      <c r="D215" s="14" t="s">
        <v>337</v>
      </c>
      <c r="E215" s="14" t="s">
        <v>43</v>
      </c>
      <c r="F215" s="14" t="s">
        <v>59</v>
      </c>
      <c r="G215" s="14" t="s">
        <v>6197</v>
      </c>
      <c r="H215" s="14" t="s">
        <v>339</v>
      </c>
      <c r="I215" s="14" t="s">
        <v>57</v>
      </c>
      <c r="J215" s="14" t="s">
        <v>83</v>
      </c>
      <c r="K215" s="14" t="s">
        <v>349</v>
      </c>
      <c r="L215" s="14" t="s">
        <v>341</v>
      </c>
      <c r="M215" s="16" t="s">
        <v>6198</v>
      </c>
      <c r="N215" s="14"/>
      <c r="O215" s="14" t="s">
        <v>6199</v>
      </c>
      <c r="P215" s="14">
        <v>50</v>
      </c>
      <c r="Q215" s="14">
        <v>2</v>
      </c>
      <c r="R215" s="14">
        <v>6350</v>
      </c>
      <c r="S215" s="14" t="s">
        <v>6200</v>
      </c>
      <c r="T215" s="14" t="s">
        <v>6201</v>
      </c>
      <c r="U215" s="14">
        <v>0.82694444444444404</v>
      </c>
      <c r="V215" s="14">
        <v>0.96722222222222198</v>
      </c>
      <c r="W215" s="14">
        <v>758</v>
      </c>
      <c r="X215" s="14">
        <v>50</v>
      </c>
      <c r="Y215" s="14">
        <v>708</v>
      </c>
      <c r="Z215" s="14">
        <v>1005</v>
      </c>
      <c r="AA215" s="14">
        <v>580</v>
      </c>
      <c r="AB215" s="14">
        <v>279</v>
      </c>
      <c r="AC215" s="14">
        <v>100</v>
      </c>
      <c r="AD215" s="14">
        <v>46</v>
      </c>
      <c r="AE215" s="14">
        <v>1764</v>
      </c>
      <c r="AF215" s="14">
        <v>5000</v>
      </c>
      <c r="AG215" s="14">
        <v>2396</v>
      </c>
      <c r="AH215" s="14">
        <v>0</v>
      </c>
      <c r="AI215" s="14">
        <v>56</v>
      </c>
      <c r="AJ215" s="14">
        <v>140</v>
      </c>
      <c r="AK215" s="14" t="s">
        <v>6197</v>
      </c>
      <c r="AL215" s="14" t="s">
        <v>6202</v>
      </c>
      <c r="AM215" s="14">
        <v>230.38</v>
      </c>
      <c r="AN215" s="14">
        <v>184.55</v>
      </c>
      <c r="AO215" s="14">
        <v>155.72</v>
      </c>
      <c r="AP215" s="14">
        <v>21439</v>
      </c>
      <c r="AQ215" s="14">
        <v>21389</v>
      </c>
      <c r="AR215" s="14">
        <v>23000</v>
      </c>
      <c r="AS215" s="14">
        <v>19675</v>
      </c>
      <c r="AT215" s="14">
        <v>20680</v>
      </c>
      <c r="AU215" s="14">
        <v>8</v>
      </c>
      <c r="AV215" s="14">
        <v>306.18</v>
      </c>
      <c r="AW215" s="14">
        <v>20</v>
      </c>
      <c r="AX215" s="14">
        <v>2.04</v>
      </c>
      <c r="AY215" s="14" t="b">
        <v>0</v>
      </c>
    </row>
    <row r="216" spans="1:51" hidden="1" x14ac:dyDescent="0.3">
      <c r="A216" t="str">
        <f>CONCATENATE(I216,E216,LEFT(G216,10))</f>
        <v>HFA601LLHA2026-01-16</v>
      </c>
      <c r="B216" s="14" t="s">
        <v>5057</v>
      </c>
      <c r="C216" s="14" t="s">
        <v>336</v>
      </c>
      <c r="D216" s="14" t="s">
        <v>337</v>
      </c>
      <c r="E216" s="14" t="s">
        <v>43</v>
      </c>
      <c r="F216" s="14" t="s">
        <v>59</v>
      </c>
      <c r="G216" s="14" t="s">
        <v>5058</v>
      </c>
      <c r="H216" s="14" t="s">
        <v>339</v>
      </c>
      <c r="I216" s="14" t="s">
        <v>57</v>
      </c>
      <c r="J216" s="14" t="s">
        <v>83</v>
      </c>
      <c r="K216" s="14" t="s">
        <v>349</v>
      </c>
      <c r="L216" s="14" t="s">
        <v>341</v>
      </c>
      <c r="M216" s="16" t="s">
        <v>5033</v>
      </c>
      <c r="N216" s="14"/>
      <c r="O216" s="14" t="s">
        <v>5059</v>
      </c>
      <c r="P216" s="14">
        <v>50</v>
      </c>
      <c r="Q216" s="14">
        <v>2</v>
      </c>
      <c r="R216" s="14">
        <v>3500</v>
      </c>
      <c r="S216" s="14" t="s">
        <v>5060</v>
      </c>
      <c r="T216" s="14" t="s">
        <v>5061</v>
      </c>
      <c r="U216" s="14">
        <v>0.87777777777777699</v>
      </c>
      <c r="V216" s="14">
        <v>1.02444444444444</v>
      </c>
      <c r="W216" s="14">
        <v>753</v>
      </c>
      <c r="X216" s="14">
        <v>50</v>
      </c>
      <c r="Y216" s="14">
        <v>703</v>
      </c>
      <c r="Z216" s="14">
        <v>1087</v>
      </c>
      <c r="AA216" s="14">
        <v>553</v>
      </c>
      <c r="AB216" s="14">
        <v>255</v>
      </c>
      <c r="AC216" s="14">
        <v>238</v>
      </c>
      <c r="AD216" s="14">
        <v>42</v>
      </c>
      <c r="AE216" s="14">
        <v>1840</v>
      </c>
      <c r="AF216" s="14">
        <v>5000</v>
      </c>
      <c r="AG216" s="14">
        <v>2379</v>
      </c>
      <c r="AH216" s="14">
        <v>0</v>
      </c>
      <c r="AI216" s="14">
        <v>56</v>
      </c>
      <c r="AJ216" s="14">
        <v>150</v>
      </c>
      <c r="AK216" s="14" t="s">
        <v>5058</v>
      </c>
      <c r="AL216" s="14" t="s">
        <v>5062</v>
      </c>
      <c r="AM216" s="14">
        <v>230.38</v>
      </c>
      <c r="AN216" s="14">
        <v>184.55</v>
      </c>
      <c r="AO216" s="14">
        <v>155.72</v>
      </c>
      <c r="AP216" s="14">
        <v>18665</v>
      </c>
      <c r="AQ216" s="14">
        <v>18615</v>
      </c>
      <c r="AR216" s="14">
        <v>23000</v>
      </c>
      <c r="AS216" s="14">
        <v>16825</v>
      </c>
      <c r="AT216" s="14">
        <v>17912</v>
      </c>
      <c r="AU216" s="14">
        <v>4</v>
      </c>
      <c r="AV216" s="14">
        <v>296.23</v>
      </c>
      <c r="AW216" s="14">
        <v>13.49</v>
      </c>
      <c r="AX216" s="14">
        <v>2.91</v>
      </c>
      <c r="AY216" s="14" t="b">
        <v>0</v>
      </c>
    </row>
    <row r="217" spans="1:51" hidden="1" x14ac:dyDescent="0.3">
      <c r="A217" t="str">
        <f>CONCATENATE(I217,E217,LEFT(G217,10))</f>
        <v>HFA601LLHA2026-01-18</v>
      </c>
      <c r="B217" s="14" t="s">
        <v>5600</v>
      </c>
      <c r="C217" s="14" t="s">
        <v>336</v>
      </c>
      <c r="D217" s="14" t="s">
        <v>337</v>
      </c>
      <c r="E217" s="14" t="s">
        <v>43</v>
      </c>
      <c r="F217" s="14" t="s">
        <v>59</v>
      </c>
      <c r="G217" s="14" t="s">
        <v>5601</v>
      </c>
      <c r="H217" s="14" t="s">
        <v>371</v>
      </c>
      <c r="I217" s="14" t="s">
        <v>57</v>
      </c>
      <c r="J217" s="14" t="s">
        <v>83</v>
      </c>
      <c r="K217" s="14" t="s">
        <v>349</v>
      </c>
      <c r="L217" s="14" t="s">
        <v>341</v>
      </c>
      <c r="M217" s="16" t="s">
        <v>5602</v>
      </c>
      <c r="N217" s="14"/>
      <c r="O217" s="14" t="s">
        <v>5531</v>
      </c>
      <c r="P217" s="14">
        <v>50</v>
      </c>
      <c r="Q217" s="14">
        <v>2</v>
      </c>
      <c r="R217" s="14">
        <v>6800</v>
      </c>
      <c r="S217" s="14" t="s">
        <v>5603</v>
      </c>
      <c r="T217" s="14" t="s">
        <v>5604</v>
      </c>
      <c r="U217" s="14">
        <v>0.98694444444444396</v>
      </c>
      <c r="V217" s="14">
        <v>1.18</v>
      </c>
      <c r="W217" s="14">
        <v>807</v>
      </c>
      <c r="X217" s="14">
        <v>50</v>
      </c>
      <c r="Y217" s="14">
        <v>757</v>
      </c>
      <c r="Z217" s="14">
        <v>1123</v>
      </c>
      <c r="AA217" s="14">
        <v>589</v>
      </c>
      <c r="AB217" s="14">
        <v>286</v>
      </c>
      <c r="AC217" s="14">
        <v>200</v>
      </c>
      <c r="AD217" s="14">
        <v>48</v>
      </c>
      <c r="AE217" s="14">
        <v>1930</v>
      </c>
      <c r="AF217" s="14">
        <v>5000</v>
      </c>
      <c r="AG217" s="14">
        <v>2549</v>
      </c>
      <c r="AH217" s="14">
        <v>0</v>
      </c>
      <c r="AI217" s="14">
        <v>57</v>
      </c>
      <c r="AJ217" s="14">
        <v>149</v>
      </c>
      <c r="AK217" s="14" t="s">
        <v>5601</v>
      </c>
      <c r="AL217" s="14" t="s">
        <v>5605</v>
      </c>
      <c r="AM217" s="14">
        <v>230.38</v>
      </c>
      <c r="AN217" s="14">
        <v>184.55</v>
      </c>
      <c r="AO217" s="14">
        <v>155.72</v>
      </c>
      <c r="AP217" s="14">
        <v>22230</v>
      </c>
      <c r="AQ217" s="14">
        <v>22180</v>
      </c>
      <c r="AR217" s="14">
        <v>23000</v>
      </c>
      <c r="AS217" s="14">
        <v>20300</v>
      </c>
      <c r="AT217" s="14">
        <v>21423</v>
      </c>
      <c r="AU217" s="14">
        <v>-1</v>
      </c>
      <c r="AV217" s="14">
        <v>274.73</v>
      </c>
      <c r="AW217" s="14">
        <v>28.93</v>
      </c>
      <c r="AX217" s="14">
        <v>0.6</v>
      </c>
      <c r="AY217" s="14" t="b">
        <v>0</v>
      </c>
    </row>
    <row r="218" spans="1:51" hidden="1" x14ac:dyDescent="0.3">
      <c r="A218" t="str">
        <f>CONCATENATE(I218,E218,LEFT(G218,10))</f>
        <v>HFA601LLHA2026-01-19</v>
      </c>
      <c r="B218" s="14" t="s">
        <v>5966</v>
      </c>
      <c r="C218" s="14" t="s">
        <v>336</v>
      </c>
      <c r="D218" s="14" t="s">
        <v>337</v>
      </c>
      <c r="E218" s="14" t="s">
        <v>43</v>
      </c>
      <c r="F218" s="14" t="s">
        <v>59</v>
      </c>
      <c r="G218" s="14" t="s">
        <v>5967</v>
      </c>
      <c r="H218" s="14" t="s">
        <v>436</v>
      </c>
      <c r="I218" s="14" t="s">
        <v>57</v>
      </c>
      <c r="J218" s="14" t="s">
        <v>83</v>
      </c>
      <c r="K218" s="14" t="s">
        <v>349</v>
      </c>
      <c r="L218" s="14" t="s">
        <v>341</v>
      </c>
      <c r="M218" s="16" t="s">
        <v>5968</v>
      </c>
      <c r="N218" s="14" t="s">
        <v>359</v>
      </c>
      <c r="O218" s="14" t="s">
        <v>5969</v>
      </c>
      <c r="P218" s="14">
        <v>50</v>
      </c>
      <c r="Q218" s="14">
        <v>2</v>
      </c>
      <c r="R218" s="14">
        <v>3700</v>
      </c>
      <c r="S218" s="14" t="s">
        <v>5970</v>
      </c>
      <c r="T218" s="14" t="s">
        <v>5971</v>
      </c>
      <c r="U218" s="14">
        <v>0.91527777777777697</v>
      </c>
      <c r="V218" s="14">
        <v>1.04972222222222</v>
      </c>
      <c r="W218" s="14">
        <v>759</v>
      </c>
      <c r="X218" s="14">
        <v>50</v>
      </c>
      <c r="Y218" s="14">
        <v>709</v>
      </c>
      <c r="Z218" s="14">
        <v>966</v>
      </c>
      <c r="AA218" s="14">
        <v>569</v>
      </c>
      <c r="AB218" s="14">
        <v>254</v>
      </c>
      <c r="AC218" s="14">
        <v>100</v>
      </c>
      <c r="AD218" s="14">
        <v>42</v>
      </c>
      <c r="AE218" s="14">
        <v>1725</v>
      </c>
      <c r="AF218" s="14">
        <v>5000</v>
      </c>
      <c r="AG218" s="14">
        <v>2400</v>
      </c>
      <c r="AH218" s="14">
        <v>0</v>
      </c>
      <c r="AI218" s="14">
        <v>55</v>
      </c>
      <c r="AJ218" s="14">
        <v>139</v>
      </c>
      <c r="AK218" s="14" t="s">
        <v>5967</v>
      </c>
      <c r="AL218" s="14" t="s">
        <v>5972</v>
      </c>
      <c r="AM218" s="14">
        <v>230.38</v>
      </c>
      <c r="AN218" s="14">
        <v>184.55</v>
      </c>
      <c r="AO218" s="14">
        <v>155.72</v>
      </c>
      <c r="AP218" s="14">
        <v>18630</v>
      </c>
      <c r="AQ218" s="14">
        <v>18580</v>
      </c>
      <c r="AR218" s="14">
        <v>23000</v>
      </c>
      <c r="AS218" s="14">
        <v>16905</v>
      </c>
      <c r="AT218" s="14">
        <v>17871</v>
      </c>
      <c r="AU218" s="14">
        <v>4</v>
      </c>
      <c r="AV218" s="14">
        <v>286.17</v>
      </c>
      <c r="AW218" s="14">
        <v>31.15</v>
      </c>
      <c r="AX218" s="14">
        <v>1.28</v>
      </c>
      <c r="AY218" s="14" t="b">
        <v>0</v>
      </c>
    </row>
    <row r="219" spans="1:51" hidden="1" x14ac:dyDescent="0.3">
      <c r="A219" t="str">
        <f>CONCATENATE(I219,E219,LEFT(G219,10))</f>
        <v>HFA601LLHA2026-01-20</v>
      </c>
      <c r="B219" s="14" t="s">
        <v>4769</v>
      </c>
      <c r="C219" s="14" t="s">
        <v>336</v>
      </c>
      <c r="D219" s="14" t="s">
        <v>337</v>
      </c>
      <c r="E219" s="14" t="s">
        <v>43</v>
      </c>
      <c r="F219" s="14" t="s">
        <v>59</v>
      </c>
      <c r="G219" s="14" t="s">
        <v>4770</v>
      </c>
      <c r="H219" s="14" t="s">
        <v>371</v>
      </c>
      <c r="I219" s="14" t="s">
        <v>57</v>
      </c>
      <c r="J219" s="14" t="s">
        <v>83</v>
      </c>
      <c r="K219" s="14" t="s">
        <v>349</v>
      </c>
      <c r="L219" s="14" t="s">
        <v>341</v>
      </c>
      <c r="M219" s="16" t="s">
        <v>4771</v>
      </c>
      <c r="N219" s="14"/>
      <c r="O219" s="14" t="s">
        <v>4772</v>
      </c>
      <c r="P219" s="14">
        <v>50</v>
      </c>
      <c r="Q219" s="14">
        <v>2</v>
      </c>
      <c r="R219" s="14">
        <v>2600</v>
      </c>
      <c r="S219" s="14" t="s">
        <v>4773</v>
      </c>
      <c r="T219" s="14" t="s">
        <v>4774</v>
      </c>
      <c r="U219" s="14">
        <v>0.93777777777777704</v>
      </c>
      <c r="V219" s="14">
        <v>1.08222222222222</v>
      </c>
      <c r="W219" s="14">
        <v>756</v>
      </c>
      <c r="X219" s="14">
        <v>50</v>
      </c>
      <c r="Y219" s="14">
        <v>706</v>
      </c>
      <c r="Z219" s="14">
        <v>1164</v>
      </c>
      <c r="AA219" s="14">
        <v>597</v>
      </c>
      <c r="AB219" s="14">
        <v>249</v>
      </c>
      <c r="AC219" s="14">
        <v>276</v>
      </c>
      <c r="AD219" s="14">
        <v>42</v>
      </c>
      <c r="AE219" s="14">
        <v>1920</v>
      </c>
      <c r="AF219" s="14">
        <v>5000</v>
      </c>
      <c r="AG219" s="14">
        <v>2390</v>
      </c>
      <c r="AH219" s="14">
        <v>0</v>
      </c>
      <c r="AI219" s="14">
        <v>54</v>
      </c>
      <c r="AJ219" s="14">
        <v>154</v>
      </c>
      <c r="AK219" s="14" t="s">
        <v>4770</v>
      </c>
      <c r="AL219" s="14" t="s">
        <v>4775</v>
      </c>
      <c r="AM219" s="14">
        <v>230.38</v>
      </c>
      <c r="AN219" s="14">
        <v>184.55</v>
      </c>
      <c r="AO219" s="14">
        <v>155.72</v>
      </c>
      <c r="AP219" s="14">
        <v>18020</v>
      </c>
      <c r="AQ219" s="14">
        <v>17970</v>
      </c>
      <c r="AR219" s="14">
        <v>23000</v>
      </c>
      <c r="AS219" s="14">
        <v>16100</v>
      </c>
      <c r="AT219" s="14">
        <v>17264</v>
      </c>
      <c r="AU219" s="14">
        <v>9</v>
      </c>
      <c r="AV219" s="14">
        <v>296.25</v>
      </c>
      <c r="AW219" s="14">
        <v>40.24</v>
      </c>
      <c r="AX219" s="14">
        <v>0.93</v>
      </c>
      <c r="AY219" s="14" t="b">
        <v>0</v>
      </c>
    </row>
    <row r="220" spans="1:51" hidden="1" x14ac:dyDescent="0.3">
      <c r="A220" t="str">
        <f>CONCATENATE(I220,E220,LEFT(G220,10))</f>
        <v>HFA601LLHA2026-01-21</v>
      </c>
      <c r="B220" s="14" t="s">
        <v>1590</v>
      </c>
      <c r="C220" s="14" t="s">
        <v>336</v>
      </c>
      <c r="D220" s="14" t="s">
        <v>337</v>
      </c>
      <c r="E220" s="14" t="s">
        <v>43</v>
      </c>
      <c r="F220" s="14" t="s">
        <v>59</v>
      </c>
      <c r="G220" s="14" t="s">
        <v>1591</v>
      </c>
      <c r="H220" s="14" t="s">
        <v>371</v>
      </c>
      <c r="I220" s="14" t="s">
        <v>57</v>
      </c>
      <c r="J220" s="14" t="s">
        <v>83</v>
      </c>
      <c r="K220" s="14" t="s">
        <v>349</v>
      </c>
      <c r="L220" s="14" t="s">
        <v>341</v>
      </c>
      <c r="M220" s="16" t="s">
        <v>1592</v>
      </c>
      <c r="N220" s="14"/>
      <c r="O220" s="14" t="s">
        <v>1529</v>
      </c>
      <c r="P220" s="14">
        <v>50</v>
      </c>
      <c r="Q220" s="14">
        <v>2</v>
      </c>
      <c r="R220" s="14">
        <v>5700</v>
      </c>
      <c r="S220" s="14" t="s">
        <v>1593</v>
      </c>
      <c r="T220" s="14" t="s">
        <v>1594</v>
      </c>
      <c r="U220" s="14">
        <v>0.88361111111111101</v>
      </c>
      <c r="V220" s="14">
        <v>1.0716666666666601</v>
      </c>
      <c r="W220" s="14">
        <v>774</v>
      </c>
      <c r="X220" s="14">
        <v>50</v>
      </c>
      <c r="Y220" s="14">
        <v>724</v>
      </c>
      <c r="Z220" s="14">
        <v>1026</v>
      </c>
      <c r="AA220" s="14">
        <v>597</v>
      </c>
      <c r="AB220" s="14">
        <v>275</v>
      </c>
      <c r="AC220" s="14">
        <v>109</v>
      </c>
      <c r="AD220" s="14">
        <v>46</v>
      </c>
      <c r="AE220" s="14">
        <v>1800</v>
      </c>
      <c r="AF220" s="14">
        <v>5000</v>
      </c>
      <c r="AG220" s="14">
        <v>2446</v>
      </c>
      <c r="AH220" s="14">
        <v>0</v>
      </c>
      <c r="AI220" s="14">
        <v>56</v>
      </c>
      <c r="AJ220" s="14">
        <v>142</v>
      </c>
      <c r="AK220" s="14" t="s">
        <v>1591</v>
      </c>
      <c r="AL220" s="14" t="s">
        <v>1595</v>
      </c>
      <c r="AM220" s="14">
        <v>230.38</v>
      </c>
      <c r="AN220" s="14">
        <v>184.55</v>
      </c>
      <c r="AO220" s="14">
        <v>155.72</v>
      </c>
      <c r="AP220" s="14">
        <v>21000</v>
      </c>
      <c r="AQ220" s="14">
        <v>20950</v>
      </c>
      <c r="AR220" s="14">
        <v>23000</v>
      </c>
      <c r="AS220" s="14">
        <v>19200</v>
      </c>
      <c r="AT220" s="14">
        <v>20226</v>
      </c>
      <c r="AU220" s="14">
        <v>5</v>
      </c>
      <c r="AV220" s="14">
        <v>292.27</v>
      </c>
      <c r="AW220" s="14">
        <v>30.28</v>
      </c>
      <c r="AX220" s="14">
        <v>4.17</v>
      </c>
      <c r="AY220" s="14" t="b">
        <v>0</v>
      </c>
    </row>
    <row r="221" spans="1:51" hidden="1" x14ac:dyDescent="0.3">
      <c r="A221" t="str">
        <f>CONCATENATE(I221,E221,LEFT(G221,10))</f>
        <v>HFA601LLHA2026-01-23</v>
      </c>
      <c r="B221" s="14" t="s">
        <v>5122</v>
      </c>
      <c r="C221" s="14" t="s">
        <v>336</v>
      </c>
      <c r="D221" s="14" t="s">
        <v>337</v>
      </c>
      <c r="E221" s="14" t="s">
        <v>43</v>
      </c>
      <c r="F221" s="14" t="s">
        <v>59</v>
      </c>
      <c r="G221" s="14" t="s">
        <v>5123</v>
      </c>
      <c r="H221" s="14" t="s">
        <v>371</v>
      </c>
      <c r="I221" s="14" t="s">
        <v>57</v>
      </c>
      <c r="J221" s="14" t="s">
        <v>83</v>
      </c>
      <c r="K221" s="14" t="s">
        <v>349</v>
      </c>
      <c r="L221" s="14" t="s">
        <v>341</v>
      </c>
      <c r="M221" s="16" t="s">
        <v>5124</v>
      </c>
      <c r="N221" s="14"/>
      <c r="O221" s="14" t="s">
        <v>5125</v>
      </c>
      <c r="P221" s="14">
        <v>50</v>
      </c>
      <c r="Q221" s="14">
        <v>2</v>
      </c>
      <c r="R221" s="14">
        <v>3500</v>
      </c>
      <c r="S221" s="14" t="s">
        <v>5126</v>
      </c>
      <c r="T221" s="14" t="s">
        <v>5127</v>
      </c>
      <c r="U221" s="14">
        <v>0.97361111111111098</v>
      </c>
      <c r="V221" s="14">
        <v>1.1130555555555499</v>
      </c>
      <c r="W221" s="14">
        <v>817</v>
      </c>
      <c r="X221" s="14">
        <v>50</v>
      </c>
      <c r="Y221" s="14">
        <v>767</v>
      </c>
      <c r="Z221" s="14">
        <v>1483</v>
      </c>
      <c r="AA221" s="14">
        <v>541</v>
      </c>
      <c r="AB221" s="14">
        <v>259</v>
      </c>
      <c r="AC221" s="14">
        <v>639</v>
      </c>
      <c r="AD221" s="14">
        <v>43</v>
      </c>
      <c r="AE221" s="14">
        <v>2300</v>
      </c>
      <c r="AF221" s="14">
        <v>5000</v>
      </c>
      <c r="AG221" s="14">
        <v>2583</v>
      </c>
      <c r="AH221" s="14">
        <v>0</v>
      </c>
      <c r="AI221" s="14">
        <v>60</v>
      </c>
      <c r="AJ221" s="14">
        <v>184</v>
      </c>
      <c r="AK221" s="14" t="s">
        <v>5123</v>
      </c>
      <c r="AL221" s="14" t="s">
        <v>5128</v>
      </c>
      <c r="AM221" s="14">
        <v>230.38</v>
      </c>
      <c r="AN221" s="14">
        <v>184.55</v>
      </c>
      <c r="AO221" s="14">
        <v>155.72</v>
      </c>
      <c r="AP221" s="14">
        <v>19300</v>
      </c>
      <c r="AQ221" s="14">
        <v>19250</v>
      </c>
      <c r="AR221" s="14">
        <v>23000</v>
      </c>
      <c r="AS221" s="14">
        <v>17000</v>
      </c>
      <c r="AT221" s="14">
        <v>18483</v>
      </c>
      <c r="AU221" s="14">
        <v>-13</v>
      </c>
      <c r="AV221" s="14">
        <v>252.64</v>
      </c>
      <c r="AW221" s="14">
        <v>37.340000000000003</v>
      </c>
      <c r="AX221" s="14">
        <v>3.78</v>
      </c>
      <c r="AY221" s="14" t="b">
        <v>0</v>
      </c>
    </row>
    <row r="222" spans="1:51" hidden="1" x14ac:dyDescent="0.3">
      <c r="A222" t="str">
        <f>CONCATENATE(I222,E222,LEFT(G222,10))</f>
        <v>HFA601LLHA2026-01-25</v>
      </c>
      <c r="B222" s="14" t="s">
        <v>5251</v>
      </c>
      <c r="C222" s="14" t="s">
        <v>336</v>
      </c>
      <c r="D222" s="14" t="s">
        <v>337</v>
      </c>
      <c r="E222" s="14" t="s">
        <v>43</v>
      </c>
      <c r="F222" s="14" t="s">
        <v>59</v>
      </c>
      <c r="G222" s="14" t="s">
        <v>5252</v>
      </c>
      <c r="H222" s="14" t="s">
        <v>339</v>
      </c>
      <c r="I222" s="14" t="s">
        <v>57</v>
      </c>
      <c r="J222" s="14" t="s">
        <v>83</v>
      </c>
      <c r="K222" s="14" t="s">
        <v>349</v>
      </c>
      <c r="L222" s="14" t="s">
        <v>341</v>
      </c>
      <c r="M222" s="16" t="s">
        <v>5253</v>
      </c>
      <c r="N222" s="14"/>
      <c r="O222" s="14" t="s">
        <v>387</v>
      </c>
      <c r="P222" s="14">
        <v>50</v>
      </c>
      <c r="Q222" s="14">
        <v>2</v>
      </c>
      <c r="R222" s="14">
        <v>7000</v>
      </c>
      <c r="S222" s="14" t="s">
        <v>5254</v>
      </c>
      <c r="T222" s="14" t="s">
        <v>5255</v>
      </c>
      <c r="U222" s="14">
        <v>1.8611111111111101</v>
      </c>
      <c r="V222" s="14">
        <v>2.03944444444444</v>
      </c>
      <c r="W222" s="14">
        <v>765</v>
      </c>
      <c r="X222" s="14">
        <v>50</v>
      </c>
      <c r="Y222" s="14">
        <v>715</v>
      </c>
      <c r="Z222" s="14">
        <v>1004</v>
      </c>
      <c r="AA222" s="14">
        <v>572</v>
      </c>
      <c r="AB222" s="14">
        <v>285</v>
      </c>
      <c r="AC222" s="14">
        <v>100</v>
      </c>
      <c r="AD222" s="14">
        <v>48</v>
      </c>
      <c r="AE222" s="14">
        <v>1770</v>
      </c>
      <c r="AF222" s="14">
        <v>5000</v>
      </c>
      <c r="AG222" s="14">
        <v>2418</v>
      </c>
      <c r="AH222" s="14">
        <v>0</v>
      </c>
      <c r="AI222" s="14">
        <v>57</v>
      </c>
      <c r="AJ222" s="14">
        <v>142</v>
      </c>
      <c r="AK222" s="14" t="s">
        <v>5252</v>
      </c>
      <c r="AL222" s="14" t="s">
        <v>5256</v>
      </c>
      <c r="AM222" s="14">
        <v>230.38</v>
      </c>
      <c r="AN222" s="14">
        <v>184.55</v>
      </c>
      <c r="AO222" s="14">
        <v>155.72</v>
      </c>
      <c r="AP222" s="14">
        <v>22095</v>
      </c>
      <c r="AQ222" s="14">
        <v>22045</v>
      </c>
      <c r="AR222" s="14">
        <v>23000</v>
      </c>
      <c r="AS222" s="14">
        <v>20325</v>
      </c>
      <c r="AT222" s="14">
        <v>21329</v>
      </c>
      <c r="AU222" s="14">
        <v>4</v>
      </c>
      <c r="AV222" s="14">
        <v>297.95</v>
      </c>
      <c r="AW222" s="14">
        <v>13.99</v>
      </c>
      <c r="AX222" s="14">
        <v>5.04</v>
      </c>
      <c r="AY222" s="14" t="b">
        <v>0</v>
      </c>
    </row>
    <row r="223" spans="1:51" hidden="1" x14ac:dyDescent="0.3">
      <c r="A223" t="str">
        <f>CONCATENATE(I223,E223,LEFT(G223,10))</f>
        <v>HFA601LLHA2026-01-26</v>
      </c>
      <c r="B223" s="14" t="s">
        <v>2987</v>
      </c>
      <c r="C223" s="14" t="s">
        <v>336</v>
      </c>
      <c r="D223" s="14" t="s">
        <v>337</v>
      </c>
      <c r="E223" s="14" t="s">
        <v>43</v>
      </c>
      <c r="F223" s="14" t="s">
        <v>59</v>
      </c>
      <c r="G223" s="14" t="s">
        <v>2988</v>
      </c>
      <c r="H223" s="14" t="s">
        <v>371</v>
      </c>
      <c r="I223" s="14" t="s">
        <v>57</v>
      </c>
      <c r="J223" s="14" t="s">
        <v>83</v>
      </c>
      <c r="K223" s="14" t="s">
        <v>349</v>
      </c>
      <c r="L223" s="14" t="s">
        <v>341</v>
      </c>
      <c r="M223" s="16" t="s">
        <v>2989</v>
      </c>
      <c r="N223" s="14"/>
      <c r="O223" s="14" t="s">
        <v>387</v>
      </c>
      <c r="P223" s="14">
        <v>50</v>
      </c>
      <c r="Q223" s="14">
        <v>2</v>
      </c>
      <c r="R223" s="14">
        <v>5400</v>
      </c>
      <c r="S223" s="14" t="s">
        <v>2990</v>
      </c>
      <c r="T223" s="14" t="s">
        <v>2991</v>
      </c>
      <c r="U223" s="14">
        <v>1.0049999999999999</v>
      </c>
      <c r="V223" s="14">
        <v>1.1980555555555501</v>
      </c>
      <c r="W223" s="14">
        <v>798</v>
      </c>
      <c r="X223" s="14">
        <v>50</v>
      </c>
      <c r="Y223" s="14">
        <v>748</v>
      </c>
      <c r="Z223" s="14">
        <v>961</v>
      </c>
      <c r="AA223" s="14">
        <v>544</v>
      </c>
      <c r="AB223" s="14">
        <v>271</v>
      </c>
      <c r="AC223" s="14">
        <v>100</v>
      </c>
      <c r="AD223" s="14">
        <v>45</v>
      </c>
      <c r="AE223" s="14">
        <v>1759</v>
      </c>
      <c r="AF223" s="14">
        <v>5000</v>
      </c>
      <c r="AG223" s="14">
        <v>2523</v>
      </c>
      <c r="AH223" s="14">
        <v>0</v>
      </c>
      <c r="AI223" s="14">
        <v>59</v>
      </c>
      <c r="AJ223" s="14">
        <v>141</v>
      </c>
      <c r="AK223" s="14" t="s">
        <v>2988</v>
      </c>
      <c r="AL223" s="14" t="s">
        <v>2992</v>
      </c>
      <c r="AM223" s="14">
        <v>230.38</v>
      </c>
      <c r="AN223" s="14">
        <v>184.55</v>
      </c>
      <c r="AO223" s="14">
        <v>155.72</v>
      </c>
      <c r="AP223" s="14">
        <v>20659</v>
      </c>
      <c r="AQ223" s="14">
        <v>20609</v>
      </c>
      <c r="AR223" s="14">
        <v>23000</v>
      </c>
      <c r="AS223" s="14">
        <v>18900</v>
      </c>
      <c r="AT223" s="14">
        <v>19861</v>
      </c>
      <c r="AU223" s="14">
        <v>-8</v>
      </c>
      <c r="AV223" s="14">
        <v>237.15</v>
      </c>
      <c r="AW223" s="14">
        <v>18.510000000000002</v>
      </c>
      <c r="AX223" s="14">
        <v>7.53</v>
      </c>
      <c r="AY223" s="14" t="b">
        <v>0</v>
      </c>
    </row>
    <row r="224" spans="1:51" hidden="1" x14ac:dyDescent="0.3">
      <c r="A224" t="str">
        <f>CONCATENATE(I224,E224,LEFT(G224,10))</f>
        <v>HFA601LLHA2026-01-27</v>
      </c>
      <c r="B224" s="14" t="s">
        <v>987</v>
      </c>
      <c r="C224" s="14" t="s">
        <v>336</v>
      </c>
      <c r="D224" s="14" t="s">
        <v>337</v>
      </c>
      <c r="E224" s="14" t="s">
        <v>43</v>
      </c>
      <c r="F224" s="14" t="s">
        <v>59</v>
      </c>
      <c r="G224" s="14" t="s">
        <v>988</v>
      </c>
      <c r="H224" s="14" t="s">
        <v>339</v>
      </c>
      <c r="I224" s="14" t="s">
        <v>57</v>
      </c>
      <c r="J224" s="14" t="s">
        <v>83</v>
      </c>
      <c r="K224" s="14" t="s">
        <v>349</v>
      </c>
      <c r="L224" s="14" t="s">
        <v>341</v>
      </c>
      <c r="M224" s="16" t="s">
        <v>989</v>
      </c>
      <c r="N224" s="14"/>
      <c r="O224" s="14" t="s">
        <v>387</v>
      </c>
      <c r="P224" s="14">
        <v>50</v>
      </c>
      <c r="Q224" s="14">
        <v>3</v>
      </c>
      <c r="R224" s="14">
        <v>5900</v>
      </c>
      <c r="S224" s="14" t="s">
        <v>990</v>
      </c>
      <c r="T224" s="14" t="s">
        <v>991</v>
      </c>
      <c r="U224" s="14">
        <v>1.03</v>
      </c>
      <c r="V224" s="14">
        <v>1.1186111111111099</v>
      </c>
      <c r="W224" s="14">
        <v>817</v>
      </c>
      <c r="X224" s="14">
        <v>50</v>
      </c>
      <c r="Y224" s="14">
        <v>767</v>
      </c>
      <c r="Z224" s="14">
        <v>1033</v>
      </c>
      <c r="AA224" s="14">
        <v>533</v>
      </c>
      <c r="AB224" s="14">
        <v>275</v>
      </c>
      <c r="AC224" s="14">
        <v>179</v>
      </c>
      <c r="AD224" s="14">
        <v>46</v>
      </c>
      <c r="AE224" s="14">
        <v>1850</v>
      </c>
      <c r="AF224" s="14">
        <v>5000</v>
      </c>
      <c r="AG224" s="14">
        <v>2582</v>
      </c>
      <c r="AH224" s="14">
        <v>0</v>
      </c>
      <c r="AI224" s="14">
        <v>60</v>
      </c>
      <c r="AJ224" s="14">
        <v>148</v>
      </c>
      <c r="AK224" s="14" t="s">
        <v>988</v>
      </c>
      <c r="AL224" s="14" t="s">
        <v>992</v>
      </c>
      <c r="AM224" s="14">
        <v>230.38</v>
      </c>
      <c r="AN224" s="14">
        <v>184.55</v>
      </c>
      <c r="AO224" s="14">
        <v>155.72</v>
      </c>
      <c r="AP224" s="14">
        <v>21075</v>
      </c>
      <c r="AQ224" s="14">
        <v>21025</v>
      </c>
      <c r="AR224" s="14">
        <v>23000</v>
      </c>
      <c r="AS224" s="14">
        <v>19225</v>
      </c>
      <c r="AT224" s="14">
        <v>20258</v>
      </c>
      <c r="AU224" s="14">
        <v>-16</v>
      </c>
      <c r="AV224" s="14">
        <v>237.07</v>
      </c>
      <c r="AW224" s="14">
        <v>31.28</v>
      </c>
      <c r="AX224" s="14">
        <v>3.75</v>
      </c>
      <c r="AY224" s="14" t="b">
        <v>0</v>
      </c>
    </row>
    <row r="225" spans="1:51" hidden="1" x14ac:dyDescent="0.3">
      <c r="A225" t="str">
        <f>CONCATENATE(I225,E225,LEFT(G225,10))</f>
        <v>HFA601LLHA2026-01-28</v>
      </c>
      <c r="B225" s="14" t="s">
        <v>1369</v>
      </c>
      <c r="C225" s="14" t="s">
        <v>336</v>
      </c>
      <c r="D225" s="14" t="s">
        <v>337</v>
      </c>
      <c r="E225" s="14" t="s">
        <v>43</v>
      </c>
      <c r="F225" s="14" t="s">
        <v>59</v>
      </c>
      <c r="G225" s="14" t="s">
        <v>1363</v>
      </c>
      <c r="H225" s="14" t="s">
        <v>339</v>
      </c>
      <c r="I225" s="14" t="s">
        <v>57</v>
      </c>
      <c r="J225" s="14" t="s">
        <v>83</v>
      </c>
      <c r="K225" s="14" t="s">
        <v>349</v>
      </c>
      <c r="L225" s="14" t="s">
        <v>341</v>
      </c>
      <c r="M225" s="16" t="s">
        <v>1370</v>
      </c>
      <c r="N225" s="14"/>
      <c r="O225" s="14" t="s">
        <v>387</v>
      </c>
      <c r="P225" s="14">
        <v>50</v>
      </c>
      <c r="Q225" s="14">
        <v>2</v>
      </c>
      <c r="R225" s="14">
        <v>3300</v>
      </c>
      <c r="S225" s="14" t="s">
        <v>1371</v>
      </c>
      <c r="T225" s="14" t="s">
        <v>1372</v>
      </c>
      <c r="U225" s="14">
        <v>0.89361111111111102</v>
      </c>
      <c r="V225" s="14">
        <v>0.99805555555555503</v>
      </c>
      <c r="W225" s="14">
        <v>777</v>
      </c>
      <c r="X225" s="14">
        <v>50</v>
      </c>
      <c r="Y225" s="14">
        <v>727</v>
      </c>
      <c r="Z225" s="14">
        <v>1213</v>
      </c>
      <c r="AA225" s="14">
        <v>562</v>
      </c>
      <c r="AB225" s="14">
        <v>254</v>
      </c>
      <c r="AC225" s="14">
        <v>355</v>
      </c>
      <c r="AD225" s="14">
        <v>42</v>
      </c>
      <c r="AE225" s="14">
        <v>1990</v>
      </c>
      <c r="AF225" s="14">
        <v>5000</v>
      </c>
      <c r="AG225" s="14">
        <v>2455</v>
      </c>
      <c r="AH225" s="14">
        <v>0</v>
      </c>
      <c r="AI225" s="14">
        <v>56</v>
      </c>
      <c r="AJ225" s="14">
        <v>158</v>
      </c>
      <c r="AK225" s="14" t="s">
        <v>1363</v>
      </c>
      <c r="AL225" s="14" t="s">
        <v>1373</v>
      </c>
      <c r="AM225" s="14">
        <v>230.38</v>
      </c>
      <c r="AN225" s="14">
        <v>184.55</v>
      </c>
      <c r="AO225" s="14">
        <v>155.72</v>
      </c>
      <c r="AP225" s="14">
        <v>18615</v>
      </c>
      <c r="AQ225" s="14">
        <v>18565</v>
      </c>
      <c r="AR225" s="14">
        <v>23000</v>
      </c>
      <c r="AS225" s="14">
        <v>16625</v>
      </c>
      <c r="AT225" s="14">
        <v>17838</v>
      </c>
      <c r="AU225" s="14">
        <v>-1</v>
      </c>
      <c r="AV225" s="14">
        <v>269.63</v>
      </c>
      <c r="AW225" s="14">
        <v>27.64</v>
      </c>
      <c r="AX225" s="14">
        <v>-1.76</v>
      </c>
      <c r="AY225" s="14" t="b">
        <v>0</v>
      </c>
    </row>
    <row r="226" spans="1:51" hidden="1" x14ac:dyDescent="0.3">
      <c r="A226" t="str">
        <f>CONCATENATE(I226,E226,LEFT(G226,10))</f>
        <v>HFA601LLHA2026-01-29</v>
      </c>
      <c r="B226" s="14" t="s">
        <v>6352</v>
      </c>
      <c r="C226" s="14" t="s">
        <v>336</v>
      </c>
      <c r="D226" s="14" t="s">
        <v>337</v>
      </c>
      <c r="E226" s="14" t="s">
        <v>43</v>
      </c>
      <c r="F226" s="14" t="s">
        <v>59</v>
      </c>
      <c r="G226" s="14" t="s">
        <v>6353</v>
      </c>
      <c r="H226" s="14" t="s">
        <v>436</v>
      </c>
      <c r="I226" s="14" t="s">
        <v>57</v>
      </c>
      <c r="J226" s="14" t="s">
        <v>83</v>
      </c>
      <c r="K226" s="14" t="s">
        <v>349</v>
      </c>
      <c r="L226" s="14" t="s">
        <v>341</v>
      </c>
      <c r="M226" s="16" t="s">
        <v>6354</v>
      </c>
      <c r="N226" s="14" t="s">
        <v>359</v>
      </c>
      <c r="O226" s="14" t="s">
        <v>1187</v>
      </c>
      <c r="P226" s="14">
        <v>50</v>
      </c>
      <c r="Q226" s="14">
        <v>2</v>
      </c>
      <c r="R226" s="14">
        <v>4500</v>
      </c>
      <c r="S226" s="14" t="s">
        <v>6355</v>
      </c>
      <c r="T226" s="14" t="s">
        <v>6356</v>
      </c>
      <c r="U226" s="14">
        <v>0.92833333333333301</v>
      </c>
      <c r="V226" s="14">
        <v>1.06</v>
      </c>
      <c r="W226" s="14">
        <v>754</v>
      </c>
      <c r="X226" s="14">
        <v>50</v>
      </c>
      <c r="Y226" s="14">
        <v>704</v>
      </c>
      <c r="Z226" s="14">
        <v>1056</v>
      </c>
      <c r="AA226" s="14">
        <v>570</v>
      </c>
      <c r="AB226" s="14">
        <v>261</v>
      </c>
      <c r="AC226" s="14">
        <v>181</v>
      </c>
      <c r="AD226" s="14">
        <v>44</v>
      </c>
      <c r="AE226" s="14">
        <v>1810</v>
      </c>
      <c r="AF226" s="14">
        <v>5000</v>
      </c>
      <c r="AG226" s="14">
        <v>2384</v>
      </c>
      <c r="AH226" s="14">
        <v>0</v>
      </c>
      <c r="AI226" s="14">
        <v>56</v>
      </c>
      <c r="AJ226" s="14">
        <v>147</v>
      </c>
      <c r="AK226" s="14" t="s">
        <v>6353</v>
      </c>
      <c r="AL226" s="14" t="s">
        <v>6357</v>
      </c>
      <c r="AM226" s="14">
        <v>230.38</v>
      </c>
      <c r="AN226" s="14">
        <v>184.55</v>
      </c>
      <c r="AO226" s="14">
        <v>155.72</v>
      </c>
      <c r="AP226" s="14">
        <v>19515</v>
      </c>
      <c r="AQ226" s="14">
        <v>19465</v>
      </c>
      <c r="AR226" s="14">
        <v>23000</v>
      </c>
      <c r="AS226" s="14">
        <v>17705</v>
      </c>
      <c r="AT226" s="14">
        <v>18761</v>
      </c>
      <c r="AU226" s="14">
        <v>6</v>
      </c>
      <c r="AV226" s="14">
        <v>293.51</v>
      </c>
      <c r="AW226" s="14">
        <v>26.54</v>
      </c>
      <c r="AX226" s="14">
        <v>3.93</v>
      </c>
      <c r="AY226" s="14" t="b">
        <v>0</v>
      </c>
    </row>
    <row r="227" spans="1:51" hidden="1" x14ac:dyDescent="0.3">
      <c r="A227" t="str">
        <f>CONCATENATE(I227,E227,LEFT(G227,10))</f>
        <v>HFA601LLHA2026-01-30</v>
      </c>
      <c r="B227" s="14" t="s">
        <v>1184</v>
      </c>
      <c r="C227" s="14" t="s">
        <v>336</v>
      </c>
      <c r="D227" s="14" t="s">
        <v>337</v>
      </c>
      <c r="E227" s="14" t="s">
        <v>43</v>
      </c>
      <c r="F227" s="14" t="s">
        <v>59</v>
      </c>
      <c r="G227" s="14" t="s">
        <v>1185</v>
      </c>
      <c r="H227" s="14" t="s">
        <v>339</v>
      </c>
      <c r="I227" s="14" t="s">
        <v>57</v>
      </c>
      <c r="J227" s="14" t="s">
        <v>83</v>
      </c>
      <c r="K227" s="14" t="s">
        <v>349</v>
      </c>
      <c r="L227" s="14" t="s">
        <v>341</v>
      </c>
      <c r="M227" s="16" t="s">
        <v>1186</v>
      </c>
      <c r="N227" s="14"/>
      <c r="O227" s="14" t="s">
        <v>1187</v>
      </c>
      <c r="P227" s="14">
        <v>50</v>
      </c>
      <c r="Q227" s="14">
        <v>2</v>
      </c>
      <c r="R227" s="14">
        <v>3800</v>
      </c>
      <c r="S227" s="14" t="s">
        <v>1188</v>
      </c>
      <c r="T227" s="14" t="s">
        <v>1189</v>
      </c>
      <c r="U227" s="14">
        <v>0.93944444444444397</v>
      </c>
      <c r="V227" s="14">
        <v>1.1311111111111101</v>
      </c>
      <c r="W227" s="14">
        <v>782</v>
      </c>
      <c r="X227" s="14">
        <v>50</v>
      </c>
      <c r="Y227" s="14">
        <v>732</v>
      </c>
      <c r="Z227" s="14">
        <v>1138</v>
      </c>
      <c r="AA227" s="14">
        <v>545</v>
      </c>
      <c r="AB227" s="14">
        <v>257</v>
      </c>
      <c r="AC227" s="14">
        <v>292</v>
      </c>
      <c r="AD227" s="14">
        <v>43</v>
      </c>
      <c r="AE227" s="14">
        <v>1920</v>
      </c>
      <c r="AF227" s="14">
        <v>5000</v>
      </c>
      <c r="AG227" s="14">
        <v>2472</v>
      </c>
      <c r="AH227" s="14">
        <v>0</v>
      </c>
      <c r="AI227" s="14">
        <v>59</v>
      </c>
      <c r="AJ227" s="14">
        <v>158</v>
      </c>
      <c r="AK227" s="14" t="s">
        <v>1185</v>
      </c>
      <c r="AL227" s="14" t="s">
        <v>1190</v>
      </c>
      <c r="AM227" s="14">
        <v>230.38</v>
      </c>
      <c r="AN227" s="14">
        <v>184.55</v>
      </c>
      <c r="AO227" s="14">
        <v>155.72</v>
      </c>
      <c r="AP227" s="14">
        <v>19045</v>
      </c>
      <c r="AQ227" s="14">
        <v>18995</v>
      </c>
      <c r="AR227" s="14">
        <v>23000</v>
      </c>
      <c r="AS227" s="14">
        <v>17125</v>
      </c>
      <c r="AT227" s="14">
        <v>18263</v>
      </c>
      <c r="AU227" s="14">
        <v>-9</v>
      </c>
      <c r="AV227" s="14">
        <v>259.74</v>
      </c>
      <c r="AW227" s="14">
        <v>40.11</v>
      </c>
      <c r="AX227" s="14">
        <v>5.29</v>
      </c>
      <c r="AY227" s="14" t="b">
        <v>0</v>
      </c>
    </row>
    <row r="228" spans="1:51" hidden="1" x14ac:dyDescent="0.3">
      <c r="A228" t="str">
        <f>CONCATENATE(I228,E228,LEFT(G228,10))</f>
        <v>HFA601LLHA2026-02-01</v>
      </c>
      <c r="B228" s="14" t="s">
        <v>2043</v>
      </c>
      <c r="C228" s="14" t="s">
        <v>336</v>
      </c>
      <c r="D228" s="14" t="s">
        <v>337</v>
      </c>
      <c r="E228" s="14" t="s">
        <v>43</v>
      </c>
      <c r="F228" s="14" t="s">
        <v>59</v>
      </c>
      <c r="G228" s="14" t="s">
        <v>2044</v>
      </c>
      <c r="H228" s="14" t="s">
        <v>339</v>
      </c>
      <c r="I228" s="14" t="s">
        <v>57</v>
      </c>
      <c r="J228" s="14" t="s">
        <v>83</v>
      </c>
      <c r="K228" s="14" t="s">
        <v>349</v>
      </c>
      <c r="L228" s="14" t="s">
        <v>341</v>
      </c>
      <c r="M228" s="16" t="s">
        <v>2045</v>
      </c>
      <c r="N228" s="14"/>
      <c r="O228" s="14" t="s">
        <v>1187</v>
      </c>
      <c r="P228" s="14">
        <v>50</v>
      </c>
      <c r="Q228" s="14">
        <v>2</v>
      </c>
      <c r="R228" s="14">
        <v>7400</v>
      </c>
      <c r="S228" s="14" t="s">
        <v>2046</v>
      </c>
      <c r="T228" s="14" t="s">
        <v>2047</v>
      </c>
      <c r="U228" s="14">
        <v>0.92083333333333295</v>
      </c>
      <c r="V228" s="14">
        <v>1.06</v>
      </c>
      <c r="W228" s="14">
        <v>795</v>
      </c>
      <c r="X228" s="14">
        <v>50</v>
      </c>
      <c r="Y228" s="14">
        <v>745</v>
      </c>
      <c r="Z228" s="14">
        <v>1175</v>
      </c>
      <c r="AA228" s="14">
        <v>548</v>
      </c>
      <c r="AB228" s="14">
        <v>291</v>
      </c>
      <c r="AC228" s="14">
        <v>287</v>
      </c>
      <c r="AD228" s="14">
        <v>49</v>
      </c>
      <c r="AE228" s="14">
        <v>1970</v>
      </c>
      <c r="AF228" s="14">
        <v>5000</v>
      </c>
      <c r="AG228" s="14">
        <v>2514</v>
      </c>
      <c r="AH228" s="14">
        <v>0</v>
      </c>
      <c r="AI228" s="14">
        <v>60</v>
      </c>
      <c r="AJ228" s="14">
        <v>159</v>
      </c>
      <c r="AK228" s="14" t="s">
        <v>2044</v>
      </c>
      <c r="AL228" s="14" t="s">
        <v>2048</v>
      </c>
      <c r="AM228" s="14">
        <v>230.38</v>
      </c>
      <c r="AN228" s="14">
        <v>184.55</v>
      </c>
      <c r="AO228" s="14">
        <v>155.72</v>
      </c>
      <c r="AP228" s="14">
        <v>22695</v>
      </c>
      <c r="AQ228" s="14">
        <v>22645</v>
      </c>
      <c r="AR228" s="14">
        <v>23000</v>
      </c>
      <c r="AS228" s="14">
        <v>20725</v>
      </c>
      <c r="AT228" s="14">
        <v>21900</v>
      </c>
      <c r="AU228" s="14">
        <v>-8</v>
      </c>
      <c r="AV228" s="14">
        <v>247.08</v>
      </c>
      <c r="AW228" s="14">
        <v>22.78</v>
      </c>
      <c r="AX228" s="14">
        <v>7.55</v>
      </c>
      <c r="AY228" s="14" t="b">
        <v>0</v>
      </c>
    </row>
    <row r="229" spans="1:51" hidden="1" x14ac:dyDescent="0.3">
      <c r="A229" t="str">
        <f>CONCATENATE(I229,E229,LEFT(G229,10))</f>
        <v>HFA601LLHA2026-02-02</v>
      </c>
      <c r="B229" s="14" t="s">
        <v>896</v>
      </c>
      <c r="C229" s="14" t="s">
        <v>336</v>
      </c>
      <c r="D229" s="14" t="s">
        <v>337</v>
      </c>
      <c r="E229" s="14" t="s">
        <v>43</v>
      </c>
      <c r="F229" s="14" t="s">
        <v>59</v>
      </c>
      <c r="G229" s="14" t="s">
        <v>897</v>
      </c>
      <c r="H229" s="14" t="s">
        <v>371</v>
      </c>
      <c r="I229" s="14" t="s">
        <v>57</v>
      </c>
      <c r="J229" s="14" t="s">
        <v>83</v>
      </c>
      <c r="K229" s="14" t="s">
        <v>349</v>
      </c>
      <c r="L229" s="14" t="s">
        <v>341</v>
      </c>
      <c r="M229" s="16" t="s">
        <v>898</v>
      </c>
      <c r="N229" s="14"/>
      <c r="O229" s="14" t="s">
        <v>899</v>
      </c>
      <c r="P229" s="14">
        <v>50</v>
      </c>
      <c r="Q229" s="14">
        <v>2</v>
      </c>
      <c r="R229" s="14">
        <v>4950</v>
      </c>
      <c r="S229" s="14" t="s">
        <v>900</v>
      </c>
      <c r="T229" s="14" t="s">
        <v>901</v>
      </c>
      <c r="U229" s="14">
        <v>1.0075000000000001</v>
      </c>
      <c r="V229" s="14">
        <v>1.1475</v>
      </c>
      <c r="W229" s="14">
        <v>827</v>
      </c>
      <c r="X229" s="14">
        <v>50</v>
      </c>
      <c r="Y229" s="14">
        <v>777</v>
      </c>
      <c r="Z229" s="14">
        <v>943</v>
      </c>
      <c r="AA229" s="14">
        <v>532</v>
      </c>
      <c r="AB229" s="14">
        <v>267</v>
      </c>
      <c r="AC229" s="14">
        <v>100</v>
      </c>
      <c r="AD229" s="14">
        <v>44</v>
      </c>
      <c r="AE229" s="14">
        <v>1771</v>
      </c>
      <c r="AF229" s="14">
        <v>5000</v>
      </c>
      <c r="AG229" s="14">
        <v>2614</v>
      </c>
      <c r="AH229" s="14">
        <v>0</v>
      </c>
      <c r="AI229" s="14">
        <v>61</v>
      </c>
      <c r="AJ229" s="14">
        <v>142</v>
      </c>
      <c r="AK229" s="14" t="s">
        <v>897</v>
      </c>
      <c r="AL229" s="14" t="s">
        <v>902</v>
      </c>
      <c r="AM229" s="14">
        <v>230.38</v>
      </c>
      <c r="AN229" s="14">
        <v>184.55</v>
      </c>
      <c r="AO229" s="14">
        <v>155.72</v>
      </c>
      <c r="AP229" s="14">
        <v>20221</v>
      </c>
      <c r="AQ229" s="14">
        <v>20171</v>
      </c>
      <c r="AR229" s="14">
        <v>23000</v>
      </c>
      <c r="AS229" s="14">
        <v>18450</v>
      </c>
      <c r="AT229" s="14">
        <v>19393</v>
      </c>
      <c r="AU229" s="14">
        <v>-18</v>
      </c>
      <c r="AV229" s="14">
        <v>233.97</v>
      </c>
      <c r="AW229" s="14">
        <v>34.630000000000003</v>
      </c>
      <c r="AX229" s="14">
        <v>6.97</v>
      </c>
      <c r="AY229" s="14" t="b">
        <v>0</v>
      </c>
    </row>
    <row r="230" spans="1:51" hidden="1" x14ac:dyDescent="0.3">
      <c r="A230" t="str">
        <f>CONCATENATE(I230,E230,LEFT(G230,10))</f>
        <v>HFA601LLHA2026-02-03</v>
      </c>
      <c r="B230" s="14" t="s">
        <v>2470</v>
      </c>
      <c r="C230" s="14" t="s">
        <v>336</v>
      </c>
      <c r="D230" s="14" t="s">
        <v>337</v>
      </c>
      <c r="E230" s="14" t="s">
        <v>43</v>
      </c>
      <c r="F230" s="14" t="s">
        <v>59</v>
      </c>
      <c r="G230" s="14" t="s">
        <v>2471</v>
      </c>
      <c r="H230" s="14" t="s">
        <v>339</v>
      </c>
      <c r="I230" s="14" t="s">
        <v>57</v>
      </c>
      <c r="J230" s="14" t="s">
        <v>83</v>
      </c>
      <c r="K230" s="14" t="s">
        <v>349</v>
      </c>
      <c r="L230" s="14" t="s">
        <v>341</v>
      </c>
      <c r="M230" s="16" t="s">
        <v>2472</v>
      </c>
      <c r="N230" s="14"/>
      <c r="O230" s="14" t="s">
        <v>866</v>
      </c>
      <c r="P230" s="14">
        <v>50</v>
      </c>
      <c r="Q230" s="14">
        <v>3</v>
      </c>
      <c r="R230" s="14">
        <v>0</v>
      </c>
      <c r="S230" s="14" t="s">
        <v>2473</v>
      </c>
      <c r="T230" s="14" t="s">
        <v>2474</v>
      </c>
      <c r="U230" s="14">
        <v>0.84861111111111098</v>
      </c>
      <c r="V230" s="14">
        <v>0.94416666666666604</v>
      </c>
      <c r="W230" s="14">
        <v>758</v>
      </c>
      <c r="X230" s="14">
        <v>50</v>
      </c>
      <c r="Y230" s="14">
        <v>708</v>
      </c>
      <c r="Z230" s="14">
        <v>1212</v>
      </c>
      <c r="AA230" s="14">
        <v>568</v>
      </c>
      <c r="AB230" s="14">
        <v>251</v>
      </c>
      <c r="AC230" s="14">
        <v>351</v>
      </c>
      <c r="AD230" s="14">
        <v>42</v>
      </c>
      <c r="AE230" s="14">
        <v>1970</v>
      </c>
      <c r="AF230" s="14">
        <v>5000</v>
      </c>
      <c r="AG230" s="14">
        <v>2397</v>
      </c>
      <c r="AH230" s="14">
        <v>0</v>
      </c>
      <c r="AI230" s="14">
        <v>55</v>
      </c>
      <c r="AJ230" s="14">
        <v>159</v>
      </c>
      <c r="AK230" s="14" t="s">
        <v>2471</v>
      </c>
      <c r="AL230" s="14" t="s">
        <v>2475</v>
      </c>
      <c r="AM230" s="14">
        <v>230.38</v>
      </c>
      <c r="AN230" s="14">
        <v>184.55</v>
      </c>
      <c r="AO230" s="14">
        <v>155.72</v>
      </c>
      <c r="AP230" s="14">
        <v>18211</v>
      </c>
      <c r="AQ230" s="14">
        <v>18161</v>
      </c>
      <c r="AR230" s="14">
        <v>23000</v>
      </c>
      <c r="AS230" s="14">
        <v>16241</v>
      </c>
      <c r="AT230" s="14">
        <v>17453</v>
      </c>
      <c r="AU230" s="14">
        <v>3</v>
      </c>
      <c r="AV230" s="14">
        <v>282.95999999999998</v>
      </c>
      <c r="AW230" s="14">
        <v>34.11</v>
      </c>
      <c r="AX230" s="14">
        <v>0.73</v>
      </c>
      <c r="AY230" s="14" t="b">
        <v>0</v>
      </c>
    </row>
    <row r="231" spans="1:51" hidden="1" x14ac:dyDescent="0.3">
      <c r="A231" t="str">
        <f>CONCATENATE(I231,E231,LEFT(G231,10))</f>
        <v>HFA601LLHA2026-02-04</v>
      </c>
      <c r="B231" s="14" t="s">
        <v>5886</v>
      </c>
      <c r="C231" s="14" t="s">
        <v>336</v>
      </c>
      <c r="D231" s="14" t="s">
        <v>337</v>
      </c>
      <c r="E231" s="14" t="s">
        <v>43</v>
      </c>
      <c r="F231" s="14" t="s">
        <v>59</v>
      </c>
      <c r="G231" s="14" t="s">
        <v>5887</v>
      </c>
      <c r="H231" s="14" t="s">
        <v>339</v>
      </c>
      <c r="I231" s="14" t="s">
        <v>57</v>
      </c>
      <c r="J231" s="14" t="s">
        <v>83</v>
      </c>
      <c r="K231" s="14" t="s">
        <v>349</v>
      </c>
      <c r="L231" s="14" t="s">
        <v>341</v>
      </c>
      <c r="M231" s="16" t="s">
        <v>5888</v>
      </c>
      <c r="N231" s="14"/>
      <c r="O231" s="14" t="s">
        <v>866</v>
      </c>
      <c r="P231" s="14">
        <v>50</v>
      </c>
      <c r="Q231" s="14">
        <v>2</v>
      </c>
      <c r="R231" s="14">
        <v>4500</v>
      </c>
      <c r="S231" s="14" t="s">
        <v>5889</v>
      </c>
      <c r="T231" s="14" t="s">
        <v>5890</v>
      </c>
      <c r="U231" s="14">
        <v>0.906944444444444</v>
      </c>
      <c r="V231" s="14">
        <v>1.05</v>
      </c>
      <c r="W231" s="14">
        <v>750</v>
      </c>
      <c r="X231" s="14">
        <v>50</v>
      </c>
      <c r="Y231" s="14">
        <v>700</v>
      </c>
      <c r="Z231" s="14">
        <v>1180</v>
      </c>
      <c r="AA231" s="14">
        <v>556</v>
      </c>
      <c r="AB231" s="14">
        <v>263</v>
      </c>
      <c r="AC231" s="14">
        <v>317</v>
      </c>
      <c r="AD231" s="14">
        <v>44</v>
      </c>
      <c r="AE231" s="14">
        <v>1930</v>
      </c>
      <c r="AF231" s="14">
        <v>5000</v>
      </c>
      <c r="AG231" s="14">
        <v>2369</v>
      </c>
      <c r="AH231" s="14">
        <v>0</v>
      </c>
      <c r="AI231" s="14">
        <v>56</v>
      </c>
      <c r="AJ231" s="14">
        <v>159</v>
      </c>
      <c r="AK231" s="14" t="s">
        <v>5887</v>
      </c>
      <c r="AL231" s="14" t="s">
        <v>5891</v>
      </c>
      <c r="AM231" s="14">
        <v>230.38</v>
      </c>
      <c r="AN231" s="14">
        <v>184.55</v>
      </c>
      <c r="AO231" s="14">
        <v>155.72</v>
      </c>
      <c r="AP231" s="14">
        <v>19755</v>
      </c>
      <c r="AQ231" s="14">
        <v>19705</v>
      </c>
      <c r="AR231" s="14">
        <v>23000</v>
      </c>
      <c r="AS231" s="14">
        <v>17825</v>
      </c>
      <c r="AT231" s="14">
        <v>19005</v>
      </c>
      <c r="AU231" s="14">
        <v>5</v>
      </c>
      <c r="AV231" s="14">
        <v>304.61</v>
      </c>
      <c r="AW231" s="14">
        <v>11.76</v>
      </c>
      <c r="AX231" s="14">
        <v>5.62</v>
      </c>
      <c r="AY231" s="14" t="b">
        <v>0</v>
      </c>
    </row>
    <row r="232" spans="1:51" hidden="1" x14ac:dyDescent="0.3">
      <c r="A232" t="str">
        <f>CONCATENATE(I232,E232,LEFT(G232,10))</f>
        <v>HFA601LLHA2026-02-05</v>
      </c>
      <c r="B232" s="14" t="s">
        <v>4703</v>
      </c>
      <c r="C232" s="14" t="s">
        <v>336</v>
      </c>
      <c r="D232" s="14" t="s">
        <v>337</v>
      </c>
      <c r="E232" s="14" t="s">
        <v>43</v>
      </c>
      <c r="F232" s="14" t="s">
        <v>59</v>
      </c>
      <c r="G232" s="14" t="s">
        <v>4704</v>
      </c>
      <c r="H232" s="14" t="s">
        <v>393</v>
      </c>
      <c r="I232" s="14" t="s">
        <v>57</v>
      </c>
      <c r="J232" s="14" t="s">
        <v>83</v>
      </c>
      <c r="K232" s="14" t="s">
        <v>349</v>
      </c>
      <c r="L232" s="14" t="s">
        <v>341</v>
      </c>
      <c r="M232" s="16" t="s">
        <v>4705</v>
      </c>
      <c r="N232" s="14"/>
      <c r="O232" s="14" t="s">
        <v>4706</v>
      </c>
      <c r="P232" s="14">
        <v>50</v>
      </c>
      <c r="Q232" s="14">
        <v>2</v>
      </c>
      <c r="R232" s="14">
        <v>3000</v>
      </c>
      <c r="S232" s="14" t="s">
        <v>4707</v>
      </c>
      <c r="T232" s="14" t="s">
        <v>4708</v>
      </c>
      <c r="U232" s="14">
        <v>0.913333333333333</v>
      </c>
      <c r="V232" s="14">
        <v>1.0874999999999999</v>
      </c>
      <c r="W232" s="14">
        <v>846</v>
      </c>
      <c r="X232" s="14">
        <v>50</v>
      </c>
      <c r="Y232" s="14">
        <v>796</v>
      </c>
      <c r="Z232" s="14">
        <v>1034</v>
      </c>
      <c r="AA232" s="14">
        <v>551</v>
      </c>
      <c r="AB232" s="14">
        <v>250</v>
      </c>
      <c r="AC232" s="14">
        <v>191</v>
      </c>
      <c r="AD232" s="14">
        <v>42</v>
      </c>
      <c r="AE232" s="14">
        <v>1880</v>
      </c>
      <c r="AF232" s="14">
        <v>5000</v>
      </c>
      <c r="AG232" s="14">
        <v>2674</v>
      </c>
      <c r="AH232" s="14">
        <v>0</v>
      </c>
      <c r="AI232" s="14">
        <v>57</v>
      </c>
      <c r="AJ232" s="14">
        <v>145</v>
      </c>
      <c r="AK232" s="14" t="s">
        <v>4704</v>
      </c>
      <c r="AL232" s="14" t="s">
        <v>4709</v>
      </c>
      <c r="AM232" s="14">
        <v>230.38</v>
      </c>
      <c r="AN232" s="14">
        <v>184.55</v>
      </c>
      <c r="AO232" s="14">
        <v>155.72</v>
      </c>
      <c r="AP232" s="14">
        <v>18191</v>
      </c>
      <c r="AQ232" s="14">
        <v>18141</v>
      </c>
      <c r="AR232" s="14">
        <v>23000</v>
      </c>
      <c r="AS232" s="14">
        <v>16311</v>
      </c>
      <c r="AT232" s="14">
        <v>17345</v>
      </c>
      <c r="AU232" s="14">
        <v>-5</v>
      </c>
      <c r="AV232" s="14">
        <v>239.27</v>
      </c>
      <c r="AW232" s="14">
        <v>10.61</v>
      </c>
      <c r="AX232" s="14">
        <v>6.19</v>
      </c>
      <c r="AY232" s="14" t="b">
        <v>0</v>
      </c>
    </row>
    <row r="233" spans="1:51" hidden="1" x14ac:dyDescent="0.3">
      <c r="A233" t="str">
        <f>CONCATENATE(I233,E233,LEFT(G233,10))</f>
        <v>HFA601LLHA2026-02-06</v>
      </c>
      <c r="B233" s="14" t="s">
        <v>5470</v>
      </c>
      <c r="C233" s="14" t="s">
        <v>336</v>
      </c>
      <c r="D233" s="14" t="s">
        <v>337</v>
      </c>
      <c r="E233" s="14" t="s">
        <v>43</v>
      </c>
      <c r="F233" s="14" t="s">
        <v>59</v>
      </c>
      <c r="G233" s="14" t="s">
        <v>5471</v>
      </c>
      <c r="H233" s="14" t="s">
        <v>339</v>
      </c>
      <c r="I233" s="14" t="s">
        <v>57</v>
      </c>
      <c r="J233" s="14" t="s">
        <v>83</v>
      </c>
      <c r="K233" s="14" t="s">
        <v>349</v>
      </c>
      <c r="L233" s="14" t="s">
        <v>341</v>
      </c>
      <c r="M233" s="16" t="s">
        <v>5472</v>
      </c>
      <c r="N233" s="14"/>
      <c r="O233" s="14" t="s">
        <v>458</v>
      </c>
      <c r="P233" s="14">
        <v>50</v>
      </c>
      <c r="Q233" s="14">
        <v>2</v>
      </c>
      <c r="R233" s="14">
        <v>4550</v>
      </c>
      <c r="S233" s="14" t="s">
        <v>5473</v>
      </c>
      <c r="T233" s="14" t="s">
        <v>5474</v>
      </c>
      <c r="U233" s="14">
        <v>0.88305555555555504</v>
      </c>
      <c r="V233" s="14">
        <v>0.98944444444444402</v>
      </c>
      <c r="W233" s="14">
        <v>786</v>
      </c>
      <c r="X233" s="14">
        <v>50</v>
      </c>
      <c r="Y233" s="14">
        <v>736</v>
      </c>
      <c r="Z233" s="14">
        <v>1014</v>
      </c>
      <c r="AA233" s="14">
        <v>539</v>
      </c>
      <c r="AB233" s="14">
        <v>262</v>
      </c>
      <c r="AC233" s="14">
        <v>169</v>
      </c>
      <c r="AD233" s="14">
        <v>44</v>
      </c>
      <c r="AE233" s="14">
        <v>1800</v>
      </c>
      <c r="AF233" s="14">
        <v>5000</v>
      </c>
      <c r="AG233" s="14">
        <v>2484</v>
      </c>
      <c r="AH233" s="14">
        <v>0</v>
      </c>
      <c r="AI233" s="14">
        <v>58</v>
      </c>
      <c r="AJ233" s="14">
        <v>146</v>
      </c>
      <c r="AK233" s="14" t="s">
        <v>5471</v>
      </c>
      <c r="AL233" s="14" t="s">
        <v>5475</v>
      </c>
      <c r="AM233" s="14">
        <v>230.38</v>
      </c>
      <c r="AN233" s="14">
        <v>184.55</v>
      </c>
      <c r="AO233" s="14">
        <v>155.72</v>
      </c>
      <c r="AP233" s="14">
        <v>19675</v>
      </c>
      <c r="AQ233" s="14">
        <v>19625</v>
      </c>
      <c r="AR233" s="14">
        <v>23000</v>
      </c>
      <c r="AS233" s="14">
        <v>17875</v>
      </c>
      <c r="AT233" s="14">
        <v>18889</v>
      </c>
      <c r="AU233" s="14">
        <v>-8</v>
      </c>
      <c r="AV233" s="14">
        <v>241.09</v>
      </c>
      <c r="AW233" s="14">
        <v>18.260000000000002</v>
      </c>
      <c r="AX233" s="14">
        <v>3.91</v>
      </c>
      <c r="AY233" s="14" t="b">
        <v>0</v>
      </c>
    </row>
    <row r="234" spans="1:51" hidden="1" x14ac:dyDescent="0.3">
      <c r="A234" t="str">
        <f>CONCATENATE(I234,E234,LEFT(G234,10))</f>
        <v>HFA601LLHA2026-02-08</v>
      </c>
      <c r="B234" s="14" t="s">
        <v>455</v>
      </c>
      <c r="C234" s="14" t="s">
        <v>336</v>
      </c>
      <c r="D234" s="14" t="s">
        <v>337</v>
      </c>
      <c r="E234" s="14" t="s">
        <v>43</v>
      </c>
      <c r="F234" s="14" t="s">
        <v>59</v>
      </c>
      <c r="G234" s="14" t="s">
        <v>456</v>
      </c>
      <c r="H234" s="14" t="s">
        <v>393</v>
      </c>
      <c r="I234" s="14" t="s">
        <v>57</v>
      </c>
      <c r="J234" s="14" t="s">
        <v>83</v>
      </c>
      <c r="K234" s="14" t="s">
        <v>349</v>
      </c>
      <c r="L234" s="14" t="s">
        <v>341</v>
      </c>
      <c r="M234" s="16" t="s">
        <v>457</v>
      </c>
      <c r="N234" s="14"/>
      <c r="O234" s="14" t="s">
        <v>458</v>
      </c>
      <c r="P234" s="14">
        <v>50</v>
      </c>
      <c r="Q234" s="14">
        <v>2</v>
      </c>
      <c r="R234" s="14">
        <v>6500</v>
      </c>
      <c r="S234" s="14" t="s">
        <v>459</v>
      </c>
      <c r="T234" s="14" t="s">
        <v>460</v>
      </c>
      <c r="U234" s="14">
        <v>0.91861111111111104</v>
      </c>
      <c r="V234" s="14">
        <v>1.0558333333333301</v>
      </c>
      <c r="W234" s="14">
        <v>833</v>
      </c>
      <c r="X234" s="14">
        <v>50</v>
      </c>
      <c r="Y234" s="14">
        <v>783</v>
      </c>
      <c r="Z234" s="14">
        <v>1067</v>
      </c>
      <c r="AA234" s="14">
        <v>596</v>
      </c>
      <c r="AB234" s="14">
        <v>280</v>
      </c>
      <c r="AC234" s="14">
        <v>144</v>
      </c>
      <c r="AD234" s="14">
        <v>47</v>
      </c>
      <c r="AE234" s="14">
        <v>1900</v>
      </c>
      <c r="AF234" s="14">
        <v>5000</v>
      </c>
      <c r="AG234" s="14">
        <v>2632</v>
      </c>
      <c r="AH234" s="14">
        <v>0</v>
      </c>
      <c r="AI234" s="14">
        <v>57</v>
      </c>
      <c r="AJ234" s="14">
        <v>145</v>
      </c>
      <c r="AK234" s="14" t="s">
        <v>456</v>
      </c>
      <c r="AL234" s="14" t="s">
        <v>461</v>
      </c>
      <c r="AM234" s="14">
        <v>230.38</v>
      </c>
      <c r="AN234" s="14">
        <v>184.55</v>
      </c>
      <c r="AO234" s="14">
        <v>155.72</v>
      </c>
      <c r="AP234" s="14">
        <v>21711</v>
      </c>
      <c r="AQ234" s="14">
        <v>21661</v>
      </c>
      <c r="AR234" s="14">
        <v>23000</v>
      </c>
      <c r="AS234" s="14">
        <v>19811</v>
      </c>
      <c r="AT234" s="14">
        <v>20878</v>
      </c>
      <c r="AU234" s="14">
        <v>4</v>
      </c>
      <c r="AV234" s="14">
        <v>280.54000000000002</v>
      </c>
      <c r="AW234" s="14">
        <v>35.24</v>
      </c>
      <c r="AX234" s="14">
        <v>8.3000000000000007</v>
      </c>
      <c r="AY234" s="14" t="b">
        <v>0</v>
      </c>
    </row>
    <row r="235" spans="1:51" hidden="1" x14ac:dyDescent="0.3">
      <c r="A235" t="str">
        <f>CONCATENATE(I235,E235,LEFT(G235,10))</f>
        <v>HFA601LLHA2026-02-09</v>
      </c>
      <c r="B235" s="14" t="s">
        <v>1261</v>
      </c>
      <c r="C235" s="14" t="s">
        <v>336</v>
      </c>
      <c r="D235" s="14" t="s">
        <v>337</v>
      </c>
      <c r="E235" s="14" t="s">
        <v>43</v>
      </c>
      <c r="F235" s="14" t="s">
        <v>59</v>
      </c>
      <c r="G235" s="14" t="s">
        <v>1262</v>
      </c>
      <c r="H235" s="14" t="s">
        <v>436</v>
      </c>
      <c r="I235" s="14" t="s">
        <v>57</v>
      </c>
      <c r="J235" s="14" t="s">
        <v>83</v>
      </c>
      <c r="K235" s="14" t="s">
        <v>349</v>
      </c>
      <c r="L235" s="14" t="s">
        <v>341</v>
      </c>
      <c r="M235" s="16" t="s">
        <v>1263</v>
      </c>
      <c r="N235" s="14" t="s">
        <v>359</v>
      </c>
      <c r="O235" s="14" t="s">
        <v>387</v>
      </c>
      <c r="P235" s="14">
        <v>50</v>
      </c>
      <c r="Q235" s="14">
        <v>2</v>
      </c>
      <c r="R235" s="14">
        <v>6200</v>
      </c>
      <c r="S235" s="14" t="s">
        <v>1264</v>
      </c>
      <c r="T235" s="14" t="s">
        <v>1265</v>
      </c>
      <c r="U235" s="14">
        <v>0.91722222222222205</v>
      </c>
      <c r="V235" s="14">
        <v>1.0586111111111101</v>
      </c>
      <c r="W235" s="14">
        <v>773</v>
      </c>
      <c r="X235" s="14">
        <v>50</v>
      </c>
      <c r="Y235" s="14">
        <v>723</v>
      </c>
      <c r="Z235" s="14">
        <v>1177</v>
      </c>
      <c r="AA235" s="14">
        <v>555</v>
      </c>
      <c r="AB235" s="14">
        <v>278</v>
      </c>
      <c r="AC235" s="14">
        <v>298</v>
      </c>
      <c r="AD235" s="14">
        <v>46</v>
      </c>
      <c r="AE235" s="14">
        <v>1950</v>
      </c>
      <c r="AF235" s="14">
        <v>5000</v>
      </c>
      <c r="AG235" s="14">
        <v>2442</v>
      </c>
      <c r="AH235" s="14">
        <v>0</v>
      </c>
      <c r="AI235" s="14">
        <v>58</v>
      </c>
      <c r="AJ235" s="14">
        <v>158</v>
      </c>
      <c r="AK235" s="14" t="s">
        <v>1262</v>
      </c>
      <c r="AL235" s="14" t="s">
        <v>1266</v>
      </c>
      <c r="AM235" s="14">
        <v>230.38</v>
      </c>
      <c r="AN235" s="14">
        <v>184.55</v>
      </c>
      <c r="AO235" s="14">
        <v>155.72</v>
      </c>
      <c r="AP235" s="14">
        <v>21355</v>
      </c>
      <c r="AQ235" s="14">
        <v>21305</v>
      </c>
      <c r="AR235" s="14">
        <v>23000</v>
      </c>
      <c r="AS235" s="14">
        <v>19405</v>
      </c>
      <c r="AT235" s="14">
        <v>20582</v>
      </c>
      <c r="AU235" s="14">
        <v>-2</v>
      </c>
      <c r="AV235" s="14">
        <v>265.58</v>
      </c>
      <c r="AW235" s="14">
        <v>32.15</v>
      </c>
      <c r="AX235" s="14">
        <v>8.32</v>
      </c>
      <c r="AY235" s="14" t="b">
        <v>0</v>
      </c>
    </row>
    <row r="236" spans="1:51" hidden="1" x14ac:dyDescent="0.3">
      <c r="A236" t="str">
        <f>CONCATENATE(I236,E236,LEFT(G236,10))</f>
        <v>HFA601LLHA2026-02-10</v>
      </c>
      <c r="B236" s="14" t="s">
        <v>4449</v>
      </c>
      <c r="C236" s="14" t="s">
        <v>336</v>
      </c>
      <c r="D236" s="14" t="s">
        <v>337</v>
      </c>
      <c r="E236" s="14" t="s">
        <v>43</v>
      </c>
      <c r="F236" s="14" t="s">
        <v>59</v>
      </c>
      <c r="G236" s="14" t="s">
        <v>4450</v>
      </c>
      <c r="H236" s="14" t="s">
        <v>339</v>
      </c>
      <c r="I236" s="14" t="s">
        <v>57</v>
      </c>
      <c r="J236" s="14" t="s">
        <v>87</v>
      </c>
      <c r="K236" s="14" t="s">
        <v>349</v>
      </c>
      <c r="L236" s="14" t="s">
        <v>341</v>
      </c>
      <c r="M236" s="16" t="s">
        <v>4451</v>
      </c>
      <c r="N236" s="14"/>
      <c r="O236" s="14" t="s">
        <v>387</v>
      </c>
      <c r="P236" s="14">
        <v>50</v>
      </c>
      <c r="Q236" s="14">
        <v>2</v>
      </c>
      <c r="R236" s="14">
        <v>3700</v>
      </c>
      <c r="S236" s="14" t="s">
        <v>4452</v>
      </c>
      <c r="T236" s="14" t="s">
        <v>4453</v>
      </c>
      <c r="U236" s="14">
        <v>-1.0319444444444399</v>
      </c>
      <c r="V236" s="14">
        <v>1.30833333333333</v>
      </c>
      <c r="W236" s="14">
        <v>787</v>
      </c>
      <c r="X236" s="14">
        <v>50</v>
      </c>
      <c r="Y236" s="14">
        <v>737</v>
      </c>
      <c r="Z236" s="14">
        <v>1313</v>
      </c>
      <c r="AA236" s="14">
        <v>944</v>
      </c>
      <c r="AB236" s="14">
        <v>258</v>
      </c>
      <c r="AC236" s="14">
        <v>68</v>
      </c>
      <c r="AD236" s="14">
        <v>43</v>
      </c>
      <c r="AE236" s="14">
        <v>2100</v>
      </c>
      <c r="AF236" s="14">
        <v>5000</v>
      </c>
      <c r="AG236" s="14">
        <v>2485</v>
      </c>
      <c r="AH236" s="14">
        <v>0</v>
      </c>
      <c r="AI236" s="14">
        <v>60</v>
      </c>
      <c r="AJ236" s="14">
        <v>185</v>
      </c>
      <c r="AK236" s="14" t="s">
        <v>4450</v>
      </c>
      <c r="AL236" s="14" t="s">
        <v>4454</v>
      </c>
      <c r="AM236" s="14">
        <v>230.38</v>
      </c>
      <c r="AN236" s="14">
        <v>184.55</v>
      </c>
      <c r="AO236" s="14">
        <v>346.14</v>
      </c>
      <c r="AP236" s="14">
        <v>19125</v>
      </c>
      <c r="AQ236" s="14">
        <v>19075</v>
      </c>
      <c r="AR236" s="14">
        <v>23000</v>
      </c>
      <c r="AS236" s="14">
        <v>17025</v>
      </c>
      <c r="AT236" s="14">
        <v>18338</v>
      </c>
      <c r="AU236" s="14">
        <v>-11</v>
      </c>
      <c r="AV236" s="14">
        <v>251.86</v>
      </c>
      <c r="AW236" s="14">
        <v>38.22</v>
      </c>
      <c r="AX236" s="14">
        <v>6.79</v>
      </c>
      <c r="AY236" s="14" t="b">
        <v>0</v>
      </c>
    </row>
    <row r="237" spans="1:51" hidden="1" x14ac:dyDescent="0.3">
      <c r="A237" t="str">
        <f>CONCATENATE(I237,E237,LEFT(G237,10))</f>
        <v>HFA601LLHA2026-02-11</v>
      </c>
      <c r="B237" s="14" t="s">
        <v>2743</v>
      </c>
      <c r="C237" s="14" t="s">
        <v>336</v>
      </c>
      <c r="D237" s="14" t="s">
        <v>337</v>
      </c>
      <c r="E237" s="14" t="s">
        <v>43</v>
      </c>
      <c r="F237" s="14" t="s">
        <v>59</v>
      </c>
      <c r="G237" s="14" t="s">
        <v>2744</v>
      </c>
      <c r="H237" s="14" t="s">
        <v>339</v>
      </c>
      <c r="I237" s="14" t="s">
        <v>57</v>
      </c>
      <c r="J237" s="14" t="s">
        <v>83</v>
      </c>
      <c r="K237" s="14" t="s">
        <v>349</v>
      </c>
      <c r="L237" s="14" t="s">
        <v>341</v>
      </c>
      <c r="M237" s="16" t="s">
        <v>2745</v>
      </c>
      <c r="N237" s="14"/>
      <c r="O237" s="14" t="s">
        <v>2746</v>
      </c>
      <c r="P237" s="14">
        <v>50</v>
      </c>
      <c r="Q237" s="14">
        <v>2</v>
      </c>
      <c r="R237" s="14">
        <v>3200</v>
      </c>
      <c r="S237" s="14" t="s">
        <v>2747</v>
      </c>
      <c r="T237" s="14" t="s">
        <v>2748</v>
      </c>
      <c r="U237" s="14">
        <v>0.97861111111111099</v>
      </c>
      <c r="V237" s="14">
        <v>1.11916666666666</v>
      </c>
      <c r="W237" s="14">
        <v>785</v>
      </c>
      <c r="X237" s="14">
        <v>50</v>
      </c>
      <c r="Y237" s="14">
        <v>735</v>
      </c>
      <c r="Z237" s="14">
        <v>995</v>
      </c>
      <c r="AA237" s="14">
        <v>529</v>
      </c>
      <c r="AB237" s="14">
        <v>251</v>
      </c>
      <c r="AC237" s="14">
        <v>173</v>
      </c>
      <c r="AD237" s="14">
        <v>42</v>
      </c>
      <c r="AE237" s="14">
        <v>1780</v>
      </c>
      <c r="AF237" s="14">
        <v>5000</v>
      </c>
      <c r="AG237" s="14">
        <v>2481</v>
      </c>
      <c r="AH237" s="14">
        <v>0</v>
      </c>
      <c r="AI237" s="14">
        <v>59</v>
      </c>
      <c r="AJ237" s="14">
        <v>146</v>
      </c>
      <c r="AK237" s="14" t="s">
        <v>2744</v>
      </c>
      <c r="AL237" s="14" t="s">
        <v>2749</v>
      </c>
      <c r="AM237" s="14">
        <v>230.38</v>
      </c>
      <c r="AN237" s="14">
        <v>184.55</v>
      </c>
      <c r="AO237" s="14">
        <v>155.72</v>
      </c>
      <c r="AP237" s="14">
        <v>18305</v>
      </c>
      <c r="AQ237" s="14">
        <v>18255</v>
      </c>
      <c r="AR237" s="14">
        <v>23000</v>
      </c>
      <c r="AS237" s="14">
        <v>16525</v>
      </c>
      <c r="AT237" s="14">
        <v>17520</v>
      </c>
      <c r="AU237" s="14">
        <v>-11</v>
      </c>
      <c r="AV237" s="14">
        <v>254.57</v>
      </c>
      <c r="AW237" s="14">
        <v>35.869999999999997</v>
      </c>
      <c r="AX237" s="14">
        <v>4.24</v>
      </c>
      <c r="AY237" s="14" t="b">
        <v>0</v>
      </c>
    </row>
    <row r="238" spans="1:51" hidden="1" x14ac:dyDescent="0.3">
      <c r="A238" t="str">
        <f>CONCATENATE(I238,E238,LEFT(G238,10))</f>
        <v>HFA601LLHA2026-02-12</v>
      </c>
      <c r="B238" s="14" t="s">
        <v>606</v>
      </c>
      <c r="C238" s="14" t="s">
        <v>336</v>
      </c>
      <c r="D238" s="14" t="s">
        <v>337</v>
      </c>
      <c r="E238" s="14" t="s">
        <v>43</v>
      </c>
      <c r="F238" s="14" t="s">
        <v>59</v>
      </c>
      <c r="G238" s="14" t="s">
        <v>607</v>
      </c>
      <c r="H238" s="14" t="s">
        <v>339</v>
      </c>
      <c r="I238" s="14" t="s">
        <v>57</v>
      </c>
      <c r="J238" s="14" t="s">
        <v>83</v>
      </c>
      <c r="K238" s="14" t="s">
        <v>349</v>
      </c>
      <c r="L238" s="14" t="s">
        <v>341</v>
      </c>
      <c r="M238" s="16" t="s">
        <v>608</v>
      </c>
      <c r="N238" s="14"/>
      <c r="O238" s="14" t="s">
        <v>563</v>
      </c>
      <c r="P238" s="14">
        <v>50</v>
      </c>
      <c r="Q238" s="14">
        <v>2</v>
      </c>
      <c r="R238" s="14">
        <v>6900</v>
      </c>
      <c r="S238" s="14" t="s">
        <v>609</v>
      </c>
      <c r="T238" s="14" t="s">
        <v>610</v>
      </c>
      <c r="U238" s="14">
        <v>0.91277777777777702</v>
      </c>
      <c r="V238" s="14">
        <v>1.0725</v>
      </c>
      <c r="W238" s="14">
        <v>793</v>
      </c>
      <c r="X238" s="14">
        <v>50</v>
      </c>
      <c r="Y238" s="14">
        <v>743</v>
      </c>
      <c r="Z238" s="14">
        <v>1237</v>
      </c>
      <c r="AA238" s="14">
        <v>555</v>
      </c>
      <c r="AB238" s="14">
        <v>286</v>
      </c>
      <c r="AC238" s="14">
        <v>348</v>
      </c>
      <c r="AD238" s="14">
        <v>48</v>
      </c>
      <c r="AE238" s="14">
        <v>2030</v>
      </c>
      <c r="AF238" s="14">
        <v>5000</v>
      </c>
      <c r="AG238" s="14">
        <v>2505</v>
      </c>
      <c r="AH238" s="14">
        <v>0</v>
      </c>
      <c r="AI238" s="14">
        <v>59</v>
      </c>
      <c r="AJ238" s="14">
        <v>163</v>
      </c>
      <c r="AK238" s="14" t="s">
        <v>607</v>
      </c>
      <c r="AL238" s="14" t="s">
        <v>611</v>
      </c>
      <c r="AM238" s="14">
        <v>230.38</v>
      </c>
      <c r="AN238" s="14">
        <v>184.55</v>
      </c>
      <c r="AO238" s="14">
        <v>155.72</v>
      </c>
      <c r="AP238" s="14">
        <v>22255</v>
      </c>
      <c r="AQ238" s="14">
        <v>22205</v>
      </c>
      <c r="AR238" s="14">
        <v>23000</v>
      </c>
      <c r="AS238" s="14">
        <v>20225</v>
      </c>
      <c r="AT238" s="14">
        <v>21462</v>
      </c>
      <c r="AU238" s="14">
        <v>-5</v>
      </c>
      <c r="AV238" s="14">
        <v>256.94</v>
      </c>
      <c r="AW238" s="14">
        <v>24.98</v>
      </c>
      <c r="AX238" s="14">
        <v>4.3600000000000003</v>
      </c>
      <c r="AY238" s="14" t="b">
        <v>0</v>
      </c>
    </row>
    <row r="239" spans="1:51" hidden="1" x14ac:dyDescent="0.3">
      <c r="A239" t="str">
        <f>CONCATENATE(I239,E239,LEFT(G239,10))</f>
        <v>HFA601LLHA2026-02-13</v>
      </c>
      <c r="B239" s="14" t="s">
        <v>4368</v>
      </c>
      <c r="C239" s="14" t="s">
        <v>336</v>
      </c>
      <c r="D239" s="14" t="s">
        <v>337</v>
      </c>
      <c r="E239" s="14" t="s">
        <v>43</v>
      </c>
      <c r="F239" s="14" t="s">
        <v>59</v>
      </c>
      <c r="G239" s="14" t="s">
        <v>4369</v>
      </c>
      <c r="H239" s="14" t="s">
        <v>339</v>
      </c>
      <c r="I239" s="14" t="s">
        <v>57</v>
      </c>
      <c r="J239" s="14" t="s">
        <v>83</v>
      </c>
      <c r="K239" s="14" t="s">
        <v>349</v>
      </c>
      <c r="L239" s="14" t="s">
        <v>341</v>
      </c>
      <c r="M239" s="16" t="s">
        <v>4370</v>
      </c>
      <c r="N239" s="14"/>
      <c r="O239" s="14" t="s">
        <v>3696</v>
      </c>
      <c r="P239" s="14">
        <v>50</v>
      </c>
      <c r="Q239" s="14">
        <v>2</v>
      </c>
      <c r="R239" s="14">
        <v>4400</v>
      </c>
      <c r="S239" s="14" t="s">
        <v>4371</v>
      </c>
      <c r="T239" s="14" t="s">
        <v>4372</v>
      </c>
      <c r="U239" s="14">
        <v>0.88027777777777705</v>
      </c>
      <c r="V239" s="14">
        <v>1.1438888888888801</v>
      </c>
      <c r="W239" s="14">
        <v>809</v>
      </c>
      <c r="X239" s="14">
        <v>50</v>
      </c>
      <c r="Y239" s="14">
        <v>759</v>
      </c>
      <c r="Z239" s="14">
        <v>1121</v>
      </c>
      <c r="AA239" s="14">
        <v>515</v>
      </c>
      <c r="AB239" s="14">
        <v>262</v>
      </c>
      <c r="AC239" s="14">
        <v>300</v>
      </c>
      <c r="AD239" s="14">
        <v>44</v>
      </c>
      <c r="AE239" s="14">
        <v>1930</v>
      </c>
      <c r="AF239" s="14">
        <v>5000</v>
      </c>
      <c r="AG239" s="14">
        <v>2557</v>
      </c>
      <c r="AH239" s="14">
        <v>0</v>
      </c>
      <c r="AI239" s="14">
        <v>61</v>
      </c>
      <c r="AJ239" s="14">
        <v>160</v>
      </c>
      <c r="AK239" s="14" t="s">
        <v>4369</v>
      </c>
      <c r="AL239" s="14" t="s">
        <v>4373</v>
      </c>
      <c r="AM239" s="14">
        <v>230.38</v>
      </c>
      <c r="AN239" s="14">
        <v>184.55</v>
      </c>
      <c r="AO239" s="14">
        <v>155.72</v>
      </c>
      <c r="AP239" s="14">
        <v>19655</v>
      </c>
      <c r="AQ239" s="14">
        <v>19605</v>
      </c>
      <c r="AR239" s="14">
        <v>23000</v>
      </c>
      <c r="AS239" s="14">
        <v>17725</v>
      </c>
      <c r="AT239" s="14">
        <v>18846</v>
      </c>
      <c r="AU239" s="14">
        <v>-19</v>
      </c>
      <c r="AV239" s="14">
        <v>231.55</v>
      </c>
      <c r="AW239" s="14">
        <v>35.15</v>
      </c>
      <c r="AX239" s="14">
        <v>7.39</v>
      </c>
      <c r="AY239" s="14" t="b">
        <v>0</v>
      </c>
    </row>
    <row r="240" spans="1:51" hidden="1" x14ac:dyDescent="0.3">
      <c r="A240" t="str">
        <f>CONCATENATE(I240,E240,LEFT(G240,10))</f>
        <v>HFA601LLHA2026-02-15</v>
      </c>
      <c r="B240" s="14" t="s">
        <v>4255</v>
      </c>
      <c r="C240" s="14" t="s">
        <v>336</v>
      </c>
      <c r="D240" s="14" t="s">
        <v>337</v>
      </c>
      <c r="E240" s="14" t="s">
        <v>43</v>
      </c>
      <c r="F240" s="14" t="s">
        <v>59</v>
      </c>
      <c r="G240" s="14" t="s">
        <v>4256</v>
      </c>
      <c r="H240" s="14" t="s">
        <v>339</v>
      </c>
      <c r="I240" s="14" t="s">
        <v>57</v>
      </c>
      <c r="J240" s="14" t="s">
        <v>83</v>
      </c>
      <c r="K240" s="14" t="s">
        <v>349</v>
      </c>
      <c r="L240" s="14" t="s">
        <v>341</v>
      </c>
      <c r="M240" s="16" t="s">
        <v>4257</v>
      </c>
      <c r="N240" s="14"/>
      <c r="O240" s="14" t="s">
        <v>387</v>
      </c>
      <c r="P240" s="14">
        <v>50</v>
      </c>
      <c r="Q240" s="14">
        <v>2</v>
      </c>
      <c r="R240" s="14">
        <v>6700</v>
      </c>
      <c r="S240" s="14" t="s">
        <v>4258</v>
      </c>
      <c r="T240" s="14" t="s">
        <v>4259</v>
      </c>
      <c r="U240" s="14">
        <v>1.0486111111111101</v>
      </c>
      <c r="V240" s="14">
        <v>1.18194444444444</v>
      </c>
      <c r="W240" s="14">
        <v>754</v>
      </c>
      <c r="X240" s="14">
        <v>50</v>
      </c>
      <c r="Y240" s="14">
        <v>704</v>
      </c>
      <c r="Z240" s="14">
        <v>983</v>
      </c>
      <c r="AA240" s="14">
        <v>554</v>
      </c>
      <c r="AB240" s="14">
        <v>282</v>
      </c>
      <c r="AC240" s="14">
        <v>100</v>
      </c>
      <c r="AD240" s="14">
        <v>47</v>
      </c>
      <c r="AE240" s="14">
        <v>1737</v>
      </c>
      <c r="AF240" s="14">
        <v>5000</v>
      </c>
      <c r="AG240" s="14">
        <v>2384</v>
      </c>
      <c r="AH240" s="14">
        <v>0</v>
      </c>
      <c r="AI240" s="14">
        <v>58</v>
      </c>
      <c r="AJ240" s="14">
        <v>142</v>
      </c>
      <c r="AK240" s="14" t="s">
        <v>4256</v>
      </c>
      <c r="AL240" s="14" t="s">
        <v>4260</v>
      </c>
      <c r="AM240" s="14">
        <v>230.38</v>
      </c>
      <c r="AN240" s="14">
        <v>184.55</v>
      </c>
      <c r="AO240" s="14">
        <v>155.72</v>
      </c>
      <c r="AP240" s="14">
        <v>21762</v>
      </c>
      <c r="AQ240" s="14">
        <v>21712</v>
      </c>
      <c r="AR240" s="14">
        <v>23000</v>
      </c>
      <c r="AS240" s="14">
        <v>20025</v>
      </c>
      <c r="AT240" s="14">
        <v>21008</v>
      </c>
      <c r="AU240" s="14">
        <v>2</v>
      </c>
      <c r="AV240" s="14">
        <v>289.25</v>
      </c>
      <c r="AW240" s="14">
        <v>10.199999999999999</v>
      </c>
      <c r="AX240" s="14">
        <v>10.53</v>
      </c>
      <c r="AY240" s="14" t="b">
        <v>0</v>
      </c>
    </row>
    <row r="241" spans="1:51" hidden="1" x14ac:dyDescent="0.3">
      <c r="A241" t="str">
        <f>CONCATENATE(I241,E241,LEFT(G241,10))</f>
        <v>HFA601LLHA2026-02-16</v>
      </c>
      <c r="B241" s="14" t="s">
        <v>4132</v>
      </c>
      <c r="C241" s="14" t="s">
        <v>336</v>
      </c>
      <c r="D241" s="14" t="s">
        <v>337</v>
      </c>
      <c r="E241" s="14" t="s">
        <v>43</v>
      </c>
      <c r="F241" s="14" t="s">
        <v>59</v>
      </c>
      <c r="G241" s="14" t="s">
        <v>4133</v>
      </c>
      <c r="H241" s="14" t="s">
        <v>371</v>
      </c>
      <c r="I241" s="14" t="s">
        <v>57</v>
      </c>
      <c r="J241" s="14" t="s">
        <v>83</v>
      </c>
      <c r="K241" s="14" t="s">
        <v>349</v>
      </c>
      <c r="L241" s="14" t="s">
        <v>341</v>
      </c>
      <c r="M241" s="16" t="s">
        <v>4134</v>
      </c>
      <c r="N241" s="14"/>
      <c r="O241" s="14" t="s">
        <v>4035</v>
      </c>
      <c r="P241" s="14">
        <v>50</v>
      </c>
      <c r="Q241" s="14">
        <v>2</v>
      </c>
      <c r="R241" s="14">
        <v>6900</v>
      </c>
      <c r="S241" s="14" t="s">
        <v>4135</v>
      </c>
      <c r="T241" s="14" t="s">
        <v>4136</v>
      </c>
      <c r="U241" s="14">
        <v>1.05944444444444</v>
      </c>
      <c r="V241" s="14">
        <v>1.1855555555555499</v>
      </c>
      <c r="W241" s="14">
        <v>815</v>
      </c>
      <c r="X241" s="14">
        <v>50</v>
      </c>
      <c r="Y241" s="14">
        <v>765</v>
      </c>
      <c r="Z241" s="14">
        <v>962</v>
      </c>
      <c r="AA241" s="14">
        <v>529</v>
      </c>
      <c r="AB241" s="14">
        <v>285</v>
      </c>
      <c r="AC241" s="14">
        <v>100</v>
      </c>
      <c r="AD241" s="14">
        <v>48</v>
      </c>
      <c r="AE241" s="14">
        <v>1777</v>
      </c>
      <c r="AF241" s="14">
        <v>5000</v>
      </c>
      <c r="AG241" s="14">
        <v>2576</v>
      </c>
      <c r="AH241" s="14">
        <v>0</v>
      </c>
      <c r="AI241" s="14">
        <v>62</v>
      </c>
      <c r="AJ241" s="14">
        <v>143</v>
      </c>
      <c r="AK241" s="14" t="s">
        <v>4133</v>
      </c>
      <c r="AL241" s="14" t="s">
        <v>4137</v>
      </c>
      <c r="AM241" s="14">
        <v>230.38</v>
      </c>
      <c r="AN241" s="14">
        <v>184.55</v>
      </c>
      <c r="AO241" s="14">
        <v>155.72</v>
      </c>
      <c r="AP241" s="14">
        <v>22177</v>
      </c>
      <c r="AQ241" s="14">
        <v>22127</v>
      </c>
      <c r="AR241" s="14">
        <v>23000</v>
      </c>
      <c r="AS241" s="14">
        <v>20400</v>
      </c>
      <c r="AT241" s="14">
        <v>21362</v>
      </c>
      <c r="AU241" s="14">
        <v>-15</v>
      </c>
      <c r="AV241" s="14">
        <v>209.02</v>
      </c>
      <c r="AW241" s="14">
        <v>22.42</v>
      </c>
      <c r="AX241" s="14">
        <v>11.73</v>
      </c>
      <c r="AY241" s="14" t="b">
        <v>0</v>
      </c>
    </row>
    <row r="242" spans="1:51" hidden="1" x14ac:dyDescent="0.3">
      <c r="A242" t="str">
        <f>CONCATENATE(I242,E242,LEFT(G242,10))</f>
        <v>HFA601LLHA2026-02-17</v>
      </c>
      <c r="B242" s="14" t="s">
        <v>4061</v>
      </c>
      <c r="C242" s="14" t="s">
        <v>336</v>
      </c>
      <c r="D242" s="14" t="s">
        <v>337</v>
      </c>
      <c r="E242" s="14" t="s">
        <v>43</v>
      </c>
      <c r="F242" s="14" t="s">
        <v>59</v>
      </c>
      <c r="G242" s="14" t="s">
        <v>4062</v>
      </c>
      <c r="H242" s="14" t="s">
        <v>339</v>
      </c>
      <c r="I242" s="14" t="s">
        <v>57</v>
      </c>
      <c r="J242" s="14" t="s">
        <v>83</v>
      </c>
      <c r="K242" s="14" t="s">
        <v>349</v>
      </c>
      <c r="L242" s="14" t="s">
        <v>341</v>
      </c>
      <c r="M242" s="16" t="s">
        <v>4063</v>
      </c>
      <c r="N242" s="14"/>
      <c r="O242" s="14" t="s">
        <v>4064</v>
      </c>
      <c r="P242" s="14">
        <v>50</v>
      </c>
      <c r="Q242" s="14">
        <v>2</v>
      </c>
      <c r="R242" s="14">
        <v>5000</v>
      </c>
      <c r="S242" s="14" t="s">
        <v>4065</v>
      </c>
      <c r="T242" s="14" t="s">
        <v>4066</v>
      </c>
      <c r="U242" s="14">
        <v>1.0586111111111101</v>
      </c>
      <c r="V242" s="14">
        <v>1.1641666666666599</v>
      </c>
      <c r="W242" s="14">
        <v>840</v>
      </c>
      <c r="X242" s="14">
        <v>50</v>
      </c>
      <c r="Y242" s="14">
        <v>790</v>
      </c>
      <c r="Z242" s="14">
        <v>1000</v>
      </c>
      <c r="AA242" s="14">
        <v>504</v>
      </c>
      <c r="AB242" s="14">
        <v>266</v>
      </c>
      <c r="AC242" s="14">
        <v>185</v>
      </c>
      <c r="AD242" s="14">
        <v>44</v>
      </c>
      <c r="AE242" s="14">
        <v>1840</v>
      </c>
      <c r="AF242" s="14">
        <v>5000</v>
      </c>
      <c r="AG242" s="14">
        <v>2655</v>
      </c>
      <c r="AH242" s="14">
        <v>0</v>
      </c>
      <c r="AI242" s="14">
        <v>63</v>
      </c>
      <c r="AJ242" s="14">
        <v>151</v>
      </c>
      <c r="AK242" s="14" t="s">
        <v>4062</v>
      </c>
      <c r="AL242" s="14" t="s">
        <v>4067</v>
      </c>
      <c r="AM242" s="14">
        <v>230.38</v>
      </c>
      <c r="AN242" s="14">
        <v>184.55</v>
      </c>
      <c r="AO242" s="14">
        <v>155.72</v>
      </c>
      <c r="AP242" s="14">
        <v>20165</v>
      </c>
      <c r="AQ242" s="14">
        <v>20115</v>
      </c>
      <c r="AR242" s="14">
        <v>23000</v>
      </c>
      <c r="AS242" s="14">
        <v>18325</v>
      </c>
      <c r="AT242" s="14">
        <v>19325</v>
      </c>
      <c r="AU242" s="14">
        <v>-27</v>
      </c>
      <c r="AV242" s="14">
        <v>220.44</v>
      </c>
      <c r="AW242" s="14">
        <v>41.24</v>
      </c>
      <c r="AX242" s="14">
        <v>6.97</v>
      </c>
      <c r="AY242" s="14" t="b">
        <v>0</v>
      </c>
    </row>
    <row r="243" spans="1:51" hidden="1" x14ac:dyDescent="0.3">
      <c r="A243" t="str">
        <f>CONCATENATE(I243,E243,LEFT(G243,10))</f>
        <v>HFA601LLHA2026-02-18</v>
      </c>
      <c r="B243" s="14" t="s">
        <v>1956</v>
      </c>
      <c r="C243" s="14" t="s">
        <v>336</v>
      </c>
      <c r="D243" s="14" t="s">
        <v>337</v>
      </c>
      <c r="E243" s="14" t="s">
        <v>43</v>
      </c>
      <c r="F243" s="14" t="s">
        <v>59</v>
      </c>
      <c r="G243" s="14" t="s">
        <v>1957</v>
      </c>
      <c r="H243" s="14" t="s">
        <v>339</v>
      </c>
      <c r="I243" s="14" t="s">
        <v>57</v>
      </c>
      <c r="J243" s="14" t="s">
        <v>83</v>
      </c>
      <c r="K243" s="14" t="s">
        <v>349</v>
      </c>
      <c r="L243" s="14" t="s">
        <v>341</v>
      </c>
      <c r="M243" s="16" t="s">
        <v>1958</v>
      </c>
      <c r="N243" s="14"/>
      <c r="O243" s="14" t="s">
        <v>1959</v>
      </c>
      <c r="P243" s="14">
        <v>50</v>
      </c>
      <c r="Q243" s="14">
        <v>2</v>
      </c>
      <c r="R243" s="14">
        <v>3200</v>
      </c>
      <c r="S243" s="14" t="s">
        <v>1960</v>
      </c>
      <c r="T243" s="14" t="s">
        <v>1961</v>
      </c>
      <c r="U243" s="14">
        <v>0.95083333333333298</v>
      </c>
      <c r="V243" s="14">
        <v>1.0916666666666599</v>
      </c>
      <c r="W243" s="14">
        <v>797</v>
      </c>
      <c r="X243" s="14">
        <v>50</v>
      </c>
      <c r="Y243" s="14">
        <v>747</v>
      </c>
      <c r="Z243" s="14">
        <v>1093</v>
      </c>
      <c r="AA243" s="14">
        <v>515</v>
      </c>
      <c r="AB243" s="14">
        <v>252</v>
      </c>
      <c r="AC243" s="14">
        <v>283</v>
      </c>
      <c r="AD243" s="14">
        <v>42</v>
      </c>
      <c r="AE243" s="14">
        <v>1890</v>
      </c>
      <c r="AF243" s="14">
        <v>5000</v>
      </c>
      <c r="AG243" s="14">
        <v>2519</v>
      </c>
      <c r="AH243" s="14">
        <v>0</v>
      </c>
      <c r="AI243" s="14">
        <v>61</v>
      </c>
      <c r="AJ243" s="14">
        <v>158</v>
      </c>
      <c r="AK243" s="14" t="s">
        <v>1957</v>
      </c>
      <c r="AL243" s="14" t="s">
        <v>1962</v>
      </c>
      <c r="AM243" s="14">
        <v>230.38</v>
      </c>
      <c r="AN243" s="14">
        <v>184.55</v>
      </c>
      <c r="AO243" s="14">
        <v>155.72</v>
      </c>
      <c r="AP243" s="14">
        <v>18415</v>
      </c>
      <c r="AQ243" s="14">
        <v>18365</v>
      </c>
      <c r="AR243" s="14">
        <v>23000</v>
      </c>
      <c r="AS243" s="14">
        <v>16525</v>
      </c>
      <c r="AT243" s="14">
        <v>17618</v>
      </c>
      <c r="AU243" s="14">
        <v>-17</v>
      </c>
      <c r="AV243" s="14">
        <v>242.5</v>
      </c>
      <c r="AW243" s="14">
        <v>40.659999999999997</v>
      </c>
      <c r="AX243" s="14">
        <v>7.09</v>
      </c>
      <c r="AY243" s="14" t="b">
        <v>0</v>
      </c>
    </row>
    <row r="244" spans="1:51" hidden="1" x14ac:dyDescent="0.3">
      <c r="A244" t="str">
        <f>CONCATENATE(I244,E244,LEFT(G244,10))</f>
        <v>HFA601LLHA2026-02-19</v>
      </c>
      <c r="B244" s="14" t="s">
        <v>3992</v>
      </c>
      <c r="C244" s="14" t="s">
        <v>336</v>
      </c>
      <c r="D244" s="14" t="s">
        <v>337</v>
      </c>
      <c r="E244" s="14" t="s">
        <v>43</v>
      </c>
      <c r="F244" s="14" t="s">
        <v>59</v>
      </c>
      <c r="G244" s="14" t="s">
        <v>3993</v>
      </c>
      <c r="H244" s="14" t="s">
        <v>339</v>
      </c>
      <c r="I244" s="14" t="s">
        <v>57</v>
      </c>
      <c r="J244" s="14" t="s">
        <v>83</v>
      </c>
      <c r="K244" s="14" t="s">
        <v>349</v>
      </c>
      <c r="L244" s="14" t="s">
        <v>341</v>
      </c>
      <c r="M244" s="16" t="s">
        <v>3994</v>
      </c>
      <c r="N244" s="14"/>
      <c r="O244" s="14" t="s">
        <v>1918</v>
      </c>
      <c r="P244" s="14">
        <v>50</v>
      </c>
      <c r="Q244" s="14">
        <v>2</v>
      </c>
      <c r="R244" s="14">
        <v>3500</v>
      </c>
      <c r="S244" s="14" t="s">
        <v>3995</v>
      </c>
      <c r="T244" s="14" t="s">
        <v>3996</v>
      </c>
      <c r="U244" s="14">
        <v>0.99138888888888799</v>
      </c>
      <c r="V244" s="14">
        <v>1.12777777777777</v>
      </c>
      <c r="W244" s="14">
        <v>762</v>
      </c>
      <c r="X244" s="14">
        <v>50</v>
      </c>
      <c r="Y244" s="14">
        <v>712</v>
      </c>
      <c r="Z244" s="14">
        <v>1078</v>
      </c>
      <c r="AA244" s="14">
        <v>538</v>
      </c>
      <c r="AB244" s="14">
        <v>254</v>
      </c>
      <c r="AC244" s="14">
        <v>243</v>
      </c>
      <c r="AD244" s="14">
        <v>42</v>
      </c>
      <c r="AE244" s="14">
        <v>1840</v>
      </c>
      <c r="AF244" s="14">
        <v>5000</v>
      </c>
      <c r="AG244" s="14">
        <v>2408</v>
      </c>
      <c r="AH244" s="14">
        <v>0</v>
      </c>
      <c r="AI244" s="14">
        <v>57</v>
      </c>
      <c r="AJ244" s="14">
        <v>153</v>
      </c>
      <c r="AK244" s="14" t="s">
        <v>3993</v>
      </c>
      <c r="AL244" s="14" t="s">
        <v>3997</v>
      </c>
      <c r="AM244" s="14">
        <v>230.38</v>
      </c>
      <c r="AN244" s="14">
        <v>184.55</v>
      </c>
      <c r="AO244" s="14">
        <v>155.72</v>
      </c>
      <c r="AP244" s="14">
        <v>18665</v>
      </c>
      <c r="AQ244" s="14">
        <v>18615</v>
      </c>
      <c r="AR244" s="14">
        <v>23000</v>
      </c>
      <c r="AS244" s="14">
        <v>16825</v>
      </c>
      <c r="AT244" s="14">
        <v>17903</v>
      </c>
      <c r="AU244" s="14">
        <v>-3</v>
      </c>
      <c r="AV244" s="14">
        <v>267.44</v>
      </c>
      <c r="AW244" s="14">
        <v>21.21</v>
      </c>
      <c r="AX244" s="14">
        <v>5.2</v>
      </c>
      <c r="AY244" s="14" t="b">
        <v>0</v>
      </c>
    </row>
    <row r="245" spans="1:51" hidden="1" x14ac:dyDescent="0.3">
      <c r="A245" t="str">
        <f>CONCATENATE(I245,E245,LEFT(G245,10))</f>
        <v>HFA601LLHA2026-02-20</v>
      </c>
      <c r="B245" s="14" t="s">
        <v>736</v>
      </c>
      <c r="C245" s="14" t="s">
        <v>336</v>
      </c>
      <c r="D245" s="14" t="s">
        <v>337</v>
      </c>
      <c r="E245" s="14" t="s">
        <v>43</v>
      </c>
      <c r="F245" s="14" t="s">
        <v>59</v>
      </c>
      <c r="G245" s="14" t="s">
        <v>737</v>
      </c>
      <c r="H245" s="14" t="s">
        <v>393</v>
      </c>
      <c r="I245" s="14" t="s">
        <v>57</v>
      </c>
      <c r="J245" s="14" t="s">
        <v>83</v>
      </c>
      <c r="K245" s="14" t="s">
        <v>349</v>
      </c>
      <c r="L245" s="14" t="s">
        <v>341</v>
      </c>
      <c r="M245" s="16" t="s">
        <v>738</v>
      </c>
      <c r="N245" s="14"/>
      <c r="O245" s="14" t="s">
        <v>739</v>
      </c>
      <c r="P245" s="14">
        <v>50</v>
      </c>
      <c r="Q245" s="14">
        <v>2</v>
      </c>
      <c r="R245" s="14">
        <v>4300</v>
      </c>
      <c r="S245" s="14" t="s">
        <v>740</v>
      </c>
      <c r="T245" s="14" t="s">
        <v>741</v>
      </c>
      <c r="U245" s="14">
        <v>0.96861111111111098</v>
      </c>
      <c r="V245" s="14">
        <v>1.17444444444444</v>
      </c>
      <c r="W245" s="14">
        <v>867</v>
      </c>
      <c r="X245" s="14">
        <v>50</v>
      </c>
      <c r="Y245" s="14">
        <v>817</v>
      </c>
      <c r="Z245" s="14">
        <v>951</v>
      </c>
      <c r="AA245" s="14">
        <v>548</v>
      </c>
      <c r="AB245" s="14">
        <v>260</v>
      </c>
      <c r="AC245" s="14">
        <v>100</v>
      </c>
      <c r="AD245" s="14">
        <v>43</v>
      </c>
      <c r="AE245" s="14">
        <v>1818</v>
      </c>
      <c r="AF245" s="14">
        <v>5000</v>
      </c>
      <c r="AG245" s="14">
        <v>2740</v>
      </c>
      <c r="AH245" s="14">
        <v>0</v>
      </c>
      <c r="AI245" s="14">
        <v>59</v>
      </c>
      <c r="AJ245" s="14">
        <v>140</v>
      </c>
      <c r="AK245" s="14" t="s">
        <v>737</v>
      </c>
      <c r="AL245" s="14" t="s">
        <v>742</v>
      </c>
      <c r="AM245" s="14">
        <v>230.38</v>
      </c>
      <c r="AN245" s="14">
        <v>184.55</v>
      </c>
      <c r="AO245" s="14">
        <v>155.72</v>
      </c>
      <c r="AP245" s="14">
        <v>19429</v>
      </c>
      <c r="AQ245" s="14">
        <v>19379</v>
      </c>
      <c r="AR245" s="14">
        <v>23000</v>
      </c>
      <c r="AS245" s="14">
        <v>17611</v>
      </c>
      <c r="AT245" s="14">
        <v>18562</v>
      </c>
      <c r="AU245" s="14">
        <v>-10</v>
      </c>
      <c r="AV245" s="14">
        <v>215.05</v>
      </c>
      <c r="AW245" s="14">
        <v>12.93</v>
      </c>
      <c r="AX245" s="14">
        <v>7</v>
      </c>
      <c r="AY245" s="14" t="b">
        <v>0</v>
      </c>
    </row>
    <row r="246" spans="1:51" hidden="1" x14ac:dyDescent="0.3">
      <c r="A246" t="str">
        <f>CONCATENATE(I246,E246,LEFT(G246,10))</f>
        <v>HFA601LLHA2026-02-22</v>
      </c>
      <c r="B246" s="14" t="s">
        <v>1076</v>
      </c>
      <c r="C246" s="14" t="s">
        <v>336</v>
      </c>
      <c r="D246" s="14" t="s">
        <v>337</v>
      </c>
      <c r="E246" s="14" t="s">
        <v>43</v>
      </c>
      <c r="F246" s="14" t="s">
        <v>59</v>
      </c>
      <c r="G246" s="14" t="s">
        <v>1077</v>
      </c>
      <c r="H246" s="14" t="s">
        <v>339</v>
      </c>
      <c r="I246" s="14" t="s">
        <v>57</v>
      </c>
      <c r="J246" s="14" t="s">
        <v>83</v>
      </c>
      <c r="K246" s="14" t="s">
        <v>349</v>
      </c>
      <c r="L246" s="14" t="s">
        <v>341</v>
      </c>
      <c r="M246" s="16" t="s">
        <v>1078</v>
      </c>
      <c r="N246" s="14"/>
      <c r="O246" s="14" t="s">
        <v>387</v>
      </c>
      <c r="P246" s="14">
        <v>50</v>
      </c>
      <c r="Q246" s="14">
        <v>2</v>
      </c>
      <c r="R246" s="14">
        <v>4700</v>
      </c>
      <c r="S246" s="14" t="s">
        <v>1079</v>
      </c>
      <c r="T246" s="14" t="s">
        <v>1080</v>
      </c>
      <c r="U246" s="14">
        <v>1.0091666666666601</v>
      </c>
      <c r="V246" s="14">
        <v>1.1466666666666601</v>
      </c>
      <c r="W246" s="14">
        <v>802</v>
      </c>
      <c r="X246" s="14">
        <v>50</v>
      </c>
      <c r="Y246" s="14">
        <v>752</v>
      </c>
      <c r="Z246" s="14">
        <v>1098</v>
      </c>
      <c r="AA246" s="14">
        <v>523</v>
      </c>
      <c r="AB246" s="14">
        <v>264</v>
      </c>
      <c r="AC246" s="14">
        <v>267</v>
      </c>
      <c r="AD246" s="14">
        <v>44</v>
      </c>
      <c r="AE246" s="14">
        <v>1900</v>
      </c>
      <c r="AF246" s="14">
        <v>5000</v>
      </c>
      <c r="AG246" s="14">
        <v>2533</v>
      </c>
      <c r="AH246" s="14">
        <v>0</v>
      </c>
      <c r="AI246" s="14">
        <v>60</v>
      </c>
      <c r="AJ246" s="14">
        <v>156</v>
      </c>
      <c r="AK246" s="14" t="s">
        <v>1077</v>
      </c>
      <c r="AL246" s="14" t="s">
        <v>1081</v>
      </c>
      <c r="AM246" s="14">
        <v>230.38</v>
      </c>
      <c r="AN246" s="14">
        <v>184.55</v>
      </c>
      <c r="AO246" s="14">
        <v>155.72</v>
      </c>
      <c r="AP246" s="14">
        <v>19925</v>
      </c>
      <c r="AQ246" s="14">
        <v>19875</v>
      </c>
      <c r="AR246" s="14">
        <v>23000</v>
      </c>
      <c r="AS246" s="14">
        <v>18025</v>
      </c>
      <c r="AT246" s="14">
        <v>19123</v>
      </c>
      <c r="AU246" s="14">
        <v>-14</v>
      </c>
      <c r="AV246" s="14">
        <v>237.98</v>
      </c>
      <c r="AW246" s="14">
        <v>27.86</v>
      </c>
      <c r="AX246" s="14">
        <v>5.51</v>
      </c>
      <c r="AY246" s="14" t="b">
        <v>0</v>
      </c>
    </row>
    <row r="247" spans="1:51" hidden="1" x14ac:dyDescent="0.3">
      <c r="A247" t="str">
        <f>CONCATENATE(I247,E247,LEFT(G247,10))</f>
        <v>HFA601LLHA2026-02-23</v>
      </c>
      <c r="B247" s="14" t="s">
        <v>3798</v>
      </c>
      <c r="C247" s="14" t="s">
        <v>336</v>
      </c>
      <c r="D247" s="14" t="s">
        <v>337</v>
      </c>
      <c r="E247" s="14" t="s">
        <v>43</v>
      </c>
      <c r="F247" s="14" t="s">
        <v>59</v>
      </c>
      <c r="G247" s="14" t="s">
        <v>3799</v>
      </c>
      <c r="H247" s="14" t="s">
        <v>339</v>
      </c>
      <c r="I247" s="14" t="s">
        <v>57</v>
      </c>
      <c r="J247" s="14" t="s">
        <v>83</v>
      </c>
      <c r="K247" s="14" t="s">
        <v>349</v>
      </c>
      <c r="L247" s="14" t="s">
        <v>341</v>
      </c>
      <c r="M247" s="16" t="s">
        <v>3800</v>
      </c>
      <c r="N247" s="14"/>
      <c r="O247" s="14" t="s">
        <v>387</v>
      </c>
      <c r="P247" s="14">
        <v>50</v>
      </c>
      <c r="Q247" s="14">
        <v>2</v>
      </c>
      <c r="R247" s="14">
        <v>6700</v>
      </c>
      <c r="S247" s="14"/>
      <c r="T247" s="14" t="s">
        <v>3801</v>
      </c>
      <c r="U247" s="14"/>
      <c r="V247" s="14">
        <v>1.1352777777777701</v>
      </c>
      <c r="W247" s="14">
        <v>830</v>
      </c>
      <c r="X247" s="14">
        <v>50</v>
      </c>
      <c r="Y247" s="14">
        <v>780</v>
      </c>
      <c r="Z247" s="14">
        <v>1030</v>
      </c>
      <c r="AA247" s="14">
        <v>536</v>
      </c>
      <c r="AB247" s="14">
        <v>282</v>
      </c>
      <c r="AC247" s="14">
        <v>164</v>
      </c>
      <c r="AD247" s="14">
        <v>47</v>
      </c>
      <c r="AE247" s="14">
        <v>1860</v>
      </c>
      <c r="AF247" s="14">
        <v>5000</v>
      </c>
      <c r="AG247" s="14">
        <v>2623</v>
      </c>
      <c r="AH247" s="14">
        <v>0</v>
      </c>
      <c r="AI247" s="14">
        <v>61</v>
      </c>
      <c r="AJ247" s="14">
        <v>148</v>
      </c>
      <c r="AK247" s="14" t="s">
        <v>3799</v>
      </c>
      <c r="AL247" s="14" t="s">
        <v>3802</v>
      </c>
      <c r="AM247" s="14">
        <v>230.38</v>
      </c>
      <c r="AN247" s="14">
        <v>184.55</v>
      </c>
      <c r="AO247" s="14">
        <v>155.72</v>
      </c>
      <c r="AP247" s="14">
        <v>21885</v>
      </c>
      <c r="AQ247" s="14">
        <v>21835</v>
      </c>
      <c r="AR247" s="14">
        <v>23000</v>
      </c>
      <c r="AS247" s="14">
        <v>20025</v>
      </c>
      <c r="AT247" s="14">
        <v>21055</v>
      </c>
      <c r="AU247" s="14">
        <v>-17</v>
      </c>
      <c r="AV247" s="14">
        <v>231.93</v>
      </c>
      <c r="AW247" s="14">
        <v>28.45</v>
      </c>
      <c r="AX247" s="14">
        <v>2.2200000000000002</v>
      </c>
      <c r="AY247" s="14" t="b">
        <v>0</v>
      </c>
    </row>
    <row r="248" spans="1:51" hidden="1" x14ac:dyDescent="0.3">
      <c r="A248" t="str">
        <f>CONCATENATE(I248,E248,LEFT(G248,10))</f>
        <v>HFA601LLHA2026-02-24</v>
      </c>
      <c r="B248" s="14" t="s">
        <v>3723</v>
      </c>
      <c r="C248" s="14" t="s">
        <v>336</v>
      </c>
      <c r="D248" s="14" t="s">
        <v>337</v>
      </c>
      <c r="E248" s="14" t="s">
        <v>43</v>
      </c>
      <c r="F248" s="14" t="s">
        <v>59</v>
      </c>
      <c r="G248" s="14" t="s">
        <v>3724</v>
      </c>
      <c r="H248" s="14" t="s">
        <v>339</v>
      </c>
      <c r="I248" s="14" t="s">
        <v>57</v>
      </c>
      <c r="J248" s="14" t="s">
        <v>83</v>
      </c>
      <c r="K248" s="14" t="s">
        <v>349</v>
      </c>
      <c r="L248" s="14" t="s">
        <v>341</v>
      </c>
      <c r="M248" s="16" t="s">
        <v>3725</v>
      </c>
      <c r="N248" s="14"/>
      <c r="O248" s="14" t="s">
        <v>3696</v>
      </c>
      <c r="P248" s="14">
        <v>50</v>
      </c>
      <c r="Q248" s="14">
        <v>2</v>
      </c>
      <c r="R248" s="14">
        <v>6500</v>
      </c>
      <c r="S248" s="14" t="s">
        <v>3726</v>
      </c>
      <c r="T248" s="14" t="s">
        <v>3727</v>
      </c>
      <c r="U248" s="14">
        <v>0.87</v>
      </c>
      <c r="V248" s="14">
        <v>1.01388888888888</v>
      </c>
      <c r="W248" s="14">
        <v>770</v>
      </c>
      <c r="X248" s="14">
        <v>50</v>
      </c>
      <c r="Y248" s="14">
        <v>720</v>
      </c>
      <c r="Z248" s="14">
        <v>1015</v>
      </c>
      <c r="AA248" s="14">
        <v>588</v>
      </c>
      <c r="AB248" s="14">
        <v>280</v>
      </c>
      <c r="AC248" s="14">
        <v>100</v>
      </c>
      <c r="AD248" s="14">
        <v>47</v>
      </c>
      <c r="AE248" s="14">
        <v>1785</v>
      </c>
      <c r="AF248" s="14">
        <v>5000</v>
      </c>
      <c r="AG248" s="14">
        <v>2433</v>
      </c>
      <c r="AH248" s="14">
        <v>0</v>
      </c>
      <c r="AI248" s="14">
        <v>55</v>
      </c>
      <c r="AJ248" s="14">
        <v>139</v>
      </c>
      <c r="AK248" s="14" t="s">
        <v>3724</v>
      </c>
      <c r="AL248" s="14" t="s">
        <v>3728</v>
      </c>
      <c r="AM248" s="14">
        <v>230.38</v>
      </c>
      <c r="AN248" s="14">
        <v>184.55</v>
      </c>
      <c r="AO248" s="14">
        <v>155.72</v>
      </c>
      <c r="AP248" s="14">
        <v>21610</v>
      </c>
      <c r="AQ248" s="14">
        <v>21560</v>
      </c>
      <c r="AR248" s="14">
        <v>23000</v>
      </c>
      <c r="AS248" s="14">
        <v>19825</v>
      </c>
      <c r="AT248" s="14">
        <v>20840</v>
      </c>
      <c r="AU248" s="14">
        <v>7</v>
      </c>
      <c r="AV248" s="14">
        <v>298.85000000000002</v>
      </c>
      <c r="AW248" s="14">
        <v>22.93</v>
      </c>
      <c r="AX248" s="14">
        <v>-1.26</v>
      </c>
      <c r="AY248" s="14" t="b">
        <v>0</v>
      </c>
    </row>
    <row r="249" spans="1:51" hidden="1" x14ac:dyDescent="0.3">
      <c r="A249" t="str">
        <f>CONCATENATE(I249,E249,LEFT(G249,10))</f>
        <v>HFA601LLHA2026-02-25</v>
      </c>
      <c r="B249" s="15" t="s">
        <v>3627</v>
      </c>
      <c r="C249" s="14" t="s">
        <v>336</v>
      </c>
      <c r="D249" s="14" t="s">
        <v>337</v>
      </c>
      <c r="E249" s="14" t="s">
        <v>43</v>
      </c>
      <c r="F249" s="14" t="s">
        <v>59</v>
      </c>
      <c r="G249" s="14" t="s">
        <v>3628</v>
      </c>
      <c r="H249" s="14" t="s">
        <v>339</v>
      </c>
      <c r="I249" s="14" t="s">
        <v>57</v>
      </c>
      <c r="J249" s="14" t="s">
        <v>83</v>
      </c>
      <c r="K249" s="14" t="s">
        <v>349</v>
      </c>
      <c r="L249" s="14" t="s">
        <v>341</v>
      </c>
      <c r="M249" s="16" t="s">
        <v>3629</v>
      </c>
      <c r="N249" s="14"/>
      <c r="O249" s="14" t="s">
        <v>387</v>
      </c>
      <c r="P249" s="14">
        <v>50</v>
      </c>
      <c r="Q249" s="14">
        <v>3</v>
      </c>
      <c r="R249" s="14">
        <v>2200</v>
      </c>
      <c r="S249" s="14" t="s">
        <v>3630</v>
      </c>
      <c r="T249" s="14" t="s">
        <v>3631</v>
      </c>
      <c r="U249" s="14">
        <v>1.0261111111111101</v>
      </c>
      <c r="V249" s="14">
        <v>1.1311111111111101</v>
      </c>
      <c r="W249" s="14">
        <v>766</v>
      </c>
      <c r="X249" s="14">
        <v>50</v>
      </c>
      <c r="Y249" s="14">
        <v>716</v>
      </c>
      <c r="Z249" s="14">
        <v>1094</v>
      </c>
      <c r="AA249" s="14">
        <v>533</v>
      </c>
      <c r="AB249" s="14">
        <v>245</v>
      </c>
      <c r="AC249" s="14">
        <v>275</v>
      </c>
      <c r="AD249" s="14">
        <v>41</v>
      </c>
      <c r="AE249" s="14">
        <v>1860</v>
      </c>
      <c r="AF249" s="14">
        <v>5000</v>
      </c>
      <c r="AG249" s="14">
        <v>2421</v>
      </c>
      <c r="AH249" s="14">
        <v>0</v>
      </c>
      <c r="AI249" s="14">
        <v>57</v>
      </c>
      <c r="AJ249" s="14">
        <v>153</v>
      </c>
      <c r="AK249" s="14" t="s">
        <v>3628</v>
      </c>
      <c r="AL249" s="14" t="s">
        <v>3632</v>
      </c>
      <c r="AM249" s="14">
        <v>230.38</v>
      </c>
      <c r="AN249" s="14">
        <v>184.55</v>
      </c>
      <c r="AO249" s="14">
        <v>155.72</v>
      </c>
      <c r="AP249" s="14">
        <v>17385</v>
      </c>
      <c r="AQ249" s="14">
        <v>17335</v>
      </c>
      <c r="AR249" s="14">
        <v>23000</v>
      </c>
      <c r="AS249" s="14">
        <v>15525</v>
      </c>
      <c r="AT249" s="14">
        <v>16619</v>
      </c>
      <c r="AU249" s="14">
        <v>-5</v>
      </c>
      <c r="AV249" s="14">
        <v>255.13</v>
      </c>
      <c r="AW249" s="14">
        <v>18.739999999999998</v>
      </c>
      <c r="AX249" s="14">
        <v>3.29</v>
      </c>
      <c r="AY249" s="14" t="b">
        <v>0</v>
      </c>
    </row>
    <row r="250" spans="1:51" hidden="1" x14ac:dyDescent="0.3">
      <c r="A250" t="str">
        <f>CONCATENATE(I250,E250,LEFT(G250,10))</f>
        <v>HFA601LLHA2026-02-26</v>
      </c>
      <c r="B250" s="14" t="s">
        <v>3545</v>
      </c>
      <c r="C250" s="14" t="s">
        <v>336</v>
      </c>
      <c r="D250" s="14" t="s">
        <v>337</v>
      </c>
      <c r="E250" s="14" t="s">
        <v>43</v>
      </c>
      <c r="F250" s="14" t="s">
        <v>59</v>
      </c>
      <c r="G250" s="14" t="s">
        <v>3546</v>
      </c>
      <c r="H250" s="14" t="s">
        <v>371</v>
      </c>
      <c r="I250" s="14" t="s">
        <v>57</v>
      </c>
      <c r="J250" s="14" t="s">
        <v>83</v>
      </c>
      <c r="K250" s="14" t="s">
        <v>349</v>
      </c>
      <c r="L250" s="14" t="s">
        <v>341</v>
      </c>
      <c r="M250" s="16" t="s">
        <v>3547</v>
      </c>
      <c r="N250" s="14"/>
      <c r="O250" s="14" t="s">
        <v>387</v>
      </c>
      <c r="P250" s="14">
        <v>50</v>
      </c>
      <c r="Q250" s="14">
        <v>2</v>
      </c>
      <c r="R250" s="14">
        <v>4600</v>
      </c>
      <c r="S250" s="14" t="s">
        <v>3548</v>
      </c>
      <c r="T250" s="14" t="s">
        <v>3549</v>
      </c>
      <c r="U250" s="14">
        <v>0.850833333333333</v>
      </c>
      <c r="V250" s="14">
        <v>0.97361111111111098</v>
      </c>
      <c r="W250" s="14">
        <v>785</v>
      </c>
      <c r="X250" s="14">
        <v>50</v>
      </c>
      <c r="Y250" s="14">
        <v>735</v>
      </c>
      <c r="Z250" s="14">
        <v>1115</v>
      </c>
      <c r="AA250" s="14">
        <v>578</v>
      </c>
      <c r="AB250" s="14">
        <v>265</v>
      </c>
      <c r="AC250" s="14">
        <v>228</v>
      </c>
      <c r="AD250" s="14">
        <v>44</v>
      </c>
      <c r="AE250" s="14">
        <v>1900</v>
      </c>
      <c r="AF250" s="14">
        <v>5000</v>
      </c>
      <c r="AG250" s="14">
        <v>2479</v>
      </c>
      <c r="AH250" s="14">
        <v>0</v>
      </c>
      <c r="AI250" s="14">
        <v>57</v>
      </c>
      <c r="AJ250" s="14">
        <v>151</v>
      </c>
      <c r="AK250" s="14" t="s">
        <v>3546</v>
      </c>
      <c r="AL250" s="14" t="s">
        <v>3550</v>
      </c>
      <c r="AM250" s="14">
        <v>230.38</v>
      </c>
      <c r="AN250" s="14">
        <v>184.55</v>
      </c>
      <c r="AO250" s="14">
        <v>155.72</v>
      </c>
      <c r="AP250" s="14">
        <v>20000</v>
      </c>
      <c r="AQ250" s="14">
        <v>19950</v>
      </c>
      <c r="AR250" s="14">
        <v>23000</v>
      </c>
      <c r="AS250" s="14">
        <v>18100</v>
      </c>
      <c r="AT250" s="14">
        <v>19215</v>
      </c>
      <c r="AU250" s="14">
        <v>0</v>
      </c>
      <c r="AV250" s="14">
        <v>275.12</v>
      </c>
      <c r="AW250" s="14">
        <v>32.07</v>
      </c>
      <c r="AX250" s="14">
        <v>3.36</v>
      </c>
      <c r="AY250" s="14" t="b">
        <v>0</v>
      </c>
    </row>
    <row r="251" spans="1:51" hidden="1" x14ac:dyDescent="0.3">
      <c r="A251" t="str">
        <f>CONCATENATE(I251,E251,LEFT(G251,10))</f>
        <v>HFA601LLHA2026-02-27</v>
      </c>
      <c r="B251" s="14" t="s">
        <v>3427</v>
      </c>
      <c r="C251" s="14" t="s">
        <v>336</v>
      </c>
      <c r="D251" s="14" t="s">
        <v>337</v>
      </c>
      <c r="E251" s="14" t="s">
        <v>43</v>
      </c>
      <c r="F251" s="14" t="s">
        <v>59</v>
      </c>
      <c r="G251" s="14" t="s">
        <v>3428</v>
      </c>
      <c r="H251" s="14" t="s">
        <v>339</v>
      </c>
      <c r="I251" s="14" t="s">
        <v>57</v>
      </c>
      <c r="J251" s="14" t="s">
        <v>83</v>
      </c>
      <c r="K251" s="14" t="s">
        <v>349</v>
      </c>
      <c r="L251" s="14" t="s">
        <v>341</v>
      </c>
      <c r="M251" s="16" t="s">
        <v>3429</v>
      </c>
      <c r="N251" s="14"/>
      <c r="O251" s="14" t="s">
        <v>3430</v>
      </c>
      <c r="P251" s="14">
        <v>50</v>
      </c>
      <c r="Q251" s="14">
        <v>2</v>
      </c>
      <c r="R251" s="14">
        <v>4000</v>
      </c>
      <c r="S251" s="14" t="s">
        <v>3431</v>
      </c>
      <c r="T251" s="14" t="s">
        <v>3432</v>
      </c>
      <c r="U251" s="14">
        <v>0.79888888888888798</v>
      </c>
      <c r="V251" s="14">
        <v>0.98833333333333295</v>
      </c>
      <c r="W251" s="14">
        <v>751</v>
      </c>
      <c r="X251" s="14">
        <v>50</v>
      </c>
      <c r="Y251" s="14">
        <v>701</v>
      </c>
      <c r="Z251" s="14">
        <v>1149</v>
      </c>
      <c r="AA251" s="14">
        <v>584</v>
      </c>
      <c r="AB251" s="14">
        <v>259</v>
      </c>
      <c r="AC251" s="14">
        <v>263</v>
      </c>
      <c r="AD251" s="14">
        <v>43</v>
      </c>
      <c r="AE251" s="14">
        <v>1900</v>
      </c>
      <c r="AF251" s="14">
        <v>5000</v>
      </c>
      <c r="AG251" s="14">
        <v>2372</v>
      </c>
      <c r="AH251" s="14">
        <v>0</v>
      </c>
      <c r="AI251" s="14">
        <v>55</v>
      </c>
      <c r="AJ251" s="14">
        <v>154</v>
      </c>
      <c r="AK251" s="14" t="s">
        <v>3428</v>
      </c>
      <c r="AL251" s="14" t="s">
        <v>3433</v>
      </c>
      <c r="AM251" s="14">
        <v>230.38</v>
      </c>
      <c r="AN251" s="14">
        <v>184.55</v>
      </c>
      <c r="AO251" s="14">
        <v>155.72</v>
      </c>
      <c r="AP251" s="14">
        <v>19225</v>
      </c>
      <c r="AQ251" s="14">
        <v>19175</v>
      </c>
      <c r="AR251" s="14">
        <v>23000</v>
      </c>
      <c r="AS251" s="14">
        <v>17325</v>
      </c>
      <c r="AT251" s="14">
        <v>18474</v>
      </c>
      <c r="AU251" s="14">
        <v>7</v>
      </c>
      <c r="AV251" s="14">
        <v>294.94</v>
      </c>
      <c r="AW251" s="14">
        <v>33.76</v>
      </c>
      <c r="AX251" s="14">
        <v>0.82</v>
      </c>
      <c r="AY251" s="14" t="b">
        <v>0</v>
      </c>
    </row>
    <row r="252" spans="1:51" hidden="1" x14ac:dyDescent="0.3">
      <c r="A252" t="str">
        <f>CONCATENATE(I252,E252,LEFT(G252,10))</f>
        <v>HFA602LLER2026-01-01</v>
      </c>
      <c r="B252" s="14" t="s">
        <v>4548</v>
      </c>
      <c r="C252" s="14" t="s">
        <v>336</v>
      </c>
      <c r="D252" s="14" t="s">
        <v>337</v>
      </c>
      <c r="E252" s="14" t="s">
        <v>59</v>
      </c>
      <c r="F252" s="14" t="s">
        <v>43</v>
      </c>
      <c r="G252" s="14" t="s">
        <v>4549</v>
      </c>
      <c r="H252" s="14" t="s">
        <v>393</v>
      </c>
      <c r="I252" s="14" t="s">
        <v>61</v>
      </c>
      <c r="J252" s="14" t="s">
        <v>83</v>
      </c>
      <c r="K252" s="14" t="s">
        <v>340</v>
      </c>
      <c r="L252" s="14" t="s">
        <v>341</v>
      </c>
      <c r="M252" s="16" t="s">
        <v>4550</v>
      </c>
      <c r="N252" s="14"/>
      <c r="O252" s="14" t="s">
        <v>4551</v>
      </c>
      <c r="P252" s="14">
        <v>120</v>
      </c>
      <c r="Q252" s="14">
        <v>2</v>
      </c>
      <c r="R252" s="14">
        <v>3400</v>
      </c>
      <c r="S252" s="14" t="s">
        <v>4552</v>
      </c>
      <c r="T252" s="14" t="s">
        <v>4553</v>
      </c>
      <c r="U252" s="14">
        <v>0.86166666666666603</v>
      </c>
      <c r="V252" s="14">
        <v>1.0649999999999999</v>
      </c>
      <c r="W252" s="14">
        <v>776</v>
      </c>
      <c r="X252" s="14">
        <v>80</v>
      </c>
      <c r="Y252" s="14">
        <v>696</v>
      </c>
      <c r="Z252" s="14">
        <v>1924</v>
      </c>
      <c r="AA252" s="14">
        <v>275</v>
      </c>
      <c r="AB252" s="14">
        <v>261</v>
      </c>
      <c r="AC252" s="14">
        <v>1345</v>
      </c>
      <c r="AD252" s="14">
        <v>44</v>
      </c>
      <c r="AE252" s="14">
        <v>2700</v>
      </c>
      <c r="AF252" s="14">
        <v>5000</v>
      </c>
      <c r="AG252" s="14">
        <v>2452</v>
      </c>
      <c r="AH252" s="14">
        <v>0</v>
      </c>
      <c r="AI252" s="14">
        <v>49</v>
      </c>
      <c r="AJ252" s="14">
        <v>212</v>
      </c>
      <c r="AK252" s="14" t="s">
        <v>4549</v>
      </c>
      <c r="AL252" s="14" t="s">
        <v>4554</v>
      </c>
      <c r="AM252" s="14">
        <v>202.56</v>
      </c>
      <c r="AN252" s="14">
        <v>184.55</v>
      </c>
      <c r="AO252" s="14">
        <v>54.99</v>
      </c>
      <c r="AP252" s="14">
        <v>19411</v>
      </c>
      <c r="AQ252" s="14">
        <v>19331</v>
      </c>
      <c r="AR252" s="14">
        <v>23000</v>
      </c>
      <c r="AS252" s="14">
        <v>16711</v>
      </c>
      <c r="AT252" s="14">
        <v>18635</v>
      </c>
      <c r="AU252" s="14">
        <v>5</v>
      </c>
      <c r="AV252" s="14">
        <v>260.63</v>
      </c>
      <c r="AW252" s="14">
        <v>39.700000000000003</v>
      </c>
      <c r="AX252" s="14">
        <v>2.2400000000000002</v>
      </c>
      <c r="AY252" s="14" t="b">
        <v>0</v>
      </c>
    </row>
    <row r="253" spans="1:51" hidden="1" x14ac:dyDescent="0.3">
      <c r="A253" t="str">
        <f>CONCATENATE(I253,E253,LEFT(G253,10))</f>
        <v>HFA602LLER2026-01-02</v>
      </c>
      <c r="B253" s="14" t="s">
        <v>6244</v>
      </c>
      <c r="C253" s="14" t="s">
        <v>336</v>
      </c>
      <c r="D253" s="14" t="s">
        <v>337</v>
      </c>
      <c r="E253" s="14" t="s">
        <v>59</v>
      </c>
      <c r="F253" s="14" t="s">
        <v>43</v>
      </c>
      <c r="G253" s="14" t="s">
        <v>6245</v>
      </c>
      <c r="H253" s="14" t="s">
        <v>339</v>
      </c>
      <c r="I253" s="14" t="s">
        <v>61</v>
      </c>
      <c r="J253" s="14" t="s">
        <v>83</v>
      </c>
      <c r="K253" s="14" t="s">
        <v>340</v>
      </c>
      <c r="L253" s="14" t="s">
        <v>341</v>
      </c>
      <c r="M253" s="16" t="s">
        <v>1688</v>
      </c>
      <c r="N253" s="14"/>
      <c r="O253" s="14" t="s">
        <v>395</v>
      </c>
      <c r="P253" s="14">
        <v>120</v>
      </c>
      <c r="Q253" s="14">
        <v>2</v>
      </c>
      <c r="R253" s="14">
        <v>6500</v>
      </c>
      <c r="S253" s="14" t="s">
        <v>6246</v>
      </c>
      <c r="T253" s="14" t="s">
        <v>6247</v>
      </c>
      <c r="U253" s="14">
        <v>0.89</v>
      </c>
      <c r="V253" s="14">
        <v>1.0805555555555499</v>
      </c>
      <c r="W253" s="14">
        <v>721</v>
      </c>
      <c r="X253" s="14">
        <v>80</v>
      </c>
      <c r="Y253" s="14">
        <v>641</v>
      </c>
      <c r="Z253" s="14">
        <v>1579</v>
      </c>
      <c r="AA253" s="14">
        <v>262</v>
      </c>
      <c r="AB253" s="14">
        <v>286</v>
      </c>
      <c r="AC253" s="14">
        <v>982</v>
      </c>
      <c r="AD253" s="14">
        <v>48</v>
      </c>
      <c r="AE253" s="14">
        <v>2300</v>
      </c>
      <c r="AF253" s="14">
        <v>5000</v>
      </c>
      <c r="AG253" s="14">
        <v>2279</v>
      </c>
      <c r="AH253" s="14">
        <v>0</v>
      </c>
      <c r="AI253" s="14">
        <v>51</v>
      </c>
      <c r="AJ253" s="14">
        <v>190</v>
      </c>
      <c r="AK253" s="14" t="s">
        <v>6245</v>
      </c>
      <c r="AL253" s="14" t="s">
        <v>6248</v>
      </c>
      <c r="AM253" s="14">
        <v>202.63</v>
      </c>
      <c r="AN253" s="14">
        <v>184.55</v>
      </c>
      <c r="AO253" s="14">
        <v>54.99</v>
      </c>
      <c r="AP253" s="14">
        <v>22125</v>
      </c>
      <c r="AQ253" s="14">
        <v>22045</v>
      </c>
      <c r="AR253" s="14">
        <v>23000</v>
      </c>
      <c r="AS253" s="14">
        <v>19825</v>
      </c>
      <c r="AT253" s="14">
        <v>21404</v>
      </c>
      <c r="AU253" s="14">
        <v>2</v>
      </c>
      <c r="AV253" s="14">
        <v>262.95999999999998</v>
      </c>
      <c r="AW253" s="14">
        <v>28.79</v>
      </c>
      <c r="AX253" s="14">
        <v>-0.45</v>
      </c>
      <c r="AY253" s="14" t="b">
        <v>0</v>
      </c>
    </row>
    <row r="254" spans="1:51" hidden="1" x14ac:dyDescent="0.3">
      <c r="A254" t="str">
        <f>CONCATENATE(I254,E254,LEFT(G254,10))</f>
        <v>HFA602LLER2026-01-04</v>
      </c>
      <c r="B254" s="14" t="s">
        <v>5389</v>
      </c>
      <c r="C254" s="14" t="s">
        <v>336</v>
      </c>
      <c r="D254" s="14" t="s">
        <v>337</v>
      </c>
      <c r="E254" s="14" t="s">
        <v>59</v>
      </c>
      <c r="F254" s="14" t="s">
        <v>43</v>
      </c>
      <c r="G254" s="14" t="s">
        <v>5390</v>
      </c>
      <c r="H254" s="14" t="s">
        <v>339</v>
      </c>
      <c r="I254" s="14" t="s">
        <v>61</v>
      </c>
      <c r="J254" s="14" t="s">
        <v>83</v>
      </c>
      <c r="K254" s="14" t="s">
        <v>340</v>
      </c>
      <c r="L254" s="14" t="s">
        <v>341</v>
      </c>
      <c r="M254" s="16" t="s">
        <v>731</v>
      </c>
      <c r="N254" s="14"/>
      <c r="O254" s="14" t="s">
        <v>5391</v>
      </c>
      <c r="P254" s="14">
        <v>120</v>
      </c>
      <c r="Q254" s="14">
        <v>2</v>
      </c>
      <c r="R254" s="14">
        <v>3250</v>
      </c>
      <c r="S254" s="14" t="s">
        <v>5392</v>
      </c>
      <c r="T254" s="14" t="s">
        <v>5393</v>
      </c>
      <c r="U254" s="14">
        <v>0.83499999999999996</v>
      </c>
      <c r="V254" s="14">
        <v>1.02722222222222</v>
      </c>
      <c r="W254" s="14">
        <v>683</v>
      </c>
      <c r="X254" s="14">
        <v>80</v>
      </c>
      <c r="Y254" s="14">
        <v>603</v>
      </c>
      <c r="Z254" s="14">
        <v>1817</v>
      </c>
      <c r="AA254" s="14">
        <v>258</v>
      </c>
      <c r="AB254" s="14">
        <v>259</v>
      </c>
      <c r="AC254" s="14">
        <v>1257</v>
      </c>
      <c r="AD254" s="14">
        <v>43</v>
      </c>
      <c r="AE254" s="14">
        <v>2500</v>
      </c>
      <c r="AF254" s="14">
        <v>5000</v>
      </c>
      <c r="AG254" s="14">
        <v>2157</v>
      </c>
      <c r="AH254" s="14">
        <v>0</v>
      </c>
      <c r="AI254" s="14">
        <v>49</v>
      </c>
      <c r="AJ254" s="14">
        <v>214</v>
      </c>
      <c r="AK254" s="14" t="s">
        <v>5390</v>
      </c>
      <c r="AL254" s="14" t="s">
        <v>5394</v>
      </c>
      <c r="AM254" s="14">
        <v>202.56</v>
      </c>
      <c r="AN254" s="14">
        <v>184.55</v>
      </c>
      <c r="AO254" s="14">
        <v>54.99</v>
      </c>
      <c r="AP254" s="14">
        <v>19075</v>
      </c>
      <c r="AQ254" s="14">
        <v>18995</v>
      </c>
      <c r="AR254" s="14">
        <v>23000</v>
      </c>
      <c r="AS254" s="14">
        <v>16575</v>
      </c>
      <c r="AT254" s="14">
        <v>18392</v>
      </c>
      <c r="AU254" s="14">
        <v>7</v>
      </c>
      <c r="AV254" s="14">
        <v>151.54</v>
      </c>
      <c r="AW254" s="14">
        <v>9.1999999999999993</v>
      </c>
      <c r="AX254" s="14">
        <v>6.06</v>
      </c>
      <c r="AY254" s="14" t="b">
        <v>0</v>
      </c>
    </row>
    <row r="255" spans="1:51" hidden="1" x14ac:dyDescent="0.3">
      <c r="A255" t="str">
        <f>CONCATENATE(I255,E255,LEFT(G255,10))</f>
        <v>HFA602LLER2026-01-05</v>
      </c>
      <c r="B255" s="14" t="s">
        <v>1723</v>
      </c>
      <c r="C255" s="14" t="s">
        <v>336</v>
      </c>
      <c r="D255" s="14" t="s">
        <v>337</v>
      </c>
      <c r="E255" s="14" t="s">
        <v>59</v>
      </c>
      <c r="F255" s="14" t="s">
        <v>43</v>
      </c>
      <c r="G255" s="14" t="s">
        <v>1724</v>
      </c>
      <c r="H255" s="14" t="s">
        <v>339</v>
      </c>
      <c r="I255" s="14" t="s">
        <v>61</v>
      </c>
      <c r="J255" s="14" t="s">
        <v>83</v>
      </c>
      <c r="K255" s="14" t="s">
        <v>340</v>
      </c>
      <c r="L255" s="14" t="s">
        <v>341</v>
      </c>
      <c r="M255" s="16" t="s">
        <v>1688</v>
      </c>
      <c r="N255" s="14"/>
      <c r="O255" s="14" t="s">
        <v>1725</v>
      </c>
      <c r="P255" s="14">
        <v>120</v>
      </c>
      <c r="Q255" s="14">
        <v>3</v>
      </c>
      <c r="R255" s="14">
        <v>3000</v>
      </c>
      <c r="S255" s="14" t="s">
        <v>1726</v>
      </c>
      <c r="T255" s="14" t="s">
        <v>1727</v>
      </c>
      <c r="U255" s="14">
        <v>0.90944444444444394</v>
      </c>
      <c r="V255" s="14">
        <v>1.1327777777777699</v>
      </c>
      <c r="W255" s="14">
        <v>682</v>
      </c>
      <c r="X255" s="14">
        <v>80</v>
      </c>
      <c r="Y255" s="14">
        <v>602</v>
      </c>
      <c r="Z255" s="14">
        <v>1418</v>
      </c>
      <c r="AA255" s="14">
        <v>247</v>
      </c>
      <c r="AB255" s="14">
        <v>254</v>
      </c>
      <c r="AC255" s="14">
        <v>875</v>
      </c>
      <c r="AD255" s="14">
        <v>42</v>
      </c>
      <c r="AE255" s="14">
        <v>2100</v>
      </c>
      <c r="AF255" s="14">
        <v>5000</v>
      </c>
      <c r="AG255" s="14">
        <v>2155</v>
      </c>
      <c r="AH255" s="14">
        <v>0</v>
      </c>
      <c r="AI255" s="14">
        <v>50</v>
      </c>
      <c r="AJ255" s="14">
        <v>180</v>
      </c>
      <c r="AK255" s="14" t="s">
        <v>1724</v>
      </c>
      <c r="AL255" s="14" t="s">
        <v>1728</v>
      </c>
      <c r="AM255" s="14">
        <v>202.63</v>
      </c>
      <c r="AN255" s="14">
        <v>184.55</v>
      </c>
      <c r="AO255" s="14">
        <v>54.99</v>
      </c>
      <c r="AP255" s="14">
        <v>18425</v>
      </c>
      <c r="AQ255" s="14">
        <v>18345</v>
      </c>
      <c r="AR255" s="14">
        <v>23000</v>
      </c>
      <c r="AS255" s="14">
        <v>16325</v>
      </c>
      <c r="AT255" s="14">
        <v>17743</v>
      </c>
      <c r="AU255" s="14">
        <v>2</v>
      </c>
      <c r="AV255" s="14">
        <v>173.41</v>
      </c>
      <c r="AW255" s="14">
        <v>3.18</v>
      </c>
      <c r="AX255" s="14">
        <v>7.08</v>
      </c>
      <c r="AY255" s="14" t="b">
        <v>0</v>
      </c>
    </row>
    <row r="256" spans="1:51" hidden="1" x14ac:dyDescent="0.3">
      <c r="A256" t="str">
        <f>CONCATENATE(I256,E256,LEFT(G256,10))</f>
        <v>HFA602LLER2026-01-06</v>
      </c>
      <c r="B256" s="14" t="s">
        <v>4858</v>
      </c>
      <c r="C256" s="14" t="s">
        <v>336</v>
      </c>
      <c r="D256" s="14" t="s">
        <v>337</v>
      </c>
      <c r="E256" s="14" t="s">
        <v>59</v>
      </c>
      <c r="F256" s="14" t="s">
        <v>43</v>
      </c>
      <c r="G256" s="14" t="s">
        <v>4859</v>
      </c>
      <c r="H256" s="14" t="s">
        <v>357</v>
      </c>
      <c r="I256" s="14" t="s">
        <v>61</v>
      </c>
      <c r="J256" s="14" t="s">
        <v>83</v>
      </c>
      <c r="K256" s="14" t="s">
        <v>340</v>
      </c>
      <c r="L256" s="14" t="s">
        <v>341</v>
      </c>
      <c r="M256" s="16" t="s">
        <v>4860</v>
      </c>
      <c r="N256" s="14" t="s">
        <v>359</v>
      </c>
      <c r="O256" s="14" t="s">
        <v>4861</v>
      </c>
      <c r="P256" s="14">
        <v>120</v>
      </c>
      <c r="Q256" s="14">
        <v>2</v>
      </c>
      <c r="R256" s="14">
        <v>4100</v>
      </c>
      <c r="S256" s="14" t="s">
        <v>4862</v>
      </c>
      <c r="T256" s="14" t="s">
        <v>4863</v>
      </c>
      <c r="U256" s="14">
        <v>0.87583333333333302</v>
      </c>
      <c r="V256" s="14">
        <v>1.04944444444444</v>
      </c>
      <c r="W256" s="14">
        <v>691</v>
      </c>
      <c r="X256" s="14">
        <v>80</v>
      </c>
      <c r="Y256" s="14">
        <v>611</v>
      </c>
      <c r="Z256" s="14">
        <v>1808</v>
      </c>
      <c r="AA256" s="14">
        <v>255</v>
      </c>
      <c r="AB256" s="14">
        <v>265</v>
      </c>
      <c r="AC256" s="14">
        <v>1244</v>
      </c>
      <c r="AD256" s="14">
        <v>44</v>
      </c>
      <c r="AE256" s="14">
        <v>2500</v>
      </c>
      <c r="AF256" s="14">
        <v>5000</v>
      </c>
      <c r="AG256" s="14">
        <v>2185</v>
      </c>
      <c r="AH256" s="14">
        <v>0</v>
      </c>
      <c r="AI256" s="14">
        <v>49</v>
      </c>
      <c r="AJ256" s="14">
        <v>213</v>
      </c>
      <c r="AK256" s="14" t="s">
        <v>4859</v>
      </c>
      <c r="AL256" s="14" t="s">
        <v>4864</v>
      </c>
      <c r="AM256" s="14">
        <v>202.56</v>
      </c>
      <c r="AN256" s="14">
        <v>184.55</v>
      </c>
      <c r="AO256" s="14">
        <v>54.99</v>
      </c>
      <c r="AP256" s="14">
        <v>19825</v>
      </c>
      <c r="AQ256" s="14">
        <v>19745</v>
      </c>
      <c r="AR256" s="14">
        <v>23000</v>
      </c>
      <c r="AS256" s="14">
        <v>17325</v>
      </c>
      <c r="AT256" s="14">
        <v>19134</v>
      </c>
      <c r="AU256" s="14">
        <v>4</v>
      </c>
      <c r="AV256" s="14">
        <v>246.51</v>
      </c>
      <c r="AW256" s="14">
        <v>12.2</v>
      </c>
      <c r="AX256" s="14">
        <v>7.8</v>
      </c>
      <c r="AY256" s="14" t="b">
        <v>0</v>
      </c>
    </row>
    <row r="257" spans="1:51" hidden="1" x14ac:dyDescent="0.3">
      <c r="A257" t="str">
        <f>CONCATENATE(I257,E257,LEFT(G257,10))</f>
        <v>HFA602LLER2026-01-07</v>
      </c>
      <c r="B257" s="14" t="s">
        <v>1454</v>
      </c>
      <c r="C257" s="14" t="s">
        <v>336</v>
      </c>
      <c r="D257" s="14" t="s">
        <v>337</v>
      </c>
      <c r="E257" s="14" t="s">
        <v>59</v>
      </c>
      <c r="F257" s="14" t="s">
        <v>43</v>
      </c>
      <c r="G257" s="14" t="s">
        <v>1455</v>
      </c>
      <c r="H257" s="14" t="s">
        <v>339</v>
      </c>
      <c r="I257" s="14" t="s">
        <v>61</v>
      </c>
      <c r="J257" s="14" t="s">
        <v>83</v>
      </c>
      <c r="K257" s="14" t="s">
        <v>340</v>
      </c>
      <c r="L257" s="14" t="s">
        <v>341</v>
      </c>
      <c r="M257" s="16" t="s">
        <v>543</v>
      </c>
      <c r="N257" s="14"/>
      <c r="O257" s="14" t="s">
        <v>395</v>
      </c>
      <c r="P257" s="14">
        <v>120</v>
      </c>
      <c r="Q257" s="14">
        <v>3</v>
      </c>
      <c r="R257" s="14">
        <v>4500</v>
      </c>
      <c r="S257" s="14" t="s">
        <v>1456</v>
      </c>
      <c r="T257" s="14" t="s">
        <v>1457</v>
      </c>
      <c r="U257" s="14">
        <v>0.94416666666666604</v>
      </c>
      <c r="V257" s="14">
        <v>1.04972222222222</v>
      </c>
      <c r="W257" s="14">
        <v>711</v>
      </c>
      <c r="X257" s="14">
        <v>80</v>
      </c>
      <c r="Y257" s="14">
        <v>631</v>
      </c>
      <c r="Z257" s="14">
        <v>1489</v>
      </c>
      <c r="AA257" s="14">
        <v>248</v>
      </c>
      <c r="AB257" s="14">
        <v>267</v>
      </c>
      <c r="AC257" s="14">
        <v>931</v>
      </c>
      <c r="AD257" s="14">
        <v>44</v>
      </c>
      <c r="AE257" s="14">
        <v>2200</v>
      </c>
      <c r="AF257" s="14">
        <v>5000</v>
      </c>
      <c r="AG257" s="14">
        <v>2246</v>
      </c>
      <c r="AH257" s="14">
        <v>0</v>
      </c>
      <c r="AI257" s="14">
        <v>51</v>
      </c>
      <c r="AJ257" s="14">
        <v>186</v>
      </c>
      <c r="AK257" s="14" t="s">
        <v>1455</v>
      </c>
      <c r="AL257" s="14" t="s">
        <v>1458</v>
      </c>
      <c r="AM257" s="14">
        <v>202.63</v>
      </c>
      <c r="AN257" s="14">
        <v>184.55</v>
      </c>
      <c r="AO257" s="14">
        <v>54.99</v>
      </c>
      <c r="AP257" s="14">
        <v>20025</v>
      </c>
      <c r="AQ257" s="14">
        <v>19945</v>
      </c>
      <c r="AR257" s="14">
        <v>23000</v>
      </c>
      <c r="AS257" s="14">
        <v>17825</v>
      </c>
      <c r="AT257" s="14">
        <v>19314</v>
      </c>
      <c r="AU257" s="14">
        <v>-4</v>
      </c>
      <c r="AV257" s="14">
        <v>292.36</v>
      </c>
      <c r="AW257" s="14">
        <v>11.14</v>
      </c>
      <c r="AX257" s="14">
        <v>8.31</v>
      </c>
      <c r="AY257" s="14" t="b">
        <v>0</v>
      </c>
    </row>
    <row r="258" spans="1:51" hidden="1" x14ac:dyDescent="0.3">
      <c r="A258" t="str">
        <f>CONCATENATE(I258,E258,LEFT(G258,10))</f>
        <v>HFA602LLER2026-01-08</v>
      </c>
      <c r="B258" s="14" t="s">
        <v>2902</v>
      </c>
      <c r="C258" s="14" t="s">
        <v>336</v>
      </c>
      <c r="D258" s="14" t="s">
        <v>337</v>
      </c>
      <c r="E258" s="14" t="s">
        <v>59</v>
      </c>
      <c r="F258" s="14" t="s">
        <v>43</v>
      </c>
      <c r="G258" s="14" t="s">
        <v>2903</v>
      </c>
      <c r="H258" s="14" t="s">
        <v>436</v>
      </c>
      <c r="I258" s="14" t="s">
        <v>61</v>
      </c>
      <c r="J258" s="14" t="s">
        <v>83</v>
      </c>
      <c r="K258" s="14" t="s">
        <v>340</v>
      </c>
      <c r="L258" s="14" t="s">
        <v>341</v>
      </c>
      <c r="M258" s="16" t="s">
        <v>1688</v>
      </c>
      <c r="N258" s="14" t="s">
        <v>359</v>
      </c>
      <c r="O258" s="14" t="s">
        <v>395</v>
      </c>
      <c r="P258" s="14">
        <v>120</v>
      </c>
      <c r="Q258" s="14">
        <v>2</v>
      </c>
      <c r="R258" s="14">
        <v>4100</v>
      </c>
      <c r="S258" s="14" t="s">
        <v>2904</v>
      </c>
      <c r="T258" s="14" t="s">
        <v>2905</v>
      </c>
      <c r="U258" s="14">
        <v>0.85666666666666602</v>
      </c>
      <c r="V258" s="14">
        <v>0.97138888888888797</v>
      </c>
      <c r="W258" s="14">
        <v>678</v>
      </c>
      <c r="X258" s="14">
        <v>80</v>
      </c>
      <c r="Y258" s="14">
        <v>598</v>
      </c>
      <c r="Z258" s="14">
        <v>1922</v>
      </c>
      <c r="AA258" s="14">
        <v>262</v>
      </c>
      <c r="AB258" s="14">
        <v>266</v>
      </c>
      <c r="AC258" s="14">
        <v>1350</v>
      </c>
      <c r="AD258" s="14">
        <v>44</v>
      </c>
      <c r="AE258" s="14">
        <v>2600</v>
      </c>
      <c r="AF258" s="14">
        <v>5000</v>
      </c>
      <c r="AG258" s="14">
        <v>2143</v>
      </c>
      <c r="AH258" s="14">
        <v>0</v>
      </c>
      <c r="AI258" s="14">
        <v>49</v>
      </c>
      <c r="AJ258" s="14">
        <v>223</v>
      </c>
      <c r="AK258" s="14" t="s">
        <v>2903</v>
      </c>
      <c r="AL258" s="14" t="s">
        <v>2906</v>
      </c>
      <c r="AM258" s="14">
        <v>202.63</v>
      </c>
      <c r="AN258" s="14">
        <v>184.55</v>
      </c>
      <c r="AO258" s="14">
        <v>54.99</v>
      </c>
      <c r="AP258" s="14">
        <v>19905</v>
      </c>
      <c r="AQ258" s="14">
        <v>19825</v>
      </c>
      <c r="AR258" s="14">
        <v>23000</v>
      </c>
      <c r="AS258" s="14">
        <v>17305</v>
      </c>
      <c r="AT258" s="14">
        <v>19227</v>
      </c>
      <c r="AU258" s="14">
        <v>9</v>
      </c>
      <c r="AV258" s="14">
        <v>196.46</v>
      </c>
      <c r="AW258" s="14">
        <v>11.87</v>
      </c>
      <c r="AX258" s="14">
        <v>9.75</v>
      </c>
      <c r="AY258" s="14" t="b">
        <v>0</v>
      </c>
    </row>
    <row r="259" spans="1:51" hidden="1" x14ac:dyDescent="0.3">
      <c r="A259" t="str">
        <f>CONCATENATE(I259,E259,LEFT(G259,10))</f>
        <v>HFA602LLER2026-01-09</v>
      </c>
      <c r="B259" s="14" t="s">
        <v>2308</v>
      </c>
      <c r="C259" s="14" t="s">
        <v>336</v>
      </c>
      <c r="D259" s="14" t="s">
        <v>337</v>
      </c>
      <c r="E259" s="14" t="s">
        <v>59</v>
      </c>
      <c r="F259" s="14" t="s">
        <v>43</v>
      </c>
      <c r="G259" s="14" t="s">
        <v>2309</v>
      </c>
      <c r="H259" s="14" t="s">
        <v>339</v>
      </c>
      <c r="I259" s="14" t="s">
        <v>61</v>
      </c>
      <c r="J259" s="14" t="s">
        <v>83</v>
      </c>
      <c r="K259" s="14" t="s">
        <v>340</v>
      </c>
      <c r="L259" s="14" t="s">
        <v>341</v>
      </c>
      <c r="M259" s="16" t="s">
        <v>1090</v>
      </c>
      <c r="N259" s="14"/>
      <c r="O259" s="14" t="s">
        <v>1091</v>
      </c>
      <c r="P259" s="14">
        <v>120</v>
      </c>
      <c r="Q259" s="14">
        <v>2</v>
      </c>
      <c r="R259" s="14">
        <v>6900</v>
      </c>
      <c r="S259" s="14" t="s">
        <v>2310</v>
      </c>
      <c r="T259" s="14" t="s">
        <v>2311</v>
      </c>
      <c r="U259" s="14">
        <v>0.85055555555555495</v>
      </c>
      <c r="V259" s="14">
        <v>0.96388888888888802</v>
      </c>
      <c r="W259" s="14">
        <v>714</v>
      </c>
      <c r="X259" s="14">
        <v>80</v>
      </c>
      <c r="Y259" s="14">
        <v>634</v>
      </c>
      <c r="Z259" s="14">
        <v>1686</v>
      </c>
      <c r="AA259" s="14">
        <v>275</v>
      </c>
      <c r="AB259" s="14">
        <v>292</v>
      </c>
      <c r="AC259" s="14">
        <v>1071</v>
      </c>
      <c r="AD259" s="14">
        <v>49</v>
      </c>
      <c r="AE259" s="14">
        <v>2400</v>
      </c>
      <c r="AF259" s="14">
        <v>5000</v>
      </c>
      <c r="AG259" s="14">
        <v>2256</v>
      </c>
      <c r="AH259" s="14">
        <v>0</v>
      </c>
      <c r="AI259" s="14">
        <v>49</v>
      </c>
      <c r="AJ259" s="14">
        <v>198</v>
      </c>
      <c r="AK259" s="14" t="s">
        <v>2309</v>
      </c>
      <c r="AL259" s="14" t="s">
        <v>2312</v>
      </c>
      <c r="AM259" s="14">
        <v>202.63</v>
      </c>
      <c r="AN259" s="14">
        <v>184.55</v>
      </c>
      <c r="AO259" s="14">
        <v>54.99</v>
      </c>
      <c r="AP259" s="14">
        <v>22625</v>
      </c>
      <c r="AQ259" s="14">
        <v>22545</v>
      </c>
      <c r="AR259" s="14">
        <v>23000</v>
      </c>
      <c r="AS259" s="14">
        <v>20225</v>
      </c>
      <c r="AT259" s="14">
        <v>21911</v>
      </c>
      <c r="AU259" s="14">
        <v>8</v>
      </c>
      <c r="AV259" s="14">
        <v>256.8</v>
      </c>
      <c r="AW259" s="14">
        <v>43.38</v>
      </c>
      <c r="AX259" s="14">
        <v>0.43</v>
      </c>
      <c r="AY259" s="14" t="b">
        <v>0</v>
      </c>
    </row>
    <row r="260" spans="1:51" hidden="1" x14ac:dyDescent="0.3">
      <c r="A260" t="str">
        <f>CONCATENATE(I260,E260,LEFT(G260,10))</f>
        <v>HFA602LLER2026-01-11</v>
      </c>
      <c r="B260" s="14" t="s">
        <v>2240</v>
      </c>
      <c r="C260" s="14" t="s">
        <v>336</v>
      </c>
      <c r="D260" s="14" t="s">
        <v>337</v>
      </c>
      <c r="E260" s="14" t="s">
        <v>59</v>
      </c>
      <c r="F260" s="14" t="s">
        <v>43</v>
      </c>
      <c r="G260" s="14" t="s">
        <v>2241</v>
      </c>
      <c r="H260" s="14" t="s">
        <v>393</v>
      </c>
      <c r="I260" s="14" t="s">
        <v>61</v>
      </c>
      <c r="J260" s="14" t="s">
        <v>83</v>
      </c>
      <c r="K260" s="14" t="s">
        <v>340</v>
      </c>
      <c r="L260" s="14" t="s">
        <v>341</v>
      </c>
      <c r="M260" s="16" t="s">
        <v>731</v>
      </c>
      <c r="N260" s="14"/>
      <c r="O260" s="14" t="s">
        <v>2242</v>
      </c>
      <c r="P260" s="14">
        <v>120</v>
      </c>
      <c r="Q260" s="14">
        <v>2</v>
      </c>
      <c r="R260" s="14">
        <v>2500</v>
      </c>
      <c r="S260" s="14"/>
      <c r="T260" s="14" t="s">
        <v>2243</v>
      </c>
      <c r="U260" s="14"/>
      <c r="V260" s="14">
        <v>1.01555555555555</v>
      </c>
      <c r="W260" s="14">
        <v>753</v>
      </c>
      <c r="X260" s="14">
        <v>80</v>
      </c>
      <c r="Y260" s="14">
        <v>673</v>
      </c>
      <c r="Z260" s="14">
        <v>1847</v>
      </c>
      <c r="AA260" s="14">
        <v>270</v>
      </c>
      <c r="AB260" s="14">
        <v>253</v>
      </c>
      <c r="AC260" s="14">
        <v>1282</v>
      </c>
      <c r="AD260" s="14">
        <v>42</v>
      </c>
      <c r="AE260" s="14">
        <v>2600</v>
      </c>
      <c r="AF260" s="14">
        <v>5000</v>
      </c>
      <c r="AG260" s="14">
        <v>2379</v>
      </c>
      <c r="AH260" s="14">
        <v>0</v>
      </c>
      <c r="AI260" s="14">
        <v>48</v>
      </c>
      <c r="AJ260" s="14">
        <v>206</v>
      </c>
      <c r="AK260" s="14" t="s">
        <v>2241</v>
      </c>
      <c r="AL260" s="14" t="s">
        <v>2244</v>
      </c>
      <c r="AM260" s="14">
        <v>202.56</v>
      </c>
      <c r="AN260" s="14">
        <v>184.55</v>
      </c>
      <c r="AO260" s="14">
        <v>54.99</v>
      </c>
      <c r="AP260" s="14">
        <v>18411</v>
      </c>
      <c r="AQ260" s="14">
        <v>18331</v>
      </c>
      <c r="AR260" s="14">
        <v>23000</v>
      </c>
      <c r="AS260" s="14">
        <v>15811</v>
      </c>
      <c r="AT260" s="14">
        <v>17658</v>
      </c>
      <c r="AU260" s="14">
        <v>10</v>
      </c>
      <c r="AV260" s="14">
        <v>236.93</v>
      </c>
      <c r="AW260" s="14">
        <v>20.47</v>
      </c>
      <c r="AX260" s="14">
        <v>4.12</v>
      </c>
      <c r="AY260" s="14" t="b">
        <v>0</v>
      </c>
    </row>
    <row r="261" spans="1:51" hidden="1" x14ac:dyDescent="0.3">
      <c r="A261" t="str">
        <f>CONCATENATE(I261,E261,LEFT(G261,10))</f>
        <v>HFA602LLER2026-01-12</v>
      </c>
      <c r="B261" s="14" t="s">
        <v>6046</v>
      </c>
      <c r="C261" s="14" t="s">
        <v>336</v>
      </c>
      <c r="D261" s="14" t="s">
        <v>337</v>
      </c>
      <c r="E261" s="14" t="s">
        <v>59</v>
      </c>
      <c r="F261" s="14" t="s">
        <v>43</v>
      </c>
      <c r="G261" s="14" t="s">
        <v>6047</v>
      </c>
      <c r="H261" s="14" t="s">
        <v>436</v>
      </c>
      <c r="I261" s="14" t="s">
        <v>61</v>
      </c>
      <c r="J261" s="14" t="s">
        <v>83</v>
      </c>
      <c r="K261" s="14" t="s">
        <v>340</v>
      </c>
      <c r="L261" s="14" t="s">
        <v>341</v>
      </c>
      <c r="M261" s="16" t="s">
        <v>543</v>
      </c>
      <c r="N261" s="14" t="s">
        <v>359</v>
      </c>
      <c r="O261" s="14" t="s">
        <v>1725</v>
      </c>
      <c r="P261" s="14">
        <v>120</v>
      </c>
      <c r="Q261" s="14">
        <v>2</v>
      </c>
      <c r="R261" s="14">
        <v>2800</v>
      </c>
      <c r="S261" s="14" t="s">
        <v>6048</v>
      </c>
      <c r="T261" s="14" t="s">
        <v>6049</v>
      </c>
      <c r="U261" s="14">
        <v>1.4463888888888801</v>
      </c>
      <c r="V261" s="14">
        <v>1.59</v>
      </c>
      <c r="W261" s="14">
        <v>675</v>
      </c>
      <c r="X261" s="14">
        <v>80</v>
      </c>
      <c r="Y261" s="14">
        <v>595</v>
      </c>
      <c r="Z261" s="14">
        <v>1725</v>
      </c>
      <c r="AA261" s="14">
        <v>269</v>
      </c>
      <c r="AB261" s="14">
        <v>254</v>
      </c>
      <c r="AC261" s="14">
        <v>1160</v>
      </c>
      <c r="AD261" s="14">
        <v>42</v>
      </c>
      <c r="AE261" s="14">
        <v>2400</v>
      </c>
      <c r="AF261" s="14">
        <v>5000</v>
      </c>
      <c r="AG261" s="14">
        <v>2134</v>
      </c>
      <c r="AH261" s="14">
        <v>0</v>
      </c>
      <c r="AI261" s="14">
        <v>47</v>
      </c>
      <c r="AJ261" s="14">
        <v>203</v>
      </c>
      <c r="AK261" s="14" t="s">
        <v>6047</v>
      </c>
      <c r="AL261" s="14" t="s">
        <v>6050</v>
      </c>
      <c r="AM261" s="14">
        <v>202.63</v>
      </c>
      <c r="AN261" s="14">
        <v>184.55</v>
      </c>
      <c r="AO261" s="14">
        <v>54.99</v>
      </c>
      <c r="AP261" s="14">
        <v>18405</v>
      </c>
      <c r="AQ261" s="14">
        <v>18325</v>
      </c>
      <c r="AR261" s="14">
        <v>23000</v>
      </c>
      <c r="AS261" s="14">
        <v>16005</v>
      </c>
      <c r="AT261" s="14">
        <v>17730</v>
      </c>
      <c r="AU261" s="14">
        <v>14</v>
      </c>
      <c r="AV261" s="14">
        <v>243.69</v>
      </c>
      <c r="AW261" s="14">
        <v>39.4</v>
      </c>
      <c r="AX261" s="14">
        <v>3.68</v>
      </c>
      <c r="AY261" s="14" t="b">
        <v>0</v>
      </c>
    </row>
    <row r="262" spans="1:51" hidden="1" x14ac:dyDescent="0.3">
      <c r="A262" t="str">
        <f>CONCATENATE(I262,E262,LEFT(G262,10))</f>
        <v>HFA602LLER2026-01-14</v>
      </c>
      <c r="B262" s="14" t="s">
        <v>5763</v>
      </c>
      <c r="C262" s="14" t="s">
        <v>336</v>
      </c>
      <c r="D262" s="14" t="s">
        <v>337</v>
      </c>
      <c r="E262" s="14" t="s">
        <v>59</v>
      </c>
      <c r="F262" s="14" t="s">
        <v>43</v>
      </c>
      <c r="G262" s="14" t="s">
        <v>5764</v>
      </c>
      <c r="H262" s="14" t="s">
        <v>339</v>
      </c>
      <c r="I262" s="14" t="s">
        <v>61</v>
      </c>
      <c r="J262" s="14" t="s">
        <v>83</v>
      </c>
      <c r="K262" s="14" t="s">
        <v>340</v>
      </c>
      <c r="L262" s="14" t="s">
        <v>341</v>
      </c>
      <c r="M262" s="16" t="s">
        <v>5765</v>
      </c>
      <c r="N262" s="14"/>
      <c r="O262" s="14" t="s">
        <v>5766</v>
      </c>
      <c r="P262" s="14">
        <v>120</v>
      </c>
      <c r="Q262" s="14">
        <v>2</v>
      </c>
      <c r="R262" s="14">
        <v>5700</v>
      </c>
      <c r="S262" s="14" t="s">
        <v>5767</v>
      </c>
      <c r="T262" s="14" t="s">
        <v>5768</v>
      </c>
      <c r="U262" s="14">
        <v>0.97750000000000004</v>
      </c>
      <c r="V262" s="14">
        <v>1.0719444444444399</v>
      </c>
      <c r="W262" s="14">
        <v>762</v>
      </c>
      <c r="X262" s="14">
        <v>80</v>
      </c>
      <c r="Y262" s="14">
        <v>682</v>
      </c>
      <c r="Z262" s="14">
        <v>1638</v>
      </c>
      <c r="AA262" s="14">
        <v>257</v>
      </c>
      <c r="AB262" s="14">
        <v>279</v>
      </c>
      <c r="AC262" s="14">
        <v>1055</v>
      </c>
      <c r="AD262" s="14">
        <v>46</v>
      </c>
      <c r="AE262" s="14">
        <v>2400</v>
      </c>
      <c r="AF262" s="14">
        <v>5000</v>
      </c>
      <c r="AG262" s="14">
        <v>2408</v>
      </c>
      <c r="AH262" s="14">
        <v>0</v>
      </c>
      <c r="AI262" s="14">
        <v>54</v>
      </c>
      <c r="AJ262" s="14">
        <v>200</v>
      </c>
      <c r="AK262" s="14" t="s">
        <v>5764</v>
      </c>
      <c r="AL262" s="14" t="s">
        <v>5769</v>
      </c>
      <c r="AM262" s="14">
        <v>202.63</v>
      </c>
      <c r="AN262" s="14">
        <v>184.55</v>
      </c>
      <c r="AO262" s="14">
        <v>54.99</v>
      </c>
      <c r="AP262" s="14">
        <v>21425</v>
      </c>
      <c r="AQ262" s="14">
        <v>21345</v>
      </c>
      <c r="AR262" s="14">
        <v>23000</v>
      </c>
      <c r="AS262" s="14">
        <v>19025</v>
      </c>
      <c r="AT262" s="14">
        <v>20663</v>
      </c>
      <c r="AU262" s="14">
        <v>-16</v>
      </c>
      <c r="AV262" s="14">
        <v>303.31</v>
      </c>
      <c r="AW262" s="14">
        <v>31.55</v>
      </c>
      <c r="AX262" s="14">
        <v>1.3</v>
      </c>
      <c r="AY262" s="14" t="b">
        <v>0</v>
      </c>
    </row>
    <row r="263" spans="1:51" hidden="1" x14ac:dyDescent="0.3">
      <c r="A263" t="str">
        <f>CONCATENATE(I263,E263,LEFT(G263,10))</f>
        <v>HFA602LLER2026-01-15</v>
      </c>
      <c r="B263" s="14" t="s">
        <v>6178</v>
      </c>
      <c r="C263" s="14" t="s">
        <v>336</v>
      </c>
      <c r="D263" s="14" t="s">
        <v>337</v>
      </c>
      <c r="E263" s="14" t="s">
        <v>59</v>
      </c>
      <c r="F263" s="14" t="s">
        <v>43</v>
      </c>
      <c r="G263" s="14" t="s">
        <v>6179</v>
      </c>
      <c r="H263" s="14" t="s">
        <v>339</v>
      </c>
      <c r="I263" s="14" t="s">
        <v>61</v>
      </c>
      <c r="J263" s="14" t="s">
        <v>83</v>
      </c>
      <c r="K263" s="14" t="s">
        <v>340</v>
      </c>
      <c r="L263" s="14" t="s">
        <v>341</v>
      </c>
      <c r="M263" s="16" t="s">
        <v>6180</v>
      </c>
      <c r="N263" s="14"/>
      <c r="O263" s="14" t="s">
        <v>395</v>
      </c>
      <c r="P263" s="14">
        <v>120</v>
      </c>
      <c r="Q263" s="14">
        <v>2</v>
      </c>
      <c r="R263" s="14">
        <v>6400</v>
      </c>
      <c r="S263" s="14" t="s">
        <v>6181</v>
      </c>
      <c r="T263" s="14" t="s">
        <v>6182</v>
      </c>
      <c r="U263" s="14">
        <v>0.92833333333333301</v>
      </c>
      <c r="V263" s="14">
        <v>1.09222222222222</v>
      </c>
      <c r="W263" s="14">
        <v>743</v>
      </c>
      <c r="X263" s="14">
        <v>80</v>
      </c>
      <c r="Y263" s="14">
        <v>663</v>
      </c>
      <c r="Z263" s="14">
        <v>1457</v>
      </c>
      <c r="AA263" s="14">
        <v>257</v>
      </c>
      <c r="AB263" s="14">
        <v>284</v>
      </c>
      <c r="AC263" s="14">
        <v>869</v>
      </c>
      <c r="AD263" s="14">
        <v>47</v>
      </c>
      <c r="AE263" s="14">
        <v>2200</v>
      </c>
      <c r="AF263" s="14">
        <v>5000</v>
      </c>
      <c r="AG263" s="14">
        <v>2348</v>
      </c>
      <c r="AH263" s="14">
        <v>0</v>
      </c>
      <c r="AI263" s="14">
        <v>53</v>
      </c>
      <c r="AJ263" s="14">
        <v>182</v>
      </c>
      <c r="AK263" s="14" t="s">
        <v>6179</v>
      </c>
      <c r="AL263" s="14" t="s">
        <v>6183</v>
      </c>
      <c r="AM263" s="14">
        <v>202.63</v>
      </c>
      <c r="AN263" s="14">
        <v>184.55</v>
      </c>
      <c r="AO263" s="14">
        <v>54.99</v>
      </c>
      <c r="AP263" s="14">
        <v>21925</v>
      </c>
      <c r="AQ263" s="14">
        <v>21845</v>
      </c>
      <c r="AR263" s="14">
        <v>23000</v>
      </c>
      <c r="AS263" s="14">
        <v>19725</v>
      </c>
      <c r="AT263" s="14">
        <v>21182</v>
      </c>
      <c r="AU263" s="14">
        <v>-9</v>
      </c>
      <c r="AV263" s="14">
        <v>303.23</v>
      </c>
      <c r="AW263" s="14">
        <v>16.48</v>
      </c>
      <c r="AX263" s="14">
        <v>2.33</v>
      </c>
      <c r="AY263" s="14" t="b">
        <v>0</v>
      </c>
    </row>
    <row r="264" spans="1:51" hidden="1" x14ac:dyDescent="0.3">
      <c r="A264" t="str">
        <f>CONCATENATE(I264,E264,LEFT(G264,10))</f>
        <v>HFA602LLER2026-01-16</v>
      </c>
      <c r="B264" s="14" t="s">
        <v>5044</v>
      </c>
      <c r="C264" s="14" t="s">
        <v>336</v>
      </c>
      <c r="D264" s="14" t="s">
        <v>337</v>
      </c>
      <c r="E264" s="14" t="s">
        <v>59</v>
      </c>
      <c r="F264" s="14" t="s">
        <v>43</v>
      </c>
      <c r="G264" s="14" t="s">
        <v>5045</v>
      </c>
      <c r="H264" s="14" t="s">
        <v>339</v>
      </c>
      <c r="I264" s="14" t="s">
        <v>61</v>
      </c>
      <c r="J264" s="14" t="s">
        <v>83</v>
      </c>
      <c r="K264" s="14" t="s">
        <v>340</v>
      </c>
      <c r="L264" s="14" t="s">
        <v>341</v>
      </c>
      <c r="M264" s="16" t="s">
        <v>5046</v>
      </c>
      <c r="N264" s="14"/>
      <c r="O264" s="14" t="s">
        <v>5047</v>
      </c>
      <c r="P264" s="14">
        <v>120</v>
      </c>
      <c r="Q264" s="14">
        <v>2</v>
      </c>
      <c r="R264" s="14">
        <v>2850</v>
      </c>
      <c r="S264" s="14" t="s">
        <v>5048</v>
      </c>
      <c r="T264" s="14" t="s">
        <v>5049</v>
      </c>
      <c r="U264" s="14">
        <v>0.87888888888888805</v>
      </c>
      <c r="V264" s="14">
        <v>0.987222222222222</v>
      </c>
      <c r="W264" s="14">
        <v>713</v>
      </c>
      <c r="X264" s="14">
        <v>80</v>
      </c>
      <c r="Y264" s="14">
        <v>633</v>
      </c>
      <c r="Z264" s="14">
        <v>1487</v>
      </c>
      <c r="AA264" s="14">
        <v>249</v>
      </c>
      <c r="AB264" s="14">
        <v>253</v>
      </c>
      <c r="AC264" s="14">
        <v>943</v>
      </c>
      <c r="AD264" s="14">
        <v>42</v>
      </c>
      <c r="AE264" s="14">
        <v>2200</v>
      </c>
      <c r="AF264" s="14">
        <v>5000</v>
      </c>
      <c r="AG264" s="14">
        <v>2253</v>
      </c>
      <c r="AH264" s="14">
        <v>0</v>
      </c>
      <c r="AI264" s="14">
        <v>51</v>
      </c>
      <c r="AJ264" s="14">
        <v>186</v>
      </c>
      <c r="AK264" s="14" t="s">
        <v>5045</v>
      </c>
      <c r="AL264" s="14" t="s">
        <v>5050</v>
      </c>
      <c r="AM264" s="14">
        <v>202.56</v>
      </c>
      <c r="AN264" s="14">
        <v>184.55</v>
      </c>
      <c r="AO264" s="14">
        <v>54.99</v>
      </c>
      <c r="AP264" s="14">
        <v>18375</v>
      </c>
      <c r="AQ264" s="14">
        <v>18295</v>
      </c>
      <c r="AR264" s="14">
        <v>23000</v>
      </c>
      <c r="AS264" s="14">
        <v>16175</v>
      </c>
      <c r="AT264" s="14">
        <v>17662</v>
      </c>
      <c r="AU264" s="14">
        <v>-4</v>
      </c>
      <c r="AV264" s="14">
        <v>294.66000000000003</v>
      </c>
      <c r="AW264" s="14">
        <v>11.13</v>
      </c>
      <c r="AX264" s="14">
        <v>3.2</v>
      </c>
      <c r="AY264" s="14" t="b">
        <v>0</v>
      </c>
    </row>
    <row r="265" spans="1:51" hidden="1" x14ac:dyDescent="0.3">
      <c r="A265" t="str">
        <f>CONCATENATE(I265,E265,LEFT(G265,10))</f>
        <v>HFA602LLER2026-01-18</v>
      </c>
      <c r="B265" s="14" t="s">
        <v>5587</v>
      </c>
      <c r="C265" s="14" t="s">
        <v>336</v>
      </c>
      <c r="D265" s="14" t="s">
        <v>337</v>
      </c>
      <c r="E265" s="14" t="s">
        <v>59</v>
      </c>
      <c r="F265" s="14" t="s">
        <v>43</v>
      </c>
      <c r="G265" s="14" t="s">
        <v>5588</v>
      </c>
      <c r="H265" s="14" t="s">
        <v>371</v>
      </c>
      <c r="I265" s="14" t="s">
        <v>61</v>
      </c>
      <c r="J265" s="14" t="s">
        <v>83</v>
      </c>
      <c r="K265" s="14" t="s">
        <v>340</v>
      </c>
      <c r="L265" s="14" t="s">
        <v>341</v>
      </c>
      <c r="M265" s="16" t="s">
        <v>5589</v>
      </c>
      <c r="N265" s="14"/>
      <c r="O265" s="14" t="s">
        <v>395</v>
      </c>
      <c r="P265" s="14">
        <v>120</v>
      </c>
      <c r="Q265" s="14">
        <v>2</v>
      </c>
      <c r="R265" s="14">
        <v>1700</v>
      </c>
      <c r="S265" s="14" t="s">
        <v>5590</v>
      </c>
      <c r="T265" s="14" t="s">
        <v>5591</v>
      </c>
      <c r="U265" s="14">
        <v>1.0933333333333299</v>
      </c>
      <c r="V265" s="14">
        <v>1.2322222222222201</v>
      </c>
      <c r="W265" s="14">
        <v>726</v>
      </c>
      <c r="X265" s="14">
        <v>80</v>
      </c>
      <c r="Y265" s="14">
        <v>646</v>
      </c>
      <c r="Z265" s="14">
        <v>1874</v>
      </c>
      <c r="AA265" s="14">
        <v>642</v>
      </c>
      <c r="AB265" s="14">
        <v>249</v>
      </c>
      <c r="AC265" s="14">
        <v>942</v>
      </c>
      <c r="AD265" s="14">
        <v>41</v>
      </c>
      <c r="AE265" s="14">
        <v>2600</v>
      </c>
      <c r="AF265" s="14">
        <v>5000</v>
      </c>
      <c r="AG265" s="14">
        <v>2294</v>
      </c>
      <c r="AH265" s="14">
        <v>0</v>
      </c>
      <c r="AI265" s="14">
        <v>50</v>
      </c>
      <c r="AJ265" s="14">
        <v>212</v>
      </c>
      <c r="AK265" s="14" t="s">
        <v>5588</v>
      </c>
      <c r="AL265" s="14" t="s">
        <v>5592</v>
      </c>
      <c r="AM265" s="14">
        <v>202.63</v>
      </c>
      <c r="AN265" s="14">
        <v>184.55</v>
      </c>
      <c r="AO265" s="14">
        <v>54.99</v>
      </c>
      <c r="AP265" s="14">
        <v>17800</v>
      </c>
      <c r="AQ265" s="14">
        <v>17720</v>
      </c>
      <c r="AR265" s="14">
        <v>23000</v>
      </c>
      <c r="AS265" s="14">
        <v>15200</v>
      </c>
      <c r="AT265" s="14">
        <v>17074</v>
      </c>
      <c r="AU265" s="14">
        <v>-3</v>
      </c>
      <c r="AV265" s="14">
        <v>278.06</v>
      </c>
      <c r="AW265" s="14">
        <v>26.35</v>
      </c>
      <c r="AX265" s="14">
        <v>-7.0000000000000007E-2</v>
      </c>
      <c r="AY265" s="14" t="b">
        <v>0</v>
      </c>
    </row>
    <row r="266" spans="1:51" hidden="1" x14ac:dyDescent="0.3">
      <c r="A266" t="str">
        <f>CONCATENATE(I266,E266,LEFT(G266,10))</f>
        <v>HFA602LLER2026-01-19</v>
      </c>
      <c r="B266" s="14" t="s">
        <v>5915</v>
      </c>
      <c r="C266" s="14" t="s">
        <v>336</v>
      </c>
      <c r="D266" s="14" t="s">
        <v>337</v>
      </c>
      <c r="E266" s="14" t="s">
        <v>59</v>
      </c>
      <c r="F266" s="14" t="s">
        <v>43</v>
      </c>
      <c r="G266" s="14" t="s">
        <v>5916</v>
      </c>
      <c r="H266" s="14" t="s">
        <v>436</v>
      </c>
      <c r="I266" s="14" t="s">
        <v>61</v>
      </c>
      <c r="J266" s="14" t="s">
        <v>83</v>
      </c>
      <c r="K266" s="14" t="s">
        <v>340</v>
      </c>
      <c r="L266" s="14" t="s">
        <v>341</v>
      </c>
      <c r="M266" s="16" t="s">
        <v>5917</v>
      </c>
      <c r="N266" s="14" t="s">
        <v>359</v>
      </c>
      <c r="O266" s="14" t="s">
        <v>395</v>
      </c>
      <c r="P266" s="14">
        <v>120</v>
      </c>
      <c r="Q266" s="14">
        <v>2</v>
      </c>
      <c r="R266" s="14">
        <v>1800</v>
      </c>
      <c r="S266" s="14" t="s">
        <v>5918</v>
      </c>
      <c r="T266" s="14" t="s">
        <v>5919</v>
      </c>
      <c r="U266" s="14">
        <v>0.88749999999999996</v>
      </c>
      <c r="V266" s="14">
        <v>1.0230555555555501</v>
      </c>
      <c r="W266" s="14">
        <v>733</v>
      </c>
      <c r="X266" s="14">
        <v>80</v>
      </c>
      <c r="Y266" s="14">
        <v>653</v>
      </c>
      <c r="Z266" s="14">
        <v>1767</v>
      </c>
      <c r="AA266" s="14">
        <v>238</v>
      </c>
      <c r="AB266" s="14">
        <v>246</v>
      </c>
      <c r="AC266" s="14">
        <v>1241</v>
      </c>
      <c r="AD266" s="14">
        <v>41</v>
      </c>
      <c r="AE266" s="14">
        <v>2500</v>
      </c>
      <c r="AF266" s="14">
        <v>5000</v>
      </c>
      <c r="AG266" s="14">
        <v>2317</v>
      </c>
      <c r="AH266" s="14">
        <v>0</v>
      </c>
      <c r="AI266" s="14">
        <v>52</v>
      </c>
      <c r="AJ266" s="14">
        <v>213</v>
      </c>
      <c r="AK266" s="14" t="s">
        <v>5916</v>
      </c>
      <c r="AL266" s="14" t="s">
        <v>5920</v>
      </c>
      <c r="AM266" s="14">
        <v>202.63</v>
      </c>
      <c r="AN266" s="14">
        <v>184.55</v>
      </c>
      <c r="AO266" s="14">
        <v>54.99</v>
      </c>
      <c r="AP266" s="14">
        <v>17505</v>
      </c>
      <c r="AQ266" s="14">
        <v>17425</v>
      </c>
      <c r="AR266" s="14">
        <v>23000</v>
      </c>
      <c r="AS266" s="14">
        <v>15005</v>
      </c>
      <c r="AT266" s="14">
        <v>16772</v>
      </c>
      <c r="AU266" s="14">
        <v>-11</v>
      </c>
      <c r="AV266" s="14">
        <v>294.60000000000002</v>
      </c>
      <c r="AW266" s="14">
        <v>28.47</v>
      </c>
      <c r="AX266" s="14">
        <v>0.84</v>
      </c>
      <c r="AY266" s="14" t="b">
        <v>0</v>
      </c>
    </row>
    <row r="267" spans="1:51" hidden="1" x14ac:dyDescent="0.3">
      <c r="A267" t="str">
        <f>CONCATENATE(I267,E267,LEFT(G267,10))</f>
        <v>HFA602LLER2026-01-20</v>
      </c>
      <c r="B267" s="14" t="s">
        <v>4764</v>
      </c>
      <c r="C267" s="14" t="s">
        <v>336</v>
      </c>
      <c r="D267" s="14" t="s">
        <v>337</v>
      </c>
      <c r="E267" s="14" t="s">
        <v>59</v>
      </c>
      <c r="F267" s="14" t="s">
        <v>43</v>
      </c>
      <c r="G267" s="14" t="s">
        <v>4765</v>
      </c>
      <c r="H267" s="14" t="s">
        <v>371</v>
      </c>
      <c r="I267" s="14" t="s">
        <v>61</v>
      </c>
      <c r="J267" s="14" t="s">
        <v>83</v>
      </c>
      <c r="K267" s="14" t="s">
        <v>340</v>
      </c>
      <c r="L267" s="14" t="s">
        <v>341</v>
      </c>
      <c r="M267" s="16" t="s">
        <v>731</v>
      </c>
      <c r="N267" s="14"/>
      <c r="O267" s="14" t="s">
        <v>4504</v>
      </c>
      <c r="P267" s="14">
        <v>120</v>
      </c>
      <c r="Q267" s="14">
        <v>2</v>
      </c>
      <c r="R267" s="14">
        <v>3600</v>
      </c>
      <c r="S267" s="14" t="s">
        <v>4766</v>
      </c>
      <c r="T267" s="14" t="s">
        <v>4767</v>
      </c>
      <c r="U267" s="14">
        <v>0.99527777777777704</v>
      </c>
      <c r="V267" s="14">
        <v>1.1569444444444399</v>
      </c>
      <c r="W267" s="14">
        <v>766</v>
      </c>
      <c r="X267" s="14">
        <v>80</v>
      </c>
      <c r="Y267" s="14">
        <v>686</v>
      </c>
      <c r="Z267" s="14">
        <v>1834</v>
      </c>
      <c r="AA267" s="14">
        <v>250</v>
      </c>
      <c r="AB267" s="14">
        <v>263</v>
      </c>
      <c r="AC267" s="14">
        <v>1276</v>
      </c>
      <c r="AD267" s="14">
        <v>44</v>
      </c>
      <c r="AE267" s="14">
        <v>2600</v>
      </c>
      <c r="AF267" s="14">
        <v>5000</v>
      </c>
      <c r="AG267" s="14">
        <v>2421</v>
      </c>
      <c r="AH267" s="14">
        <v>0</v>
      </c>
      <c r="AI267" s="14">
        <v>53</v>
      </c>
      <c r="AJ267" s="14">
        <v>215</v>
      </c>
      <c r="AK267" s="14" t="s">
        <v>4765</v>
      </c>
      <c r="AL267" s="14" t="s">
        <v>4768</v>
      </c>
      <c r="AM267" s="14">
        <v>202.56</v>
      </c>
      <c r="AN267" s="14">
        <v>184.55</v>
      </c>
      <c r="AO267" s="14">
        <v>54.99</v>
      </c>
      <c r="AP267" s="14">
        <v>19700</v>
      </c>
      <c r="AQ267" s="14">
        <v>19620</v>
      </c>
      <c r="AR267" s="14">
        <v>23000</v>
      </c>
      <c r="AS267" s="14">
        <v>17100</v>
      </c>
      <c r="AT267" s="14">
        <v>18934</v>
      </c>
      <c r="AU267" s="14">
        <v>-16</v>
      </c>
      <c r="AV267" s="14">
        <v>296.12</v>
      </c>
      <c r="AW267" s="14">
        <v>38.950000000000003</v>
      </c>
      <c r="AX267" s="14">
        <v>0.77</v>
      </c>
      <c r="AY267" s="14" t="b">
        <v>0</v>
      </c>
    </row>
    <row r="268" spans="1:51" hidden="1" x14ac:dyDescent="0.3">
      <c r="A268" t="str">
        <f>CONCATENATE(I268,E268,LEFT(G268,10))</f>
        <v>HFA602LLER2026-01-21</v>
      </c>
      <c r="B268" s="14" t="s">
        <v>1572</v>
      </c>
      <c r="C268" s="14" t="s">
        <v>336</v>
      </c>
      <c r="D268" s="14" t="s">
        <v>337</v>
      </c>
      <c r="E268" s="14" t="s">
        <v>59</v>
      </c>
      <c r="F268" s="14" t="s">
        <v>43</v>
      </c>
      <c r="G268" s="14" t="s">
        <v>1573</v>
      </c>
      <c r="H268" s="14" t="s">
        <v>371</v>
      </c>
      <c r="I268" s="14" t="s">
        <v>61</v>
      </c>
      <c r="J268" s="14" t="s">
        <v>83</v>
      </c>
      <c r="K268" s="14" t="s">
        <v>340</v>
      </c>
      <c r="L268" s="14" t="s">
        <v>341</v>
      </c>
      <c r="M268" s="16" t="s">
        <v>543</v>
      </c>
      <c r="N268" s="14"/>
      <c r="O268" s="14" t="s">
        <v>395</v>
      </c>
      <c r="P268" s="14">
        <v>120</v>
      </c>
      <c r="Q268" s="14">
        <v>2</v>
      </c>
      <c r="R268" s="14">
        <v>6400</v>
      </c>
      <c r="S268" s="14" t="s">
        <v>1574</v>
      </c>
      <c r="T268" s="14" t="s">
        <v>1575</v>
      </c>
      <c r="U268" s="14">
        <v>0.92972222222222201</v>
      </c>
      <c r="V268" s="14">
        <v>1.0377777777777699</v>
      </c>
      <c r="W268" s="14">
        <v>764</v>
      </c>
      <c r="X268" s="14">
        <v>80</v>
      </c>
      <c r="Y268" s="14">
        <v>684</v>
      </c>
      <c r="Z268" s="14">
        <v>1536</v>
      </c>
      <c r="AA268" s="14">
        <v>265</v>
      </c>
      <c r="AB268" s="14">
        <v>287</v>
      </c>
      <c r="AC268" s="14">
        <v>936</v>
      </c>
      <c r="AD268" s="14">
        <v>48</v>
      </c>
      <c r="AE268" s="14">
        <v>2300</v>
      </c>
      <c r="AF268" s="14">
        <v>5000</v>
      </c>
      <c r="AG268" s="14">
        <v>2415</v>
      </c>
      <c r="AH268" s="14">
        <v>0</v>
      </c>
      <c r="AI268" s="14">
        <v>54</v>
      </c>
      <c r="AJ268" s="14">
        <v>187</v>
      </c>
      <c r="AK268" s="14" t="s">
        <v>1573</v>
      </c>
      <c r="AL268" s="14" t="s">
        <v>1576</v>
      </c>
      <c r="AM268" s="14">
        <v>202.63</v>
      </c>
      <c r="AN268" s="14">
        <v>184.55</v>
      </c>
      <c r="AO268" s="14">
        <v>54.99</v>
      </c>
      <c r="AP268" s="14">
        <v>22200</v>
      </c>
      <c r="AQ268" s="14">
        <v>22120</v>
      </c>
      <c r="AR268" s="14">
        <v>23000</v>
      </c>
      <c r="AS268" s="14">
        <v>19900</v>
      </c>
      <c r="AT268" s="14">
        <v>21436</v>
      </c>
      <c r="AU268" s="14">
        <v>-13</v>
      </c>
      <c r="AV268" s="14">
        <v>296.26</v>
      </c>
      <c r="AW268" s="14">
        <v>27.54</v>
      </c>
      <c r="AX268" s="14">
        <v>4.8899999999999997</v>
      </c>
      <c r="AY268" s="14" t="b">
        <v>0</v>
      </c>
    </row>
    <row r="269" spans="1:51" hidden="1" x14ac:dyDescent="0.3">
      <c r="A269" t="str">
        <f>CONCATENATE(I269,E269,LEFT(G269,10))</f>
        <v>HFA602LLER2026-01-23</v>
      </c>
      <c r="B269" s="14" t="s">
        <v>5112</v>
      </c>
      <c r="C269" s="14" t="s">
        <v>336</v>
      </c>
      <c r="D269" s="14" t="s">
        <v>337</v>
      </c>
      <c r="E269" s="14" t="s">
        <v>59</v>
      </c>
      <c r="F269" s="14" t="s">
        <v>43</v>
      </c>
      <c r="G269" s="14" t="s">
        <v>5113</v>
      </c>
      <c r="H269" s="14" t="s">
        <v>371</v>
      </c>
      <c r="I269" s="14" t="s">
        <v>61</v>
      </c>
      <c r="J269" s="14" t="s">
        <v>83</v>
      </c>
      <c r="K269" s="14" t="s">
        <v>340</v>
      </c>
      <c r="L269" s="14" t="s">
        <v>341</v>
      </c>
      <c r="M269" s="16" t="s">
        <v>5088</v>
      </c>
      <c r="N269" s="14"/>
      <c r="O269" s="14" t="s">
        <v>395</v>
      </c>
      <c r="P269" s="14">
        <v>120</v>
      </c>
      <c r="Q269" s="14">
        <v>2</v>
      </c>
      <c r="R269" s="14">
        <v>4300</v>
      </c>
      <c r="S269" s="14" t="s">
        <v>5114</v>
      </c>
      <c r="T269" s="14" t="s">
        <v>5115</v>
      </c>
      <c r="U269" s="14">
        <v>0.88722222222222202</v>
      </c>
      <c r="V269" s="14">
        <v>1.0180555555555499</v>
      </c>
      <c r="W269" s="14">
        <v>704</v>
      </c>
      <c r="X269" s="14">
        <v>80</v>
      </c>
      <c r="Y269" s="14">
        <v>624</v>
      </c>
      <c r="Z269" s="14">
        <v>1496</v>
      </c>
      <c r="AA269" s="14">
        <v>262</v>
      </c>
      <c r="AB269" s="14">
        <v>267</v>
      </c>
      <c r="AC269" s="14">
        <v>922</v>
      </c>
      <c r="AD269" s="14">
        <v>44</v>
      </c>
      <c r="AE269" s="14">
        <v>2200</v>
      </c>
      <c r="AF269" s="14">
        <v>5000</v>
      </c>
      <c r="AG269" s="14">
        <v>2225</v>
      </c>
      <c r="AH269" s="14">
        <v>0</v>
      </c>
      <c r="AI269" s="14">
        <v>48</v>
      </c>
      <c r="AJ269" s="14">
        <v>180</v>
      </c>
      <c r="AK269" s="14" t="s">
        <v>5113</v>
      </c>
      <c r="AL269" s="14" t="s">
        <v>5116</v>
      </c>
      <c r="AM269" s="14">
        <v>202.63</v>
      </c>
      <c r="AN269" s="14">
        <v>184.55</v>
      </c>
      <c r="AO269" s="14">
        <v>54.99</v>
      </c>
      <c r="AP269" s="14">
        <v>20000</v>
      </c>
      <c r="AQ269" s="14">
        <v>19920</v>
      </c>
      <c r="AR269" s="14">
        <v>23000</v>
      </c>
      <c r="AS269" s="14">
        <v>17800</v>
      </c>
      <c r="AT269" s="14">
        <v>19296</v>
      </c>
      <c r="AU269" s="14">
        <v>9</v>
      </c>
      <c r="AV269" s="14">
        <v>251.24</v>
      </c>
      <c r="AW269" s="14">
        <v>32.229999999999997</v>
      </c>
      <c r="AX269" s="14">
        <v>3.5</v>
      </c>
      <c r="AY269" s="14" t="b">
        <v>0</v>
      </c>
    </row>
    <row r="270" spans="1:51" hidden="1" x14ac:dyDescent="0.3">
      <c r="A270" t="str">
        <f>CONCATENATE(I270,E270,LEFT(G270,10))</f>
        <v>HFA602LLER2026-01-25</v>
      </c>
      <c r="B270" s="14" t="s">
        <v>5234</v>
      </c>
      <c r="C270" s="14" t="s">
        <v>336</v>
      </c>
      <c r="D270" s="14" t="s">
        <v>337</v>
      </c>
      <c r="E270" s="14" t="s">
        <v>59</v>
      </c>
      <c r="F270" s="14" t="s">
        <v>43</v>
      </c>
      <c r="G270" s="14" t="s">
        <v>5235</v>
      </c>
      <c r="H270" s="14" t="s">
        <v>339</v>
      </c>
      <c r="I270" s="14" t="s">
        <v>61</v>
      </c>
      <c r="J270" s="14" t="s">
        <v>83</v>
      </c>
      <c r="K270" s="14" t="s">
        <v>340</v>
      </c>
      <c r="L270" s="14" t="s">
        <v>341</v>
      </c>
      <c r="M270" s="16" t="s">
        <v>731</v>
      </c>
      <c r="N270" s="14"/>
      <c r="O270" s="14" t="s">
        <v>395</v>
      </c>
      <c r="P270" s="14">
        <v>120</v>
      </c>
      <c r="Q270" s="14">
        <v>2</v>
      </c>
      <c r="R270" s="14">
        <v>2400</v>
      </c>
      <c r="S270" s="14" t="s">
        <v>5236</v>
      </c>
      <c r="T270" s="14" t="s">
        <v>5237</v>
      </c>
      <c r="U270" s="14">
        <v>0.88722222222222202</v>
      </c>
      <c r="V270" s="14">
        <v>1.0619444444444399</v>
      </c>
      <c r="W270" s="14">
        <v>706</v>
      </c>
      <c r="X270" s="14">
        <v>80</v>
      </c>
      <c r="Y270" s="14">
        <v>626</v>
      </c>
      <c r="Z270" s="14">
        <v>1794</v>
      </c>
      <c r="AA270" s="14">
        <v>250</v>
      </c>
      <c r="AB270" s="14">
        <v>252</v>
      </c>
      <c r="AC270" s="14">
        <v>1250</v>
      </c>
      <c r="AD270" s="14">
        <v>42</v>
      </c>
      <c r="AE270" s="14">
        <v>2500</v>
      </c>
      <c r="AF270" s="14">
        <v>5000</v>
      </c>
      <c r="AG270" s="14">
        <v>2231</v>
      </c>
      <c r="AH270" s="14">
        <v>0</v>
      </c>
      <c r="AI270" s="14">
        <v>51</v>
      </c>
      <c r="AJ270" s="14">
        <v>214</v>
      </c>
      <c r="AK270" s="14" t="s">
        <v>5235</v>
      </c>
      <c r="AL270" s="14" t="s">
        <v>5238</v>
      </c>
      <c r="AM270" s="14">
        <v>202.63</v>
      </c>
      <c r="AN270" s="14">
        <v>184.55</v>
      </c>
      <c r="AO270" s="14">
        <v>54.99</v>
      </c>
      <c r="AP270" s="14">
        <v>18225</v>
      </c>
      <c r="AQ270" s="14">
        <v>18145</v>
      </c>
      <c r="AR270" s="14">
        <v>23000</v>
      </c>
      <c r="AS270" s="14">
        <v>15725</v>
      </c>
      <c r="AT270" s="14">
        <v>17519</v>
      </c>
      <c r="AU270" s="14">
        <v>-4</v>
      </c>
      <c r="AV270" s="14">
        <v>290.73</v>
      </c>
      <c r="AW270" s="14">
        <v>12.19</v>
      </c>
      <c r="AX270" s="14">
        <v>5.4</v>
      </c>
      <c r="AY270" s="14" t="b">
        <v>0</v>
      </c>
    </row>
    <row r="271" spans="1:51" hidden="1" x14ac:dyDescent="0.3">
      <c r="A271" t="str">
        <f>CONCATENATE(I271,E271,LEFT(G271,10))</f>
        <v>HFA602LLER2026-01-26</v>
      </c>
      <c r="B271" s="14" t="s">
        <v>2975</v>
      </c>
      <c r="C271" s="14" t="s">
        <v>336</v>
      </c>
      <c r="D271" s="14" t="s">
        <v>337</v>
      </c>
      <c r="E271" s="14" t="s">
        <v>59</v>
      </c>
      <c r="F271" s="14" t="s">
        <v>43</v>
      </c>
      <c r="G271" s="14" t="s">
        <v>2976</v>
      </c>
      <c r="H271" s="14" t="s">
        <v>371</v>
      </c>
      <c r="I271" s="14" t="s">
        <v>61</v>
      </c>
      <c r="J271" s="14" t="s">
        <v>83</v>
      </c>
      <c r="K271" s="14" t="s">
        <v>340</v>
      </c>
      <c r="L271" s="14" t="s">
        <v>341</v>
      </c>
      <c r="M271" s="16" t="s">
        <v>543</v>
      </c>
      <c r="N271" s="14"/>
      <c r="O271" s="14" t="s">
        <v>395</v>
      </c>
      <c r="P271" s="14">
        <v>120</v>
      </c>
      <c r="Q271" s="14">
        <v>2</v>
      </c>
      <c r="R271" s="14">
        <v>3800</v>
      </c>
      <c r="S271" s="14" t="s">
        <v>2977</v>
      </c>
      <c r="T271" s="14" t="s">
        <v>2978</v>
      </c>
      <c r="U271" s="14">
        <v>0.81333333333333302</v>
      </c>
      <c r="V271" s="14">
        <v>0.94722222222222197</v>
      </c>
      <c r="W271" s="14">
        <v>689</v>
      </c>
      <c r="X271" s="14">
        <v>80</v>
      </c>
      <c r="Y271" s="14">
        <v>609</v>
      </c>
      <c r="Z271" s="14">
        <v>1411</v>
      </c>
      <c r="AA271" s="14">
        <v>265</v>
      </c>
      <c r="AB271" s="14">
        <v>262</v>
      </c>
      <c r="AC271" s="14">
        <v>841</v>
      </c>
      <c r="AD271" s="14">
        <v>44</v>
      </c>
      <c r="AE271" s="14">
        <v>2100</v>
      </c>
      <c r="AF271" s="14">
        <v>5000</v>
      </c>
      <c r="AG271" s="14">
        <v>2178</v>
      </c>
      <c r="AH271" s="14">
        <v>0</v>
      </c>
      <c r="AI271" s="14">
        <v>49</v>
      </c>
      <c r="AJ271" s="14">
        <v>175</v>
      </c>
      <c r="AK271" s="14" t="s">
        <v>2976</v>
      </c>
      <c r="AL271" s="14" t="s">
        <v>2979</v>
      </c>
      <c r="AM271" s="14">
        <v>202.63</v>
      </c>
      <c r="AN271" s="14">
        <v>184.55</v>
      </c>
      <c r="AO271" s="14">
        <v>54.99</v>
      </c>
      <c r="AP271" s="14">
        <v>19400</v>
      </c>
      <c r="AQ271" s="14">
        <v>19320</v>
      </c>
      <c r="AR271" s="14">
        <v>23000</v>
      </c>
      <c r="AS271" s="14">
        <v>17300</v>
      </c>
      <c r="AT271" s="14">
        <v>18711</v>
      </c>
      <c r="AU271" s="14">
        <v>9</v>
      </c>
      <c r="AV271" s="14">
        <v>230.18</v>
      </c>
      <c r="AW271" s="14">
        <v>19.190000000000001</v>
      </c>
      <c r="AX271" s="14">
        <v>7.47</v>
      </c>
      <c r="AY271" s="14" t="b">
        <v>0</v>
      </c>
    </row>
    <row r="272" spans="1:51" hidden="1" x14ac:dyDescent="0.3">
      <c r="A272" t="str">
        <f>CONCATENATE(I272,E272,LEFT(G272,10))</f>
        <v>HFA602LLER2026-01-27</v>
      </c>
      <c r="B272" s="14" t="s">
        <v>982</v>
      </c>
      <c r="C272" s="14" t="s">
        <v>336</v>
      </c>
      <c r="D272" s="14" t="s">
        <v>337</v>
      </c>
      <c r="E272" s="14" t="s">
        <v>59</v>
      </c>
      <c r="F272" s="14" t="s">
        <v>43</v>
      </c>
      <c r="G272" s="14" t="s">
        <v>983</v>
      </c>
      <c r="H272" s="14" t="s">
        <v>339</v>
      </c>
      <c r="I272" s="14" t="s">
        <v>61</v>
      </c>
      <c r="J272" s="14" t="s">
        <v>83</v>
      </c>
      <c r="K272" s="14" t="s">
        <v>340</v>
      </c>
      <c r="L272" s="14" t="s">
        <v>341</v>
      </c>
      <c r="M272" s="16" t="s">
        <v>543</v>
      </c>
      <c r="N272" s="14"/>
      <c r="O272" s="14" t="s">
        <v>395</v>
      </c>
      <c r="P272" s="14">
        <v>120</v>
      </c>
      <c r="Q272" s="14">
        <v>3</v>
      </c>
      <c r="R272" s="14">
        <v>3400</v>
      </c>
      <c r="S272" s="14" t="s">
        <v>984</v>
      </c>
      <c r="T272" s="14" t="s">
        <v>985</v>
      </c>
      <c r="U272" s="14">
        <v>0.8125</v>
      </c>
      <c r="V272" s="14">
        <v>0.92666666666666597</v>
      </c>
      <c r="W272" s="14">
        <v>672</v>
      </c>
      <c r="X272" s="14">
        <v>80</v>
      </c>
      <c r="Y272" s="14">
        <v>592</v>
      </c>
      <c r="Z272" s="14">
        <v>1428</v>
      </c>
      <c r="AA272" s="14">
        <v>258</v>
      </c>
      <c r="AB272" s="14">
        <v>257</v>
      </c>
      <c r="AC272" s="14">
        <v>869</v>
      </c>
      <c r="AD272" s="14">
        <v>43</v>
      </c>
      <c r="AE272" s="14">
        <v>2100</v>
      </c>
      <c r="AF272" s="14">
        <v>5000</v>
      </c>
      <c r="AG272" s="14">
        <v>2125</v>
      </c>
      <c r="AH272" s="14">
        <v>0</v>
      </c>
      <c r="AI272" s="14">
        <v>47</v>
      </c>
      <c r="AJ272" s="14">
        <v>177</v>
      </c>
      <c r="AK272" s="14" t="s">
        <v>983</v>
      </c>
      <c r="AL272" s="14" t="s">
        <v>986</v>
      </c>
      <c r="AM272" s="14">
        <v>202.63</v>
      </c>
      <c r="AN272" s="14">
        <v>184.55</v>
      </c>
      <c r="AO272" s="14">
        <v>54.99</v>
      </c>
      <c r="AP272" s="14">
        <v>18825</v>
      </c>
      <c r="AQ272" s="14">
        <v>18745</v>
      </c>
      <c r="AR272" s="14">
        <v>23000</v>
      </c>
      <c r="AS272" s="14">
        <v>16725</v>
      </c>
      <c r="AT272" s="14">
        <v>18153</v>
      </c>
      <c r="AU272" s="14">
        <v>15</v>
      </c>
      <c r="AV272" s="14">
        <v>233.02</v>
      </c>
      <c r="AW272" s="14">
        <v>27.43</v>
      </c>
      <c r="AX272" s="14">
        <v>3.51</v>
      </c>
      <c r="AY272" s="14" t="b">
        <v>0</v>
      </c>
    </row>
    <row r="273" spans="1:51" hidden="1" x14ac:dyDescent="0.3">
      <c r="A273" t="str">
        <f>CONCATENATE(I273,E273,LEFT(G273,10))</f>
        <v>HFA602LLER2026-01-28</v>
      </c>
      <c r="B273" s="14" t="s">
        <v>1337</v>
      </c>
      <c r="C273" s="14" t="s">
        <v>336</v>
      </c>
      <c r="D273" s="14" t="s">
        <v>337</v>
      </c>
      <c r="E273" s="14" t="s">
        <v>59</v>
      </c>
      <c r="F273" s="14" t="s">
        <v>43</v>
      </c>
      <c r="G273" s="14" t="s">
        <v>1338</v>
      </c>
      <c r="H273" s="14" t="s">
        <v>339</v>
      </c>
      <c r="I273" s="14" t="s">
        <v>61</v>
      </c>
      <c r="J273" s="14" t="s">
        <v>83</v>
      </c>
      <c r="K273" s="14" t="s">
        <v>340</v>
      </c>
      <c r="L273" s="14" t="s">
        <v>341</v>
      </c>
      <c r="M273" s="16" t="s">
        <v>1339</v>
      </c>
      <c r="N273" s="14"/>
      <c r="O273" s="14" t="s">
        <v>395</v>
      </c>
      <c r="P273" s="14">
        <v>120</v>
      </c>
      <c r="Q273" s="14">
        <v>2</v>
      </c>
      <c r="R273" s="14">
        <v>6600</v>
      </c>
      <c r="S273" s="14" t="s">
        <v>1340</v>
      </c>
      <c r="T273" s="14" t="s">
        <v>1341</v>
      </c>
      <c r="U273" s="14">
        <v>0.88805555555555504</v>
      </c>
      <c r="V273" s="14">
        <v>1.0102777777777701</v>
      </c>
      <c r="W273" s="14">
        <v>734</v>
      </c>
      <c r="X273" s="14">
        <v>80</v>
      </c>
      <c r="Y273" s="14">
        <v>654</v>
      </c>
      <c r="Z273" s="14">
        <v>1566</v>
      </c>
      <c r="AA273" s="14">
        <v>274</v>
      </c>
      <c r="AB273" s="14">
        <v>287</v>
      </c>
      <c r="AC273" s="14">
        <v>957</v>
      </c>
      <c r="AD273" s="14">
        <v>48</v>
      </c>
      <c r="AE273" s="14">
        <v>2300</v>
      </c>
      <c r="AF273" s="14">
        <v>5000</v>
      </c>
      <c r="AG273" s="14">
        <v>2319</v>
      </c>
      <c r="AH273" s="14">
        <v>0</v>
      </c>
      <c r="AI273" s="14">
        <v>51</v>
      </c>
      <c r="AJ273" s="14">
        <v>190</v>
      </c>
      <c r="AK273" s="14" t="s">
        <v>1338</v>
      </c>
      <c r="AL273" s="14" t="s">
        <v>1342</v>
      </c>
      <c r="AM273" s="14">
        <v>202.63</v>
      </c>
      <c r="AN273" s="14">
        <v>184.55</v>
      </c>
      <c r="AO273" s="14">
        <v>54.99</v>
      </c>
      <c r="AP273" s="14">
        <v>22225</v>
      </c>
      <c r="AQ273" s="14">
        <v>22145</v>
      </c>
      <c r="AR273" s="14">
        <v>23000</v>
      </c>
      <c r="AS273" s="14">
        <v>19925</v>
      </c>
      <c r="AT273" s="14">
        <v>21491</v>
      </c>
      <c r="AU273" s="14">
        <v>-1</v>
      </c>
      <c r="AV273" s="14">
        <v>270.22000000000003</v>
      </c>
      <c r="AW273" s="14">
        <v>27.53</v>
      </c>
      <c r="AX273" s="14">
        <v>-1.51</v>
      </c>
      <c r="AY273" s="14" t="b">
        <v>0</v>
      </c>
    </row>
    <row r="274" spans="1:51" hidden="1" x14ac:dyDescent="0.3">
      <c r="A274" t="str">
        <f>CONCATENATE(I274,E274,LEFT(G274,10))</f>
        <v>HFA602LLER2026-01-29</v>
      </c>
      <c r="B274" s="14" t="s">
        <v>6327</v>
      </c>
      <c r="C274" s="14" t="s">
        <v>336</v>
      </c>
      <c r="D274" s="14" t="s">
        <v>337</v>
      </c>
      <c r="E274" s="14" t="s">
        <v>59</v>
      </c>
      <c r="F274" s="14" t="s">
        <v>43</v>
      </c>
      <c r="G274" s="14" t="s">
        <v>6328</v>
      </c>
      <c r="H274" s="14" t="s">
        <v>436</v>
      </c>
      <c r="I274" s="14" t="s">
        <v>61</v>
      </c>
      <c r="J274" s="14" t="s">
        <v>83</v>
      </c>
      <c r="K274" s="14" t="s">
        <v>340</v>
      </c>
      <c r="L274" s="14" t="s">
        <v>341</v>
      </c>
      <c r="M274" s="16" t="s">
        <v>6329</v>
      </c>
      <c r="N274" s="14" t="s">
        <v>359</v>
      </c>
      <c r="O274" s="14" t="s">
        <v>1302</v>
      </c>
      <c r="P274" s="14">
        <v>120</v>
      </c>
      <c r="Q274" s="14">
        <v>2</v>
      </c>
      <c r="R274" s="14">
        <v>6800</v>
      </c>
      <c r="S274" s="14" t="s">
        <v>6330</v>
      </c>
      <c r="T274" s="14" t="s">
        <v>6331</v>
      </c>
      <c r="U274" s="14">
        <v>1.5122222222222199</v>
      </c>
      <c r="V274" s="14">
        <v>1.6475</v>
      </c>
      <c r="W274" s="14">
        <v>740</v>
      </c>
      <c r="X274" s="14">
        <v>80</v>
      </c>
      <c r="Y274" s="14">
        <v>660</v>
      </c>
      <c r="Z274" s="14">
        <v>1760</v>
      </c>
      <c r="AA274" s="14">
        <v>267</v>
      </c>
      <c r="AB274" s="14">
        <v>290</v>
      </c>
      <c r="AC274" s="14">
        <v>1155</v>
      </c>
      <c r="AD274" s="14">
        <v>48</v>
      </c>
      <c r="AE274" s="14">
        <v>2500</v>
      </c>
      <c r="AF274" s="14">
        <v>5000</v>
      </c>
      <c r="AG274" s="14">
        <v>2338</v>
      </c>
      <c r="AH274" s="14">
        <v>0</v>
      </c>
      <c r="AI274" s="14">
        <v>52</v>
      </c>
      <c r="AJ274" s="14">
        <v>206</v>
      </c>
      <c r="AK274" s="14" t="s">
        <v>6328</v>
      </c>
      <c r="AL274" s="14" t="s">
        <v>6332</v>
      </c>
      <c r="AM274" s="14">
        <v>202.56</v>
      </c>
      <c r="AN274" s="14">
        <v>184.55</v>
      </c>
      <c r="AO274" s="14">
        <v>54.99</v>
      </c>
      <c r="AP274" s="14">
        <v>22505</v>
      </c>
      <c r="AQ274" s="14">
        <v>22425</v>
      </c>
      <c r="AR274" s="14">
        <v>23000</v>
      </c>
      <c r="AS274" s="14">
        <v>20005</v>
      </c>
      <c r="AT274" s="14">
        <v>21765</v>
      </c>
      <c r="AU274" s="14">
        <v>-4</v>
      </c>
      <c r="AV274" s="14">
        <v>282.2</v>
      </c>
      <c r="AW274" s="14">
        <v>22.84</v>
      </c>
      <c r="AX274" s="14">
        <v>3.76</v>
      </c>
      <c r="AY274" s="14" t="b">
        <v>0</v>
      </c>
    </row>
    <row r="275" spans="1:51" hidden="1" x14ac:dyDescent="0.3">
      <c r="A275" t="str">
        <f>CONCATENATE(I275,E275,LEFT(G275,10))</f>
        <v>HFA602LLER2026-01-30</v>
      </c>
      <c r="B275" s="14" t="s">
        <v>1173</v>
      </c>
      <c r="C275" s="14" t="s">
        <v>336</v>
      </c>
      <c r="D275" s="14" t="s">
        <v>337</v>
      </c>
      <c r="E275" s="14" t="s">
        <v>59</v>
      </c>
      <c r="F275" s="14" t="s">
        <v>43</v>
      </c>
      <c r="G275" s="14" t="s">
        <v>1174</v>
      </c>
      <c r="H275" s="14" t="s">
        <v>339</v>
      </c>
      <c r="I275" s="14" t="s">
        <v>61</v>
      </c>
      <c r="J275" s="14" t="s">
        <v>83</v>
      </c>
      <c r="K275" s="14" t="s">
        <v>340</v>
      </c>
      <c r="L275" s="14" t="s">
        <v>341</v>
      </c>
      <c r="M275" s="16" t="s">
        <v>1090</v>
      </c>
      <c r="N275" s="14"/>
      <c r="O275" s="14" t="s">
        <v>1175</v>
      </c>
      <c r="P275" s="14">
        <v>120</v>
      </c>
      <c r="Q275" s="14">
        <v>2</v>
      </c>
      <c r="R275" s="14">
        <v>2600</v>
      </c>
      <c r="S275" s="14" t="s">
        <v>1176</v>
      </c>
      <c r="T275" s="14" t="s">
        <v>1177</v>
      </c>
      <c r="U275" s="14">
        <v>0.91749999999999998</v>
      </c>
      <c r="V275" s="14">
        <v>1.1475</v>
      </c>
      <c r="W275" s="14">
        <v>684</v>
      </c>
      <c r="X275" s="14">
        <v>80</v>
      </c>
      <c r="Y275" s="14">
        <v>604</v>
      </c>
      <c r="Z275" s="14">
        <v>1616</v>
      </c>
      <c r="AA275" s="14">
        <v>263</v>
      </c>
      <c r="AB275" s="14">
        <v>252</v>
      </c>
      <c r="AC275" s="14">
        <v>1058</v>
      </c>
      <c r="AD275" s="14">
        <v>42</v>
      </c>
      <c r="AE275" s="14">
        <v>2300</v>
      </c>
      <c r="AF275" s="14">
        <v>5000</v>
      </c>
      <c r="AG275" s="14">
        <v>2161</v>
      </c>
      <c r="AH275" s="14">
        <v>0</v>
      </c>
      <c r="AI275" s="14">
        <v>49</v>
      </c>
      <c r="AJ275" s="14">
        <v>197</v>
      </c>
      <c r="AK275" s="14" t="s">
        <v>1174</v>
      </c>
      <c r="AL275" s="14" t="s">
        <v>1178</v>
      </c>
      <c r="AM275" s="14">
        <v>202.63</v>
      </c>
      <c r="AN275" s="14">
        <v>184.55</v>
      </c>
      <c r="AO275" s="14">
        <v>54.99</v>
      </c>
      <c r="AP275" s="14">
        <v>18225</v>
      </c>
      <c r="AQ275" s="14">
        <v>18145</v>
      </c>
      <c r="AR275" s="14">
        <v>23000</v>
      </c>
      <c r="AS275" s="14">
        <v>15925</v>
      </c>
      <c r="AT275" s="14">
        <v>17541</v>
      </c>
      <c r="AU275" s="14">
        <v>6</v>
      </c>
      <c r="AV275" s="14">
        <v>258.26</v>
      </c>
      <c r="AW275" s="14">
        <v>38.99</v>
      </c>
      <c r="AX275" s="14">
        <v>4.88</v>
      </c>
      <c r="AY275" s="14" t="b">
        <v>0</v>
      </c>
    </row>
    <row r="276" spans="1:51" hidden="1" x14ac:dyDescent="0.3">
      <c r="A276" t="str">
        <f>CONCATENATE(I276,E276,LEFT(G276,10))</f>
        <v>HFA602LLER2026-02-01</v>
      </c>
      <c r="B276" s="14" t="s">
        <v>2026</v>
      </c>
      <c r="C276" s="14" t="s">
        <v>336</v>
      </c>
      <c r="D276" s="14" t="s">
        <v>337</v>
      </c>
      <c r="E276" s="14" t="s">
        <v>59</v>
      </c>
      <c r="F276" s="14" t="s">
        <v>43</v>
      </c>
      <c r="G276" s="14" t="s">
        <v>2027</v>
      </c>
      <c r="H276" s="14" t="s">
        <v>339</v>
      </c>
      <c r="I276" s="14" t="s">
        <v>61</v>
      </c>
      <c r="J276" s="14" t="s">
        <v>83</v>
      </c>
      <c r="K276" s="14" t="s">
        <v>340</v>
      </c>
      <c r="L276" s="14" t="s">
        <v>341</v>
      </c>
      <c r="M276" s="16" t="s">
        <v>2028</v>
      </c>
      <c r="N276" s="14"/>
      <c r="O276" s="14" t="s">
        <v>1175</v>
      </c>
      <c r="P276" s="14">
        <v>120</v>
      </c>
      <c r="Q276" s="14">
        <v>2</v>
      </c>
      <c r="R276" s="14">
        <v>2200</v>
      </c>
      <c r="S276" s="14" t="s">
        <v>2029</v>
      </c>
      <c r="T276" s="14" t="s">
        <v>2030</v>
      </c>
      <c r="U276" s="14">
        <v>0.85611111111111104</v>
      </c>
      <c r="V276" s="14">
        <v>1.0008333333333299</v>
      </c>
      <c r="W276" s="14">
        <v>670</v>
      </c>
      <c r="X276" s="14">
        <v>80</v>
      </c>
      <c r="Y276" s="14">
        <v>590</v>
      </c>
      <c r="Z276" s="14">
        <v>1830</v>
      </c>
      <c r="AA276" s="14">
        <v>254</v>
      </c>
      <c r="AB276" s="14">
        <v>251</v>
      </c>
      <c r="AC276" s="14">
        <v>1284</v>
      </c>
      <c r="AD276" s="14">
        <v>42</v>
      </c>
      <c r="AE276" s="14">
        <v>2500</v>
      </c>
      <c r="AF276" s="14">
        <v>5000</v>
      </c>
      <c r="AG276" s="14">
        <v>2116</v>
      </c>
      <c r="AH276" s="14">
        <v>0</v>
      </c>
      <c r="AI276" s="14">
        <v>48</v>
      </c>
      <c r="AJ276" s="14">
        <v>217</v>
      </c>
      <c r="AK276" s="14" t="s">
        <v>2027</v>
      </c>
      <c r="AL276" s="14" t="s">
        <v>2031</v>
      </c>
      <c r="AM276" s="14">
        <v>202.63</v>
      </c>
      <c r="AN276" s="14">
        <v>184.55</v>
      </c>
      <c r="AO276" s="14">
        <v>54.99</v>
      </c>
      <c r="AP276" s="14">
        <v>18025</v>
      </c>
      <c r="AQ276" s="14">
        <v>17945</v>
      </c>
      <c r="AR276" s="14">
        <v>23000</v>
      </c>
      <c r="AS276" s="14">
        <v>15525</v>
      </c>
      <c r="AT276" s="14">
        <v>17355</v>
      </c>
      <c r="AU276" s="14">
        <v>10</v>
      </c>
      <c r="AV276" s="14">
        <v>235.91</v>
      </c>
      <c r="AW276" s="14">
        <v>20.59</v>
      </c>
      <c r="AX276" s="14">
        <v>7.31</v>
      </c>
      <c r="AY276" s="14" t="b">
        <v>0</v>
      </c>
    </row>
    <row r="277" spans="1:51" hidden="1" x14ac:dyDescent="0.3">
      <c r="A277" t="str">
        <f>CONCATENATE(I277,E277,LEFT(G277,10))</f>
        <v>HFA602LLER2026-02-02</v>
      </c>
      <c r="B277" s="14" t="s">
        <v>890</v>
      </c>
      <c r="C277" s="14" t="s">
        <v>336</v>
      </c>
      <c r="D277" s="14" t="s">
        <v>337</v>
      </c>
      <c r="E277" s="14" t="s">
        <v>59</v>
      </c>
      <c r="F277" s="14" t="s">
        <v>43</v>
      </c>
      <c r="G277" s="14" t="s">
        <v>891</v>
      </c>
      <c r="H277" s="14" t="s">
        <v>371</v>
      </c>
      <c r="I277" s="14" t="s">
        <v>61</v>
      </c>
      <c r="J277" s="14" t="s">
        <v>83</v>
      </c>
      <c r="K277" s="14" t="s">
        <v>340</v>
      </c>
      <c r="L277" s="14" t="s">
        <v>341</v>
      </c>
      <c r="M277" s="16" t="s">
        <v>892</v>
      </c>
      <c r="N277" s="14"/>
      <c r="O277" s="14" t="s">
        <v>852</v>
      </c>
      <c r="P277" s="14">
        <v>120</v>
      </c>
      <c r="Q277" s="14">
        <v>2</v>
      </c>
      <c r="R277" s="14">
        <v>1900</v>
      </c>
      <c r="S277" s="14" t="s">
        <v>893</v>
      </c>
      <c r="T277" s="14" t="s">
        <v>894</v>
      </c>
      <c r="U277" s="14">
        <v>0.90194444444444399</v>
      </c>
      <c r="V277" s="14">
        <v>1.14888888888888</v>
      </c>
      <c r="W277" s="14">
        <v>676</v>
      </c>
      <c r="X277" s="14">
        <v>80</v>
      </c>
      <c r="Y277" s="14">
        <v>596</v>
      </c>
      <c r="Z277" s="14">
        <v>1524</v>
      </c>
      <c r="AA277" s="14">
        <v>259</v>
      </c>
      <c r="AB277" s="14">
        <v>247</v>
      </c>
      <c r="AC277" s="14">
        <v>976</v>
      </c>
      <c r="AD277" s="14">
        <v>41</v>
      </c>
      <c r="AE277" s="14">
        <v>2200</v>
      </c>
      <c r="AF277" s="14">
        <v>5000</v>
      </c>
      <c r="AG277" s="14">
        <v>2136</v>
      </c>
      <c r="AH277" s="14">
        <v>0</v>
      </c>
      <c r="AI277" s="14">
        <v>47</v>
      </c>
      <c r="AJ277" s="14">
        <v>184</v>
      </c>
      <c r="AK277" s="14" t="s">
        <v>891</v>
      </c>
      <c r="AL277" s="14" t="s">
        <v>895</v>
      </c>
      <c r="AM277" s="14">
        <v>202.56</v>
      </c>
      <c r="AN277" s="14">
        <v>184.55</v>
      </c>
      <c r="AO277" s="14">
        <v>54.99</v>
      </c>
      <c r="AP277" s="14">
        <v>17600</v>
      </c>
      <c r="AQ277" s="14">
        <v>17520</v>
      </c>
      <c r="AR277" s="14">
        <v>23000</v>
      </c>
      <c r="AS277" s="14">
        <v>15400</v>
      </c>
      <c r="AT277" s="14">
        <v>16924</v>
      </c>
      <c r="AU277" s="14">
        <v>13</v>
      </c>
      <c r="AV277" s="14">
        <v>239.67</v>
      </c>
      <c r="AW277" s="14">
        <v>31.86</v>
      </c>
      <c r="AX277" s="14">
        <v>6.51</v>
      </c>
      <c r="AY277" s="14" t="b">
        <v>0</v>
      </c>
    </row>
    <row r="278" spans="1:51" hidden="1" x14ac:dyDescent="0.3">
      <c r="A278" t="str">
        <f>CONCATENATE(I278,E278,LEFT(G278,10))</f>
        <v>HFA602LLER2026-02-03</v>
      </c>
      <c r="B278" s="14" t="s">
        <v>2463</v>
      </c>
      <c r="C278" s="14" t="s">
        <v>336</v>
      </c>
      <c r="D278" s="14" t="s">
        <v>337</v>
      </c>
      <c r="E278" s="14" t="s">
        <v>59</v>
      </c>
      <c r="F278" s="14" t="s">
        <v>43</v>
      </c>
      <c r="G278" s="14" t="s">
        <v>2464</v>
      </c>
      <c r="H278" s="14" t="s">
        <v>339</v>
      </c>
      <c r="I278" s="14" t="s">
        <v>61</v>
      </c>
      <c r="J278" s="14" t="s">
        <v>83</v>
      </c>
      <c r="K278" s="14" t="s">
        <v>340</v>
      </c>
      <c r="L278" s="14" t="s">
        <v>341</v>
      </c>
      <c r="M278" s="16" t="s">
        <v>2465</v>
      </c>
      <c r="N278" s="14"/>
      <c r="O278" s="14" t="s">
        <v>2466</v>
      </c>
      <c r="P278" s="14">
        <v>180</v>
      </c>
      <c r="Q278" s="14">
        <v>3</v>
      </c>
      <c r="R278" s="14">
        <v>3400</v>
      </c>
      <c r="S278" s="14" t="s">
        <v>2467</v>
      </c>
      <c r="T278" s="14" t="s">
        <v>2468</v>
      </c>
      <c r="U278" s="14">
        <v>0.96</v>
      </c>
      <c r="V278" s="14">
        <v>1.15916666666666</v>
      </c>
      <c r="W278" s="14">
        <v>714</v>
      </c>
      <c r="X278" s="14">
        <v>80</v>
      </c>
      <c r="Y278" s="14">
        <v>634</v>
      </c>
      <c r="Z278" s="14">
        <v>1586</v>
      </c>
      <c r="AA278" s="14">
        <v>251</v>
      </c>
      <c r="AB278" s="14">
        <v>258</v>
      </c>
      <c r="AC278" s="14">
        <v>1034</v>
      </c>
      <c r="AD278" s="14">
        <v>43</v>
      </c>
      <c r="AE278" s="14">
        <v>2300</v>
      </c>
      <c r="AF278" s="14">
        <v>5000</v>
      </c>
      <c r="AG278" s="14">
        <v>2255</v>
      </c>
      <c r="AH278" s="14">
        <v>0</v>
      </c>
      <c r="AI278" s="14">
        <v>54</v>
      </c>
      <c r="AJ278" s="14">
        <v>198</v>
      </c>
      <c r="AK278" s="14" t="s">
        <v>2464</v>
      </c>
      <c r="AL278" s="14" t="s">
        <v>2469</v>
      </c>
      <c r="AM278" s="14">
        <v>202.63</v>
      </c>
      <c r="AN278" s="14">
        <v>184.55</v>
      </c>
      <c r="AO278" s="14">
        <v>54.99</v>
      </c>
      <c r="AP278" s="14">
        <v>19025</v>
      </c>
      <c r="AQ278" s="14">
        <v>18945</v>
      </c>
      <c r="AR278" s="14">
        <v>23000</v>
      </c>
      <c r="AS278" s="14">
        <v>16725</v>
      </c>
      <c r="AT278" s="14">
        <v>18311</v>
      </c>
      <c r="AU278" s="14">
        <v>-15</v>
      </c>
      <c r="AV278" s="14">
        <v>293.41000000000003</v>
      </c>
      <c r="AW278" s="14">
        <v>51.58</v>
      </c>
      <c r="AX278" s="14">
        <v>1.76</v>
      </c>
      <c r="AY278" s="14" t="b">
        <v>0</v>
      </c>
    </row>
    <row r="279" spans="1:51" hidden="1" x14ac:dyDescent="0.3">
      <c r="A279" t="str">
        <f>CONCATENATE(I279,E279,LEFT(G279,10))</f>
        <v>HFA602LLER2026-02-04</v>
      </c>
      <c r="B279" s="14" t="s">
        <v>5869</v>
      </c>
      <c r="C279" s="14" t="s">
        <v>336</v>
      </c>
      <c r="D279" s="14" t="s">
        <v>337</v>
      </c>
      <c r="E279" s="14" t="s">
        <v>59</v>
      </c>
      <c r="F279" s="14" t="s">
        <v>43</v>
      </c>
      <c r="G279" s="14" t="s">
        <v>5870</v>
      </c>
      <c r="H279" s="14" t="s">
        <v>339</v>
      </c>
      <c r="I279" s="14" t="s">
        <v>61</v>
      </c>
      <c r="J279" s="14" t="s">
        <v>83</v>
      </c>
      <c r="K279" s="14" t="s">
        <v>340</v>
      </c>
      <c r="L279" s="14" t="s">
        <v>341</v>
      </c>
      <c r="M279" s="16" t="s">
        <v>731</v>
      </c>
      <c r="N279" s="14"/>
      <c r="O279" s="14" t="s">
        <v>2436</v>
      </c>
      <c r="P279" s="14">
        <v>120</v>
      </c>
      <c r="Q279" s="14">
        <v>2</v>
      </c>
      <c r="R279" s="14">
        <v>4500</v>
      </c>
      <c r="S279" s="14" t="s">
        <v>5871</v>
      </c>
      <c r="T279" s="14" t="s">
        <v>5872</v>
      </c>
      <c r="U279" s="14">
        <v>0.94083333333333297</v>
      </c>
      <c r="V279" s="14">
        <v>1.12944444444444</v>
      </c>
      <c r="W279" s="14">
        <v>711</v>
      </c>
      <c r="X279" s="14">
        <v>80</v>
      </c>
      <c r="Y279" s="14">
        <v>631</v>
      </c>
      <c r="Z279" s="14">
        <v>1389</v>
      </c>
      <c r="AA279" s="14">
        <v>252</v>
      </c>
      <c r="AB279" s="14">
        <v>266</v>
      </c>
      <c r="AC279" s="14">
        <v>827</v>
      </c>
      <c r="AD279" s="14">
        <v>44</v>
      </c>
      <c r="AE279" s="14">
        <v>2100</v>
      </c>
      <c r="AF279" s="14">
        <v>5000</v>
      </c>
      <c r="AG279" s="14">
        <v>2246</v>
      </c>
      <c r="AH279" s="14">
        <v>0</v>
      </c>
      <c r="AI279" s="14">
        <v>51</v>
      </c>
      <c r="AJ279" s="14">
        <v>176</v>
      </c>
      <c r="AK279" s="14" t="s">
        <v>5870</v>
      </c>
      <c r="AL279" s="14" t="s">
        <v>5873</v>
      </c>
      <c r="AM279" s="14">
        <v>202.63</v>
      </c>
      <c r="AN279" s="14">
        <v>184.55</v>
      </c>
      <c r="AO279" s="14">
        <v>54.99</v>
      </c>
      <c r="AP279" s="14">
        <v>19925</v>
      </c>
      <c r="AQ279" s="14">
        <v>19845</v>
      </c>
      <c r="AR279" s="14">
        <v>23000</v>
      </c>
      <c r="AS279" s="14">
        <v>17825</v>
      </c>
      <c r="AT279" s="14">
        <v>19214</v>
      </c>
      <c r="AU279" s="14">
        <v>-5</v>
      </c>
      <c r="AV279" s="14">
        <v>302.95999999999998</v>
      </c>
      <c r="AW279" s="14">
        <v>8.6300000000000008</v>
      </c>
      <c r="AX279" s="14">
        <v>5.94</v>
      </c>
      <c r="AY279" s="14" t="b">
        <v>0</v>
      </c>
    </row>
    <row r="280" spans="1:51" hidden="1" x14ac:dyDescent="0.3">
      <c r="A280" t="str">
        <f>CONCATENATE(I280,E280,LEFT(G280,10))</f>
        <v>HFA602LLER2026-02-05</v>
      </c>
      <c r="B280" s="14" t="s">
        <v>4685</v>
      </c>
      <c r="C280" s="14" t="s">
        <v>336</v>
      </c>
      <c r="D280" s="14" t="s">
        <v>337</v>
      </c>
      <c r="E280" s="14" t="s">
        <v>59</v>
      </c>
      <c r="F280" s="14" t="s">
        <v>43</v>
      </c>
      <c r="G280" s="14" t="s">
        <v>4686</v>
      </c>
      <c r="H280" s="14" t="s">
        <v>393</v>
      </c>
      <c r="I280" s="14" t="s">
        <v>61</v>
      </c>
      <c r="J280" s="14" t="s">
        <v>83</v>
      </c>
      <c r="K280" s="14" t="s">
        <v>340</v>
      </c>
      <c r="L280" s="14" t="s">
        <v>341</v>
      </c>
      <c r="M280" s="16" t="s">
        <v>4687</v>
      </c>
      <c r="N280" s="14"/>
      <c r="O280" s="14" t="s">
        <v>395</v>
      </c>
      <c r="P280" s="14">
        <v>120</v>
      </c>
      <c r="Q280" s="14">
        <v>2</v>
      </c>
      <c r="R280" s="14">
        <v>5800</v>
      </c>
      <c r="S280" s="14" t="s">
        <v>4688</v>
      </c>
      <c r="T280" s="14" t="s">
        <v>4689</v>
      </c>
      <c r="U280" s="14">
        <v>0.87111111111111095</v>
      </c>
      <c r="V280" s="14">
        <v>1.06805555555555</v>
      </c>
      <c r="W280" s="14">
        <v>774</v>
      </c>
      <c r="X280" s="14">
        <v>80</v>
      </c>
      <c r="Y280" s="14">
        <v>694</v>
      </c>
      <c r="Z280" s="14">
        <v>1826</v>
      </c>
      <c r="AA280" s="14">
        <v>272</v>
      </c>
      <c r="AB280" s="14">
        <v>281</v>
      </c>
      <c r="AC280" s="14">
        <v>1225</v>
      </c>
      <c r="AD280" s="14">
        <v>47</v>
      </c>
      <c r="AE280" s="14">
        <v>2600</v>
      </c>
      <c r="AF280" s="14">
        <v>5000</v>
      </c>
      <c r="AG280" s="14">
        <v>2447</v>
      </c>
      <c r="AH280" s="14">
        <v>0</v>
      </c>
      <c r="AI280" s="14">
        <v>50</v>
      </c>
      <c r="AJ280" s="14">
        <v>204</v>
      </c>
      <c r="AK280" s="14" t="s">
        <v>4686</v>
      </c>
      <c r="AL280" s="14" t="s">
        <v>4690</v>
      </c>
      <c r="AM280" s="14">
        <v>202.63</v>
      </c>
      <c r="AN280" s="14">
        <v>184.55</v>
      </c>
      <c r="AO280" s="14">
        <v>54.99</v>
      </c>
      <c r="AP280" s="14">
        <v>21711</v>
      </c>
      <c r="AQ280" s="14">
        <v>21631</v>
      </c>
      <c r="AR280" s="14">
        <v>23000</v>
      </c>
      <c r="AS280" s="14">
        <v>19111</v>
      </c>
      <c r="AT280" s="14">
        <v>20937</v>
      </c>
      <c r="AU280" s="14">
        <v>5</v>
      </c>
      <c r="AV280" s="14">
        <v>226.9</v>
      </c>
      <c r="AW280" s="14">
        <v>9.44</v>
      </c>
      <c r="AX280" s="14">
        <v>5.88</v>
      </c>
      <c r="AY280" s="14" t="b">
        <v>0</v>
      </c>
    </row>
    <row r="281" spans="1:51" hidden="1" x14ac:dyDescent="0.3">
      <c r="A281" t="str">
        <f>CONCATENATE(I281,E281,LEFT(G281,10))</f>
        <v>HFA602LLER2026-02-06</v>
      </c>
      <c r="B281" s="14" t="s">
        <v>5464</v>
      </c>
      <c r="C281" s="14" t="s">
        <v>336</v>
      </c>
      <c r="D281" s="14" t="s">
        <v>337</v>
      </c>
      <c r="E281" s="14" t="s">
        <v>59</v>
      </c>
      <c r="F281" s="14" t="s">
        <v>43</v>
      </c>
      <c r="G281" s="14" t="s">
        <v>5465</v>
      </c>
      <c r="H281" s="14" t="s">
        <v>339</v>
      </c>
      <c r="I281" s="14" t="s">
        <v>61</v>
      </c>
      <c r="J281" s="14" t="s">
        <v>83</v>
      </c>
      <c r="K281" s="14" t="s">
        <v>340</v>
      </c>
      <c r="L281" s="14" t="s">
        <v>341</v>
      </c>
      <c r="M281" s="16" t="s">
        <v>731</v>
      </c>
      <c r="N281" s="14"/>
      <c r="O281" s="14" t="s">
        <v>5466</v>
      </c>
      <c r="P281" s="14">
        <v>120</v>
      </c>
      <c r="Q281" s="14">
        <v>2</v>
      </c>
      <c r="R281" s="14">
        <v>2400</v>
      </c>
      <c r="S281" s="14" t="s">
        <v>5467</v>
      </c>
      <c r="T281" s="14" t="s">
        <v>5468</v>
      </c>
      <c r="U281" s="14">
        <v>0.83750000000000002</v>
      </c>
      <c r="V281" s="14">
        <v>1.04416666666666</v>
      </c>
      <c r="W281" s="14">
        <v>677</v>
      </c>
      <c r="X281" s="14">
        <v>80</v>
      </c>
      <c r="Y281" s="14">
        <v>597</v>
      </c>
      <c r="Z281" s="14">
        <v>1423</v>
      </c>
      <c r="AA281" s="14">
        <v>253</v>
      </c>
      <c r="AB281" s="14">
        <v>249</v>
      </c>
      <c r="AC281" s="14">
        <v>879</v>
      </c>
      <c r="AD281" s="14">
        <v>42</v>
      </c>
      <c r="AE281" s="14">
        <v>2100</v>
      </c>
      <c r="AF281" s="14">
        <v>5000</v>
      </c>
      <c r="AG281" s="14">
        <v>2140</v>
      </c>
      <c r="AH281" s="14">
        <v>0</v>
      </c>
      <c r="AI281" s="14">
        <v>48</v>
      </c>
      <c r="AJ281" s="14">
        <v>180</v>
      </c>
      <c r="AK281" s="14" t="s">
        <v>5465</v>
      </c>
      <c r="AL281" s="14" t="s">
        <v>5469</v>
      </c>
      <c r="AM281" s="14">
        <v>202.56</v>
      </c>
      <c r="AN281" s="14">
        <v>184.55</v>
      </c>
      <c r="AO281" s="14">
        <v>54.99</v>
      </c>
      <c r="AP281" s="14">
        <v>17825</v>
      </c>
      <c r="AQ281" s="14">
        <v>17745</v>
      </c>
      <c r="AR281" s="14">
        <v>23000</v>
      </c>
      <c r="AS281" s="14">
        <v>15725</v>
      </c>
      <c r="AT281" s="14">
        <v>17148</v>
      </c>
      <c r="AU281" s="14">
        <v>6</v>
      </c>
      <c r="AV281" s="14">
        <v>246.44</v>
      </c>
      <c r="AW281" s="14">
        <v>19.09</v>
      </c>
      <c r="AX281" s="14">
        <v>3.84</v>
      </c>
      <c r="AY281" s="14" t="b">
        <v>0</v>
      </c>
    </row>
    <row r="282" spans="1:51" hidden="1" x14ac:dyDescent="0.3">
      <c r="A282" t="str">
        <f>CONCATENATE(I282,E282,LEFT(G282,10))</f>
        <v>HFA602LLER2026-02-08</v>
      </c>
      <c r="B282" s="14" t="s">
        <v>442</v>
      </c>
      <c r="C282" s="14" t="s">
        <v>336</v>
      </c>
      <c r="D282" s="14" t="s">
        <v>337</v>
      </c>
      <c r="E282" s="14" t="s">
        <v>59</v>
      </c>
      <c r="F282" s="14" t="s">
        <v>43</v>
      </c>
      <c r="G282" s="14" t="s">
        <v>443</v>
      </c>
      <c r="H282" s="14" t="s">
        <v>393</v>
      </c>
      <c r="I282" s="14" t="s">
        <v>61</v>
      </c>
      <c r="J282" s="14" t="s">
        <v>83</v>
      </c>
      <c r="K282" s="14" t="s">
        <v>340</v>
      </c>
      <c r="L282" s="14" t="s">
        <v>341</v>
      </c>
      <c r="M282" s="16" t="s">
        <v>444</v>
      </c>
      <c r="N282" s="14"/>
      <c r="O282" s="14" t="s">
        <v>395</v>
      </c>
      <c r="P282" s="14">
        <v>120</v>
      </c>
      <c r="Q282" s="14">
        <v>2</v>
      </c>
      <c r="R282" s="14">
        <v>550</v>
      </c>
      <c r="S282" s="14" t="s">
        <v>445</v>
      </c>
      <c r="T282" s="14" t="s">
        <v>446</v>
      </c>
      <c r="U282" s="14">
        <v>0.88500000000000001</v>
      </c>
      <c r="V282" s="14">
        <v>1.08972222222222</v>
      </c>
      <c r="W282" s="14">
        <v>771</v>
      </c>
      <c r="X282" s="14">
        <v>80</v>
      </c>
      <c r="Y282" s="14">
        <v>691</v>
      </c>
      <c r="Z282" s="14">
        <v>1829</v>
      </c>
      <c r="AA282" s="14">
        <v>260</v>
      </c>
      <c r="AB282" s="14">
        <v>239</v>
      </c>
      <c r="AC282" s="14">
        <v>1291</v>
      </c>
      <c r="AD282" s="14">
        <v>40</v>
      </c>
      <c r="AE282" s="14">
        <v>2600</v>
      </c>
      <c r="AF282" s="14">
        <v>5000</v>
      </c>
      <c r="AG282" s="14">
        <v>2436</v>
      </c>
      <c r="AH282" s="14">
        <v>0</v>
      </c>
      <c r="AI282" s="14">
        <v>50</v>
      </c>
      <c r="AJ282" s="14">
        <v>210</v>
      </c>
      <c r="AK282" s="14" t="s">
        <v>443</v>
      </c>
      <c r="AL282" s="14" t="s">
        <v>447</v>
      </c>
      <c r="AM282" s="14">
        <v>202.63</v>
      </c>
      <c r="AN282" s="14">
        <v>184.55</v>
      </c>
      <c r="AO282" s="14">
        <v>54.99</v>
      </c>
      <c r="AP282" s="14">
        <v>16461</v>
      </c>
      <c r="AQ282" s="14">
        <v>16381</v>
      </c>
      <c r="AR282" s="14">
        <v>23000</v>
      </c>
      <c r="AS282" s="14">
        <v>13861</v>
      </c>
      <c r="AT282" s="14">
        <v>15690</v>
      </c>
      <c r="AU282" s="14">
        <v>-4</v>
      </c>
      <c r="AV282" s="14">
        <v>274.58</v>
      </c>
      <c r="AW282" s="14">
        <v>32.28</v>
      </c>
      <c r="AX282" s="14">
        <v>7.72</v>
      </c>
      <c r="AY282" s="14" t="b">
        <v>0</v>
      </c>
    </row>
    <row r="283" spans="1:51" hidden="1" x14ac:dyDescent="0.3">
      <c r="A283" t="str">
        <f>CONCATENATE(I283,E283,LEFT(G283,10))</f>
        <v>HFA602LLER2026-02-09</v>
      </c>
      <c r="B283" s="14" t="s">
        <v>1256</v>
      </c>
      <c r="C283" s="14" t="s">
        <v>336</v>
      </c>
      <c r="D283" s="14" t="s">
        <v>337</v>
      </c>
      <c r="E283" s="14" t="s">
        <v>59</v>
      </c>
      <c r="F283" s="14" t="s">
        <v>43</v>
      </c>
      <c r="G283" s="14" t="s">
        <v>1257</v>
      </c>
      <c r="H283" s="14" t="s">
        <v>436</v>
      </c>
      <c r="I283" s="14" t="s">
        <v>61</v>
      </c>
      <c r="J283" s="14" t="s">
        <v>83</v>
      </c>
      <c r="K283" s="14" t="s">
        <v>340</v>
      </c>
      <c r="L283" s="14" t="s">
        <v>341</v>
      </c>
      <c r="M283" s="16" t="s">
        <v>731</v>
      </c>
      <c r="N283" s="14" t="s">
        <v>359</v>
      </c>
      <c r="O283" s="14" t="s">
        <v>373</v>
      </c>
      <c r="P283" s="14">
        <v>120</v>
      </c>
      <c r="Q283" s="14">
        <v>2</v>
      </c>
      <c r="R283" s="14">
        <v>3100</v>
      </c>
      <c r="S283" s="14" t="s">
        <v>1258</v>
      </c>
      <c r="T283" s="14" t="s">
        <v>1259</v>
      </c>
      <c r="U283" s="14">
        <v>0.93138888888888804</v>
      </c>
      <c r="V283" s="14">
        <v>1.15361111111111</v>
      </c>
      <c r="W283" s="14">
        <v>733</v>
      </c>
      <c r="X283" s="14">
        <v>80</v>
      </c>
      <c r="Y283" s="14">
        <v>653</v>
      </c>
      <c r="Z283" s="14">
        <v>1667</v>
      </c>
      <c r="AA283" s="14">
        <v>255</v>
      </c>
      <c r="AB283" s="14">
        <v>256</v>
      </c>
      <c r="AC283" s="14">
        <v>1113</v>
      </c>
      <c r="AD283" s="14">
        <v>43</v>
      </c>
      <c r="AE283" s="14">
        <v>2400</v>
      </c>
      <c r="AF283" s="14">
        <v>5000</v>
      </c>
      <c r="AG283" s="14">
        <v>2317</v>
      </c>
      <c r="AH283" s="14">
        <v>0</v>
      </c>
      <c r="AI283" s="14">
        <v>53</v>
      </c>
      <c r="AJ283" s="14">
        <v>204</v>
      </c>
      <c r="AK283" s="14" t="s">
        <v>1257</v>
      </c>
      <c r="AL283" s="14" t="s">
        <v>1260</v>
      </c>
      <c r="AM283" s="14">
        <v>216.76</v>
      </c>
      <c r="AN283" s="14">
        <v>184.55</v>
      </c>
      <c r="AO283" s="14">
        <v>54.99</v>
      </c>
      <c r="AP283" s="14">
        <v>18705</v>
      </c>
      <c r="AQ283" s="14">
        <v>18625</v>
      </c>
      <c r="AR283" s="14">
        <v>23000</v>
      </c>
      <c r="AS283" s="14">
        <v>16305</v>
      </c>
      <c r="AT283" s="14">
        <v>17972</v>
      </c>
      <c r="AU283" s="14">
        <v>2</v>
      </c>
      <c r="AV283" s="14">
        <v>261.92</v>
      </c>
      <c r="AW283" s="14">
        <v>28.94</v>
      </c>
      <c r="AX283" s="14">
        <v>8.26</v>
      </c>
      <c r="AY283" s="14" t="b">
        <v>0</v>
      </c>
    </row>
    <row r="284" spans="1:51" hidden="1" x14ac:dyDescent="0.3">
      <c r="A284" t="str">
        <f>CONCATENATE(I284,E284,LEFT(G284,10))</f>
        <v>HFA602LLER2026-02-10</v>
      </c>
      <c r="B284" s="14" t="s">
        <v>4443</v>
      </c>
      <c r="C284" s="14" t="s">
        <v>336</v>
      </c>
      <c r="D284" s="14" t="s">
        <v>337</v>
      </c>
      <c r="E284" s="14" t="s">
        <v>59</v>
      </c>
      <c r="F284" s="14" t="s">
        <v>43</v>
      </c>
      <c r="G284" s="14" t="s">
        <v>4444</v>
      </c>
      <c r="H284" s="14" t="s">
        <v>339</v>
      </c>
      <c r="I284" s="14" t="s">
        <v>61</v>
      </c>
      <c r="J284" s="14" t="s">
        <v>83</v>
      </c>
      <c r="K284" s="14" t="s">
        <v>340</v>
      </c>
      <c r="L284" s="14" t="s">
        <v>341</v>
      </c>
      <c r="M284" s="16" t="s">
        <v>4445</v>
      </c>
      <c r="N284" s="14"/>
      <c r="O284" s="14" t="s">
        <v>395</v>
      </c>
      <c r="P284" s="14">
        <v>120</v>
      </c>
      <c r="Q284" s="14">
        <v>2</v>
      </c>
      <c r="R284" s="14">
        <v>3300</v>
      </c>
      <c r="S284" s="14" t="s">
        <v>4446</v>
      </c>
      <c r="T284" s="14" t="s">
        <v>4447</v>
      </c>
      <c r="U284" s="14">
        <v>0.88083333333333302</v>
      </c>
      <c r="V284" s="14">
        <v>1.09777777777777</v>
      </c>
      <c r="W284" s="14">
        <v>679</v>
      </c>
      <c r="X284" s="14">
        <v>80</v>
      </c>
      <c r="Y284" s="14">
        <v>599</v>
      </c>
      <c r="Z284" s="14">
        <v>1421</v>
      </c>
      <c r="AA284" s="14">
        <v>257</v>
      </c>
      <c r="AB284" s="14">
        <v>256</v>
      </c>
      <c r="AC284" s="14">
        <v>865</v>
      </c>
      <c r="AD284" s="14">
        <v>43</v>
      </c>
      <c r="AE284" s="14">
        <v>2100</v>
      </c>
      <c r="AF284" s="14">
        <v>5000</v>
      </c>
      <c r="AG284" s="14">
        <v>2146</v>
      </c>
      <c r="AH284" s="14">
        <v>0</v>
      </c>
      <c r="AI284" s="14">
        <v>49</v>
      </c>
      <c r="AJ284" s="14">
        <v>178</v>
      </c>
      <c r="AK284" s="14" t="s">
        <v>4444</v>
      </c>
      <c r="AL284" s="14" t="s">
        <v>4448</v>
      </c>
      <c r="AM284" s="14">
        <v>202.63</v>
      </c>
      <c r="AN284" s="14">
        <v>184.55</v>
      </c>
      <c r="AO284" s="14">
        <v>54.99</v>
      </c>
      <c r="AP284" s="14">
        <v>18725</v>
      </c>
      <c r="AQ284" s="14">
        <v>18645</v>
      </c>
      <c r="AR284" s="14">
        <v>23000</v>
      </c>
      <c r="AS284" s="14">
        <v>16625</v>
      </c>
      <c r="AT284" s="14">
        <v>18046</v>
      </c>
      <c r="AU284" s="14">
        <v>9</v>
      </c>
      <c r="AV284" s="14">
        <v>250.42</v>
      </c>
      <c r="AW284" s="14">
        <v>35.03</v>
      </c>
      <c r="AX284" s="14">
        <v>6.54</v>
      </c>
      <c r="AY284" s="14" t="b">
        <v>0</v>
      </c>
    </row>
    <row r="285" spans="1:51" hidden="1" x14ac:dyDescent="0.3">
      <c r="A285" t="str">
        <f>CONCATENATE(I285,E285,LEFT(G285,10))</f>
        <v>HFA602LLER2026-02-11</v>
      </c>
      <c r="B285" s="14" t="s">
        <v>2730</v>
      </c>
      <c r="C285" s="14" t="s">
        <v>336</v>
      </c>
      <c r="D285" s="14" t="s">
        <v>337</v>
      </c>
      <c r="E285" s="14" t="s">
        <v>59</v>
      </c>
      <c r="F285" s="14" t="s">
        <v>43</v>
      </c>
      <c r="G285" s="14" t="s">
        <v>2731</v>
      </c>
      <c r="H285" s="14" t="s">
        <v>339</v>
      </c>
      <c r="I285" s="14" t="s">
        <v>61</v>
      </c>
      <c r="J285" s="14" t="s">
        <v>83</v>
      </c>
      <c r="K285" s="14" t="s">
        <v>340</v>
      </c>
      <c r="L285" s="14" t="s">
        <v>341</v>
      </c>
      <c r="M285" s="16" t="s">
        <v>731</v>
      </c>
      <c r="N285" s="14"/>
      <c r="O285" s="14" t="s">
        <v>2732</v>
      </c>
      <c r="P285" s="14">
        <v>120</v>
      </c>
      <c r="Q285" s="14">
        <v>2</v>
      </c>
      <c r="R285" s="14">
        <v>6700</v>
      </c>
      <c r="S285" s="14" t="s">
        <v>2733</v>
      </c>
      <c r="T285" s="14" t="s">
        <v>2734</v>
      </c>
      <c r="U285" s="14">
        <v>0.91888888888888798</v>
      </c>
      <c r="V285" s="14">
        <v>-0.88694444444444398</v>
      </c>
      <c r="W285" s="14">
        <v>702</v>
      </c>
      <c r="X285" s="14">
        <v>80</v>
      </c>
      <c r="Y285" s="14">
        <v>622</v>
      </c>
      <c r="Z285" s="14">
        <v>1498</v>
      </c>
      <c r="AA285" s="14">
        <v>269</v>
      </c>
      <c r="AB285" s="14">
        <v>288</v>
      </c>
      <c r="AC285" s="14">
        <v>894</v>
      </c>
      <c r="AD285" s="14">
        <v>48</v>
      </c>
      <c r="AE285" s="14">
        <v>2200</v>
      </c>
      <c r="AF285" s="14">
        <v>5000</v>
      </c>
      <c r="AG285" s="14">
        <v>2217</v>
      </c>
      <c r="AH285" s="14">
        <v>0</v>
      </c>
      <c r="AI285" s="14">
        <v>50</v>
      </c>
      <c r="AJ285" s="14">
        <v>182</v>
      </c>
      <c r="AK285" s="14" t="s">
        <v>2731</v>
      </c>
      <c r="AL285" s="14" t="s">
        <v>2735</v>
      </c>
      <c r="AM285" s="14">
        <v>202.56</v>
      </c>
      <c r="AN285" s="14">
        <v>184.55</v>
      </c>
      <c r="AO285" s="14">
        <v>54.99</v>
      </c>
      <c r="AP285" s="14">
        <v>22225</v>
      </c>
      <c r="AQ285" s="14">
        <v>22145</v>
      </c>
      <c r="AR285" s="14">
        <v>23000</v>
      </c>
      <c r="AS285" s="14">
        <v>20025</v>
      </c>
      <c r="AT285" s="14">
        <v>21523</v>
      </c>
      <c r="AU285" s="14">
        <v>9</v>
      </c>
      <c r="AV285" s="14">
        <v>252.54</v>
      </c>
      <c r="AW285" s="14">
        <v>33.700000000000003</v>
      </c>
      <c r="AX285" s="14">
        <v>4.04</v>
      </c>
      <c r="AY285" s="14" t="b">
        <v>0</v>
      </c>
    </row>
    <row r="286" spans="1:51" hidden="1" x14ac:dyDescent="0.3">
      <c r="A286" t="str">
        <f>CONCATENATE(I286,E286,LEFT(G286,10))</f>
        <v>HFA602LLER2026-02-12</v>
      </c>
      <c r="B286" s="14" t="s">
        <v>586</v>
      </c>
      <c r="C286" s="14" t="s">
        <v>336</v>
      </c>
      <c r="D286" s="14" t="s">
        <v>337</v>
      </c>
      <c r="E286" s="14" t="s">
        <v>59</v>
      </c>
      <c r="F286" s="14" t="s">
        <v>43</v>
      </c>
      <c r="G286" s="14" t="s">
        <v>587</v>
      </c>
      <c r="H286" s="14" t="s">
        <v>339</v>
      </c>
      <c r="I286" s="14" t="s">
        <v>61</v>
      </c>
      <c r="J286" s="14" t="s">
        <v>83</v>
      </c>
      <c r="K286" s="14" t="s">
        <v>340</v>
      </c>
      <c r="L286" s="14" t="s">
        <v>341</v>
      </c>
      <c r="M286" s="16" t="s">
        <v>588</v>
      </c>
      <c r="N286" s="14"/>
      <c r="O286" s="14" t="s">
        <v>589</v>
      </c>
      <c r="P286" s="14">
        <v>120</v>
      </c>
      <c r="Q286" s="14">
        <v>2</v>
      </c>
      <c r="R286" s="14">
        <v>6100</v>
      </c>
      <c r="S286" s="14" t="s">
        <v>590</v>
      </c>
      <c r="T286" s="14" t="s">
        <v>591</v>
      </c>
      <c r="U286" s="14">
        <v>0.89833333333333298</v>
      </c>
      <c r="V286" s="14">
        <v>1.21027777777777</v>
      </c>
      <c r="W286" s="14">
        <v>698</v>
      </c>
      <c r="X286" s="14">
        <v>80</v>
      </c>
      <c r="Y286" s="14">
        <v>618</v>
      </c>
      <c r="Z286" s="14">
        <v>1502</v>
      </c>
      <c r="AA286" s="14">
        <v>268</v>
      </c>
      <c r="AB286" s="14">
        <v>281</v>
      </c>
      <c r="AC286" s="14">
        <v>906</v>
      </c>
      <c r="AD286" s="14">
        <v>47</v>
      </c>
      <c r="AE286" s="14">
        <v>2200</v>
      </c>
      <c r="AF286" s="14">
        <v>5000</v>
      </c>
      <c r="AG286" s="14">
        <v>2206</v>
      </c>
      <c r="AH286" s="14">
        <v>0</v>
      </c>
      <c r="AI286" s="14">
        <v>49</v>
      </c>
      <c r="AJ286" s="14">
        <v>184</v>
      </c>
      <c r="AK286" s="14" t="s">
        <v>587</v>
      </c>
      <c r="AL286" s="14" t="s">
        <v>592</v>
      </c>
      <c r="AM286" s="14">
        <v>202.63</v>
      </c>
      <c r="AN286" s="14">
        <v>184.55</v>
      </c>
      <c r="AO286" s="14">
        <v>54.99</v>
      </c>
      <c r="AP286" s="14">
        <v>21625</v>
      </c>
      <c r="AQ286" s="14">
        <v>21545</v>
      </c>
      <c r="AR286" s="14">
        <v>23000</v>
      </c>
      <c r="AS286" s="14">
        <v>19425</v>
      </c>
      <c r="AT286" s="14">
        <v>20927</v>
      </c>
      <c r="AU286" s="14">
        <v>7</v>
      </c>
      <c r="AV286" s="14">
        <v>244.56</v>
      </c>
      <c r="AW286" s="14">
        <v>23.48</v>
      </c>
      <c r="AX286" s="14">
        <v>4.54</v>
      </c>
      <c r="AY286" s="14" t="b">
        <v>0</v>
      </c>
    </row>
    <row r="287" spans="1:51" hidden="1" x14ac:dyDescent="0.3">
      <c r="A287" t="str">
        <f>CONCATENATE(I287,E287,LEFT(G287,10))</f>
        <v>HFA602LLER2026-02-13</v>
      </c>
      <c r="B287" s="14" t="s">
        <v>4356</v>
      </c>
      <c r="C287" s="14" t="s">
        <v>336</v>
      </c>
      <c r="D287" s="14" t="s">
        <v>337</v>
      </c>
      <c r="E287" s="14" t="s">
        <v>59</v>
      </c>
      <c r="F287" s="14" t="s">
        <v>43</v>
      </c>
      <c r="G287" s="14" t="s">
        <v>4357</v>
      </c>
      <c r="H287" s="14" t="s">
        <v>339</v>
      </c>
      <c r="I287" s="14" t="s">
        <v>61</v>
      </c>
      <c r="J287" s="14" t="s">
        <v>83</v>
      </c>
      <c r="K287" s="14" t="s">
        <v>340</v>
      </c>
      <c r="L287" s="14" t="s">
        <v>341</v>
      </c>
      <c r="M287" s="16" t="s">
        <v>1090</v>
      </c>
      <c r="N287" s="14"/>
      <c r="O287" s="14" t="s">
        <v>395</v>
      </c>
      <c r="P287" s="14">
        <v>120</v>
      </c>
      <c r="Q287" s="14">
        <v>2</v>
      </c>
      <c r="R287" s="14">
        <v>4700</v>
      </c>
      <c r="S287" s="14" t="s">
        <v>4358</v>
      </c>
      <c r="T287" s="14" t="s">
        <v>4359</v>
      </c>
      <c r="U287" s="14">
        <v>0.84555555555555495</v>
      </c>
      <c r="V287" s="14">
        <v>1.14055555555555</v>
      </c>
      <c r="W287" s="14">
        <v>657</v>
      </c>
      <c r="X287" s="14">
        <v>80</v>
      </c>
      <c r="Y287" s="14">
        <v>577</v>
      </c>
      <c r="Z287" s="14">
        <v>1543</v>
      </c>
      <c r="AA287" s="14">
        <v>279</v>
      </c>
      <c r="AB287" s="14">
        <v>269</v>
      </c>
      <c r="AC287" s="14">
        <v>951</v>
      </c>
      <c r="AD287" s="14">
        <v>45</v>
      </c>
      <c r="AE287" s="14">
        <v>2200</v>
      </c>
      <c r="AF287" s="14">
        <v>5000</v>
      </c>
      <c r="AG287" s="14">
        <v>2075</v>
      </c>
      <c r="AH287" s="14">
        <v>0</v>
      </c>
      <c r="AI287" s="14">
        <v>46</v>
      </c>
      <c r="AJ287" s="14">
        <v>187</v>
      </c>
      <c r="AK287" s="14" t="s">
        <v>4357</v>
      </c>
      <c r="AL287" s="14" t="s">
        <v>4360</v>
      </c>
      <c r="AM287" s="14">
        <v>202.63</v>
      </c>
      <c r="AN287" s="14">
        <v>184.55</v>
      </c>
      <c r="AO287" s="14">
        <v>54.99</v>
      </c>
      <c r="AP287" s="14">
        <v>20225</v>
      </c>
      <c r="AQ287" s="14">
        <v>20145</v>
      </c>
      <c r="AR287" s="14">
        <v>23000</v>
      </c>
      <c r="AS287" s="14">
        <v>18025</v>
      </c>
      <c r="AT287" s="14">
        <v>19568</v>
      </c>
      <c r="AU287" s="14">
        <v>20</v>
      </c>
      <c r="AV287" s="14">
        <v>225.87</v>
      </c>
      <c r="AW287" s="14">
        <v>37.07</v>
      </c>
      <c r="AX287" s="14">
        <v>7.06</v>
      </c>
      <c r="AY287" s="14" t="b">
        <v>0</v>
      </c>
    </row>
    <row r="288" spans="1:51" hidden="1" x14ac:dyDescent="0.3">
      <c r="A288" t="str">
        <f>CONCATENATE(I288,E288,LEFT(G288,10))</f>
        <v>HFA602LLER2026-02-15</v>
      </c>
      <c r="B288" s="14" t="s">
        <v>4244</v>
      </c>
      <c r="C288" s="14" t="s">
        <v>336</v>
      </c>
      <c r="D288" s="14" t="s">
        <v>337</v>
      </c>
      <c r="E288" s="14" t="s">
        <v>59</v>
      </c>
      <c r="F288" s="14" t="s">
        <v>43</v>
      </c>
      <c r="G288" s="14" t="s">
        <v>4245</v>
      </c>
      <c r="H288" s="14" t="s">
        <v>339</v>
      </c>
      <c r="I288" s="14" t="s">
        <v>61</v>
      </c>
      <c r="J288" s="14" t="s">
        <v>83</v>
      </c>
      <c r="K288" s="14" t="s">
        <v>340</v>
      </c>
      <c r="L288" s="14" t="s">
        <v>341</v>
      </c>
      <c r="M288" s="16" t="s">
        <v>731</v>
      </c>
      <c r="N288" s="14"/>
      <c r="O288" s="14" t="s">
        <v>395</v>
      </c>
      <c r="P288" s="14">
        <v>120</v>
      </c>
      <c r="Q288" s="14">
        <v>2</v>
      </c>
      <c r="R288" s="14">
        <v>3300</v>
      </c>
      <c r="S288" s="14" t="s">
        <v>4246</v>
      </c>
      <c r="T288" s="14" t="s">
        <v>4247</v>
      </c>
      <c r="U288" s="14">
        <v>0.88</v>
      </c>
      <c r="V288" s="14">
        <v>1.00305555555555</v>
      </c>
      <c r="W288" s="14">
        <v>690</v>
      </c>
      <c r="X288" s="14">
        <v>80</v>
      </c>
      <c r="Y288" s="14">
        <v>610</v>
      </c>
      <c r="Z288" s="14">
        <v>1410</v>
      </c>
      <c r="AA288" s="14">
        <v>249</v>
      </c>
      <c r="AB288" s="14">
        <v>256</v>
      </c>
      <c r="AC288" s="14">
        <v>862</v>
      </c>
      <c r="AD288" s="14">
        <v>43</v>
      </c>
      <c r="AE288" s="14">
        <v>2100</v>
      </c>
      <c r="AF288" s="14">
        <v>5000</v>
      </c>
      <c r="AG288" s="14">
        <v>2180</v>
      </c>
      <c r="AH288" s="14">
        <v>0</v>
      </c>
      <c r="AI288" s="14">
        <v>51</v>
      </c>
      <c r="AJ288" s="14">
        <v>180</v>
      </c>
      <c r="AK288" s="14" t="s">
        <v>4245</v>
      </c>
      <c r="AL288" s="14" t="s">
        <v>4248</v>
      </c>
      <c r="AM288" s="14">
        <v>202.63</v>
      </c>
      <c r="AN288" s="14">
        <v>184.55</v>
      </c>
      <c r="AO288" s="14">
        <v>54.99</v>
      </c>
      <c r="AP288" s="14">
        <v>18725</v>
      </c>
      <c r="AQ288" s="14">
        <v>18645</v>
      </c>
      <c r="AR288" s="14">
        <v>23000</v>
      </c>
      <c r="AS288" s="14">
        <v>16625</v>
      </c>
      <c r="AT288" s="14">
        <v>18035</v>
      </c>
      <c r="AU288" s="14">
        <v>-1</v>
      </c>
      <c r="AV288" s="14">
        <v>268.95</v>
      </c>
      <c r="AW288" s="14">
        <v>7.32</v>
      </c>
      <c r="AX288" s="14">
        <v>10.79</v>
      </c>
      <c r="AY288" s="14" t="b">
        <v>0</v>
      </c>
    </row>
    <row r="289" spans="1:51" hidden="1" x14ac:dyDescent="0.3">
      <c r="A289" t="str">
        <f>CONCATENATE(I289,E289,LEFT(G289,10))</f>
        <v>HFA602LLER2026-02-16</v>
      </c>
      <c r="B289" s="14" t="s">
        <v>4119</v>
      </c>
      <c r="C289" s="14" t="s">
        <v>336</v>
      </c>
      <c r="D289" s="14" t="s">
        <v>337</v>
      </c>
      <c r="E289" s="14" t="s">
        <v>59</v>
      </c>
      <c r="F289" s="14" t="s">
        <v>43</v>
      </c>
      <c r="G289" s="14" t="s">
        <v>4120</v>
      </c>
      <c r="H289" s="14" t="s">
        <v>371</v>
      </c>
      <c r="I289" s="14" t="s">
        <v>61</v>
      </c>
      <c r="J289" s="14" t="s">
        <v>83</v>
      </c>
      <c r="K289" s="14" t="s">
        <v>340</v>
      </c>
      <c r="L289" s="14" t="s">
        <v>341</v>
      </c>
      <c r="M289" s="16" t="s">
        <v>731</v>
      </c>
      <c r="N289" s="14"/>
      <c r="O289" s="14" t="s">
        <v>4121</v>
      </c>
      <c r="P289" s="14">
        <v>120</v>
      </c>
      <c r="Q289" s="14">
        <v>2</v>
      </c>
      <c r="R289" s="14">
        <v>2650</v>
      </c>
      <c r="S289" s="14" t="s">
        <v>4122</v>
      </c>
      <c r="T289" s="14" t="s">
        <v>4123</v>
      </c>
      <c r="U289" s="14">
        <v>0.818888888888888</v>
      </c>
      <c r="V289" s="14">
        <v>0.95750000000000002</v>
      </c>
      <c r="W289" s="14">
        <v>660</v>
      </c>
      <c r="X289" s="14">
        <v>80</v>
      </c>
      <c r="Y289" s="14">
        <v>580</v>
      </c>
      <c r="Z289" s="14">
        <v>1840</v>
      </c>
      <c r="AA289" s="14">
        <v>256</v>
      </c>
      <c r="AB289" s="14">
        <v>256</v>
      </c>
      <c r="AC289" s="14">
        <v>1285</v>
      </c>
      <c r="AD289" s="14">
        <v>43</v>
      </c>
      <c r="AE289" s="14">
        <v>2500</v>
      </c>
      <c r="AF289" s="14">
        <v>5000</v>
      </c>
      <c r="AG289" s="14">
        <v>2085</v>
      </c>
      <c r="AH289" s="14">
        <v>0</v>
      </c>
      <c r="AI289" s="14">
        <v>48</v>
      </c>
      <c r="AJ289" s="14">
        <v>214</v>
      </c>
      <c r="AK289" s="14" t="s">
        <v>4120</v>
      </c>
      <c r="AL289" s="14" t="s">
        <v>4124</v>
      </c>
      <c r="AM289" s="14">
        <v>202.63</v>
      </c>
      <c r="AN289" s="14">
        <v>184.55</v>
      </c>
      <c r="AO289" s="14">
        <v>54.99</v>
      </c>
      <c r="AP289" s="14">
        <v>18650</v>
      </c>
      <c r="AQ289" s="14">
        <v>18570</v>
      </c>
      <c r="AR289" s="14">
        <v>23000</v>
      </c>
      <c r="AS289" s="14">
        <v>16150</v>
      </c>
      <c r="AT289" s="14">
        <v>17990</v>
      </c>
      <c r="AU289" s="14">
        <v>16</v>
      </c>
      <c r="AV289" s="14">
        <v>206.62</v>
      </c>
      <c r="AW289" s="14">
        <v>20.66</v>
      </c>
      <c r="AX289" s="14">
        <v>11.54</v>
      </c>
      <c r="AY289" s="14" t="b">
        <v>0</v>
      </c>
    </row>
    <row r="290" spans="1:51" hidden="1" x14ac:dyDescent="0.3">
      <c r="A290" t="str">
        <f>CONCATENATE(I290,E290,LEFT(G290,10))</f>
        <v>HFA602LLER2026-02-17</v>
      </c>
      <c r="B290" s="14" t="s">
        <v>4056</v>
      </c>
      <c r="C290" s="14" t="s">
        <v>336</v>
      </c>
      <c r="D290" s="14" t="s">
        <v>337</v>
      </c>
      <c r="E290" s="14" t="s">
        <v>59</v>
      </c>
      <c r="F290" s="14" t="s">
        <v>43</v>
      </c>
      <c r="G290" s="14" t="s">
        <v>4057</v>
      </c>
      <c r="H290" s="14" t="s">
        <v>339</v>
      </c>
      <c r="I290" s="14" t="s">
        <v>61</v>
      </c>
      <c r="J290" s="14" t="s">
        <v>83</v>
      </c>
      <c r="K290" s="14" t="s">
        <v>340</v>
      </c>
      <c r="L290" s="14" t="s">
        <v>341</v>
      </c>
      <c r="M290" s="16" t="s">
        <v>1867</v>
      </c>
      <c r="N290" s="14"/>
      <c r="O290" s="14" t="s">
        <v>4028</v>
      </c>
      <c r="P290" s="14">
        <v>120</v>
      </c>
      <c r="Q290" s="14">
        <v>2</v>
      </c>
      <c r="R290" s="14">
        <v>2400</v>
      </c>
      <c r="S290" s="14" t="s">
        <v>4058</v>
      </c>
      <c r="T290" s="14" t="s">
        <v>4059</v>
      </c>
      <c r="U290" s="14">
        <v>0.74694444444444397</v>
      </c>
      <c r="V290" s="14">
        <v>0.86472222222222195</v>
      </c>
      <c r="W290" s="14">
        <v>646</v>
      </c>
      <c r="X290" s="14">
        <v>80</v>
      </c>
      <c r="Y290" s="14">
        <v>566</v>
      </c>
      <c r="Z290" s="14">
        <v>1354</v>
      </c>
      <c r="AA290" s="14">
        <v>253</v>
      </c>
      <c r="AB290" s="14">
        <v>249</v>
      </c>
      <c r="AC290" s="14">
        <v>811</v>
      </c>
      <c r="AD290" s="14">
        <v>41</v>
      </c>
      <c r="AE290" s="14">
        <v>2000</v>
      </c>
      <c r="AF290" s="14">
        <v>5000</v>
      </c>
      <c r="AG290" s="14">
        <v>2041</v>
      </c>
      <c r="AH290" s="14">
        <v>0</v>
      </c>
      <c r="AI290" s="14">
        <v>46</v>
      </c>
      <c r="AJ290" s="14">
        <v>171</v>
      </c>
      <c r="AK290" s="14" t="s">
        <v>4057</v>
      </c>
      <c r="AL290" s="14" t="s">
        <v>4060</v>
      </c>
      <c r="AM290" s="14">
        <v>202.63</v>
      </c>
      <c r="AN290" s="14">
        <v>184.55</v>
      </c>
      <c r="AO290" s="14">
        <v>54.99</v>
      </c>
      <c r="AP290" s="14">
        <v>17725</v>
      </c>
      <c r="AQ290" s="14">
        <v>17645</v>
      </c>
      <c r="AR290" s="14">
        <v>23000</v>
      </c>
      <c r="AS290" s="14">
        <v>15725</v>
      </c>
      <c r="AT290" s="14">
        <v>17079</v>
      </c>
      <c r="AU290" s="14">
        <v>22</v>
      </c>
      <c r="AV290" s="14">
        <v>222.49</v>
      </c>
      <c r="AW290" s="14">
        <v>38.450000000000003</v>
      </c>
      <c r="AX290" s="14">
        <v>6.68</v>
      </c>
      <c r="AY290" s="14" t="b">
        <v>0</v>
      </c>
    </row>
    <row r="291" spans="1:51" hidden="1" x14ac:dyDescent="0.3">
      <c r="A291" t="str">
        <f>CONCATENATE(I291,E291,LEFT(G291,10))</f>
        <v>HFA602LLER2026-02-18</v>
      </c>
      <c r="B291" s="14" t="s">
        <v>1943</v>
      </c>
      <c r="C291" s="14" t="s">
        <v>336</v>
      </c>
      <c r="D291" s="14" t="s">
        <v>337</v>
      </c>
      <c r="E291" s="14" t="s">
        <v>59</v>
      </c>
      <c r="F291" s="14" t="s">
        <v>43</v>
      </c>
      <c r="G291" s="14" t="s">
        <v>1944</v>
      </c>
      <c r="H291" s="14" t="s">
        <v>339</v>
      </c>
      <c r="I291" s="14" t="s">
        <v>61</v>
      </c>
      <c r="J291" s="14" t="s">
        <v>83</v>
      </c>
      <c r="K291" s="14" t="s">
        <v>340</v>
      </c>
      <c r="L291" s="14" t="s">
        <v>341</v>
      </c>
      <c r="M291" s="16" t="s">
        <v>1945</v>
      </c>
      <c r="N291" s="14"/>
      <c r="O291" s="14" t="s">
        <v>395</v>
      </c>
      <c r="P291" s="14">
        <v>120</v>
      </c>
      <c r="Q291" s="14">
        <v>2</v>
      </c>
      <c r="R291" s="14">
        <v>6700</v>
      </c>
      <c r="S291" s="14" t="s">
        <v>1946</v>
      </c>
      <c r="T291" s="14" t="s">
        <v>1947</v>
      </c>
      <c r="U291" s="14">
        <v>0.88833333333333298</v>
      </c>
      <c r="V291" s="14">
        <v>1.0122222222222199</v>
      </c>
      <c r="W291" s="14">
        <v>689</v>
      </c>
      <c r="X291" s="14">
        <v>80</v>
      </c>
      <c r="Y291" s="14">
        <v>609</v>
      </c>
      <c r="Z291" s="14">
        <v>1811</v>
      </c>
      <c r="AA291" s="14">
        <v>279</v>
      </c>
      <c r="AB291" s="14">
        <v>291</v>
      </c>
      <c r="AC291" s="14">
        <v>1193</v>
      </c>
      <c r="AD291" s="14">
        <v>48</v>
      </c>
      <c r="AE291" s="14">
        <v>2500</v>
      </c>
      <c r="AF291" s="14">
        <v>5000</v>
      </c>
      <c r="AG291" s="14">
        <v>2177</v>
      </c>
      <c r="AH291" s="14">
        <v>0</v>
      </c>
      <c r="AI291" s="14">
        <v>49</v>
      </c>
      <c r="AJ291" s="14">
        <v>209</v>
      </c>
      <c r="AK291" s="14" t="s">
        <v>1944</v>
      </c>
      <c r="AL291" s="14" t="s">
        <v>1948</v>
      </c>
      <c r="AM291" s="14">
        <v>202.63</v>
      </c>
      <c r="AN291" s="14">
        <v>184.55</v>
      </c>
      <c r="AO291" s="14">
        <v>54.99</v>
      </c>
      <c r="AP291" s="14">
        <v>22525</v>
      </c>
      <c r="AQ291" s="14">
        <v>22445</v>
      </c>
      <c r="AR291" s="14">
        <v>23000</v>
      </c>
      <c r="AS291" s="14">
        <v>20025</v>
      </c>
      <c r="AT291" s="14">
        <v>21836</v>
      </c>
      <c r="AU291" s="14">
        <v>13</v>
      </c>
      <c r="AV291" s="14">
        <v>241.35</v>
      </c>
      <c r="AW291" s="14">
        <v>38.68</v>
      </c>
      <c r="AX291" s="14">
        <v>6.36</v>
      </c>
      <c r="AY291" s="14" t="b">
        <v>0</v>
      </c>
    </row>
    <row r="292" spans="1:51" hidden="1" x14ac:dyDescent="0.3">
      <c r="A292" t="str">
        <f>CONCATENATE(I292,E292,LEFT(G292,10))</f>
        <v>HFA602LLER2026-02-19</v>
      </c>
      <c r="B292" s="14" t="s">
        <v>3974</v>
      </c>
      <c r="C292" s="14" t="s">
        <v>336</v>
      </c>
      <c r="D292" s="14" t="s">
        <v>337</v>
      </c>
      <c r="E292" s="14" t="s">
        <v>59</v>
      </c>
      <c r="F292" s="14" t="s">
        <v>43</v>
      </c>
      <c r="G292" s="14" t="s">
        <v>3975</v>
      </c>
      <c r="H292" s="14" t="s">
        <v>339</v>
      </c>
      <c r="I292" s="14" t="s">
        <v>61</v>
      </c>
      <c r="J292" s="14" t="s">
        <v>83</v>
      </c>
      <c r="K292" s="14" t="s">
        <v>340</v>
      </c>
      <c r="L292" s="14" t="s">
        <v>341</v>
      </c>
      <c r="M292" s="16" t="s">
        <v>422</v>
      </c>
      <c r="N292" s="14"/>
      <c r="O292" s="14" t="s">
        <v>395</v>
      </c>
      <c r="P292" s="14">
        <v>120</v>
      </c>
      <c r="Q292" s="14">
        <v>2</v>
      </c>
      <c r="R292" s="14">
        <v>6800</v>
      </c>
      <c r="S292" s="14" t="s">
        <v>3976</v>
      </c>
      <c r="T292" s="14" t="s">
        <v>3977</v>
      </c>
      <c r="U292" s="14">
        <v>0.97194444444444394</v>
      </c>
      <c r="V292" s="14">
        <v>1.2124999999999999</v>
      </c>
      <c r="W292" s="14">
        <v>722</v>
      </c>
      <c r="X292" s="14">
        <v>80</v>
      </c>
      <c r="Y292" s="14">
        <v>642</v>
      </c>
      <c r="Z292" s="14">
        <v>1778</v>
      </c>
      <c r="AA292" s="14">
        <v>263</v>
      </c>
      <c r="AB292" s="14">
        <v>291</v>
      </c>
      <c r="AC292" s="14">
        <v>1175</v>
      </c>
      <c r="AD292" s="14">
        <v>49</v>
      </c>
      <c r="AE292" s="14">
        <v>2500</v>
      </c>
      <c r="AF292" s="14">
        <v>5000</v>
      </c>
      <c r="AG292" s="14">
        <v>2281</v>
      </c>
      <c r="AH292" s="14">
        <v>0</v>
      </c>
      <c r="AI292" s="14">
        <v>52</v>
      </c>
      <c r="AJ292" s="14">
        <v>209</v>
      </c>
      <c r="AK292" s="14" t="s">
        <v>3975</v>
      </c>
      <c r="AL292" s="14" t="s">
        <v>3978</v>
      </c>
      <c r="AM292" s="14">
        <v>202.63</v>
      </c>
      <c r="AN292" s="14">
        <v>184.55</v>
      </c>
      <c r="AO292" s="14">
        <v>54.99</v>
      </c>
      <c r="AP292" s="14">
        <v>22625</v>
      </c>
      <c r="AQ292" s="14">
        <v>22545</v>
      </c>
      <c r="AR292" s="14">
        <v>23000</v>
      </c>
      <c r="AS292" s="14">
        <v>20125</v>
      </c>
      <c r="AT292" s="14">
        <v>21903</v>
      </c>
      <c r="AU292" s="14">
        <v>-1</v>
      </c>
      <c r="AV292" s="14">
        <v>269.52999999999997</v>
      </c>
      <c r="AW292" s="14">
        <v>17.16</v>
      </c>
      <c r="AX292" s="14">
        <v>5.7</v>
      </c>
      <c r="AY292" s="14" t="b">
        <v>0</v>
      </c>
    </row>
    <row r="293" spans="1:51" hidden="1" x14ac:dyDescent="0.3">
      <c r="A293" t="str">
        <f>CONCATENATE(I293,E293,LEFT(G293,10))</f>
        <v>HFA602LLER2026-02-20</v>
      </c>
      <c r="B293" s="14" t="s">
        <v>723</v>
      </c>
      <c r="C293" s="14" t="s">
        <v>336</v>
      </c>
      <c r="D293" s="14" t="s">
        <v>337</v>
      </c>
      <c r="E293" s="14" t="s">
        <v>59</v>
      </c>
      <c r="F293" s="14" t="s">
        <v>43</v>
      </c>
      <c r="G293" s="14" t="s">
        <v>724</v>
      </c>
      <c r="H293" s="14" t="s">
        <v>393</v>
      </c>
      <c r="I293" s="14" t="s">
        <v>61</v>
      </c>
      <c r="J293" s="14" t="s">
        <v>83</v>
      </c>
      <c r="K293" s="14" t="s">
        <v>340</v>
      </c>
      <c r="L293" s="14" t="s">
        <v>341</v>
      </c>
      <c r="M293" s="16" t="s">
        <v>725</v>
      </c>
      <c r="N293" s="14"/>
      <c r="O293" s="14" t="s">
        <v>395</v>
      </c>
      <c r="P293" s="14">
        <v>120</v>
      </c>
      <c r="Q293" s="14">
        <v>2</v>
      </c>
      <c r="R293" s="14">
        <v>4900</v>
      </c>
      <c r="S293" s="14" t="s">
        <v>726</v>
      </c>
      <c r="T293" s="14" t="s">
        <v>727</v>
      </c>
      <c r="U293" s="14">
        <v>0.86416666666666597</v>
      </c>
      <c r="V293" s="14">
        <v>1.04138888888888</v>
      </c>
      <c r="W293" s="14">
        <v>755</v>
      </c>
      <c r="X293" s="14">
        <v>80</v>
      </c>
      <c r="Y293" s="14">
        <v>675</v>
      </c>
      <c r="Z293" s="14">
        <v>1545</v>
      </c>
      <c r="AA293" s="14">
        <v>274</v>
      </c>
      <c r="AB293" s="14">
        <v>271</v>
      </c>
      <c r="AC293" s="14">
        <v>956</v>
      </c>
      <c r="AD293" s="14">
        <v>45</v>
      </c>
      <c r="AE293" s="14">
        <v>2300</v>
      </c>
      <c r="AF293" s="14">
        <v>5000</v>
      </c>
      <c r="AG293" s="14">
        <v>2384</v>
      </c>
      <c r="AH293" s="14">
        <v>0</v>
      </c>
      <c r="AI293" s="14">
        <v>49</v>
      </c>
      <c r="AJ293" s="14">
        <v>180</v>
      </c>
      <c r="AK293" s="14" t="s">
        <v>724</v>
      </c>
      <c r="AL293" s="14" t="s">
        <v>728</v>
      </c>
      <c r="AM293" s="14">
        <v>202.63</v>
      </c>
      <c r="AN293" s="14">
        <v>184.55</v>
      </c>
      <c r="AO293" s="14">
        <v>54.99</v>
      </c>
      <c r="AP293" s="14">
        <v>20511</v>
      </c>
      <c r="AQ293" s="14">
        <v>20431</v>
      </c>
      <c r="AR293" s="14">
        <v>23000</v>
      </c>
      <c r="AS293" s="14">
        <v>18211</v>
      </c>
      <c r="AT293" s="14">
        <v>19756</v>
      </c>
      <c r="AU293" s="14">
        <v>9</v>
      </c>
      <c r="AV293" s="14">
        <v>202.88</v>
      </c>
      <c r="AW293" s="14">
        <v>11.88</v>
      </c>
      <c r="AX293" s="14">
        <v>7.25</v>
      </c>
      <c r="AY293" s="14" t="b">
        <v>0</v>
      </c>
    </row>
    <row r="294" spans="1:51" hidden="1" x14ac:dyDescent="0.3">
      <c r="A294" t="str">
        <f>CONCATENATE(I294,E294,LEFT(G294,10))</f>
        <v>HFA602LLER2026-02-22</v>
      </c>
      <c r="B294" s="14" t="s">
        <v>1065</v>
      </c>
      <c r="C294" s="14" t="s">
        <v>336</v>
      </c>
      <c r="D294" s="14" t="s">
        <v>337</v>
      </c>
      <c r="E294" s="14" t="s">
        <v>59</v>
      </c>
      <c r="F294" s="14" t="s">
        <v>43</v>
      </c>
      <c r="G294" s="14" t="s">
        <v>1066</v>
      </c>
      <c r="H294" s="14" t="s">
        <v>339</v>
      </c>
      <c r="I294" s="14" t="s">
        <v>61</v>
      </c>
      <c r="J294" s="14" t="s">
        <v>83</v>
      </c>
      <c r="K294" s="14" t="s">
        <v>340</v>
      </c>
      <c r="L294" s="14" t="s">
        <v>341</v>
      </c>
      <c r="M294" s="16" t="s">
        <v>731</v>
      </c>
      <c r="N294" s="14"/>
      <c r="O294" s="14" t="s">
        <v>395</v>
      </c>
      <c r="P294" s="14">
        <v>120</v>
      </c>
      <c r="Q294" s="14">
        <v>2</v>
      </c>
      <c r="R294" s="14">
        <v>4700</v>
      </c>
      <c r="S294" s="14" t="s">
        <v>1067</v>
      </c>
      <c r="T294" s="14" t="s">
        <v>1068</v>
      </c>
      <c r="U294" s="14">
        <v>0.85972222222222205</v>
      </c>
      <c r="V294" s="14">
        <v>1.0888888888888799</v>
      </c>
      <c r="W294" s="14">
        <v>686</v>
      </c>
      <c r="X294" s="14">
        <v>80</v>
      </c>
      <c r="Y294" s="14">
        <v>606</v>
      </c>
      <c r="Z294" s="14">
        <v>1814</v>
      </c>
      <c r="AA294" s="14">
        <v>258</v>
      </c>
      <c r="AB294" s="14">
        <v>272</v>
      </c>
      <c r="AC294" s="14">
        <v>1239</v>
      </c>
      <c r="AD294" s="14">
        <v>45</v>
      </c>
      <c r="AE294" s="14">
        <v>2500</v>
      </c>
      <c r="AF294" s="14">
        <v>5000</v>
      </c>
      <c r="AG294" s="14">
        <v>2169</v>
      </c>
      <c r="AH294" s="14">
        <v>0</v>
      </c>
      <c r="AI294" s="14">
        <v>48</v>
      </c>
      <c r="AJ294" s="14">
        <v>211</v>
      </c>
      <c r="AK294" s="14" t="s">
        <v>1066</v>
      </c>
      <c r="AL294" s="14" t="s">
        <v>1069</v>
      </c>
      <c r="AM294" s="14">
        <v>202.63</v>
      </c>
      <c r="AN294" s="14">
        <v>184.55</v>
      </c>
      <c r="AO294" s="14">
        <v>54.99</v>
      </c>
      <c r="AP294" s="14">
        <v>20525</v>
      </c>
      <c r="AQ294" s="14">
        <v>20445</v>
      </c>
      <c r="AR294" s="14">
        <v>23000</v>
      </c>
      <c r="AS294" s="14">
        <v>18025</v>
      </c>
      <c r="AT294" s="14">
        <v>19839</v>
      </c>
      <c r="AU294" s="14">
        <v>11</v>
      </c>
      <c r="AV294" s="14">
        <v>237.36</v>
      </c>
      <c r="AW294" s="14">
        <v>24.71</v>
      </c>
      <c r="AX294" s="14">
        <v>5.08</v>
      </c>
      <c r="AY294" s="14" t="b">
        <v>0</v>
      </c>
    </row>
    <row r="295" spans="1:51" hidden="1" x14ac:dyDescent="0.3">
      <c r="A295" t="str">
        <f>CONCATENATE(I295,E295,LEFT(G295,10))</f>
        <v>HFA602LLER2026-02-23</v>
      </c>
      <c r="B295" s="14" t="s">
        <v>3779</v>
      </c>
      <c r="C295" s="14" t="s">
        <v>336</v>
      </c>
      <c r="D295" s="14" t="s">
        <v>337</v>
      </c>
      <c r="E295" s="14" t="s">
        <v>59</v>
      </c>
      <c r="F295" s="14" t="s">
        <v>43</v>
      </c>
      <c r="G295" s="14" t="s">
        <v>3780</v>
      </c>
      <c r="H295" s="14" t="s">
        <v>339</v>
      </c>
      <c r="I295" s="14" t="s">
        <v>61</v>
      </c>
      <c r="J295" s="14" t="s">
        <v>83</v>
      </c>
      <c r="K295" s="14" t="s">
        <v>340</v>
      </c>
      <c r="L295" s="14" t="s">
        <v>341</v>
      </c>
      <c r="M295" s="16" t="s">
        <v>3781</v>
      </c>
      <c r="N295" s="14"/>
      <c r="O295" s="14" t="s">
        <v>3782</v>
      </c>
      <c r="P295" s="14">
        <v>120</v>
      </c>
      <c r="Q295" s="14">
        <v>2</v>
      </c>
      <c r="R295" s="14">
        <v>2400</v>
      </c>
      <c r="S295" s="14" t="s">
        <v>3783</v>
      </c>
      <c r="T295" s="14" t="s">
        <v>3784</v>
      </c>
      <c r="U295" s="14">
        <v>0.83305555555555499</v>
      </c>
      <c r="V295" s="14">
        <v>0.94222222222222196</v>
      </c>
      <c r="W295" s="14">
        <v>676</v>
      </c>
      <c r="X295" s="14">
        <v>80</v>
      </c>
      <c r="Y295" s="14">
        <v>596</v>
      </c>
      <c r="Z295" s="14">
        <v>1924</v>
      </c>
      <c r="AA295" s="14">
        <v>254</v>
      </c>
      <c r="AB295" s="14">
        <v>253</v>
      </c>
      <c r="AC295" s="14">
        <v>1375</v>
      </c>
      <c r="AD295" s="14">
        <v>42</v>
      </c>
      <c r="AE295" s="14">
        <v>2600</v>
      </c>
      <c r="AF295" s="14">
        <v>5000</v>
      </c>
      <c r="AG295" s="14">
        <v>2136</v>
      </c>
      <c r="AH295" s="14">
        <v>0</v>
      </c>
      <c r="AI295" s="14">
        <v>47</v>
      </c>
      <c r="AJ295" s="14">
        <v>222</v>
      </c>
      <c r="AK295" s="14" t="s">
        <v>3780</v>
      </c>
      <c r="AL295" s="14" t="s">
        <v>3785</v>
      </c>
      <c r="AM295" s="14">
        <v>202.63</v>
      </c>
      <c r="AN295" s="14">
        <v>184.55</v>
      </c>
      <c r="AO295" s="14">
        <v>54.99</v>
      </c>
      <c r="AP295" s="14">
        <v>18325</v>
      </c>
      <c r="AQ295" s="14">
        <v>18245</v>
      </c>
      <c r="AR295" s="14">
        <v>23000</v>
      </c>
      <c r="AS295" s="14">
        <v>15725</v>
      </c>
      <c r="AT295" s="14">
        <v>17649</v>
      </c>
      <c r="AU295" s="14">
        <v>14</v>
      </c>
      <c r="AV295" s="14">
        <v>230.52</v>
      </c>
      <c r="AW295" s="14">
        <v>25.08</v>
      </c>
      <c r="AX295" s="14">
        <v>1.56</v>
      </c>
      <c r="AY295" s="14" t="b">
        <v>0</v>
      </c>
    </row>
    <row r="296" spans="1:51" hidden="1" x14ac:dyDescent="0.3">
      <c r="A296" t="str">
        <f>CONCATENATE(I296,E296,LEFT(G296,10))</f>
        <v>HFA602LLER2026-02-24</v>
      </c>
      <c r="B296" s="14" t="s">
        <v>3717</v>
      </c>
      <c r="C296" s="14" t="s">
        <v>336</v>
      </c>
      <c r="D296" s="14" t="s">
        <v>337</v>
      </c>
      <c r="E296" s="14" t="s">
        <v>59</v>
      </c>
      <c r="F296" s="14" t="s">
        <v>43</v>
      </c>
      <c r="G296" s="14" t="s">
        <v>3718</v>
      </c>
      <c r="H296" s="14" t="s">
        <v>339</v>
      </c>
      <c r="I296" s="14" t="s">
        <v>61</v>
      </c>
      <c r="J296" s="14" t="s">
        <v>83</v>
      </c>
      <c r="K296" s="14" t="s">
        <v>340</v>
      </c>
      <c r="L296" s="14" t="s">
        <v>341</v>
      </c>
      <c r="M296" s="16" t="s">
        <v>1090</v>
      </c>
      <c r="N296" s="14"/>
      <c r="O296" s="14" t="s">
        <v>3719</v>
      </c>
      <c r="P296" s="14">
        <v>120</v>
      </c>
      <c r="Q296" s="14">
        <v>2</v>
      </c>
      <c r="R296" s="14">
        <v>1900</v>
      </c>
      <c r="S296" s="14" t="s">
        <v>3720</v>
      </c>
      <c r="T296" s="14" t="s">
        <v>3721</v>
      </c>
      <c r="U296" s="14">
        <v>0.90444444444444405</v>
      </c>
      <c r="V296" s="14">
        <v>0.96750000000000003</v>
      </c>
      <c r="W296" s="14">
        <v>730</v>
      </c>
      <c r="X296" s="14">
        <v>80</v>
      </c>
      <c r="Y296" s="14">
        <v>650</v>
      </c>
      <c r="Z296" s="14">
        <v>1470</v>
      </c>
      <c r="AA296" s="14">
        <v>246</v>
      </c>
      <c r="AB296" s="14">
        <v>246</v>
      </c>
      <c r="AC296" s="14">
        <v>937</v>
      </c>
      <c r="AD296" s="14">
        <v>41</v>
      </c>
      <c r="AE296" s="14">
        <v>2200</v>
      </c>
      <c r="AF296" s="14">
        <v>5000</v>
      </c>
      <c r="AG296" s="14">
        <v>2308</v>
      </c>
      <c r="AH296" s="14">
        <v>0</v>
      </c>
      <c r="AI296" s="14">
        <v>51</v>
      </c>
      <c r="AJ296" s="14">
        <v>186</v>
      </c>
      <c r="AK296" s="14" t="s">
        <v>3718</v>
      </c>
      <c r="AL296" s="14" t="s">
        <v>3722</v>
      </c>
      <c r="AM296" s="14">
        <v>202.63</v>
      </c>
      <c r="AN296" s="14">
        <v>184.55</v>
      </c>
      <c r="AO296" s="14">
        <v>54.99</v>
      </c>
      <c r="AP296" s="14">
        <v>17425</v>
      </c>
      <c r="AQ296" s="14">
        <v>17345</v>
      </c>
      <c r="AR296" s="14">
        <v>23000</v>
      </c>
      <c r="AS296" s="14">
        <v>15225</v>
      </c>
      <c r="AT296" s="14">
        <v>16695</v>
      </c>
      <c r="AU296" s="14">
        <v>-10</v>
      </c>
      <c r="AV296" s="14">
        <v>307.42</v>
      </c>
      <c r="AW296" s="14">
        <v>20.329999999999998</v>
      </c>
      <c r="AX296" s="14">
        <v>-0.99</v>
      </c>
      <c r="AY296" s="14" t="b">
        <v>0</v>
      </c>
    </row>
    <row r="297" spans="1:51" hidden="1" x14ac:dyDescent="0.3">
      <c r="A297" t="str">
        <f>CONCATENATE(I297,E297,LEFT(G297,10))</f>
        <v>HFA602LLER2026-02-25</v>
      </c>
      <c r="B297" s="14" t="s">
        <v>3616</v>
      </c>
      <c r="C297" s="14" t="s">
        <v>336</v>
      </c>
      <c r="D297" s="14" t="s">
        <v>337</v>
      </c>
      <c r="E297" s="14" t="s">
        <v>59</v>
      </c>
      <c r="F297" s="14" t="s">
        <v>43</v>
      </c>
      <c r="G297" s="14" t="s">
        <v>3617</v>
      </c>
      <c r="H297" s="14" t="s">
        <v>339</v>
      </c>
      <c r="I297" s="14" t="s">
        <v>61</v>
      </c>
      <c r="J297" s="14" t="s">
        <v>83</v>
      </c>
      <c r="K297" s="14" t="s">
        <v>340</v>
      </c>
      <c r="L297" s="14" t="s">
        <v>341</v>
      </c>
      <c r="M297" s="16" t="s">
        <v>3611</v>
      </c>
      <c r="N297" s="14"/>
      <c r="O297" s="14" t="s">
        <v>395</v>
      </c>
      <c r="P297" s="14">
        <v>120</v>
      </c>
      <c r="Q297" s="14">
        <v>3</v>
      </c>
      <c r="R297" s="14">
        <v>4300</v>
      </c>
      <c r="S297" s="14" t="s">
        <v>3618</v>
      </c>
      <c r="T297" s="14" t="s">
        <v>3619</v>
      </c>
      <c r="U297" s="14">
        <v>0.85833333333333295</v>
      </c>
      <c r="V297" s="14">
        <v>1.0019444444444401</v>
      </c>
      <c r="W297" s="14">
        <v>703</v>
      </c>
      <c r="X297" s="14">
        <v>80</v>
      </c>
      <c r="Y297" s="14">
        <v>623</v>
      </c>
      <c r="Z297" s="14">
        <v>1597</v>
      </c>
      <c r="AA297" s="14">
        <v>259</v>
      </c>
      <c r="AB297" s="14">
        <v>266</v>
      </c>
      <c r="AC297" s="14">
        <v>1028</v>
      </c>
      <c r="AD297" s="14">
        <v>44</v>
      </c>
      <c r="AE297" s="14">
        <v>2300</v>
      </c>
      <c r="AF297" s="14">
        <v>5000</v>
      </c>
      <c r="AG297" s="14">
        <v>2221</v>
      </c>
      <c r="AH297" s="14">
        <v>0</v>
      </c>
      <c r="AI297" s="14">
        <v>49</v>
      </c>
      <c r="AJ297" s="14">
        <v>193</v>
      </c>
      <c r="AK297" s="14" t="s">
        <v>3617</v>
      </c>
      <c r="AL297" s="14" t="s">
        <v>3620</v>
      </c>
      <c r="AM297" s="14">
        <v>202.63</v>
      </c>
      <c r="AN297" s="14">
        <v>184.55</v>
      </c>
      <c r="AO297" s="14">
        <v>54.99</v>
      </c>
      <c r="AP297" s="14">
        <v>19925</v>
      </c>
      <c r="AQ297" s="14">
        <v>19845</v>
      </c>
      <c r="AR297" s="14">
        <v>23000</v>
      </c>
      <c r="AS297" s="14">
        <v>17625</v>
      </c>
      <c r="AT297" s="14">
        <v>19222</v>
      </c>
      <c r="AU297" s="14">
        <v>3</v>
      </c>
      <c r="AV297" s="14">
        <v>257.49</v>
      </c>
      <c r="AW297" s="14">
        <v>18.149999999999999</v>
      </c>
      <c r="AX297" s="14">
        <v>3.44</v>
      </c>
      <c r="AY297" s="14" t="b">
        <v>0</v>
      </c>
    </row>
    <row r="298" spans="1:51" hidden="1" x14ac:dyDescent="0.3">
      <c r="A298" t="str">
        <f>CONCATENATE(I298,E298,LEFT(G298,10))</f>
        <v>HFA602LLER2026-02-26</v>
      </c>
      <c r="B298" s="14" t="s">
        <v>3527</v>
      </c>
      <c r="C298" s="14" t="s">
        <v>336</v>
      </c>
      <c r="D298" s="14" t="s">
        <v>337</v>
      </c>
      <c r="E298" s="14" t="s">
        <v>59</v>
      </c>
      <c r="F298" s="14" t="s">
        <v>43</v>
      </c>
      <c r="G298" s="14" t="s">
        <v>3528</v>
      </c>
      <c r="H298" s="14" t="s">
        <v>371</v>
      </c>
      <c r="I298" s="14" t="s">
        <v>61</v>
      </c>
      <c r="J298" s="14" t="s">
        <v>83</v>
      </c>
      <c r="K298" s="14" t="s">
        <v>340</v>
      </c>
      <c r="L298" s="14" t="s">
        <v>341</v>
      </c>
      <c r="M298" s="16" t="s">
        <v>543</v>
      </c>
      <c r="N298" s="14"/>
      <c r="O298" s="14" t="s">
        <v>3529</v>
      </c>
      <c r="P298" s="14">
        <v>120</v>
      </c>
      <c r="Q298" s="14">
        <v>2</v>
      </c>
      <c r="R298" s="14">
        <v>7000</v>
      </c>
      <c r="S298" s="14" t="s">
        <v>3530</v>
      </c>
      <c r="T298" s="14" t="s">
        <v>3531</v>
      </c>
      <c r="U298" s="14">
        <v>0.93388888888888799</v>
      </c>
      <c r="V298" s="14">
        <v>1.0561111111111099</v>
      </c>
      <c r="W298" s="14">
        <v>746</v>
      </c>
      <c r="X298" s="14">
        <v>80</v>
      </c>
      <c r="Y298" s="14">
        <v>666</v>
      </c>
      <c r="Z298" s="14">
        <v>1754</v>
      </c>
      <c r="AA298" s="14">
        <v>273</v>
      </c>
      <c r="AB298" s="14">
        <v>295</v>
      </c>
      <c r="AC298" s="14">
        <v>1137</v>
      </c>
      <c r="AD298" s="14">
        <v>49</v>
      </c>
      <c r="AE298" s="14">
        <v>2500</v>
      </c>
      <c r="AF298" s="14">
        <v>5000</v>
      </c>
      <c r="AG298" s="14">
        <v>2356</v>
      </c>
      <c r="AH298" s="14">
        <v>0</v>
      </c>
      <c r="AI298" s="14">
        <v>51</v>
      </c>
      <c r="AJ298" s="14">
        <v>202</v>
      </c>
      <c r="AK298" s="14" t="s">
        <v>3528</v>
      </c>
      <c r="AL298" s="14" t="s">
        <v>3532</v>
      </c>
      <c r="AM298" s="14">
        <v>202.63</v>
      </c>
      <c r="AN298" s="14">
        <v>184.55</v>
      </c>
      <c r="AO298" s="14">
        <v>54.99</v>
      </c>
      <c r="AP298" s="14">
        <v>23000</v>
      </c>
      <c r="AQ298" s="14">
        <v>22920</v>
      </c>
      <c r="AR298" s="14">
        <v>23000</v>
      </c>
      <c r="AS298" s="14">
        <v>20500</v>
      </c>
      <c r="AT298" s="14">
        <v>22254</v>
      </c>
      <c r="AU298" s="14">
        <v>-3</v>
      </c>
      <c r="AV298" s="14">
        <v>273.32</v>
      </c>
      <c r="AW298" s="14">
        <v>33.49</v>
      </c>
      <c r="AX298" s="14">
        <v>3.45</v>
      </c>
      <c r="AY298" s="14" t="b">
        <v>0</v>
      </c>
    </row>
    <row r="299" spans="1:51" hidden="1" x14ac:dyDescent="0.3">
      <c r="A299" t="str">
        <f>CONCATENATE(I299,E299,LEFT(G299,10))</f>
        <v>HFA602LLER2026-02-27</v>
      </c>
      <c r="B299" s="14" t="s">
        <v>3416</v>
      </c>
      <c r="C299" s="14" t="s">
        <v>336</v>
      </c>
      <c r="D299" s="14" t="s">
        <v>337</v>
      </c>
      <c r="E299" s="14" t="s">
        <v>59</v>
      </c>
      <c r="F299" s="14" t="s">
        <v>43</v>
      </c>
      <c r="G299" s="14" t="s">
        <v>3417</v>
      </c>
      <c r="H299" s="14" t="s">
        <v>339</v>
      </c>
      <c r="I299" s="14" t="s">
        <v>61</v>
      </c>
      <c r="J299" s="14" t="s">
        <v>83</v>
      </c>
      <c r="K299" s="14" t="s">
        <v>340</v>
      </c>
      <c r="L299" s="14" t="s">
        <v>341</v>
      </c>
      <c r="M299" s="16" t="s">
        <v>3418</v>
      </c>
      <c r="N299" s="14"/>
      <c r="O299" s="14" t="s">
        <v>395</v>
      </c>
      <c r="P299" s="14">
        <v>120</v>
      </c>
      <c r="Q299" s="14">
        <v>2</v>
      </c>
      <c r="R299" s="14">
        <v>0</v>
      </c>
      <c r="S299" s="14" t="s">
        <v>3419</v>
      </c>
      <c r="T299" s="14" t="s">
        <v>3420</v>
      </c>
      <c r="U299" s="14">
        <v>0.97944444444444401</v>
      </c>
      <c r="V299" s="14">
        <v>1.1852777777777701</v>
      </c>
      <c r="W299" s="14">
        <v>742</v>
      </c>
      <c r="X299" s="14">
        <v>80</v>
      </c>
      <c r="Y299" s="14">
        <v>662</v>
      </c>
      <c r="Z299" s="14">
        <v>1558</v>
      </c>
      <c r="AA299" s="14">
        <v>251</v>
      </c>
      <c r="AB299" s="14">
        <v>271</v>
      </c>
      <c r="AC299" s="14">
        <v>991</v>
      </c>
      <c r="AD299" s="14">
        <v>45</v>
      </c>
      <c r="AE299" s="14">
        <v>2300</v>
      </c>
      <c r="AF299" s="14">
        <v>5000</v>
      </c>
      <c r="AG299" s="14">
        <v>2344</v>
      </c>
      <c r="AH299" s="14">
        <v>0</v>
      </c>
      <c r="AI299" s="14">
        <v>52</v>
      </c>
      <c r="AJ299" s="14">
        <v>193</v>
      </c>
      <c r="AK299" s="14" t="s">
        <v>3417</v>
      </c>
      <c r="AL299" s="14" t="s">
        <v>3421</v>
      </c>
      <c r="AM299" s="14">
        <v>202.63</v>
      </c>
      <c r="AN299" s="14">
        <v>184.55</v>
      </c>
      <c r="AO299" s="14">
        <v>54.99</v>
      </c>
      <c r="AP299" s="14">
        <v>20479</v>
      </c>
      <c r="AQ299" s="14">
        <v>20399</v>
      </c>
      <c r="AR299" s="14">
        <v>23000</v>
      </c>
      <c r="AS299" s="14">
        <v>18179</v>
      </c>
      <c r="AT299" s="14">
        <v>19737</v>
      </c>
      <c r="AU299" s="14">
        <v>-11</v>
      </c>
      <c r="AV299" s="14">
        <v>297.91000000000003</v>
      </c>
      <c r="AW299" s="14">
        <v>29</v>
      </c>
      <c r="AX299" s="14">
        <v>-0.21</v>
      </c>
      <c r="AY299" s="14" t="b">
        <v>0</v>
      </c>
    </row>
    <row r="300" spans="1:51" hidden="1" x14ac:dyDescent="0.3">
      <c r="A300" t="str">
        <f>CONCATENATE(I300,E300,LEFT(G300,10))</f>
        <v>HFA603LLHA2026-01-01</v>
      </c>
      <c r="B300" s="14" t="s">
        <v>4521</v>
      </c>
      <c r="C300" s="14" t="s">
        <v>336</v>
      </c>
      <c r="D300" s="14" t="s">
        <v>337</v>
      </c>
      <c r="E300" s="14" t="s">
        <v>43</v>
      </c>
      <c r="F300" s="14" t="s">
        <v>59</v>
      </c>
      <c r="G300" s="14" t="s">
        <v>4522</v>
      </c>
      <c r="H300" s="14" t="s">
        <v>393</v>
      </c>
      <c r="I300" s="14" t="s">
        <v>72</v>
      </c>
      <c r="J300" s="14" t="s">
        <v>83</v>
      </c>
      <c r="K300" s="14" t="s">
        <v>349</v>
      </c>
      <c r="L300" s="14" t="s">
        <v>341</v>
      </c>
      <c r="M300" s="16" t="s">
        <v>4523</v>
      </c>
      <c r="N300" s="14"/>
      <c r="O300" s="14" t="s">
        <v>4524</v>
      </c>
      <c r="P300" s="14">
        <v>50</v>
      </c>
      <c r="Q300" s="14">
        <v>2</v>
      </c>
      <c r="R300" s="14">
        <v>3650</v>
      </c>
      <c r="S300" s="14" t="s">
        <v>4525</v>
      </c>
      <c r="T300" s="14" t="s">
        <v>4526</v>
      </c>
      <c r="U300" s="14">
        <v>0.82055555555555504</v>
      </c>
      <c r="V300" s="14">
        <v>0.94499999999999995</v>
      </c>
      <c r="W300" s="14">
        <v>876</v>
      </c>
      <c r="X300" s="14">
        <v>50</v>
      </c>
      <c r="Y300" s="14">
        <v>826</v>
      </c>
      <c r="Z300" s="14">
        <v>1071</v>
      </c>
      <c r="AA300" s="14">
        <v>572</v>
      </c>
      <c r="AB300" s="14">
        <v>256</v>
      </c>
      <c r="AC300" s="14">
        <v>200</v>
      </c>
      <c r="AD300" s="14">
        <v>43</v>
      </c>
      <c r="AE300" s="14">
        <v>1947</v>
      </c>
      <c r="AF300" s="14">
        <v>5000</v>
      </c>
      <c r="AG300" s="14">
        <v>2769</v>
      </c>
      <c r="AH300" s="14">
        <v>0</v>
      </c>
      <c r="AI300" s="14">
        <v>58</v>
      </c>
      <c r="AJ300" s="14">
        <v>148</v>
      </c>
      <c r="AK300" s="14" t="s">
        <v>4522</v>
      </c>
      <c r="AL300" s="14" t="s">
        <v>4527</v>
      </c>
      <c r="AM300" s="14">
        <v>230.38</v>
      </c>
      <c r="AN300" s="14">
        <v>184.55</v>
      </c>
      <c r="AO300" s="14">
        <v>155.72</v>
      </c>
      <c r="AP300" s="14">
        <v>18908</v>
      </c>
      <c r="AQ300" s="14">
        <v>18858</v>
      </c>
      <c r="AR300" s="14">
        <v>23000</v>
      </c>
      <c r="AS300" s="14">
        <v>16961</v>
      </c>
      <c r="AT300" s="14">
        <v>18032</v>
      </c>
      <c r="AU300" s="14">
        <v>-9</v>
      </c>
      <c r="AV300" s="14">
        <v>261.33999999999997</v>
      </c>
      <c r="AW300" s="14">
        <v>42.09</v>
      </c>
      <c r="AX300" s="14">
        <v>2.2000000000000002</v>
      </c>
      <c r="AY300" s="14" t="b">
        <v>0</v>
      </c>
    </row>
    <row r="301" spans="1:51" hidden="1" x14ac:dyDescent="0.3">
      <c r="A301" t="str">
        <f>CONCATENATE(I301,E301,LEFT(G301,10))</f>
        <v>HFA603LLHA2026-01-03</v>
      </c>
      <c r="B301" s="14" t="s">
        <v>4959</v>
      </c>
      <c r="C301" s="14" t="s">
        <v>336</v>
      </c>
      <c r="D301" s="14" t="s">
        <v>337</v>
      </c>
      <c r="E301" s="14" t="s">
        <v>43</v>
      </c>
      <c r="F301" s="14" t="s">
        <v>59</v>
      </c>
      <c r="G301" s="14" t="s">
        <v>4960</v>
      </c>
      <c r="H301" s="14" t="s">
        <v>339</v>
      </c>
      <c r="I301" s="14" t="s">
        <v>72</v>
      </c>
      <c r="J301" s="14" t="s">
        <v>83</v>
      </c>
      <c r="K301" s="14" t="s">
        <v>349</v>
      </c>
      <c r="L301" s="14" t="s">
        <v>341</v>
      </c>
      <c r="M301" s="16" t="s">
        <v>4961</v>
      </c>
      <c r="N301" s="14"/>
      <c r="O301" s="14" t="s">
        <v>739</v>
      </c>
      <c r="P301" s="14">
        <v>50</v>
      </c>
      <c r="Q301" s="14">
        <v>2</v>
      </c>
      <c r="R301" s="14">
        <v>5200</v>
      </c>
      <c r="S301" s="14" t="s">
        <v>4962</v>
      </c>
      <c r="T301" s="14" t="s">
        <v>4963</v>
      </c>
      <c r="U301" s="14">
        <v>0.90444444444444405</v>
      </c>
      <c r="V301" s="14">
        <v>1.0149999999999999</v>
      </c>
      <c r="W301" s="14">
        <v>758</v>
      </c>
      <c r="X301" s="14">
        <v>50</v>
      </c>
      <c r="Y301" s="14">
        <v>708</v>
      </c>
      <c r="Z301" s="14">
        <v>968</v>
      </c>
      <c r="AA301" s="14">
        <v>556</v>
      </c>
      <c r="AB301" s="14">
        <v>268</v>
      </c>
      <c r="AC301" s="14">
        <v>100</v>
      </c>
      <c r="AD301" s="14">
        <v>45</v>
      </c>
      <c r="AE301" s="14">
        <v>1726</v>
      </c>
      <c r="AF301" s="14">
        <v>5000</v>
      </c>
      <c r="AG301" s="14">
        <v>2395</v>
      </c>
      <c r="AH301" s="14">
        <v>0</v>
      </c>
      <c r="AI301" s="14">
        <v>55</v>
      </c>
      <c r="AJ301" s="14">
        <v>139</v>
      </c>
      <c r="AK301" s="14" t="s">
        <v>4960</v>
      </c>
      <c r="AL301" s="14" t="s">
        <v>4964</v>
      </c>
      <c r="AM301" s="14">
        <v>230.38</v>
      </c>
      <c r="AN301" s="14">
        <v>184.55</v>
      </c>
      <c r="AO301" s="14">
        <v>155.72</v>
      </c>
      <c r="AP301" s="14">
        <v>20251</v>
      </c>
      <c r="AQ301" s="14">
        <v>20201</v>
      </c>
      <c r="AR301" s="14">
        <v>23000</v>
      </c>
      <c r="AS301" s="14">
        <v>18525</v>
      </c>
      <c r="AT301" s="14">
        <v>19493</v>
      </c>
      <c r="AU301" s="14">
        <v>4</v>
      </c>
      <c r="AV301" s="14">
        <v>350.87</v>
      </c>
      <c r="AW301" s="14">
        <v>5.27</v>
      </c>
      <c r="AX301" s="14">
        <v>4.0999999999999996</v>
      </c>
      <c r="AY301" s="14" t="b">
        <v>0</v>
      </c>
    </row>
    <row r="302" spans="1:51" hidden="1" x14ac:dyDescent="0.3">
      <c r="A302" t="str">
        <f>CONCATENATE(I302,E302,LEFT(G302,10))</f>
        <v>HFA603LLHA2026-01-08</v>
      </c>
      <c r="B302" s="14" t="s">
        <v>2878</v>
      </c>
      <c r="C302" s="14" t="s">
        <v>336</v>
      </c>
      <c r="D302" s="14" t="s">
        <v>337</v>
      </c>
      <c r="E302" s="14" t="s">
        <v>43</v>
      </c>
      <c r="F302" s="14" t="s">
        <v>59</v>
      </c>
      <c r="G302" s="14" t="s">
        <v>2879</v>
      </c>
      <c r="H302" s="14" t="s">
        <v>393</v>
      </c>
      <c r="I302" s="14" t="s">
        <v>72</v>
      </c>
      <c r="J302" s="14" t="s">
        <v>83</v>
      </c>
      <c r="K302" s="14" t="s">
        <v>349</v>
      </c>
      <c r="L302" s="14" t="s">
        <v>341</v>
      </c>
      <c r="M302" s="16" t="s">
        <v>2880</v>
      </c>
      <c r="N302" s="14"/>
      <c r="O302" s="14" t="s">
        <v>1529</v>
      </c>
      <c r="P302" s="14">
        <v>50</v>
      </c>
      <c r="Q302" s="14">
        <v>2</v>
      </c>
      <c r="R302" s="14">
        <v>5100</v>
      </c>
      <c r="S302" s="14" t="s">
        <v>2881</v>
      </c>
      <c r="T302" s="14" t="s">
        <v>2882</v>
      </c>
      <c r="U302" s="14">
        <v>1.0133333333333301</v>
      </c>
      <c r="V302" s="14">
        <v>1.20333333333333</v>
      </c>
      <c r="W302" s="14">
        <v>863</v>
      </c>
      <c r="X302" s="14">
        <v>50</v>
      </c>
      <c r="Y302" s="14">
        <v>813</v>
      </c>
      <c r="Z302" s="14">
        <v>953</v>
      </c>
      <c r="AA302" s="14">
        <v>542</v>
      </c>
      <c r="AB302" s="14">
        <v>267</v>
      </c>
      <c r="AC302" s="14">
        <v>100</v>
      </c>
      <c r="AD302" s="14">
        <v>44</v>
      </c>
      <c r="AE302" s="14">
        <v>1815</v>
      </c>
      <c r="AF302" s="14">
        <v>5000</v>
      </c>
      <c r="AG302" s="14">
        <v>2726</v>
      </c>
      <c r="AH302" s="14">
        <v>0</v>
      </c>
      <c r="AI302" s="14">
        <v>59</v>
      </c>
      <c r="AJ302" s="14">
        <v>140</v>
      </c>
      <c r="AK302" s="14" t="s">
        <v>2879</v>
      </c>
      <c r="AL302" s="14" t="s">
        <v>2883</v>
      </c>
      <c r="AM302" s="14">
        <v>230.38</v>
      </c>
      <c r="AN302" s="14">
        <v>184.55</v>
      </c>
      <c r="AO302" s="14">
        <v>155.72</v>
      </c>
      <c r="AP302" s="14">
        <v>20226</v>
      </c>
      <c r="AQ302" s="14">
        <v>20176</v>
      </c>
      <c r="AR302" s="14">
        <v>23000</v>
      </c>
      <c r="AS302" s="14">
        <v>18411</v>
      </c>
      <c r="AT302" s="14">
        <v>19364</v>
      </c>
      <c r="AU302" s="14">
        <v>-11</v>
      </c>
      <c r="AV302" s="14">
        <v>217.59</v>
      </c>
      <c r="AW302" s="14">
        <v>16.329999999999998</v>
      </c>
      <c r="AX302" s="14">
        <v>10.1</v>
      </c>
      <c r="AY302" s="14" t="b">
        <v>0</v>
      </c>
    </row>
    <row r="303" spans="1:51" hidden="1" x14ac:dyDescent="0.3">
      <c r="A303" t="str">
        <f>CONCATENATE(I303,E303,LEFT(G303,10))</f>
        <v>HFA603LLHA2026-01-10</v>
      </c>
      <c r="B303" s="14" t="s">
        <v>1100</v>
      </c>
      <c r="C303" s="14" t="s">
        <v>336</v>
      </c>
      <c r="D303" s="14" t="s">
        <v>337</v>
      </c>
      <c r="E303" s="14" t="s">
        <v>43</v>
      </c>
      <c r="F303" s="14" t="s">
        <v>59</v>
      </c>
      <c r="G303" s="14" t="s">
        <v>1101</v>
      </c>
      <c r="H303" s="14" t="s">
        <v>339</v>
      </c>
      <c r="I303" s="14" t="s">
        <v>72</v>
      </c>
      <c r="J303" s="14" t="s">
        <v>83</v>
      </c>
      <c r="K303" s="14" t="s">
        <v>349</v>
      </c>
      <c r="L303" s="14" t="s">
        <v>341</v>
      </c>
      <c r="M303" s="16" t="s">
        <v>1102</v>
      </c>
      <c r="N303" s="14"/>
      <c r="O303" s="14" t="s">
        <v>1103</v>
      </c>
      <c r="P303" s="14">
        <v>50</v>
      </c>
      <c r="Q303" s="14">
        <v>2</v>
      </c>
      <c r="R303" s="14">
        <v>3500</v>
      </c>
      <c r="S303" s="14" t="s">
        <v>1104</v>
      </c>
      <c r="T303" s="14" t="s">
        <v>1105</v>
      </c>
      <c r="U303" s="14">
        <v>0.99416666666666598</v>
      </c>
      <c r="V303" s="14">
        <v>1.0941666666666601</v>
      </c>
      <c r="W303" s="14">
        <v>758</v>
      </c>
      <c r="X303" s="14">
        <v>50</v>
      </c>
      <c r="Y303" s="14">
        <v>708</v>
      </c>
      <c r="Z303" s="14">
        <v>942</v>
      </c>
      <c r="AA303" s="14">
        <v>546</v>
      </c>
      <c r="AB303" s="14">
        <v>253</v>
      </c>
      <c r="AC303" s="14">
        <v>100</v>
      </c>
      <c r="AD303" s="14">
        <v>42</v>
      </c>
      <c r="AE303" s="14">
        <v>1700</v>
      </c>
      <c r="AF303" s="14">
        <v>5000</v>
      </c>
      <c r="AG303" s="14">
        <v>2394</v>
      </c>
      <c r="AH303" s="14">
        <v>0</v>
      </c>
      <c r="AI303" s="14">
        <v>56</v>
      </c>
      <c r="AJ303" s="14">
        <v>139</v>
      </c>
      <c r="AK303" s="14" t="s">
        <v>1101</v>
      </c>
      <c r="AL303" s="14" t="s">
        <v>1106</v>
      </c>
      <c r="AM303" s="14">
        <v>230.38</v>
      </c>
      <c r="AN303" s="14">
        <v>184.55</v>
      </c>
      <c r="AO303" s="14">
        <v>155.72</v>
      </c>
      <c r="AP303" s="14">
        <v>18525</v>
      </c>
      <c r="AQ303" s="14">
        <v>18475</v>
      </c>
      <c r="AR303" s="14">
        <v>23000</v>
      </c>
      <c r="AS303" s="14">
        <v>16825</v>
      </c>
      <c r="AT303" s="14">
        <v>17767</v>
      </c>
      <c r="AU303" s="14">
        <v>1</v>
      </c>
      <c r="AV303" s="14">
        <v>279.13</v>
      </c>
      <c r="AW303" s="14">
        <v>17.02</v>
      </c>
      <c r="AX303" s="14">
        <v>3.48</v>
      </c>
      <c r="AY303" s="14" t="b">
        <v>0</v>
      </c>
    </row>
    <row r="304" spans="1:51" hidden="1" x14ac:dyDescent="0.3">
      <c r="A304" t="str">
        <f>CONCATENATE(I304,E304,LEFT(G304,10))</f>
        <v>HFA603LLHA2026-01-11</v>
      </c>
      <c r="B304" s="14" t="s">
        <v>2216</v>
      </c>
      <c r="C304" s="14" t="s">
        <v>336</v>
      </c>
      <c r="D304" s="14" t="s">
        <v>337</v>
      </c>
      <c r="E304" s="14" t="s">
        <v>43</v>
      </c>
      <c r="F304" s="14" t="s">
        <v>59</v>
      </c>
      <c r="G304" s="14" t="s">
        <v>2217</v>
      </c>
      <c r="H304" s="14" t="s">
        <v>393</v>
      </c>
      <c r="I304" s="14" t="s">
        <v>72</v>
      </c>
      <c r="J304" s="14" t="s">
        <v>83</v>
      </c>
      <c r="K304" s="14" t="s">
        <v>349</v>
      </c>
      <c r="L304" s="14" t="s">
        <v>341</v>
      </c>
      <c r="M304" s="16" t="s">
        <v>2218</v>
      </c>
      <c r="N304" s="14"/>
      <c r="O304" s="14" t="s">
        <v>563</v>
      </c>
      <c r="P304" s="14">
        <v>50</v>
      </c>
      <c r="Q304" s="14">
        <v>2</v>
      </c>
      <c r="R304" s="14">
        <v>5600</v>
      </c>
      <c r="S304" s="14" t="s">
        <v>2219</v>
      </c>
      <c r="T304" s="14" t="s">
        <v>2220</v>
      </c>
      <c r="U304" s="14">
        <v>0.99166666666666603</v>
      </c>
      <c r="V304" s="14">
        <v>1.1372222222222199</v>
      </c>
      <c r="W304" s="14">
        <v>887</v>
      </c>
      <c r="X304" s="14">
        <v>50</v>
      </c>
      <c r="Y304" s="14">
        <v>837</v>
      </c>
      <c r="Z304" s="14">
        <v>978</v>
      </c>
      <c r="AA304" s="14">
        <v>561</v>
      </c>
      <c r="AB304" s="14">
        <v>271</v>
      </c>
      <c r="AC304" s="14">
        <v>100</v>
      </c>
      <c r="AD304" s="14">
        <v>45</v>
      </c>
      <c r="AE304" s="14">
        <v>1865</v>
      </c>
      <c r="AF304" s="14">
        <v>5000</v>
      </c>
      <c r="AG304" s="14">
        <v>2804</v>
      </c>
      <c r="AH304" s="14">
        <v>0</v>
      </c>
      <c r="AI304" s="14">
        <v>59</v>
      </c>
      <c r="AJ304" s="14">
        <v>140</v>
      </c>
      <c r="AK304" s="14" t="s">
        <v>2217</v>
      </c>
      <c r="AL304" s="14" t="s">
        <v>2221</v>
      </c>
      <c r="AM304" s="14">
        <v>230.38</v>
      </c>
      <c r="AN304" s="14">
        <v>184.55</v>
      </c>
      <c r="AO304" s="14">
        <v>155.72</v>
      </c>
      <c r="AP304" s="14">
        <v>20776</v>
      </c>
      <c r="AQ304" s="14">
        <v>20726</v>
      </c>
      <c r="AR304" s="14">
        <v>23000</v>
      </c>
      <c r="AS304" s="14">
        <v>18911</v>
      </c>
      <c r="AT304" s="14">
        <v>19889</v>
      </c>
      <c r="AU304" s="14">
        <v>-12</v>
      </c>
      <c r="AV304" s="14">
        <v>240.81</v>
      </c>
      <c r="AW304" s="14">
        <v>25.96</v>
      </c>
      <c r="AX304" s="14">
        <v>4.5199999999999996</v>
      </c>
      <c r="AY304" s="14" t="b">
        <v>0</v>
      </c>
    </row>
    <row r="305" spans="1:51" hidden="1" x14ac:dyDescent="0.3">
      <c r="A305" t="str">
        <f>CONCATENATE(I305,E305,LEFT(G305,10))</f>
        <v>HFA603LLHA2026-01-15</v>
      </c>
      <c r="B305" s="14" t="s">
        <v>6153</v>
      </c>
      <c r="C305" s="14" t="s">
        <v>336</v>
      </c>
      <c r="D305" s="14" t="s">
        <v>337</v>
      </c>
      <c r="E305" s="14" t="s">
        <v>43</v>
      </c>
      <c r="F305" s="14" t="s">
        <v>59</v>
      </c>
      <c r="G305" s="14" t="s">
        <v>6154</v>
      </c>
      <c r="H305" s="14" t="s">
        <v>393</v>
      </c>
      <c r="I305" s="14" t="s">
        <v>72</v>
      </c>
      <c r="J305" s="14" t="s">
        <v>83</v>
      </c>
      <c r="K305" s="14" t="s">
        <v>349</v>
      </c>
      <c r="L305" s="14" t="s">
        <v>341</v>
      </c>
      <c r="M305" s="16" t="s">
        <v>6155</v>
      </c>
      <c r="N305" s="14"/>
      <c r="O305" s="14" t="s">
        <v>739</v>
      </c>
      <c r="P305" s="14">
        <v>50</v>
      </c>
      <c r="Q305" s="14">
        <v>2</v>
      </c>
      <c r="R305" s="14">
        <v>2100</v>
      </c>
      <c r="S305" s="14" t="s">
        <v>6156</v>
      </c>
      <c r="T305" s="14" t="s">
        <v>6157</v>
      </c>
      <c r="U305" s="14">
        <v>0.89194444444444398</v>
      </c>
      <c r="V305" s="14">
        <v>1.0108333333333299</v>
      </c>
      <c r="W305" s="14">
        <v>824</v>
      </c>
      <c r="X305" s="14">
        <v>50</v>
      </c>
      <c r="Y305" s="14">
        <v>774</v>
      </c>
      <c r="Z305" s="14">
        <v>966</v>
      </c>
      <c r="AA305" s="14">
        <v>583</v>
      </c>
      <c r="AB305" s="14">
        <v>243</v>
      </c>
      <c r="AC305" s="14">
        <v>100</v>
      </c>
      <c r="AD305" s="14">
        <v>40</v>
      </c>
      <c r="AE305" s="14">
        <v>1790</v>
      </c>
      <c r="AF305" s="14">
        <v>5000</v>
      </c>
      <c r="AG305" s="14">
        <v>2603</v>
      </c>
      <c r="AH305" s="14">
        <v>0</v>
      </c>
      <c r="AI305" s="14">
        <v>54</v>
      </c>
      <c r="AJ305" s="14">
        <v>137</v>
      </c>
      <c r="AK305" s="14" t="s">
        <v>6154</v>
      </c>
      <c r="AL305" s="14" t="s">
        <v>6158</v>
      </c>
      <c r="AM305" s="14">
        <v>230.38</v>
      </c>
      <c r="AN305" s="14">
        <v>184.55</v>
      </c>
      <c r="AO305" s="14">
        <v>155.72</v>
      </c>
      <c r="AP305" s="14">
        <v>17201</v>
      </c>
      <c r="AQ305" s="14">
        <v>17151</v>
      </c>
      <c r="AR305" s="14">
        <v>23000</v>
      </c>
      <c r="AS305" s="14">
        <v>15411</v>
      </c>
      <c r="AT305" s="14">
        <v>16377</v>
      </c>
      <c r="AU305" s="14">
        <v>6</v>
      </c>
      <c r="AV305" s="14">
        <v>303.51</v>
      </c>
      <c r="AW305" s="14">
        <v>18.690000000000001</v>
      </c>
      <c r="AX305" s="14">
        <v>2.46</v>
      </c>
      <c r="AY305" s="14" t="b">
        <v>0</v>
      </c>
    </row>
    <row r="306" spans="1:51" hidden="1" x14ac:dyDescent="0.3">
      <c r="A306" t="str">
        <f>CONCATENATE(I306,E306,LEFT(G306,10))</f>
        <v>HFA603LLHA2026-01-17</v>
      </c>
      <c r="B306" s="14" t="s">
        <v>6412</v>
      </c>
      <c r="C306" s="14" t="s">
        <v>336</v>
      </c>
      <c r="D306" s="14" t="s">
        <v>337</v>
      </c>
      <c r="E306" s="14" t="s">
        <v>43</v>
      </c>
      <c r="F306" s="14" t="s">
        <v>59</v>
      </c>
      <c r="G306" s="14" t="s">
        <v>6413</v>
      </c>
      <c r="H306" s="14" t="s">
        <v>339</v>
      </c>
      <c r="I306" s="14" t="s">
        <v>72</v>
      </c>
      <c r="J306" s="14" t="s">
        <v>83</v>
      </c>
      <c r="K306" s="14" t="s">
        <v>349</v>
      </c>
      <c r="L306" s="14" t="s">
        <v>341</v>
      </c>
      <c r="M306" s="16" t="s">
        <v>6414</v>
      </c>
      <c r="N306" s="14"/>
      <c r="O306" s="14" t="s">
        <v>6415</v>
      </c>
      <c r="P306" s="14">
        <v>50</v>
      </c>
      <c r="Q306" s="14">
        <v>2</v>
      </c>
      <c r="R306" s="14">
        <v>4200</v>
      </c>
      <c r="S306" s="14" t="s">
        <v>6416</v>
      </c>
      <c r="T306" s="14" t="s">
        <v>6417</v>
      </c>
      <c r="U306" s="14">
        <v>0.83750000000000002</v>
      </c>
      <c r="V306" s="14">
        <v>0.97944444444444401</v>
      </c>
      <c r="W306" s="14">
        <v>771</v>
      </c>
      <c r="X306" s="14">
        <v>50</v>
      </c>
      <c r="Y306" s="14">
        <v>721</v>
      </c>
      <c r="Z306" s="14">
        <v>979</v>
      </c>
      <c r="AA306" s="14">
        <v>551</v>
      </c>
      <c r="AB306" s="14">
        <v>259</v>
      </c>
      <c r="AC306" s="14">
        <v>126</v>
      </c>
      <c r="AD306" s="14">
        <v>43</v>
      </c>
      <c r="AE306" s="14">
        <v>1750</v>
      </c>
      <c r="AF306" s="14">
        <v>5000</v>
      </c>
      <c r="AG306" s="14">
        <v>2436</v>
      </c>
      <c r="AH306" s="14">
        <v>0</v>
      </c>
      <c r="AI306" s="14">
        <v>57</v>
      </c>
      <c r="AJ306" s="14">
        <v>143</v>
      </c>
      <c r="AK306" s="14" t="s">
        <v>6413</v>
      </c>
      <c r="AL306" s="14" t="s">
        <v>6418</v>
      </c>
      <c r="AM306" s="14">
        <v>230.38</v>
      </c>
      <c r="AN306" s="14">
        <v>184.55</v>
      </c>
      <c r="AO306" s="14">
        <v>155.72</v>
      </c>
      <c r="AP306" s="14">
        <v>19275</v>
      </c>
      <c r="AQ306" s="14">
        <v>19225</v>
      </c>
      <c r="AR306" s="14">
        <v>23000</v>
      </c>
      <c r="AS306" s="14">
        <v>17525</v>
      </c>
      <c r="AT306" s="14">
        <v>18504</v>
      </c>
      <c r="AU306" s="14">
        <v>-2</v>
      </c>
      <c r="AV306" s="14">
        <v>273.39</v>
      </c>
      <c r="AW306" s="14">
        <v>23.49</v>
      </c>
      <c r="AX306" s="14">
        <v>2.91</v>
      </c>
      <c r="AY306" s="14" t="b">
        <v>0</v>
      </c>
    </row>
    <row r="307" spans="1:51" hidden="1" x14ac:dyDescent="0.3">
      <c r="A307" t="str">
        <f>CONCATENATE(I307,E307,LEFT(G307,10))</f>
        <v>HFA603LLHA2026-01-18</v>
      </c>
      <c r="B307" s="14" t="s">
        <v>5554</v>
      </c>
      <c r="C307" s="14" t="s">
        <v>336</v>
      </c>
      <c r="D307" s="14" t="s">
        <v>337</v>
      </c>
      <c r="E307" s="14" t="s">
        <v>43</v>
      </c>
      <c r="F307" s="14" t="s">
        <v>59</v>
      </c>
      <c r="G307" s="14" t="s">
        <v>5555</v>
      </c>
      <c r="H307" s="14" t="s">
        <v>371</v>
      </c>
      <c r="I307" s="14" t="s">
        <v>72</v>
      </c>
      <c r="J307" s="14" t="s">
        <v>83</v>
      </c>
      <c r="K307" s="14" t="s">
        <v>349</v>
      </c>
      <c r="L307" s="14" t="s">
        <v>341</v>
      </c>
      <c r="M307" s="16" t="s">
        <v>5556</v>
      </c>
      <c r="N307" s="14"/>
      <c r="O307" s="14" t="s">
        <v>5531</v>
      </c>
      <c r="P307" s="14">
        <v>50</v>
      </c>
      <c r="Q307" s="14">
        <v>2</v>
      </c>
      <c r="R307" s="14">
        <v>6650</v>
      </c>
      <c r="S307" s="14" t="s">
        <v>5557</v>
      </c>
      <c r="T307" s="14" t="s">
        <v>5558</v>
      </c>
      <c r="U307" s="14">
        <v>0.97333333333333305</v>
      </c>
      <c r="V307" s="14">
        <v>1.1311111111111101</v>
      </c>
      <c r="W307" s="14">
        <v>797</v>
      </c>
      <c r="X307" s="14">
        <v>50</v>
      </c>
      <c r="Y307" s="14">
        <v>747</v>
      </c>
      <c r="Z307" s="14">
        <v>1023</v>
      </c>
      <c r="AA307" s="14">
        <v>593</v>
      </c>
      <c r="AB307" s="14">
        <v>283</v>
      </c>
      <c r="AC307" s="14">
        <v>100</v>
      </c>
      <c r="AD307" s="14">
        <v>47</v>
      </c>
      <c r="AE307" s="14">
        <v>1821</v>
      </c>
      <c r="AF307" s="14">
        <v>5000</v>
      </c>
      <c r="AG307" s="14">
        <v>2520</v>
      </c>
      <c r="AH307" s="14">
        <v>0</v>
      </c>
      <c r="AI307" s="14">
        <v>57</v>
      </c>
      <c r="AJ307" s="14">
        <v>140</v>
      </c>
      <c r="AK307" s="14" t="s">
        <v>5555</v>
      </c>
      <c r="AL307" s="14" t="s">
        <v>5559</v>
      </c>
      <c r="AM307" s="14">
        <v>230.38</v>
      </c>
      <c r="AN307" s="14">
        <v>184.55</v>
      </c>
      <c r="AO307" s="14">
        <v>155.72</v>
      </c>
      <c r="AP307" s="14">
        <v>21971</v>
      </c>
      <c r="AQ307" s="14">
        <v>21921</v>
      </c>
      <c r="AR307" s="14">
        <v>23000</v>
      </c>
      <c r="AS307" s="14">
        <v>20150</v>
      </c>
      <c r="AT307" s="14">
        <v>21174</v>
      </c>
      <c r="AU307" s="14">
        <v>2</v>
      </c>
      <c r="AV307" s="14">
        <v>281.61</v>
      </c>
      <c r="AW307" s="14">
        <v>28.68</v>
      </c>
      <c r="AX307" s="14">
        <v>0.26</v>
      </c>
      <c r="AY307" s="14" t="b">
        <v>0</v>
      </c>
    </row>
    <row r="308" spans="1:51" hidden="1" x14ac:dyDescent="0.3">
      <c r="A308" t="str">
        <f>CONCATENATE(I308,E308,LEFT(G308,10))</f>
        <v>HFA603LLHA2026-01-22</v>
      </c>
      <c r="B308" s="14" t="s">
        <v>2122</v>
      </c>
      <c r="C308" s="14" t="s">
        <v>336</v>
      </c>
      <c r="D308" s="14" t="s">
        <v>337</v>
      </c>
      <c r="E308" s="14" t="s">
        <v>43</v>
      </c>
      <c r="F308" s="14" t="s">
        <v>59</v>
      </c>
      <c r="G308" s="14" t="s">
        <v>2123</v>
      </c>
      <c r="H308" s="14" t="s">
        <v>371</v>
      </c>
      <c r="I308" s="14" t="s">
        <v>72</v>
      </c>
      <c r="J308" s="14" t="s">
        <v>83</v>
      </c>
      <c r="K308" s="14" t="s">
        <v>349</v>
      </c>
      <c r="L308" s="14" t="s">
        <v>341</v>
      </c>
      <c r="M308" s="16" t="s">
        <v>2124</v>
      </c>
      <c r="N308" s="14"/>
      <c r="O308" s="14" t="s">
        <v>1529</v>
      </c>
      <c r="P308" s="14">
        <v>50</v>
      </c>
      <c r="Q308" s="14">
        <v>2</v>
      </c>
      <c r="R308" s="14">
        <v>7100</v>
      </c>
      <c r="S308" s="14" t="s">
        <v>2125</v>
      </c>
      <c r="T308" s="14" t="s">
        <v>2126</v>
      </c>
      <c r="U308" s="14">
        <v>1.0588888888888801</v>
      </c>
      <c r="V308" s="14">
        <v>1.1813888888888799</v>
      </c>
      <c r="W308" s="14">
        <v>844</v>
      </c>
      <c r="X308" s="14">
        <v>50</v>
      </c>
      <c r="Y308" s="14">
        <v>794</v>
      </c>
      <c r="Z308" s="14">
        <v>1066</v>
      </c>
      <c r="AA308" s="14">
        <v>538</v>
      </c>
      <c r="AB308" s="14">
        <v>289</v>
      </c>
      <c r="AC308" s="14">
        <v>192</v>
      </c>
      <c r="AD308" s="14">
        <v>48</v>
      </c>
      <c r="AE308" s="14">
        <v>1910</v>
      </c>
      <c r="AF308" s="14">
        <v>5000</v>
      </c>
      <c r="AG308" s="14">
        <v>2666</v>
      </c>
      <c r="AH308" s="14">
        <v>0</v>
      </c>
      <c r="AI308" s="14">
        <v>62</v>
      </c>
      <c r="AJ308" s="14">
        <v>150</v>
      </c>
      <c r="AK308" s="14" t="s">
        <v>2123</v>
      </c>
      <c r="AL308" s="14" t="s">
        <v>2127</v>
      </c>
      <c r="AM308" s="14">
        <v>230.38</v>
      </c>
      <c r="AN308" s="14">
        <v>184.55</v>
      </c>
      <c r="AO308" s="14">
        <v>155.72</v>
      </c>
      <c r="AP308" s="14">
        <v>22510</v>
      </c>
      <c r="AQ308" s="14">
        <v>22460</v>
      </c>
      <c r="AR308" s="14">
        <v>23000</v>
      </c>
      <c r="AS308" s="14">
        <v>20600</v>
      </c>
      <c r="AT308" s="14">
        <v>21666</v>
      </c>
      <c r="AU308" s="14">
        <v>-18</v>
      </c>
      <c r="AV308" s="14">
        <v>225.13</v>
      </c>
      <c r="AW308" s="14">
        <v>30.48</v>
      </c>
      <c r="AX308" s="14">
        <v>6.26</v>
      </c>
      <c r="AY308" s="14" t="b">
        <v>0</v>
      </c>
    </row>
    <row r="309" spans="1:51" hidden="1" x14ac:dyDescent="0.3">
      <c r="A309" t="str">
        <f>CONCATENATE(I309,E309,LEFT(G309,10))</f>
        <v>HFA603LLHA2026-01-24</v>
      </c>
      <c r="B309" s="14" t="s">
        <v>631</v>
      </c>
      <c r="C309" s="14" t="s">
        <v>336</v>
      </c>
      <c r="D309" s="14" t="s">
        <v>337</v>
      </c>
      <c r="E309" s="14" t="s">
        <v>43</v>
      </c>
      <c r="F309" s="14" t="s">
        <v>59</v>
      </c>
      <c r="G309" s="14" t="s">
        <v>632</v>
      </c>
      <c r="H309" s="14" t="s">
        <v>339</v>
      </c>
      <c r="I309" s="14" t="s">
        <v>72</v>
      </c>
      <c r="J309" s="14" t="s">
        <v>83</v>
      </c>
      <c r="K309" s="14" t="s">
        <v>349</v>
      </c>
      <c r="L309" s="14" t="s">
        <v>341</v>
      </c>
      <c r="M309" s="16" t="s">
        <v>633</v>
      </c>
      <c r="N309" s="14"/>
      <c r="O309" s="14" t="s">
        <v>387</v>
      </c>
      <c r="P309" s="14">
        <v>50</v>
      </c>
      <c r="Q309" s="14">
        <v>2</v>
      </c>
      <c r="R309" s="14">
        <v>4600</v>
      </c>
      <c r="S309" s="14" t="s">
        <v>634</v>
      </c>
      <c r="T309" s="14" t="s">
        <v>635</v>
      </c>
      <c r="U309" s="14">
        <v>0.82944444444444398</v>
      </c>
      <c r="V309" s="14">
        <v>0.99</v>
      </c>
      <c r="W309" s="14">
        <v>746</v>
      </c>
      <c r="X309" s="14">
        <v>50</v>
      </c>
      <c r="Y309" s="14">
        <v>696</v>
      </c>
      <c r="Z309" s="14">
        <v>1054</v>
      </c>
      <c r="AA309" s="14">
        <v>589</v>
      </c>
      <c r="AB309" s="14">
        <v>263</v>
      </c>
      <c r="AC309" s="14">
        <v>158</v>
      </c>
      <c r="AD309" s="14">
        <v>44</v>
      </c>
      <c r="AE309" s="14">
        <v>1800</v>
      </c>
      <c r="AF309" s="14">
        <v>5000</v>
      </c>
      <c r="AG309" s="14">
        <v>2357</v>
      </c>
      <c r="AH309" s="14">
        <v>0</v>
      </c>
      <c r="AI309" s="14">
        <v>54</v>
      </c>
      <c r="AJ309" s="14">
        <v>144</v>
      </c>
      <c r="AK309" s="14" t="s">
        <v>632</v>
      </c>
      <c r="AL309" s="14" t="s">
        <v>636</v>
      </c>
      <c r="AM309" s="14">
        <v>230.38</v>
      </c>
      <c r="AN309" s="14">
        <v>184.55</v>
      </c>
      <c r="AO309" s="14">
        <v>155.72</v>
      </c>
      <c r="AP309" s="14">
        <v>19725</v>
      </c>
      <c r="AQ309" s="14">
        <v>19675</v>
      </c>
      <c r="AR309" s="14">
        <v>23000</v>
      </c>
      <c r="AS309" s="14">
        <v>17925</v>
      </c>
      <c r="AT309" s="14">
        <v>18979</v>
      </c>
      <c r="AU309" s="14">
        <v>12</v>
      </c>
      <c r="AV309" s="14">
        <v>316.79000000000002</v>
      </c>
      <c r="AW309" s="14">
        <v>25.57</v>
      </c>
      <c r="AX309" s="14">
        <v>0.49</v>
      </c>
      <c r="AY309" s="14" t="b">
        <v>0</v>
      </c>
    </row>
    <row r="310" spans="1:51" hidden="1" x14ac:dyDescent="0.3">
      <c r="A310" t="str">
        <f>CONCATENATE(I310,E310,LEFT(G310,10))</f>
        <v>HFA603LLHA2026-01-25</v>
      </c>
      <c r="B310" s="14" t="s">
        <v>5205</v>
      </c>
      <c r="C310" s="14" t="s">
        <v>336</v>
      </c>
      <c r="D310" s="14" t="s">
        <v>337</v>
      </c>
      <c r="E310" s="14" t="s">
        <v>43</v>
      </c>
      <c r="F310" s="14" t="s">
        <v>59</v>
      </c>
      <c r="G310" s="14" t="s">
        <v>5206</v>
      </c>
      <c r="H310" s="14" t="s">
        <v>339</v>
      </c>
      <c r="I310" s="14" t="s">
        <v>72</v>
      </c>
      <c r="J310" s="14" t="s">
        <v>83</v>
      </c>
      <c r="K310" s="14" t="s">
        <v>349</v>
      </c>
      <c r="L310" s="14" t="s">
        <v>341</v>
      </c>
      <c r="M310" s="16" t="s">
        <v>5200</v>
      </c>
      <c r="N310" s="14"/>
      <c r="O310" s="14" t="s">
        <v>5207</v>
      </c>
      <c r="P310" s="14">
        <v>50</v>
      </c>
      <c r="Q310" s="14">
        <v>2</v>
      </c>
      <c r="R310" s="14">
        <v>6900</v>
      </c>
      <c r="S310" s="14" t="s">
        <v>5208</v>
      </c>
      <c r="T310" s="14" t="s">
        <v>5209</v>
      </c>
      <c r="U310" s="14">
        <v>0.886388888888888</v>
      </c>
      <c r="V310" s="14">
        <v>1.0163888888888799</v>
      </c>
      <c r="W310" s="14">
        <v>763</v>
      </c>
      <c r="X310" s="14">
        <v>50</v>
      </c>
      <c r="Y310" s="14">
        <v>713</v>
      </c>
      <c r="Z310" s="14">
        <v>1000</v>
      </c>
      <c r="AA310" s="14">
        <v>568</v>
      </c>
      <c r="AB310" s="14">
        <v>284</v>
      </c>
      <c r="AC310" s="14">
        <v>100</v>
      </c>
      <c r="AD310" s="14">
        <v>47</v>
      </c>
      <c r="AE310" s="14">
        <v>1763</v>
      </c>
      <c r="AF310" s="14">
        <v>5000</v>
      </c>
      <c r="AG310" s="14">
        <v>2412</v>
      </c>
      <c r="AH310" s="14">
        <v>0</v>
      </c>
      <c r="AI310" s="14">
        <v>57</v>
      </c>
      <c r="AJ310" s="14">
        <v>142</v>
      </c>
      <c r="AK310" s="14" t="s">
        <v>5206</v>
      </c>
      <c r="AL310" s="14" t="s">
        <v>5210</v>
      </c>
      <c r="AM310" s="14">
        <v>230.38</v>
      </c>
      <c r="AN310" s="14">
        <v>184.55</v>
      </c>
      <c r="AO310" s="14">
        <v>155.72</v>
      </c>
      <c r="AP310" s="14">
        <v>21988</v>
      </c>
      <c r="AQ310" s="14">
        <v>21938</v>
      </c>
      <c r="AR310" s="14">
        <v>23000</v>
      </c>
      <c r="AS310" s="14">
        <v>20225</v>
      </c>
      <c r="AT310" s="14">
        <v>21225</v>
      </c>
      <c r="AU310" s="14">
        <v>3</v>
      </c>
      <c r="AV310" s="14">
        <v>293.27999999999997</v>
      </c>
      <c r="AW310" s="14">
        <v>14.22</v>
      </c>
      <c r="AX310" s="14">
        <v>6.04</v>
      </c>
      <c r="AY310" s="14" t="b">
        <v>0</v>
      </c>
    </row>
    <row r="311" spans="1:51" hidden="1" x14ac:dyDescent="0.3">
      <c r="A311" t="str">
        <f>CONCATENATE(I311,E311,LEFT(G311,10))</f>
        <v>HFA603LLHA2026-01-29</v>
      </c>
      <c r="B311" s="14" t="s">
        <v>6310</v>
      </c>
      <c r="C311" s="14" t="s">
        <v>336</v>
      </c>
      <c r="D311" s="14" t="s">
        <v>337</v>
      </c>
      <c r="E311" s="14" t="s">
        <v>43</v>
      </c>
      <c r="F311" s="14" t="s">
        <v>59</v>
      </c>
      <c r="G311" s="14" t="s">
        <v>6311</v>
      </c>
      <c r="H311" s="14" t="s">
        <v>436</v>
      </c>
      <c r="I311" s="14" t="s">
        <v>72</v>
      </c>
      <c r="J311" s="14" t="s">
        <v>83</v>
      </c>
      <c r="K311" s="14" t="s">
        <v>349</v>
      </c>
      <c r="L311" s="14" t="s">
        <v>341</v>
      </c>
      <c r="M311" s="16" t="s">
        <v>6312</v>
      </c>
      <c r="N311" s="14" t="s">
        <v>359</v>
      </c>
      <c r="O311" s="14" t="s">
        <v>387</v>
      </c>
      <c r="P311" s="14">
        <v>50</v>
      </c>
      <c r="Q311" s="14">
        <v>2</v>
      </c>
      <c r="R311" s="14">
        <v>4400</v>
      </c>
      <c r="S311" s="14" t="s">
        <v>6313</v>
      </c>
      <c r="T311" s="14" t="s">
        <v>6314</v>
      </c>
      <c r="U311" s="14">
        <v>0.87444444444444402</v>
      </c>
      <c r="V311" s="14">
        <v>1.0477777777777699</v>
      </c>
      <c r="W311" s="14">
        <v>766</v>
      </c>
      <c r="X311" s="14">
        <v>50</v>
      </c>
      <c r="Y311" s="14">
        <v>716</v>
      </c>
      <c r="Z311" s="14">
        <v>962</v>
      </c>
      <c r="AA311" s="14">
        <v>559</v>
      </c>
      <c r="AB311" s="14">
        <v>260</v>
      </c>
      <c r="AC311" s="14">
        <v>100</v>
      </c>
      <c r="AD311" s="14">
        <v>43</v>
      </c>
      <c r="AE311" s="14">
        <v>1728</v>
      </c>
      <c r="AF311" s="14">
        <v>5000</v>
      </c>
      <c r="AG311" s="14">
        <v>2421</v>
      </c>
      <c r="AH311" s="14">
        <v>0</v>
      </c>
      <c r="AI311" s="14">
        <v>57</v>
      </c>
      <c r="AJ311" s="14">
        <v>141</v>
      </c>
      <c r="AK311" s="14" t="s">
        <v>6311</v>
      </c>
      <c r="AL311" s="14" t="s">
        <v>6315</v>
      </c>
      <c r="AM311" s="14">
        <v>230.38</v>
      </c>
      <c r="AN311" s="14">
        <v>184.55</v>
      </c>
      <c r="AO311" s="14">
        <v>155.72</v>
      </c>
      <c r="AP311" s="14">
        <v>19333</v>
      </c>
      <c r="AQ311" s="14">
        <v>19283</v>
      </c>
      <c r="AR311" s="14">
        <v>23000</v>
      </c>
      <c r="AS311" s="14">
        <v>17605</v>
      </c>
      <c r="AT311" s="14">
        <v>18567</v>
      </c>
      <c r="AU311" s="14">
        <v>1</v>
      </c>
      <c r="AV311" s="14">
        <v>277.07</v>
      </c>
      <c r="AW311" s="14">
        <v>24.52</v>
      </c>
      <c r="AX311" s="14">
        <v>4.5599999999999996</v>
      </c>
      <c r="AY311" s="14" t="b">
        <v>0</v>
      </c>
    </row>
    <row r="312" spans="1:51" hidden="1" x14ac:dyDescent="0.3">
      <c r="A312" t="str">
        <f>CONCATENATE(I312,E312,LEFT(G312,10))</f>
        <v>HFA603LLHA2026-01-31</v>
      </c>
      <c r="B312" s="14" t="s">
        <v>2372</v>
      </c>
      <c r="C312" s="14" t="s">
        <v>336</v>
      </c>
      <c r="D312" s="14" t="s">
        <v>337</v>
      </c>
      <c r="E312" s="14" t="s">
        <v>43</v>
      </c>
      <c r="F312" s="14" t="s">
        <v>59</v>
      </c>
      <c r="G312" s="14" t="s">
        <v>2373</v>
      </c>
      <c r="H312" s="14" t="s">
        <v>339</v>
      </c>
      <c r="I312" s="14" t="s">
        <v>72</v>
      </c>
      <c r="J312" s="14" t="s">
        <v>83</v>
      </c>
      <c r="K312" s="14" t="s">
        <v>349</v>
      </c>
      <c r="L312" s="14" t="s">
        <v>341</v>
      </c>
      <c r="M312" s="16" t="s">
        <v>2374</v>
      </c>
      <c r="N312" s="14"/>
      <c r="O312" s="14" t="s">
        <v>1187</v>
      </c>
      <c r="P312" s="14">
        <v>50</v>
      </c>
      <c r="Q312" s="14">
        <v>2</v>
      </c>
      <c r="R312" s="14">
        <v>3700</v>
      </c>
      <c r="S312" s="14" t="s">
        <v>2375</v>
      </c>
      <c r="T312" s="14" t="s">
        <v>2376</v>
      </c>
      <c r="U312" s="14">
        <v>0.88333333333333297</v>
      </c>
      <c r="V312" s="14">
        <v>1.0116666666666601</v>
      </c>
      <c r="W312" s="14">
        <v>763</v>
      </c>
      <c r="X312" s="14">
        <v>50</v>
      </c>
      <c r="Y312" s="14">
        <v>713</v>
      </c>
      <c r="Z312" s="14">
        <v>938</v>
      </c>
      <c r="AA312" s="14">
        <v>540</v>
      </c>
      <c r="AB312" s="14">
        <v>255</v>
      </c>
      <c r="AC312" s="14">
        <v>100</v>
      </c>
      <c r="AD312" s="14">
        <v>42</v>
      </c>
      <c r="AE312" s="14">
        <v>1701</v>
      </c>
      <c r="AF312" s="14">
        <v>5000</v>
      </c>
      <c r="AG312" s="14">
        <v>2412</v>
      </c>
      <c r="AH312" s="14">
        <v>0</v>
      </c>
      <c r="AI312" s="14">
        <v>57</v>
      </c>
      <c r="AJ312" s="14">
        <v>140</v>
      </c>
      <c r="AK312" s="14" t="s">
        <v>2373</v>
      </c>
      <c r="AL312" s="14" t="s">
        <v>2377</v>
      </c>
      <c r="AM312" s="14">
        <v>230.38</v>
      </c>
      <c r="AN312" s="14">
        <v>184.55</v>
      </c>
      <c r="AO312" s="14">
        <v>155.72</v>
      </c>
      <c r="AP312" s="14">
        <v>18726</v>
      </c>
      <c r="AQ312" s="14">
        <v>18676</v>
      </c>
      <c r="AR312" s="14">
        <v>23000</v>
      </c>
      <c r="AS312" s="14">
        <v>17025</v>
      </c>
      <c r="AT312" s="14">
        <v>17963</v>
      </c>
      <c r="AU312" s="14">
        <v>-4</v>
      </c>
      <c r="AV312" s="14">
        <v>264.20999999999998</v>
      </c>
      <c r="AW312" s="14">
        <v>31.6</v>
      </c>
      <c r="AX312" s="14">
        <v>6.71</v>
      </c>
      <c r="AY312" s="14" t="b">
        <v>0</v>
      </c>
    </row>
    <row r="313" spans="1:51" hidden="1" x14ac:dyDescent="0.3">
      <c r="A313" t="str">
        <f>CONCATENATE(I313,E313,LEFT(G313,10))</f>
        <v>HFA603LLHA2026-02-01</v>
      </c>
      <c r="B313" s="14" t="s">
        <v>2001</v>
      </c>
      <c r="C313" s="14" t="s">
        <v>336</v>
      </c>
      <c r="D313" s="14" t="s">
        <v>337</v>
      </c>
      <c r="E313" s="14" t="s">
        <v>43</v>
      </c>
      <c r="F313" s="14" t="s">
        <v>59</v>
      </c>
      <c r="G313" s="14" t="s">
        <v>2002</v>
      </c>
      <c r="H313" s="14" t="s">
        <v>339</v>
      </c>
      <c r="I313" s="14" t="s">
        <v>72</v>
      </c>
      <c r="J313" s="14" t="s">
        <v>83</v>
      </c>
      <c r="K313" s="14" t="s">
        <v>349</v>
      </c>
      <c r="L313" s="14" t="s">
        <v>341</v>
      </c>
      <c r="M313" s="16" t="s">
        <v>2003</v>
      </c>
      <c r="N313" s="14"/>
      <c r="O313" s="14" t="s">
        <v>1187</v>
      </c>
      <c r="P313" s="14">
        <v>50</v>
      </c>
      <c r="Q313" s="14">
        <v>2</v>
      </c>
      <c r="R313" s="14">
        <v>7200</v>
      </c>
      <c r="S313" s="14" t="s">
        <v>2004</v>
      </c>
      <c r="T313" s="14" t="s">
        <v>2005</v>
      </c>
      <c r="U313" s="14">
        <v>0.93444444444444397</v>
      </c>
      <c r="V313" s="14">
        <v>1.0902777777777699</v>
      </c>
      <c r="W313" s="14">
        <v>801</v>
      </c>
      <c r="X313" s="14">
        <v>50</v>
      </c>
      <c r="Y313" s="14">
        <v>751</v>
      </c>
      <c r="Z313" s="14">
        <v>975</v>
      </c>
      <c r="AA313" s="14">
        <v>541</v>
      </c>
      <c r="AB313" s="14">
        <v>287</v>
      </c>
      <c r="AC313" s="14">
        <v>100</v>
      </c>
      <c r="AD313" s="14">
        <v>48</v>
      </c>
      <c r="AE313" s="14">
        <v>1776</v>
      </c>
      <c r="AF313" s="14">
        <v>5000</v>
      </c>
      <c r="AG313" s="14">
        <v>2530</v>
      </c>
      <c r="AH313" s="14">
        <v>0</v>
      </c>
      <c r="AI313" s="14">
        <v>60</v>
      </c>
      <c r="AJ313" s="14">
        <v>143</v>
      </c>
      <c r="AK313" s="14" t="s">
        <v>2002</v>
      </c>
      <c r="AL313" s="14" t="s">
        <v>2006</v>
      </c>
      <c r="AM313" s="14">
        <v>230.38</v>
      </c>
      <c r="AN313" s="14">
        <v>184.55</v>
      </c>
      <c r="AO313" s="14">
        <v>155.72</v>
      </c>
      <c r="AP313" s="14">
        <v>22301</v>
      </c>
      <c r="AQ313" s="14">
        <v>22251</v>
      </c>
      <c r="AR313" s="14">
        <v>23000</v>
      </c>
      <c r="AS313" s="14">
        <v>20525</v>
      </c>
      <c r="AT313" s="14">
        <v>21500</v>
      </c>
      <c r="AU313" s="14">
        <v>-12</v>
      </c>
      <c r="AV313" s="14">
        <v>236.27</v>
      </c>
      <c r="AW313" s="14">
        <v>23.9</v>
      </c>
      <c r="AX313" s="14">
        <v>7.76</v>
      </c>
      <c r="AY313" s="14" t="b">
        <v>0</v>
      </c>
    </row>
    <row r="314" spans="1:51" hidden="1" x14ac:dyDescent="0.3">
      <c r="A314" t="str">
        <f>CONCATENATE(I314,E314,LEFT(G314,10))</f>
        <v>HFA603LLHA2026-02-05</v>
      </c>
      <c r="B314" s="14" t="s">
        <v>4660</v>
      </c>
      <c r="C314" s="14" t="s">
        <v>336</v>
      </c>
      <c r="D314" s="14" t="s">
        <v>337</v>
      </c>
      <c r="E314" s="14" t="s">
        <v>43</v>
      </c>
      <c r="F314" s="14" t="s">
        <v>59</v>
      </c>
      <c r="G314" s="14" t="s">
        <v>4661</v>
      </c>
      <c r="H314" s="14" t="s">
        <v>393</v>
      </c>
      <c r="I314" s="14" t="s">
        <v>72</v>
      </c>
      <c r="J314" s="14" t="s">
        <v>83</v>
      </c>
      <c r="K314" s="14" t="s">
        <v>349</v>
      </c>
      <c r="L314" s="14" t="s">
        <v>341</v>
      </c>
      <c r="M314" s="16" t="s">
        <v>4662</v>
      </c>
      <c r="N314" s="14"/>
      <c r="O314" s="14" t="s">
        <v>387</v>
      </c>
      <c r="P314" s="14">
        <v>50</v>
      </c>
      <c r="Q314" s="14">
        <v>2</v>
      </c>
      <c r="R314" s="14">
        <v>4000</v>
      </c>
      <c r="S314" s="14" t="s">
        <v>4663</v>
      </c>
      <c r="T314" s="14" t="s">
        <v>4664</v>
      </c>
      <c r="U314" s="14">
        <v>0.97138888888888797</v>
      </c>
      <c r="V314" s="14">
        <v>1.1130555555555499</v>
      </c>
      <c r="W314" s="14">
        <v>854</v>
      </c>
      <c r="X314" s="14">
        <v>50</v>
      </c>
      <c r="Y314" s="14">
        <v>804</v>
      </c>
      <c r="Z314" s="14">
        <v>1066</v>
      </c>
      <c r="AA314" s="14">
        <v>554</v>
      </c>
      <c r="AB314" s="14">
        <v>258</v>
      </c>
      <c r="AC314" s="14">
        <v>210</v>
      </c>
      <c r="AD314" s="14">
        <v>43</v>
      </c>
      <c r="AE314" s="14">
        <v>1920</v>
      </c>
      <c r="AF314" s="14">
        <v>5000</v>
      </c>
      <c r="AG314" s="14">
        <v>2699</v>
      </c>
      <c r="AH314" s="14">
        <v>0</v>
      </c>
      <c r="AI314" s="14">
        <v>58</v>
      </c>
      <c r="AJ314" s="14">
        <v>148</v>
      </c>
      <c r="AK314" s="14" t="s">
        <v>4661</v>
      </c>
      <c r="AL314" s="14" t="s">
        <v>4665</v>
      </c>
      <c r="AM314" s="14">
        <v>230.38</v>
      </c>
      <c r="AN314" s="14">
        <v>184.55</v>
      </c>
      <c r="AO314" s="14">
        <v>155.72</v>
      </c>
      <c r="AP314" s="14">
        <v>19231</v>
      </c>
      <c r="AQ314" s="14">
        <v>19181</v>
      </c>
      <c r="AR314" s="14">
        <v>23000</v>
      </c>
      <c r="AS314" s="14">
        <v>17311</v>
      </c>
      <c r="AT314" s="14">
        <v>18377</v>
      </c>
      <c r="AU314" s="14">
        <v>-5</v>
      </c>
      <c r="AV314" s="14">
        <v>241.31</v>
      </c>
      <c r="AW314" s="14">
        <v>11.78</v>
      </c>
      <c r="AX314" s="14">
        <v>6.39</v>
      </c>
      <c r="AY314" s="14" t="b">
        <v>0</v>
      </c>
    </row>
    <row r="315" spans="1:51" hidden="1" x14ac:dyDescent="0.3">
      <c r="A315" t="str">
        <f>CONCATENATE(I315,E315,LEFT(G315,10))</f>
        <v>HFA603LLHA2026-02-07</v>
      </c>
      <c r="B315" s="14" t="s">
        <v>4901</v>
      </c>
      <c r="C315" s="14" t="s">
        <v>336</v>
      </c>
      <c r="D315" s="14" t="s">
        <v>337</v>
      </c>
      <c r="E315" s="14" t="s">
        <v>43</v>
      </c>
      <c r="F315" s="14" t="s">
        <v>59</v>
      </c>
      <c r="G315" s="14" t="s">
        <v>4902</v>
      </c>
      <c r="H315" s="14" t="s">
        <v>339</v>
      </c>
      <c r="I315" s="14" t="s">
        <v>72</v>
      </c>
      <c r="J315" s="14" t="s">
        <v>83</v>
      </c>
      <c r="K315" s="14" t="s">
        <v>349</v>
      </c>
      <c r="L315" s="14" t="s">
        <v>341</v>
      </c>
      <c r="M315" s="16" t="s">
        <v>4903</v>
      </c>
      <c r="N315" s="14"/>
      <c r="O315" s="14" t="s">
        <v>458</v>
      </c>
      <c r="P315" s="14">
        <v>50</v>
      </c>
      <c r="Q315" s="14">
        <v>2</v>
      </c>
      <c r="R315" s="14">
        <v>4900</v>
      </c>
      <c r="S315" s="14" t="s">
        <v>4904</v>
      </c>
      <c r="T315" s="14" t="s">
        <v>4905</v>
      </c>
      <c r="U315" s="14">
        <v>0.88083333333333302</v>
      </c>
      <c r="V315" s="14">
        <v>1.0563888888888799</v>
      </c>
      <c r="W315" s="14">
        <v>745</v>
      </c>
      <c r="X315" s="14">
        <v>50</v>
      </c>
      <c r="Y315" s="14">
        <v>695</v>
      </c>
      <c r="Z315" s="14">
        <v>979</v>
      </c>
      <c r="AA315" s="14">
        <v>569</v>
      </c>
      <c r="AB315" s="14">
        <v>265</v>
      </c>
      <c r="AC315" s="14">
        <v>100</v>
      </c>
      <c r="AD315" s="14">
        <v>44</v>
      </c>
      <c r="AE315" s="14">
        <v>1723</v>
      </c>
      <c r="AF315" s="14">
        <v>5000</v>
      </c>
      <c r="AG315" s="14">
        <v>2353</v>
      </c>
      <c r="AH315" s="14">
        <v>0</v>
      </c>
      <c r="AI315" s="14">
        <v>56</v>
      </c>
      <c r="AJ315" s="14">
        <v>141</v>
      </c>
      <c r="AK315" s="14" t="s">
        <v>4902</v>
      </c>
      <c r="AL315" s="14" t="s">
        <v>4906</v>
      </c>
      <c r="AM315" s="14">
        <v>230.38</v>
      </c>
      <c r="AN315" s="14">
        <v>184.55</v>
      </c>
      <c r="AO315" s="14">
        <v>155.72</v>
      </c>
      <c r="AP315" s="14">
        <v>19948</v>
      </c>
      <c r="AQ315" s="14">
        <v>19898</v>
      </c>
      <c r="AR315" s="14">
        <v>23000</v>
      </c>
      <c r="AS315" s="14">
        <v>18225</v>
      </c>
      <c r="AT315" s="14">
        <v>19204</v>
      </c>
      <c r="AU315" s="14">
        <v>5</v>
      </c>
      <c r="AV315" s="14">
        <v>283.62</v>
      </c>
      <c r="AW315" s="14">
        <v>37.93</v>
      </c>
      <c r="AX315" s="14">
        <v>7.43</v>
      </c>
      <c r="AY315" s="14" t="b">
        <v>0</v>
      </c>
    </row>
    <row r="316" spans="1:51" hidden="1" x14ac:dyDescent="0.3">
      <c r="A316" t="str">
        <f>CONCATENATE(I316,E316,LEFT(G316,10))</f>
        <v>HFA603LLHA2026-02-08</v>
      </c>
      <c r="B316" s="14" t="s">
        <v>414</v>
      </c>
      <c r="C316" s="14" t="s">
        <v>336</v>
      </c>
      <c r="D316" s="14" t="s">
        <v>337</v>
      </c>
      <c r="E316" s="14" t="s">
        <v>43</v>
      </c>
      <c r="F316" s="14" t="s">
        <v>59</v>
      </c>
      <c r="G316" s="14" t="s">
        <v>415</v>
      </c>
      <c r="H316" s="14" t="s">
        <v>393</v>
      </c>
      <c r="I316" s="14" t="s">
        <v>72</v>
      </c>
      <c r="J316" s="14" t="s">
        <v>83</v>
      </c>
      <c r="K316" s="14" t="s">
        <v>349</v>
      </c>
      <c r="L316" s="14" t="s">
        <v>341</v>
      </c>
      <c r="M316" s="16" t="s">
        <v>416</v>
      </c>
      <c r="N316" s="14"/>
      <c r="O316" s="14" t="s">
        <v>387</v>
      </c>
      <c r="P316" s="14">
        <v>50</v>
      </c>
      <c r="Q316" s="14">
        <v>2</v>
      </c>
      <c r="R316" s="14">
        <v>6600</v>
      </c>
      <c r="S316" s="14" t="s">
        <v>417</v>
      </c>
      <c r="T316" s="14" t="s">
        <v>418</v>
      </c>
      <c r="U316" s="14">
        <v>0.92416666666666603</v>
      </c>
      <c r="V316" s="14">
        <v>1.0688888888888799</v>
      </c>
      <c r="W316" s="14">
        <v>843</v>
      </c>
      <c r="X316" s="14">
        <v>50</v>
      </c>
      <c r="Y316" s="14">
        <v>793</v>
      </c>
      <c r="Z316" s="14">
        <v>1023</v>
      </c>
      <c r="AA316" s="14">
        <v>595</v>
      </c>
      <c r="AB316" s="14">
        <v>281</v>
      </c>
      <c r="AC316" s="14">
        <v>100</v>
      </c>
      <c r="AD316" s="14">
        <v>47</v>
      </c>
      <c r="AE316" s="14">
        <v>1866</v>
      </c>
      <c r="AF316" s="14">
        <v>5000</v>
      </c>
      <c r="AG316" s="14">
        <v>2662</v>
      </c>
      <c r="AH316" s="14">
        <v>0</v>
      </c>
      <c r="AI316" s="14">
        <v>57</v>
      </c>
      <c r="AJ316" s="14">
        <v>142</v>
      </c>
      <c r="AK316" s="14" t="s">
        <v>415</v>
      </c>
      <c r="AL316" s="14" t="s">
        <v>419</v>
      </c>
      <c r="AM316" s="14">
        <v>230.38</v>
      </c>
      <c r="AN316" s="14">
        <v>184.55</v>
      </c>
      <c r="AO316" s="14">
        <v>155.72</v>
      </c>
      <c r="AP316" s="14">
        <v>21777</v>
      </c>
      <c r="AQ316" s="14">
        <v>21727</v>
      </c>
      <c r="AR316" s="14">
        <v>23000</v>
      </c>
      <c r="AS316" s="14">
        <v>19911</v>
      </c>
      <c r="AT316" s="14">
        <v>20934</v>
      </c>
      <c r="AU316" s="14">
        <v>1</v>
      </c>
      <c r="AV316" s="14">
        <v>275.02999999999997</v>
      </c>
      <c r="AW316" s="14">
        <v>35.82</v>
      </c>
      <c r="AX316" s="14">
        <v>8.42</v>
      </c>
      <c r="AY316" s="14" t="b">
        <v>0</v>
      </c>
    </row>
    <row r="317" spans="1:51" hidden="1" x14ac:dyDescent="0.3">
      <c r="A317" t="str">
        <f>CONCATENATE(I317,E317,LEFT(G317,10))</f>
        <v>HFA603LLHA2026-02-12</v>
      </c>
      <c r="B317" s="14" t="s">
        <v>560</v>
      </c>
      <c r="C317" s="14" t="s">
        <v>336</v>
      </c>
      <c r="D317" s="14" t="s">
        <v>337</v>
      </c>
      <c r="E317" s="14" t="s">
        <v>43</v>
      </c>
      <c r="F317" s="14" t="s">
        <v>59</v>
      </c>
      <c r="G317" s="14" t="s">
        <v>561</v>
      </c>
      <c r="H317" s="14" t="s">
        <v>393</v>
      </c>
      <c r="I317" s="14" t="s">
        <v>72</v>
      </c>
      <c r="J317" s="14" t="s">
        <v>83</v>
      </c>
      <c r="K317" s="14" t="s">
        <v>349</v>
      </c>
      <c r="L317" s="14" t="s">
        <v>341</v>
      </c>
      <c r="M317" s="16" t="s">
        <v>562</v>
      </c>
      <c r="N317" s="14"/>
      <c r="O317" s="14" t="s">
        <v>563</v>
      </c>
      <c r="P317" s="14">
        <v>50</v>
      </c>
      <c r="Q317" s="14">
        <v>2</v>
      </c>
      <c r="R317" s="14">
        <v>6200</v>
      </c>
      <c r="S317" s="14" t="s">
        <v>564</v>
      </c>
      <c r="T317" s="14" t="s">
        <v>565</v>
      </c>
      <c r="U317" s="14">
        <v>0.96833333333333305</v>
      </c>
      <c r="V317" s="14">
        <v>1.1397222222222201</v>
      </c>
      <c r="W317" s="14">
        <v>890</v>
      </c>
      <c r="X317" s="14">
        <v>50</v>
      </c>
      <c r="Y317" s="14">
        <v>840</v>
      </c>
      <c r="Z317" s="14">
        <v>1210</v>
      </c>
      <c r="AA317" s="14">
        <v>563</v>
      </c>
      <c r="AB317" s="14">
        <v>279</v>
      </c>
      <c r="AC317" s="14">
        <v>321</v>
      </c>
      <c r="AD317" s="14">
        <v>47</v>
      </c>
      <c r="AE317" s="14">
        <v>2100</v>
      </c>
      <c r="AF317" s="14">
        <v>5000</v>
      </c>
      <c r="AG317" s="14">
        <v>2813</v>
      </c>
      <c r="AH317" s="14">
        <v>0</v>
      </c>
      <c r="AI317" s="14">
        <v>60</v>
      </c>
      <c r="AJ317" s="14">
        <v>158</v>
      </c>
      <c r="AK317" s="14" t="s">
        <v>561</v>
      </c>
      <c r="AL317" s="14" t="s">
        <v>566</v>
      </c>
      <c r="AM317" s="14">
        <v>230.38</v>
      </c>
      <c r="AN317" s="14">
        <v>184.55</v>
      </c>
      <c r="AO317" s="14">
        <v>155.72</v>
      </c>
      <c r="AP317" s="14">
        <v>21611</v>
      </c>
      <c r="AQ317" s="14">
        <v>21561</v>
      </c>
      <c r="AR317" s="14">
        <v>23000</v>
      </c>
      <c r="AS317" s="14">
        <v>19511</v>
      </c>
      <c r="AT317" s="14">
        <v>20721</v>
      </c>
      <c r="AU317" s="14">
        <v>-12</v>
      </c>
      <c r="AV317" s="14">
        <v>242.3</v>
      </c>
      <c r="AW317" s="14">
        <v>28.16</v>
      </c>
      <c r="AX317" s="14">
        <v>5.47</v>
      </c>
      <c r="AY317" s="14" t="b">
        <v>0</v>
      </c>
    </row>
    <row r="318" spans="1:51" hidden="1" x14ac:dyDescent="0.3">
      <c r="A318" t="str">
        <f>CONCATENATE(I318,E318,LEFT(G318,10))</f>
        <v>HFA603LLHA2026-02-14</v>
      </c>
      <c r="B318" s="14" t="s">
        <v>4285</v>
      </c>
      <c r="C318" s="14" t="s">
        <v>336</v>
      </c>
      <c r="D318" s="14" t="s">
        <v>337</v>
      </c>
      <c r="E318" s="14" t="s">
        <v>43</v>
      </c>
      <c r="F318" s="14" t="s">
        <v>59</v>
      </c>
      <c r="G318" s="14" t="s">
        <v>4286</v>
      </c>
      <c r="H318" s="14" t="s">
        <v>339</v>
      </c>
      <c r="I318" s="14" t="s">
        <v>72</v>
      </c>
      <c r="J318" s="14" t="s">
        <v>83</v>
      </c>
      <c r="K318" s="14" t="s">
        <v>349</v>
      </c>
      <c r="L318" s="14" t="s">
        <v>341</v>
      </c>
      <c r="M318" s="16" t="s">
        <v>4287</v>
      </c>
      <c r="N318" s="14"/>
      <c r="O318" s="14" t="s">
        <v>387</v>
      </c>
      <c r="P318" s="14">
        <v>50</v>
      </c>
      <c r="Q318" s="14">
        <v>2</v>
      </c>
      <c r="R318" s="14">
        <v>3800</v>
      </c>
      <c r="S318" s="14" t="s">
        <v>4288</v>
      </c>
      <c r="T318" s="14" t="s">
        <v>4289</v>
      </c>
      <c r="U318" s="14">
        <v>0.80472222222222201</v>
      </c>
      <c r="V318" s="14">
        <v>0.96222222222222198</v>
      </c>
      <c r="W318" s="14">
        <v>731</v>
      </c>
      <c r="X318" s="14">
        <v>50</v>
      </c>
      <c r="Y318" s="14">
        <v>681</v>
      </c>
      <c r="Z318" s="14">
        <v>1209</v>
      </c>
      <c r="AA318" s="14">
        <v>567</v>
      </c>
      <c r="AB318" s="14">
        <v>258</v>
      </c>
      <c r="AC318" s="14">
        <v>340</v>
      </c>
      <c r="AD318" s="14">
        <v>43</v>
      </c>
      <c r="AE318" s="14">
        <v>1940</v>
      </c>
      <c r="AF318" s="14">
        <v>5000</v>
      </c>
      <c r="AG318" s="14">
        <v>2310</v>
      </c>
      <c r="AH318" s="14">
        <v>0</v>
      </c>
      <c r="AI318" s="14">
        <v>56</v>
      </c>
      <c r="AJ318" s="14">
        <v>162</v>
      </c>
      <c r="AK318" s="14" t="s">
        <v>4286</v>
      </c>
      <c r="AL318" s="14" t="s">
        <v>4290</v>
      </c>
      <c r="AM318" s="14">
        <v>230.38</v>
      </c>
      <c r="AN318" s="14">
        <v>184.55</v>
      </c>
      <c r="AO318" s="14">
        <v>155.72</v>
      </c>
      <c r="AP318" s="14">
        <v>19065</v>
      </c>
      <c r="AQ318" s="14">
        <v>19015</v>
      </c>
      <c r="AR318" s="14">
        <v>23000</v>
      </c>
      <c r="AS318" s="14">
        <v>17125</v>
      </c>
      <c r="AT318" s="14">
        <v>18334</v>
      </c>
      <c r="AU318" s="14">
        <v>8</v>
      </c>
      <c r="AV318" s="14">
        <v>295.02999999999997</v>
      </c>
      <c r="AW318" s="14">
        <v>30.95</v>
      </c>
      <c r="AX318" s="14">
        <v>8.0299999999999994</v>
      </c>
      <c r="AY318" s="14" t="b">
        <v>0</v>
      </c>
    </row>
    <row r="319" spans="1:51" hidden="1" x14ac:dyDescent="0.3">
      <c r="A319" t="str">
        <f>CONCATENATE(I319,E319,LEFT(G319,10))</f>
        <v>HFA603LLHA2026-02-15</v>
      </c>
      <c r="B319" s="14" t="s">
        <v>4221</v>
      </c>
      <c r="C319" s="14" t="s">
        <v>336</v>
      </c>
      <c r="D319" s="14" t="s">
        <v>337</v>
      </c>
      <c r="E319" s="14" t="s">
        <v>43</v>
      </c>
      <c r="F319" s="14" t="s">
        <v>59</v>
      </c>
      <c r="G319" s="14" t="s">
        <v>4222</v>
      </c>
      <c r="H319" s="14" t="s">
        <v>393</v>
      </c>
      <c r="I319" s="14" t="s">
        <v>72</v>
      </c>
      <c r="J319" s="14" t="s">
        <v>83</v>
      </c>
      <c r="K319" s="14" t="s">
        <v>349</v>
      </c>
      <c r="L319" s="14" t="s">
        <v>341</v>
      </c>
      <c r="M319" s="16" t="s">
        <v>4223</v>
      </c>
      <c r="N319" s="14"/>
      <c r="O319" s="14" t="s">
        <v>387</v>
      </c>
      <c r="P319" s="14">
        <v>50</v>
      </c>
      <c r="Q319" s="14">
        <v>2</v>
      </c>
      <c r="R319" s="14">
        <v>6400</v>
      </c>
      <c r="S319" s="14" t="s">
        <v>4224</v>
      </c>
      <c r="T319" s="14" t="s">
        <v>4225</v>
      </c>
      <c r="U319" s="14">
        <v>1.0449999999999999</v>
      </c>
      <c r="V319" s="14">
        <v>1.15611111111111</v>
      </c>
      <c r="W319" s="14">
        <v>842</v>
      </c>
      <c r="X319" s="14">
        <v>50</v>
      </c>
      <c r="Y319" s="14">
        <v>792</v>
      </c>
      <c r="Z319" s="14">
        <v>991</v>
      </c>
      <c r="AA319" s="14">
        <v>565</v>
      </c>
      <c r="AB319" s="14">
        <v>279</v>
      </c>
      <c r="AC319" s="14">
        <v>100</v>
      </c>
      <c r="AD319" s="14">
        <v>46</v>
      </c>
      <c r="AE319" s="14">
        <v>1832</v>
      </c>
      <c r="AF319" s="14">
        <v>5000</v>
      </c>
      <c r="AG319" s="14">
        <v>2660</v>
      </c>
      <c r="AH319" s="14">
        <v>0</v>
      </c>
      <c r="AI319" s="14">
        <v>58</v>
      </c>
      <c r="AJ319" s="14">
        <v>142</v>
      </c>
      <c r="AK319" s="14" t="s">
        <v>4222</v>
      </c>
      <c r="AL319" s="14" t="s">
        <v>4226</v>
      </c>
      <c r="AM319" s="14">
        <v>230.38</v>
      </c>
      <c r="AN319" s="14">
        <v>184.55</v>
      </c>
      <c r="AO319" s="14">
        <v>155.72</v>
      </c>
      <c r="AP319" s="14">
        <v>21543</v>
      </c>
      <c r="AQ319" s="14">
        <v>21493</v>
      </c>
      <c r="AR319" s="14">
        <v>23000</v>
      </c>
      <c r="AS319" s="14">
        <v>19711</v>
      </c>
      <c r="AT319" s="14">
        <v>20702</v>
      </c>
      <c r="AU319" s="14">
        <v>-3</v>
      </c>
      <c r="AV319" s="14">
        <v>255.98</v>
      </c>
      <c r="AW319" s="14">
        <v>9.5399999999999991</v>
      </c>
      <c r="AX319" s="14">
        <v>11.54</v>
      </c>
      <c r="AY319" s="14" t="b">
        <v>0</v>
      </c>
    </row>
    <row r="320" spans="1:51" hidden="1" x14ac:dyDescent="0.3">
      <c r="A320" t="str">
        <f>CONCATENATE(I320,E320,LEFT(G320,10))</f>
        <v>HFA603LLHA2026-02-19</v>
      </c>
      <c r="B320" s="14" t="s">
        <v>3948</v>
      </c>
      <c r="C320" s="14" t="s">
        <v>336</v>
      </c>
      <c r="D320" s="14" t="s">
        <v>337</v>
      </c>
      <c r="E320" s="14" t="s">
        <v>43</v>
      </c>
      <c r="F320" s="14" t="s">
        <v>59</v>
      </c>
      <c r="G320" s="14" t="s">
        <v>3949</v>
      </c>
      <c r="H320" s="14" t="s">
        <v>339</v>
      </c>
      <c r="I320" s="14" t="s">
        <v>72</v>
      </c>
      <c r="J320" s="14" t="s">
        <v>83</v>
      </c>
      <c r="K320" s="14" t="s">
        <v>349</v>
      </c>
      <c r="L320" s="14" t="s">
        <v>341</v>
      </c>
      <c r="M320" s="16" t="s">
        <v>3950</v>
      </c>
      <c r="N320" s="14"/>
      <c r="O320" s="14" t="s">
        <v>3951</v>
      </c>
      <c r="P320" s="14">
        <v>50</v>
      </c>
      <c r="Q320" s="14">
        <v>2</v>
      </c>
      <c r="R320" s="14">
        <v>4700</v>
      </c>
      <c r="S320" s="14" t="s">
        <v>3952</v>
      </c>
      <c r="T320" s="14" t="s">
        <v>3953</v>
      </c>
      <c r="U320" s="14">
        <v>0.92388888888888798</v>
      </c>
      <c r="V320" s="14">
        <v>1.06083333333333</v>
      </c>
      <c r="W320" s="14">
        <v>766</v>
      </c>
      <c r="X320" s="14">
        <v>50</v>
      </c>
      <c r="Y320" s="14">
        <v>716</v>
      </c>
      <c r="Z320" s="14">
        <v>954</v>
      </c>
      <c r="AA320" s="14">
        <v>547</v>
      </c>
      <c r="AB320" s="14">
        <v>263</v>
      </c>
      <c r="AC320" s="14">
        <v>100</v>
      </c>
      <c r="AD320" s="14">
        <v>44</v>
      </c>
      <c r="AE320" s="14">
        <v>1720</v>
      </c>
      <c r="AF320" s="14">
        <v>5000</v>
      </c>
      <c r="AG320" s="14">
        <v>2420</v>
      </c>
      <c r="AH320" s="14">
        <v>0</v>
      </c>
      <c r="AI320" s="14">
        <v>58</v>
      </c>
      <c r="AJ320" s="14">
        <v>141</v>
      </c>
      <c r="AK320" s="14" t="s">
        <v>3949</v>
      </c>
      <c r="AL320" s="14" t="s">
        <v>3954</v>
      </c>
      <c r="AM320" s="14">
        <v>230.38</v>
      </c>
      <c r="AN320" s="14">
        <v>184.55</v>
      </c>
      <c r="AO320" s="14">
        <v>155.72</v>
      </c>
      <c r="AP320" s="14">
        <v>19745</v>
      </c>
      <c r="AQ320" s="14">
        <v>19695</v>
      </c>
      <c r="AR320" s="14">
        <v>23000</v>
      </c>
      <c r="AS320" s="14">
        <v>18025</v>
      </c>
      <c r="AT320" s="14">
        <v>18979</v>
      </c>
      <c r="AU320" s="14">
        <v>-2</v>
      </c>
      <c r="AV320" s="14">
        <v>271.86</v>
      </c>
      <c r="AW320" s="14">
        <v>17.53</v>
      </c>
      <c r="AX320" s="14">
        <v>5.34</v>
      </c>
      <c r="AY320" s="14" t="b">
        <v>0</v>
      </c>
    </row>
    <row r="321" spans="1:51" hidden="1" x14ac:dyDescent="0.3">
      <c r="A321" t="str">
        <f>CONCATENATE(I321,E321,LEFT(G321,10))</f>
        <v>HFA603LLHA2026-02-21</v>
      </c>
      <c r="B321" s="14" t="s">
        <v>3835</v>
      </c>
      <c r="C321" s="14" t="s">
        <v>336</v>
      </c>
      <c r="D321" s="14" t="s">
        <v>337</v>
      </c>
      <c r="E321" s="14" t="s">
        <v>43</v>
      </c>
      <c r="F321" s="14" t="s">
        <v>59</v>
      </c>
      <c r="G321" s="14" t="s">
        <v>3836</v>
      </c>
      <c r="H321" s="14" t="s">
        <v>339</v>
      </c>
      <c r="I321" s="14" t="s">
        <v>72</v>
      </c>
      <c r="J321" s="14" t="s">
        <v>83</v>
      </c>
      <c r="K321" s="14" t="s">
        <v>349</v>
      </c>
      <c r="L321" s="14" t="s">
        <v>341</v>
      </c>
      <c r="M321" s="16" t="s">
        <v>3837</v>
      </c>
      <c r="N321" s="14"/>
      <c r="O321" s="14" t="s">
        <v>387</v>
      </c>
      <c r="P321" s="14">
        <v>50</v>
      </c>
      <c r="Q321" s="14">
        <v>2</v>
      </c>
      <c r="R321" s="14">
        <v>5200</v>
      </c>
      <c r="S321" s="14" t="s">
        <v>3838</v>
      </c>
      <c r="T321" s="14" t="s">
        <v>3839</v>
      </c>
      <c r="U321" s="14">
        <v>1.0125</v>
      </c>
      <c r="V321" s="14">
        <v>1.20194444444444</v>
      </c>
      <c r="W321" s="14">
        <v>809</v>
      </c>
      <c r="X321" s="14">
        <v>50</v>
      </c>
      <c r="Y321" s="14">
        <v>759</v>
      </c>
      <c r="Z321" s="14">
        <v>928</v>
      </c>
      <c r="AA321" s="14">
        <v>516</v>
      </c>
      <c r="AB321" s="14">
        <v>267</v>
      </c>
      <c r="AC321" s="14">
        <v>100</v>
      </c>
      <c r="AD321" s="14">
        <v>45</v>
      </c>
      <c r="AE321" s="14">
        <v>1737</v>
      </c>
      <c r="AF321" s="14">
        <v>5000</v>
      </c>
      <c r="AG321" s="14">
        <v>2558</v>
      </c>
      <c r="AH321" s="14">
        <v>0</v>
      </c>
      <c r="AI321" s="14">
        <v>61</v>
      </c>
      <c r="AJ321" s="14">
        <v>142</v>
      </c>
      <c r="AK321" s="14" t="s">
        <v>3836</v>
      </c>
      <c r="AL321" s="14" t="s">
        <v>3840</v>
      </c>
      <c r="AM321" s="14">
        <v>230.38</v>
      </c>
      <c r="AN321" s="14">
        <v>184.55</v>
      </c>
      <c r="AO321" s="14">
        <v>155.72</v>
      </c>
      <c r="AP321" s="14">
        <v>20262</v>
      </c>
      <c r="AQ321" s="14">
        <v>20212</v>
      </c>
      <c r="AR321" s="14">
        <v>23000</v>
      </c>
      <c r="AS321" s="14">
        <v>18525</v>
      </c>
      <c r="AT321" s="14">
        <v>19453</v>
      </c>
      <c r="AU321" s="14">
        <v>-18</v>
      </c>
      <c r="AV321" s="14">
        <v>223.36</v>
      </c>
      <c r="AW321" s="14">
        <v>27.53</v>
      </c>
      <c r="AX321" s="14">
        <v>7.54</v>
      </c>
      <c r="AY321" s="14" t="b">
        <v>0</v>
      </c>
    </row>
    <row r="322" spans="1:51" hidden="1" x14ac:dyDescent="0.3">
      <c r="A322" t="str">
        <f>CONCATENATE(I322,E322,LEFT(G322,10))</f>
        <v>HFA603LLHA2026-02-26</v>
      </c>
      <c r="B322" s="14" t="s">
        <v>3504</v>
      </c>
      <c r="C322" s="14" t="s">
        <v>336</v>
      </c>
      <c r="D322" s="14" t="s">
        <v>337</v>
      </c>
      <c r="E322" s="14" t="s">
        <v>43</v>
      </c>
      <c r="F322" s="14" t="s">
        <v>59</v>
      </c>
      <c r="G322" s="14" t="s">
        <v>3505</v>
      </c>
      <c r="H322" s="14" t="s">
        <v>371</v>
      </c>
      <c r="I322" s="14" t="s">
        <v>72</v>
      </c>
      <c r="J322" s="14" t="s">
        <v>83</v>
      </c>
      <c r="K322" s="14" t="s">
        <v>349</v>
      </c>
      <c r="L322" s="14" t="s">
        <v>341</v>
      </c>
      <c r="M322" s="16" t="s">
        <v>3506</v>
      </c>
      <c r="N322" s="14"/>
      <c r="O322" s="14" t="s">
        <v>3482</v>
      </c>
      <c r="P322" s="14">
        <v>50</v>
      </c>
      <c r="Q322" s="14">
        <v>2</v>
      </c>
      <c r="R322" s="14">
        <v>2400</v>
      </c>
      <c r="S322" s="14" t="s">
        <v>3507</v>
      </c>
      <c r="T322" s="14" t="s">
        <v>3508</v>
      </c>
      <c r="U322" s="14">
        <v>0.89583333333333304</v>
      </c>
      <c r="V322" s="14">
        <v>0.95055555555555504</v>
      </c>
      <c r="W322" s="14">
        <v>771</v>
      </c>
      <c r="X322" s="14">
        <v>50</v>
      </c>
      <c r="Y322" s="14">
        <v>721</v>
      </c>
      <c r="Z322" s="14">
        <v>950</v>
      </c>
      <c r="AA322" s="14">
        <v>562</v>
      </c>
      <c r="AB322" s="14">
        <v>246</v>
      </c>
      <c r="AC322" s="14">
        <v>100</v>
      </c>
      <c r="AD322" s="14">
        <v>41</v>
      </c>
      <c r="AE322" s="14">
        <v>1721</v>
      </c>
      <c r="AF322" s="14">
        <v>5000</v>
      </c>
      <c r="AG322" s="14">
        <v>2437</v>
      </c>
      <c r="AH322" s="14">
        <v>0</v>
      </c>
      <c r="AI322" s="14">
        <v>56</v>
      </c>
      <c r="AJ322" s="14">
        <v>139</v>
      </c>
      <c r="AK322" s="14" t="s">
        <v>3505</v>
      </c>
      <c r="AL322" s="14" t="s">
        <v>3509</v>
      </c>
      <c r="AM322" s="14">
        <v>230.38</v>
      </c>
      <c r="AN322" s="14">
        <v>184.55</v>
      </c>
      <c r="AO322" s="14">
        <v>155.72</v>
      </c>
      <c r="AP322" s="14">
        <v>17621</v>
      </c>
      <c r="AQ322" s="14">
        <v>17571</v>
      </c>
      <c r="AR322" s="14">
        <v>23000</v>
      </c>
      <c r="AS322" s="14">
        <v>15900</v>
      </c>
      <c r="AT322" s="14">
        <v>16850</v>
      </c>
      <c r="AU322" s="14">
        <v>0</v>
      </c>
      <c r="AV322" s="14">
        <v>274.55</v>
      </c>
      <c r="AW322" s="14">
        <v>34.26</v>
      </c>
      <c r="AX322" s="14">
        <v>3.71</v>
      </c>
      <c r="AY322" s="14" t="b">
        <v>0</v>
      </c>
    </row>
    <row r="323" spans="1:51" hidden="1" x14ac:dyDescent="0.3">
      <c r="A323" t="str">
        <f>CONCATENATE(I323,E323,LEFT(G323,10))</f>
        <v>HFA604LLER2026-01-01</v>
      </c>
      <c r="B323" s="14" t="s">
        <v>4501</v>
      </c>
      <c r="C323" s="14" t="s">
        <v>336</v>
      </c>
      <c r="D323" s="14" t="s">
        <v>337</v>
      </c>
      <c r="E323" s="14" t="s">
        <v>59</v>
      </c>
      <c r="F323" s="14" t="s">
        <v>43</v>
      </c>
      <c r="G323" s="14" t="s">
        <v>4502</v>
      </c>
      <c r="H323" s="14" t="s">
        <v>393</v>
      </c>
      <c r="I323" s="14" t="s">
        <v>73</v>
      </c>
      <c r="J323" s="14" t="s">
        <v>83</v>
      </c>
      <c r="K323" s="14" t="s">
        <v>340</v>
      </c>
      <c r="L323" s="14" t="s">
        <v>341</v>
      </c>
      <c r="M323" s="16" t="s">
        <v>4503</v>
      </c>
      <c r="N323" s="14"/>
      <c r="O323" s="14" t="s">
        <v>4504</v>
      </c>
      <c r="P323" s="14">
        <v>140</v>
      </c>
      <c r="Q323" s="14">
        <v>2</v>
      </c>
      <c r="R323" s="14">
        <v>5300</v>
      </c>
      <c r="S323" s="14" t="s">
        <v>4505</v>
      </c>
      <c r="T323" s="14" t="s">
        <v>4506</v>
      </c>
      <c r="U323" s="14">
        <v>0.84</v>
      </c>
      <c r="V323" s="14">
        <v>1.0861111111111099</v>
      </c>
      <c r="W323" s="14">
        <v>766</v>
      </c>
      <c r="X323" s="14">
        <v>80</v>
      </c>
      <c r="Y323" s="14">
        <v>686</v>
      </c>
      <c r="Z323" s="14">
        <v>1734</v>
      </c>
      <c r="AA323" s="14">
        <v>278</v>
      </c>
      <c r="AB323" s="14">
        <v>276</v>
      </c>
      <c r="AC323" s="14">
        <v>1134</v>
      </c>
      <c r="AD323" s="14">
        <v>46</v>
      </c>
      <c r="AE323" s="14">
        <v>2500</v>
      </c>
      <c r="AF323" s="14">
        <v>5000</v>
      </c>
      <c r="AG323" s="14">
        <v>2420</v>
      </c>
      <c r="AH323" s="14">
        <v>0</v>
      </c>
      <c r="AI323" s="14">
        <v>50</v>
      </c>
      <c r="AJ323" s="14">
        <v>196</v>
      </c>
      <c r="AK323" s="14" t="s">
        <v>4502</v>
      </c>
      <c r="AL323" s="14" t="s">
        <v>4507</v>
      </c>
      <c r="AM323" s="14">
        <v>202.56</v>
      </c>
      <c r="AN323" s="14">
        <v>184.55</v>
      </c>
      <c r="AO323" s="14">
        <v>54.99</v>
      </c>
      <c r="AP323" s="14">
        <v>21111</v>
      </c>
      <c r="AQ323" s="14">
        <v>21031</v>
      </c>
      <c r="AR323" s="14">
        <v>23000</v>
      </c>
      <c r="AS323" s="14">
        <v>18611</v>
      </c>
      <c r="AT323" s="14">
        <v>20345</v>
      </c>
      <c r="AU323" s="14">
        <v>5</v>
      </c>
      <c r="AV323" s="14">
        <v>262.47000000000003</v>
      </c>
      <c r="AW323" s="14">
        <v>40.81</v>
      </c>
      <c r="AX323" s="14">
        <v>2.1</v>
      </c>
      <c r="AY323" s="14" t="b">
        <v>0</v>
      </c>
    </row>
    <row r="324" spans="1:51" hidden="1" x14ac:dyDescent="0.3">
      <c r="A324" t="str">
        <f>CONCATENATE(I324,E324,LEFT(G324,10))</f>
        <v>HFA604LLER2026-01-03</v>
      </c>
      <c r="B324" s="14" t="s">
        <v>4949</v>
      </c>
      <c r="C324" s="14" t="s">
        <v>336</v>
      </c>
      <c r="D324" s="14" t="s">
        <v>337</v>
      </c>
      <c r="E324" s="14" t="s">
        <v>59</v>
      </c>
      <c r="F324" s="14" t="s">
        <v>43</v>
      </c>
      <c r="G324" s="14" t="s">
        <v>4950</v>
      </c>
      <c r="H324" s="14" t="s">
        <v>339</v>
      </c>
      <c r="I324" s="14" t="s">
        <v>73</v>
      </c>
      <c r="J324" s="14" t="s">
        <v>83</v>
      </c>
      <c r="K324" s="14" t="s">
        <v>340</v>
      </c>
      <c r="L324" s="14" t="s">
        <v>341</v>
      </c>
      <c r="M324" s="16" t="s">
        <v>1688</v>
      </c>
      <c r="N324" s="14"/>
      <c r="O324" s="14" t="s">
        <v>395</v>
      </c>
      <c r="P324" s="14">
        <v>120</v>
      </c>
      <c r="Q324" s="14">
        <v>2</v>
      </c>
      <c r="R324" s="14">
        <v>6900</v>
      </c>
      <c r="S324" s="14" t="s">
        <v>4951</v>
      </c>
      <c r="T324" s="14" t="s">
        <v>4952</v>
      </c>
      <c r="U324" s="14">
        <v>0.887777777777777</v>
      </c>
      <c r="V324" s="14">
        <v>1.11666666666666</v>
      </c>
      <c r="W324" s="14">
        <v>729</v>
      </c>
      <c r="X324" s="14">
        <v>80</v>
      </c>
      <c r="Y324" s="14">
        <v>649</v>
      </c>
      <c r="Z324" s="14">
        <v>1771</v>
      </c>
      <c r="AA324" s="14">
        <v>262</v>
      </c>
      <c r="AB324" s="14">
        <v>292</v>
      </c>
      <c r="AC324" s="14">
        <v>1168</v>
      </c>
      <c r="AD324" s="14">
        <v>49</v>
      </c>
      <c r="AE324" s="14">
        <v>2500</v>
      </c>
      <c r="AF324" s="14">
        <v>5000</v>
      </c>
      <c r="AG324" s="14">
        <v>2303</v>
      </c>
      <c r="AH324" s="14">
        <v>0</v>
      </c>
      <c r="AI324" s="14">
        <v>51</v>
      </c>
      <c r="AJ324" s="14">
        <v>208</v>
      </c>
      <c r="AK324" s="14" t="s">
        <v>4950</v>
      </c>
      <c r="AL324" s="14" t="s">
        <v>4953</v>
      </c>
      <c r="AM324" s="14">
        <v>202.63</v>
      </c>
      <c r="AN324" s="14">
        <v>184.55</v>
      </c>
      <c r="AO324" s="14">
        <v>54.99</v>
      </c>
      <c r="AP324" s="14">
        <v>22725</v>
      </c>
      <c r="AQ324" s="14">
        <v>22645</v>
      </c>
      <c r="AR324" s="14">
        <v>23000</v>
      </c>
      <c r="AS324" s="14">
        <v>20225</v>
      </c>
      <c r="AT324" s="14">
        <v>21996</v>
      </c>
      <c r="AU324" s="14">
        <v>-2</v>
      </c>
      <c r="AV324" s="14">
        <v>56.36</v>
      </c>
      <c r="AW324" s="14">
        <v>2.92</v>
      </c>
      <c r="AX324" s="14">
        <v>3.79</v>
      </c>
      <c r="AY324" s="14" t="b">
        <v>0</v>
      </c>
    </row>
    <row r="325" spans="1:51" hidden="1" x14ac:dyDescent="0.3">
      <c r="A325" t="str">
        <f>CONCATENATE(I325,E325,LEFT(G325,10))</f>
        <v>HFA604LLER2026-01-08</v>
      </c>
      <c r="B325" s="14" t="s">
        <v>2860</v>
      </c>
      <c r="C325" s="14" t="s">
        <v>336</v>
      </c>
      <c r="D325" s="14" t="s">
        <v>337</v>
      </c>
      <c r="E325" s="14" t="s">
        <v>59</v>
      </c>
      <c r="F325" s="14" t="s">
        <v>43</v>
      </c>
      <c r="G325" s="14" t="s">
        <v>2861</v>
      </c>
      <c r="H325" s="14" t="s">
        <v>393</v>
      </c>
      <c r="I325" s="14" t="s">
        <v>73</v>
      </c>
      <c r="J325" s="14" t="s">
        <v>83</v>
      </c>
      <c r="K325" s="14" t="s">
        <v>340</v>
      </c>
      <c r="L325" s="14" t="s">
        <v>341</v>
      </c>
      <c r="M325" s="16" t="s">
        <v>2862</v>
      </c>
      <c r="N325" s="14"/>
      <c r="O325" s="14" t="s">
        <v>395</v>
      </c>
      <c r="P325" s="14">
        <v>120</v>
      </c>
      <c r="Q325" s="14">
        <v>2</v>
      </c>
      <c r="R325" s="14">
        <v>6000</v>
      </c>
      <c r="S325" s="14" t="s">
        <v>2863</v>
      </c>
      <c r="T325" s="14" t="s">
        <v>2864</v>
      </c>
      <c r="U325" s="14">
        <v>0.87722222222222201</v>
      </c>
      <c r="V325" s="14">
        <v>1.0047222222222201</v>
      </c>
      <c r="W325" s="14">
        <v>737</v>
      </c>
      <c r="X325" s="14">
        <v>80</v>
      </c>
      <c r="Y325" s="14">
        <v>657</v>
      </c>
      <c r="Z325" s="14">
        <v>1763</v>
      </c>
      <c r="AA325" s="14">
        <v>281</v>
      </c>
      <c r="AB325" s="14">
        <v>283</v>
      </c>
      <c r="AC325" s="14">
        <v>1152</v>
      </c>
      <c r="AD325" s="14">
        <v>47</v>
      </c>
      <c r="AE325" s="14">
        <v>2500</v>
      </c>
      <c r="AF325" s="14">
        <v>5000</v>
      </c>
      <c r="AG325" s="14">
        <v>2330</v>
      </c>
      <c r="AH325" s="14">
        <v>0</v>
      </c>
      <c r="AI325" s="14">
        <v>49</v>
      </c>
      <c r="AJ325" s="14">
        <v>199</v>
      </c>
      <c r="AK325" s="14" t="s">
        <v>2861</v>
      </c>
      <c r="AL325" s="14" t="s">
        <v>2865</v>
      </c>
      <c r="AM325" s="14">
        <v>202.63</v>
      </c>
      <c r="AN325" s="14">
        <v>184.55</v>
      </c>
      <c r="AO325" s="14">
        <v>54.99</v>
      </c>
      <c r="AP325" s="14">
        <v>21811</v>
      </c>
      <c r="AQ325" s="14">
        <v>21731</v>
      </c>
      <c r="AR325" s="14">
        <v>23000</v>
      </c>
      <c r="AS325" s="14">
        <v>19311</v>
      </c>
      <c r="AT325" s="14">
        <v>21074</v>
      </c>
      <c r="AU325" s="14">
        <v>14</v>
      </c>
      <c r="AV325" s="14">
        <v>218.79</v>
      </c>
      <c r="AW325" s="14">
        <v>21.65</v>
      </c>
      <c r="AX325" s="14">
        <v>9.77</v>
      </c>
      <c r="AY325" s="14" t="b">
        <v>0</v>
      </c>
    </row>
    <row r="326" spans="1:51" hidden="1" x14ac:dyDescent="0.3">
      <c r="A326" t="str">
        <f>CONCATENATE(I326,E326,LEFT(G326,10))</f>
        <v>HFA604LLER2026-01-10</v>
      </c>
      <c r="B326" s="14" t="s">
        <v>1088</v>
      </c>
      <c r="C326" s="14" t="s">
        <v>336</v>
      </c>
      <c r="D326" s="14" t="s">
        <v>337</v>
      </c>
      <c r="E326" s="14" t="s">
        <v>59</v>
      </c>
      <c r="F326" s="14" t="s">
        <v>43</v>
      </c>
      <c r="G326" s="14" t="s">
        <v>1089</v>
      </c>
      <c r="H326" s="14" t="s">
        <v>339</v>
      </c>
      <c r="I326" s="14" t="s">
        <v>73</v>
      </c>
      <c r="J326" s="14" t="s">
        <v>83</v>
      </c>
      <c r="K326" s="14" t="s">
        <v>340</v>
      </c>
      <c r="L326" s="14" t="s">
        <v>341</v>
      </c>
      <c r="M326" s="16" t="s">
        <v>1090</v>
      </c>
      <c r="N326" s="14"/>
      <c r="O326" s="14" t="s">
        <v>1091</v>
      </c>
      <c r="P326" s="14">
        <v>120</v>
      </c>
      <c r="Q326" s="14">
        <v>2</v>
      </c>
      <c r="R326" s="14">
        <v>7100</v>
      </c>
      <c r="S326" s="14" t="s">
        <v>1092</v>
      </c>
      <c r="T326" s="14" t="s">
        <v>1093</v>
      </c>
      <c r="U326" s="14">
        <v>0.84833333333333305</v>
      </c>
      <c r="V326" s="14">
        <v>1.00027777777777</v>
      </c>
      <c r="W326" s="14">
        <v>720</v>
      </c>
      <c r="X326" s="14">
        <v>80</v>
      </c>
      <c r="Y326" s="14">
        <v>640</v>
      </c>
      <c r="Z326" s="14">
        <v>1480</v>
      </c>
      <c r="AA326" s="14">
        <v>269</v>
      </c>
      <c r="AB326" s="14">
        <v>292</v>
      </c>
      <c r="AC326" s="14">
        <v>871</v>
      </c>
      <c r="AD326" s="14">
        <v>49</v>
      </c>
      <c r="AE326" s="14">
        <v>2200</v>
      </c>
      <c r="AF326" s="14">
        <v>5000</v>
      </c>
      <c r="AG326" s="14">
        <v>2276</v>
      </c>
      <c r="AH326" s="14">
        <v>0</v>
      </c>
      <c r="AI326" s="14">
        <v>51</v>
      </c>
      <c r="AJ326" s="14">
        <v>181</v>
      </c>
      <c r="AK326" s="14" t="s">
        <v>1089</v>
      </c>
      <c r="AL326" s="14" t="s">
        <v>1094</v>
      </c>
      <c r="AM326" s="14">
        <v>202.63</v>
      </c>
      <c r="AN326" s="14">
        <v>184.55</v>
      </c>
      <c r="AO326" s="14">
        <v>54.99</v>
      </c>
      <c r="AP326" s="14">
        <v>22625</v>
      </c>
      <c r="AQ326" s="14">
        <v>22545</v>
      </c>
      <c r="AR326" s="14">
        <v>23000</v>
      </c>
      <c r="AS326" s="14">
        <v>20425</v>
      </c>
      <c r="AT326" s="14">
        <v>21905</v>
      </c>
      <c r="AU326" s="14">
        <v>2</v>
      </c>
      <c r="AV326" s="14">
        <v>257.22000000000003</v>
      </c>
      <c r="AW326" s="14">
        <v>14.69</v>
      </c>
      <c r="AX326" s="14">
        <v>3.22</v>
      </c>
      <c r="AY326" s="14" t="b">
        <v>0</v>
      </c>
    </row>
    <row r="327" spans="1:51" hidden="1" x14ac:dyDescent="0.3">
      <c r="A327" t="str">
        <f>CONCATENATE(I327,E327,LEFT(G327,10))</f>
        <v>HFA604LLER2026-01-11</v>
      </c>
      <c r="B327" s="14" t="s">
        <v>2202</v>
      </c>
      <c r="C327" s="14" t="s">
        <v>336</v>
      </c>
      <c r="D327" s="14" t="s">
        <v>337</v>
      </c>
      <c r="E327" s="14" t="s">
        <v>59</v>
      </c>
      <c r="F327" s="14" t="s">
        <v>43</v>
      </c>
      <c r="G327" s="14" t="s">
        <v>2203</v>
      </c>
      <c r="H327" s="14" t="s">
        <v>393</v>
      </c>
      <c r="I327" s="14" t="s">
        <v>73</v>
      </c>
      <c r="J327" s="14" t="s">
        <v>83</v>
      </c>
      <c r="K327" s="14" t="s">
        <v>340</v>
      </c>
      <c r="L327" s="14" t="s">
        <v>341</v>
      </c>
      <c r="M327" s="16" t="s">
        <v>2204</v>
      </c>
      <c r="N327" s="14"/>
      <c r="O327" s="14" t="s">
        <v>2205</v>
      </c>
      <c r="P327" s="14">
        <v>120</v>
      </c>
      <c r="Q327" s="14">
        <v>2</v>
      </c>
      <c r="R327" s="14">
        <v>6150</v>
      </c>
      <c r="S327" s="14" t="s">
        <v>2206</v>
      </c>
      <c r="T327" s="14" t="s">
        <v>2207</v>
      </c>
      <c r="U327" s="14">
        <v>0.85472222222222205</v>
      </c>
      <c r="V327" s="14">
        <v>0.975833333333333</v>
      </c>
      <c r="W327" s="14">
        <v>764</v>
      </c>
      <c r="X327" s="14">
        <v>80</v>
      </c>
      <c r="Y327" s="14">
        <v>684</v>
      </c>
      <c r="Z327" s="14">
        <v>1736</v>
      </c>
      <c r="AA327" s="14">
        <v>282</v>
      </c>
      <c r="AB327" s="14">
        <v>284</v>
      </c>
      <c r="AC327" s="14">
        <v>1122</v>
      </c>
      <c r="AD327" s="14">
        <v>47</v>
      </c>
      <c r="AE327" s="14">
        <v>2500</v>
      </c>
      <c r="AF327" s="14">
        <v>5000</v>
      </c>
      <c r="AG327" s="14">
        <v>2416</v>
      </c>
      <c r="AH327" s="14">
        <v>0</v>
      </c>
      <c r="AI327" s="14">
        <v>49</v>
      </c>
      <c r="AJ327" s="14">
        <v>194</v>
      </c>
      <c r="AK327" s="14" t="s">
        <v>2203</v>
      </c>
      <c r="AL327" s="14" t="s">
        <v>2208</v>
      </c>
      <c r="AM327" s="14">
        <v>202.56</v>
      </c>
      <c r="AN327" s="14">
        <v>184.55</v>
      </c>
      <c r="AO327" s="14">
        <v>54.99</v>
      </c>
      <c r="AP327" s="14">
        <v>21961</v>
      </c>
      <c r="AQ327" s="14">
        <v>21881</v>
      </c>
      <c r="AR327" s="14">
        <v>23000</v>
      </c>
      <c r="AS327" s="14">
        <v>19461</v>
      </c>
      <c r="AT327" s="14">
        <v>21197</v>
      </c>
      <c r="AU327" s="14">
        <v>11</v>
      </c>
      <c r="AV327" s="14">
        <v>234.73</v>
      </c>
      <c r="AW327" s="14">
        <v>23.42</v>
      </c>
      <c r="AX327" s="14">
        <v>4.3600000000000003</v>
      </c>
      <c r="AY327" s="14" t="b">
        <v>0</v>
      </c>
    </row>
    <row r="328" spans="1:51" hidden="1" x14ac:dyDescent="0.3">
      <c r="A328" t="str">
        <f>CONCATENATE(I328,E328,LEFT(G328,10))</f>
        <v>HFA604LLER2026-01-15</v>
      </c>
      <c r="B328" s="14" t="s">
        <v>6136</v>
      </c>
      <c r="C328" s="14" t="s">
        <v>336</v>
      </c>
      <c r="D328" s="14" t="s">
        <v>337</v>
      </c>
      <c r="E328" s="14" t="s">
        <v>59</v>
      </c>
      <c r="F328" s="14" t="s">
        <v>43</v>
      </c>
      <c r="G328" s="14" t="s">
        <v>6137</v>
      </c>
      <c r="H328" s="14" t="s">
        <v>393</v>
      </c>
      <c r="I328" s="14" t="s">
        <v>73</v>
      </c>
      <c r="J328" s="14" t="s">
        <v>83</v>
      </c>
      <c r="K328" s="14" t="s">
        <v>340</v>
      </c>
      <c r="L328" s="14" t="s">
        <v>341</v>
      </c>
      <c r="M328" s="16" t="s">
        <v>731</v>
      </c>
      <c r="N328" s="14"/>
      <c r="O328" s="14" t="s">
        <v>5047</v>
      </c>
      <c r="P328" s="14">
        <v>120</v>
      </c>
      <c r="Q328" s="14">
        <v>2</v>
      </c>
      <c r="R328" s="14">
        <v>4200</v>
      </c>
      <c r="S328" s="14" t="s">
        <v>6138</v>
      </c>
      <c r="T328" s="14" t="s">
        <v>6139</v>
      </c>
      <c r="U328" s="14">
        <v>0.956666666666666</v>
      </c>
      <c r="V328" s="14">
        <v>1.10777777777777</v>
      </c>
      <c r="W328" s="14">
        <v>810</v>
      </c>
      <c r="X328" s="14">
        <v>80</v>
      </c>
      <c r="Y328" s="14">
        <v>730</v>
      </c>
      <c r="Z328" s="14">
        <v>1390</v>
      </c>
      <c r="AA328" s="14">
        <v>262</v>
      </c>
      <c r="AB328" s="14">
        <v>263</v>
      </c>
      <c r="AC328" s="14">
        <v>822</v>
      </c>
      <c r="AD328" s="14">
        <v>44</v>
      </c>
      <c r="AE328" s="14">
        <v>2200</v>
      </c>
      <c r="AF328" s="14">
        <v>5000</v>
      </c>
      <c r="AG328" s="14">
        <v>2558</v>
      </c>
      <c r="AH328" s="14">
        <v>0</v>
      </c>
      <c r="AI328" s="14">
        <v>52</v>
      </c>
      <c r="AJ328" s="14">
        <v>170</v>
      </c>
      <c r="AK328" s="14" t="s">
        <v>6137</v>
      </c>
      <c r="AL328" s="14" t="s">
        <v>6140</v>
      </c>
      <c r="AM328" s="14">
        <v>202.56</v>
      </c>
      <c r="AN328" s="14">
        <v>184.55</v>
      </c>
      <c r="AO328" s="14">
        <v>54.99</v>
      </c>
      <c r="AP328" s="14">
        <v>19711</v>
      </c>
      <c r="AQ328" s="14">
        <v>19631</v>
      </c>
      <c r="AR328" s="14">
        <v>23000</v>
      </c>
      <c r="AS328" s="14">
        <v>17511</v>
      </c>
      <c r="AT328" s="14">
        <v>18901</v>
      </c>
      <c r="AU328" s="14">
        <v>-9</v>
      </c>
      <c r="AV328" s="14">
        <v>307.70999999999998</v>
      </c>
      <c r="AW328" s="14">
        <v>15.74</v>
      </c>
      <c r="AX328" s="14">
        <v>2.4500000000000002</v>
      </c>
      <c r="AY328" s="14" t="b">
        <v>0</v>
      </c>
    </row>
    <row r="329" spans="1:51" hidden="1" x14ac:dyDescent="0.3">
      <c r="A329" t="str">
        <f>CONCATENATE(I329,E329,LEFT(G329,10))</f>
        <v>HFA604LLER2026-01-17</v>
      </c>
      <c r="B329" s="14" t="s">
        <v>6400</v>
      </c>
      <c r="C329" s="14" t="s">
        <v>336</v>
      </c>
      <c r="D329" s="14" t="s">
        <v>337</v>
      </c>
      <c r="E329" s="14" t="s">
        <v>59</v>
      </c>
      <c r="F329" s="14" t="s">
        <v>43</v>
      </c>
      <c r="G329" s="14" t="s">
        <v>6401</v>
      </c>
      <c r="H329" s="14" t="s">
        <v>339</v>
      </c>
      <c r="I329" s="14" t="s">
        <v>73</v>
      </c>
      <c r="J329" s="14" t="s">
        <v>83</v>
      </c>
      <c r="K329" s="14" t="s">
        <v>340</v>
      </c>
      <c r="L329" s="14" t="s">
        <v>341</v>
      </c>
      <c r="M329" s="16" t="s">
        <v>6402</v>
      </c>
      <c r="N329" s="14"/>
      <c r="O329" s="14" t="s">
        <v>6403</v>
      </c>
      <c r="P329" s="14">
        <v>120</v>
      </c>
      <c r="Q329" s="14">
        <v>2</v>
      </c>
      <c r="R329" s="14">
        <v>6600</v>
      </c>
      <c r="S329" s="14" t="s">
        <v>6404</v>
      </c>
      <c r="T329" s="14" t="s">
        <v>6405</v>
      </c>
      <c r="U329" s="14">
        <v>0.89166666666666605</v>
      </c>
      <c r="V329" s="14">
        <v>1.1325000000000001</v>
      </c>
      <c r="W329" s="14">
        <v>723</v>
      </c>
      <c r="X329" s="14">
        <v>80</v>
      </c>
      <c r="Y329" s="14">
        <v>643</v>
      </c>
      <c r="Z329" s="14">
        <v>1477</v>
      </c>
      <c r="AA329" s="14">
        <v>260</v>
      </c>
      <c r="AB329" s="14">
        <v>286</v>
      </c>
      <c r="AC329" s="14">
        <v>883</v>
      </c>
      <c r="AD329" s="14">
        <v>48</v>
      </c>
      <c r="AE329" s="14">
        <v>2200</v>
      </c>
      <c r="AF329" s="14">
        <v>5000</v>
      </c>
      <c r="AG329" s="14">
        <v>2286</v>
      </c>
      <c r="AH329" s="14">
        <v>0</v>
      </c>
      <c r="AI329" s="14">
        <v>51</v>
      </c>
      <c r="AJ329" s="14">
        <v>182</v>
      </c>
      <c r="AK329" s="14" t="s">
        <v>6401</v>
      </c>
      <c r="AL329" s="14" t="s">
        <v>6406</v>
      </c>
      <c r="AM329" s="14">
        <v>202.56</v>
      </c>
      <c r="AN329" s="14">
        <v>184.55</v>
      </c>
      <c r="AO329" s="14">
        <v>54.99</v>
      </c>
      <c r="AP329" s="14">
        <v>22125</v>
      </c>
      <c r="AQ329" s="14">
        <v>22045</v>
      </c>
      <c r="AR329" s="14">
        <v>23000</v>
      </c>
      <c r="AS329" s="14">
        <v>19925</v>
      </c>
      <c r="AT329" s="14">
        <v>21402</v>
      </c>
      <c r="AU329" s="14">
        <v>0</v>
      </c>
      <c r="AV329" s="14">
        <v>270.48</v>
      </c>
      <c r="AW329" s="14">
        <v>18.489999999999998</v>
      </c>
      <c r="AX329" s="14">
        <v>2.8</v>
      </c>
      <c r="AY329" s="14" t="b">
        <v>0</v>
      </c>
    </row>
    <row r="330" spans="1:51" hidden="1" x14ac:dyDescent="0.3">
      <c r="A330" t="str">
        <f>CONCATENATE(I330,E330,LEFT(G330,10))</f>
        <v>HFA604LLER2026-01-18</v>
      </c>
      <c r="B330" s="14" t="s">
        <v>5535</v>
      </c>
      <c r="C330" s="14" t="s">
        <v>336</v>
      </c>
      <c r="D330" s="14" t="s">
        <v>337</v>
      </c>
      <c r="E330" s="14" t="s">
        <v>59</v>
      </c>
      <c r="F330" s="14" t="s">
        <v>43</v>
      </c>
      <c r="G330" s="14" t="s">
        <v>5536</v>
      </c>
      <c r="H330" s="14" t="s">
        <v>371</v>
      </c>
      <c r="I330" s="14" t="s">
        <v>73</v>
      </c>
      <c r="J330" s="14" t="s">
        <v>83</v>
      </c>
      <c r="K330" s="14" t="s">
        <v>340</v>
      </c>
      <c r="L330" s="14" t="s">
        <v>341</v>
      </c>
      <c r="M330" s="16" t="s">
        <v>5537</v>
      </c>
      <c r="N330" s="14"/>
      <c r="O330" s="14" t="s">
        <v>395</v>
      </c>
      <c r="P330" s="14">
        <v>120</v>
      </c>
      <c r="Q330" s="14">
        <v>2</v>
      </c>
      <c r="R330" s="14">
        <v>2700</v>
      </c>
      <c r="S330" s="14" t="s">
        <v>5538</v>
      </c>
      <c r="T330" s="14" t="s">
        <v>5539</v>
      </c>
      <c r="U330" s="14">
        <v>0.91138888888888803</v>
      </c>
      <c r="V330" s="14">
        <v>1.04138888888888</v>
      </c>
      <c r="W330" s="14">
        <v>738</v>
      </c>
      <c r="X330" s="14">
        <v>80</v>
      </c>
      <c r="Y330" s="14">
        <v>658</v>
      </c>
      <c r="Z330" s="14">
        <v>1562</v>
      </c>
      <c r="AA330" s="14">
        <v>250</v>
      </c>
      <c r="AB330" s="14">
        <v>254</v>
      </c>
      <c r="AC330" s="14">
        <v>1016</v>
      </c>
      <c r="AD330" s="14">
        <v>42</v>
      </c>
      <c r="AE330" s="14">
        <v>2300</v>
      </c>
      <c r="AF330" s="14">
        <v>5000</v>
      </c>
      <c r="AG330" s="14">
        <v>2331</v>
      </c>
      <c r="AH330" s="14">
        <v>0</v>
      </c>
      <c r="AI330" s="14">
        <v>51</v>
      </c>
      <c r="AJ330" s="14">
        <v>190</v>
      </c>
      <c r="AK330" s="14" t="s">
        <v>5536</v>
      </c>
      <c r="AL330" s="14" t="s">
        <v>5540</v>
      </c>
      <c r="AM330" s="14">
        <v>202.63</v>
      </c>
      <c r="AN330" s="14">
        <v>184.55</v>
      </c>
      <c r="AO330" s="14">
        <v>54.99</v>
      </c>
      <c r="AP330" s="14">
        <v>18500</v>
      </c>
      <c r="AQ330" s="14">
        <v>18420</v>
      </c>
      <c r="AR330" s="14">
        <v>23000</v>
      </c>
      <c r="AS330" s="14">
        <v>16200</v>
      </c>
      <c r="AT330" s="14">
        <v>17762</v>
      </c>
      <c r="AU330" s="14">
        <v>-7</v>
      </c>
      <c r="AV330" s="14">
        <v>287.22000000000003</v>
      </c>
      <c r="AW330" s="14">
        <v>24.2</v>
      </c>
      <c r="AX330" s="14">
        <v>-0.3</v>
      </c>
      <c r="AY330" s="14" t="b">
        <v>0</v>
      </c>
    </row>
    <row r="331" spans="1:51" hidden="1" x14ac:dyDescent="0.3">
      <c r="A331" t="str">
        <f>CONCATENATE(I331,E331,LEFT(G331,10))</f>
        <v>HFA604LLER2026-01-22</v>
      </c>
      <c r="B331" s="14" t="s">
        <v>2097</v>
      </c>
      <c r="C331" s="14" t="s">
        <v>336</v>
      </c>
      <c r="D331" s="14" t="s">
        <v>337</v>
      </c>
      <c r="E331" s="14" t="s">
        <v>59</v>
      </c>
      <c r="F331" s="14" t="s">
        <v>43</v>
      </c>
      <c r="G331" s="14" t="s">
        <v>2098</v>
      </c>
      <c r="H331" s="14" t="s">
        <v>371</v>
      </c>
      <c r="I331" s="14" t="s">
        <v>73</v>
      </c>
      <c r="J331" s="14" t="s">
        <v>83</v>
      </c>
      <c r="K331" s="14" t="s">
        <v>340</v>
      </c>
      <c r="L331" s="14" t="s">
        <v>341</v>
      </c>
      <c r="M331" s="16" t="s">
        <v>2099</v>
      </c>
      <c r="N331" s="14"/>
      <c r="O331" s="14" t="s">
        <v>395</v>
      </c>
      <c r="P331" s="14">
        <v>120</v>
      </c>
      <c r="Q331" s="14">
        <v>2</v>
      </c>
      <c r="R331" s="14">
        <v>0</v>
      </c>
      <c r="S331" s="14" t="s">
        <v>2100</v>
      </c>
      <c r="T331" s="14" t="s">
        <v>2101</v>
      </c>
      <c r="U331" s="14">
        <v>0.90333333333333299</v>
      </c>
      <c r="V331" s="14">
        <v>1.05805555555555</v>
      </c>
      <c r="W331" s="14">
        <v>680</v>
      </c>
      <c r="X331" s="14">
        <v>80</v>
      </c>
      <c r="Y331" s="14">
        <v>600</v>
      </c>
      <c r="Z331" s="14">
        <v>2320</v>
      </c>
      <c r="AA331" s="14">
        <v>269</v>
      </c>
      <c r="AB331" s="14">
        <v>278</v>
      </c>
      <c r="AC331" s="14">
        <v>1726</v>
      </c>
      <c r="AD331" s="14">
        <v>46</v>
      </c>
      <c r="AE331" s="14">
        <v>3000</v>
      </c>
      <c r="AF331" s="14">
        <v>5000</v>
      </c>
      <c r="AG331" s="14">
        <v>2148</v>
      </c>
      <c r="AH331" s="14">
        <v>0</v>
      </c>
      <c r="AI331" s="14">
        <v>48</v>
      </c>
      <c r="AJ331" s="14">
        <v>252</v>
      </c>
      <c r="AK331" s="14" t="s">
        <v>2098</v>
      </c>
      <c r="AL331" s="14" t="s">
        <v>2102</v>
      </c>
      <c r="AM331" s="14">
        <v>202.63</v>
      </c>
      <c r="AN331" s="14">
        <v>184.55</v>
      </c>
      <c r="AO331" s="14">
        <v>54.99</v>
      </c>
      <c r="AP331" s="14">
        <v>21263</v>
      </c>
      <c r="AQ331" s="14">
        <v>21183</v>
      </c>
      <c r="AR331" s="14">
        <v>23000</v>
      </c>
      <c r="AS331" s="14">
        <v>18263</v>
      </c>
      <c r="AT331" s="14">
        <v>20583</v>
      </c>
      <c r="AU331" s="14">
        <v>17</v>
      </c>
      <c r="AV331" s="14">
        <v>221.71</v>
      </c>
      <c r="AW331" s="14">
        <v>27.36</v>
      </c>
      <c r="AX331" s="14">
        <v>5.87</v>
      </c>
      <c r="AY331" s="14" t="b">
        <v>0</v>
      </c>
    </row>
    <row r="332" spans="1:51" hidden="1" x14ac:dyDescent="0.3">
      <c r="A332" t="str">
        <f>CONCATENATE(I332,E332,LEFT(G332,10))</f>
        <v>HFA604LLER2026-01-24</v>
      </c>
      <c r="B332" s="14" t="s">
        <v>618</v>
      </c>
      <c r="C332" s="14" t="s">
        <v>336</v>
      </c>
      <c r="D332" s="14" t="s">
        <v>337</v>
      </c>
      <c r="E332" s="14" t="s">
        <v>59</v>
      </c>
      <c r="F332" s="14" t="s">
        <v>43</v>
      </c>
      <c r="G332" s="14" t="s">
        <v>619</v>
      </c>
      <c r="H332" s="14" t="s">
        <v>339</v>
      </c>
      <c r="I332" s="14" t="s">
        <v>73</v>
      </c>
      <c r="J332" s="14" t="s">
        <v>83</v>
      </c>
      <c r="K332" s="14" t="s">
        <v>340</v>
      </c>
      <c r="L332" s="14" t="s">
        <v>341</v>
      </c>
      <c r="M332" s="16" t="s">
        <v>620</v>
      </c>
      <c r="N332" s="14"/>
      <c r="O332" s="14" t="s">
        <v>395</v>
      </c>
      <c r="P332" s="14">
        <v>120</v>
      </c>
      <c r="Q332" s="14">
        <v>2</v>
      </c>
      <c r="R332" s="14">
        <v>6800</v>
      </c>
      <c r="S332" s="14" t="s">
        <v>621</v>
      </c>
      <c r="T332" s="14" t="s">
        <v>622</v>
      </c>
      <c r="U332" s="14">
        <v>0.96666666666666601</v>
      </c>
      <c r="V332" s="14">
        <v>1.1375</v>
      </c>
      <c r="W332" s="14">
        <v>762</v>
      </c>
      <c r="X332" s="14">
        <v>80</v>
      </c>
      <c r="Y332" s="14">
        <v>682</v>
      </c>
      <c r="Z332" s="14">
        <v>1738</v>
      </c>
      <c r="AA332" s="14">
        <v>260</v>
      </c>
      <c r="AB332" s="14">
        <v>291</v>
      </c>
      <c r="AC332" s="14">
        <v>1139</v>
      </c>
      <c r="AD332" s="14">
        <v>49</v>
      </c>
      <c r="AE332" s="14">
        <v>2500</v>
      </c>
      <c r="AF332" s="14">
        <v>5000</v>
      </c>
      <c r="AG332" s="14">
        <v>2406</v>
      </c>
      <c r="AH332" s="14">
        <v>0</v>
      </c>
      <c r="AI332" s="14">
        <v>54</v>
      </c>
      <c r="AJ332" s="14">
        <v>207</v>
      </c>
      <c r="AK332" s="14" t="s">
        <v>619</v>
      </c>
      <c r="AL332" s="14" t="s">
        <v>623</v>
      </c>
      <c r="AM332" s="14">
        <v>202.63</v>
      </c>
      <c r="AN332" s="14">
        <v>184.55</v>
      </c>
      <c r="AO332" s="14">
        <v>54.99</v>
      </c>
      <c r="AP332" s="14">
        <v>22625</v>
      </c>
      <c r="AQ332" s="14">
        <v>22545</v>
      </c>
      <c r="AR332" s="14">
        <v>23000</v>
      </c>
      <c r="AS332" s="14">
        <v>20125</v>
      </c>
      <c r="AT332" s="14">
        <v>21863</v>
      </c>
      <c r="AU332" s="14">
        <v>-14</v>
      </c>
      <c r="AV332" s="14">
        <v>322.68</v>
      </c>
      <c r="AW332" s="14">
        <v>19.09</v>
      </c>
      <c r="AX332" s="14">
        <v>1.1299999999999999</v>
      </c>
      <c r="AY332" s="14" t="b">
        <v>0</v>
      </c>
    </row>
    <row r="333" spans="1:51" hidden="1" x14ac:dyDescent="0.3">
      <c r="A333" t="str">
        <f>CONCATENATE(I333,E333,LEFT(G333,10))</f>
        <v>HFA604LLER2026-01-25</v>
      </c>
      <c r="B333" s="14" t="s">
        <v>5193</v>
      </c>
      <c r="C333" s="14" t="s">
        <v>336</v>
      </c>
      <c r="D333" s="14" t="s">
        <v>337</v>
      </c>
      <c r="E333" s="14" t="s">
        <v>59</v>
      </c>
      <c r="F333" s="14" t="s">
        <v>43</v>
      </c>
      <c r="G333" s="14" t="s">
        <v>5194</v>
      </c>
      <c r="H333" s="14" t="s">
        <v>339</v>
      </c>
      <c r="I333" s="14" t="s">
        <v>73</v>
      </c>
      <c r="J333" s="14" t="s">
        <v>83</v>
      </c>
      <c r="K333" s="14" t="s">
        <v>340</v>
      </c>
      <c r="L333" s="14" t="s">
        <v>341</v>
      </c>
      <c r="M333" s="16" t="s">
        <v>731</v>
      </c>
      <c r="N333" s="14"/>
      <c r="O333" s="14" t="s">
        <v>395</v>
      </c>
      <c r="P333" s="14">
        <v>120</v>
      </c>
      <c r="Q333" s="14">
        <v>2</v>
      </c>
      <c r="R333" s="14">
        <v>3200</v>
      </c>
      <c r="S333" s="14" t="s">
        <v>5195</v>
      </c>
      <c r="T333" s="14" t="s">
        <v>5196</v>
      </c>
      <c r="U333" s="14">
        <v>0.87277777777777699</v>
      </c>
      <c r="V333" s="14">
        <v>1.0375000000000001</v>
      </c>
      <c r="W333" s="14">
        <v>709</v>
      </c>
      <c r="X333" s="14">
        <v>80</v>
      </c>
      <c r="Y333" s="14">
        <v>629</v>
      </c>
      <c r="Z333" s="14">
        <v>1791</v>
      </c>
      <c r="AA333" s="14">
        <v>251</v>
      </c>
      <c r="AB333" s="14">
        <v>259</v>
      </c>
      <c r="AC333" s="14">
        <v>1239</v>
      </c>
      <c r="AD333" s="14">
        <v>43</v>
      </c>
      <c r="AE333" s="14">
        <v>2500</v>
      </c>
      <c r="AF333" s="14">
        <v>5000</v>
      </c>
      <c r="AG333" s="14">
        <v>2242</v>
      </c>
      <c r="AH333" s="14">
        <v>0</v>
      </c>
      <c r="AI333" s="14">
        <v>51</v>
      </c>
      <c r="AJ333" s="14">
        <v>213</v>
      </c>
      <c r="AK333" s="14" t="s">
        <v>5194</v>
      </c>
      <c r="AL333" s="14" t="s">
        <v>5197</v>
      </c>
      <c r="AM333" s="14">
        <v>202.63</v>
      </c>
      <c r="AN333" s="14">
        <v>184.55</v>
      </c>
      <c r="AO333" s="14">
        <v>54.99</v>
      </c>
      <c r="AP333" s="14">
        <v>19025</v>
      </c>
      <c r="AQ333" s="14">
        <v>18945</v>
      </c>
      <c r="AR333" s="14">
        <v>23000</v>
      </c>
      <c r="AS333" s="14">
        <v>16525</v>
      </c>
      <c r="AT333" s="14">
        <v>18316</v>
      </c>
      <c r="AU333" s="14">
        <v>-3</v>
      </c>
      <c r="AV333" s="14">
        <v>293.48</v>
      </c>
      <c r="AW333" s="14">
        <v>10.57</v>
      </c>
      <c r="AX333" s="14">
        <v>6.08</v>
      </c>
      <c r="AY333" s="14" t="b">
        <v>0</v>
      </c>
    </row>
    <row r="334" spans="1:51" hidden="1" x14ac:dyDescent="0.3">
      <c r="A334" t="str">
        <f>CONCATENATE(I334,E334,LEFT(G334,10))</f>
        <v>HFA604LLER2026-01-29</v>
      </c>
      <c r="B334" s="14" t="s">
        <v>6288</v>
      </c>
      <c r="C334" s="14" t="s">
        <v>336</v>
      </c>
      <c r="D334" s="14" t="s">
        <v>337</v>
      </c>
      <c r="E334" s="14" t="s">
        <v>59</v>
      </c>
      <c r="F334" s="14" t="s">
        <v>43</v>
      </c>
      <c r="G334" s="14" t="s">
        <v>6289</v>
      </c>
      <c r="H334" s="14" t="s">
        <v>436</v>
      </c>
      <c r="I334" s="14" t="s">
        <v>73</v>
      </c>
      <c r="J334" s="14" t="s">
        <v>83</v>
      </c>
      <c r="K334" s="14" t="s">
        <v>340</v>
      </c>
      <c r="L334" s="14" t="s">
        <v>341</v>
      </c>
      <c r="M334" s="16" t="s">
        <v>731</v>
      </c>
      <c r="N334" s="14" t="s">
        <v>359</v>
      </c>
      <c r="O334" s="14" t="s">
        <v>1302</v>
      </c>
      <c r="P334" s="14">
        <v>120</v>
      </c>
      <c r="Q334" s="14">
        <v>2</v>
      </c>
      <c r="R334" s="14">
        <v>6600</v>
      </c>
      <c r="S334" s="14" t="s">
        <v>6290</v>
      </c>
      <c r="T334" s="14" t="s">
        <v>6291</v>
      </c>
      <c r="U334" s="14">
        <v>0.91694444444444401</v>
      </c>
      <c r="V334" s="14">
        <v>1.09777777777777</v>
      </c>
      <c r="W334" s="14">
        <v>724</v>
      </c>
      <c r="X334" s="14">
        <v>80</v>
      </c>
      <c r="Y334" s="14">
        <v>644</v>
      </c>
      <c r="Z334" s="14">
        <v>1676</v>
      </c>
      <c r="AA334" s="14">
        <v>271</v>
      </c>
      <c r="AB334" s="14">
        <v>287</v>
      </c>
      <c r="AC334" s="14">
        <v>1070</v>
      </c>
      <c r="AD334" s="14">
        <v>48</v>
      </c>
      <c r="AE334" s="14">
        <v>2400</v>
      </c>
      <c r="AF334" s="14">
        <v>5000</v>
      </c>
      <c r="AG334" s="14">
        <v>2289</v>
      </c>
      <c r="AH334" s="14">
        <v>0</v>
      </c>
      <c r="AI334" s="14">
        <v>51</v>
      </c>
      <c r="AJ334" s="14">
        <v>199</v>
      </c>
      <c r="AK334" s="14" t="s">
        <v>6289</v>
      </c>
      <c r="AL334" s="14" t="s">
        <v>6292</v>
      </c>
      <c r="AM334" s="14">
        <v>202.56</v>
      </c>
      <c r="AN334" s="14">
        <v>184.55</v>
      </c>
      <c r="AO334" s="14">
        <v>54.99</v>
      </c>
      <c r="AP334" s="14">
        <v>22205</v>
      </c>
      <c r="AQ334" s="14">
        <v>22125</v>
      </c>
      <c r="AR334" s="14">
        <v>23000</v>
      </c>
      <c r="AS334" s="14">
        <v>19805</v>
      </c>
      <c r="AT334" s="14">
        <v>21481</v>
      </c>
      <c r="AU334" s="14">
        <v>-1</v>
      </c>
      <c r="AV334" s="14">
        <v>270.70999999999998</v>
      </c>
      <c r="AW334" s="14">
        <v>21.31</v>
      </c>
      <c r="AX334" s="14">
        <v>5.07</v>
      </c>
      <c r="AY334" s="14" t="b">
        <v>0</v>
      </c>
    </row>
    <row r="335" spans="1:51" hidden="1" x14ac:dyDescent="0.3">
      <c r="A335" t="str">
        <f>CONCATENATE(I335,E335,LEFT(G335,10))</f>
        <v>HFA604LLER2026-01-31</v>
      </c>
      <c r="B335" s="14" t="s">
        <v>2367</v>
      </c>
      <c r="C335" s="14" t="s">
        <v>336</v>
      </c>
      <c r="D335" s="14" t="s">
        <v>337</v>
      </c>
      <c r="E335" s="14" t="s">
        <v>59</v>
      </c>
      <c r="F335" s="14" t="s">
        <v>43</v>
      </c>
      <c r="G335" s="14" t="s">
        <v>2368</v>
      </c>
      <c r="H335" s="14" t="s">
        <v>339</v>
      </c>
      <c r="I335" s="14" t="s">
        <v>73</v>
      </c>
      <c r="J335" s="14" t="s">
        <v>83</v>
      </c>
      <c r="K335" s="14" t="s">
        <v>340</v>
      </c>
      <c r="L335" s="14" t="s">
        <v>341</v>
      </c>
      <c r="M335" s="16" t="s">
        <v>1090</v>
      </c>
      <c r="N335" s="14"/>
      <c r="O335" s="14" t="s">
        <v>1175</v>
      </c>
      <c r="P335" s="14">
        <v>120</v>
      </c>
      <c r="Q335" s="14">
        <v>2</v>
      </c>
      <c r="R335" s="14">
        <v>6700</v>
      </c>
      <c r="S335" s="14" t="s">
        <v>2369</v>
      </c>
      <c r="T335" s="14" t="s">
        <v>2370</v>
      </c>
      <c r="U335" s="14">
        <v>0.85250000000000004</v>
      </c>
      <c r="V335" s="14">
        <v>1.07944444444444</v>
      </c>
      <c r="W335" s="14">
        <v>704</v>
      </c>
      <c r="X335" s="14">
        <v>80</v>
      </c>
      <c r="Y335" s="14">
        <v>624</v>
      </c>
      <c r="Z335" s="14">
        <v>1896</v>
      </c>
      <c r="AA335" s="14">
        <v>271</v>
      </c>
      <c r="AB335" s="14">
        <v>292</v>
      </c>
      <c r="AC335" s="14">
        <v>1284</v>
      </c>
      <c r="AD335" s="14">
        <v>49</v>
      </c>
      <c r="AE335" s="14">
        <v>2600</v>
      </c>
      <c r="AF335" s="14">
        <v>5000</v>
      </c>
      <c r="AG335" s="14">
        <v>2225</v>
      </c>
      <c r="AH335" s="14">
        <v>0</v>
      </c>
      <c r="AI335" s="14">
        <v>50</v>
      </c>
      <c r="AJ335" s="14">
        <v>220</v>
      </c>
      <c r="AK335" s="14" t="s">
        <v>2368</v>
      </c>
      <c r="AL335" s="14" t="s">
        <v>2371</v>
      </c>
      <c r="AM335" s="14">
        <v>202.63</v>
      </c>
      <c r="AN335" s="14">
        <v>184.55</v>
      </c>
      <c r="AO335" s="14">
        <v>54.99</v>
      </c>
      <c r="AP335" s="14">
        <v>22625</v>
      </c>
      <c r="AQ335" s="14">
        <v>22545</v>
      </c>
      <c r="AR335" s="14">
        <v>23000</v>
      </c>
      <c r="AS335" s="14">
        <v>20025</v>
      </c>
      <c r="AT335" s="14">
        <v>21921</v>
      </c>
      <c r="AU335" s="14">
        <v>4</v>
      </c>
      <c r="AV335" s="14">
        <v>258.02</v>
      </c>
      <c r="AW335" s="14">
        <v>29.1</v>
      </c>
      <c r="AX335" s="14">
        <v>6.24</v>
      </c>
      <c r="AY335" s="14" t="b">
        <v>0</v>
      </c>
    </row>
    <row r="336" spans="1:51" hidden="1" x14ac:dyDescent="0.3">
      <c r="A336" t="str">
        <f>CONCATENATE(I336,E336,LEFT(G336,10))</f>
        <v>HFA604LLER2026-02-01</v>
      </c>
      <c r="B336" s="14" t="s">
        <v>1995</v>
      </c>
      <c r="C336" s="14" t="s">
        <v>336</v>
      </c>
      <c r="D336" s="14" t="s">
        <v>337</v>
      </c>
      <c r="E336" s="14" t="s">
        <v>59</v>
      </c>
      <c r="F336" s="14" t="s">
        <v>43</v>
      </c>
      <c r="G336" s="14" t="s">
        <v>1996</v>
      </c>
      <c r="H336" s="14" t="s">
        <v>339</v>
      </c>
      <c r="I336" s="14" t="s">
        <v>73</v>
      </c>
      <c r="J336" s="14" t="s">
        <v>83</v>
      </c>
      <c r="K336" s="14" t="s">
        <v>340</v>
      </c>
      <c r="L336" s="14" t="s">
        <v>341</v>
      </c>
      <c r="M336" s="16" t="s">
        <v>1997</v>
      </c>
      <c r="N336" s="14"/>
      <c r="O336" s="14" t="s">
        <v>1175</v>
      </c>
      <c r="P336" s="14">
        <v>120</v>
      </c>
      <c r="Q336" s="14">
        <v>2</v>
      </c>
      <c r="R336" s="14">
        <v>3000</v>
      </c>
      <c r="S336" s="14" t="s">
        <v>1998</v>
      </c>
      <c r="T336" s="14" t="s">
        <v>1999</v>
      </c>
      <c r="U336" s="14">
        <v>0.86527777777777704</v>
      </c>
      <c r="V336" s="14">
        <v>1.0319444444444399</v>
      </c>
      <c r="W336" s="14">
        <v>669</v>
      </c>
      <c r="X336" s="14">
        <v>80</v>
      </c>
      <c r="Y336" s="14">
        <v>589</v>
      </c>
      <c r="Z336" s="14">
        <v>1831</v>
      </c>
      <c r="AA336" s="14">
        <v>259</v>
      </c>
      <c r="AB336" s="14">
        <v>257</v>
      </c>
      <c r="AC336" s="14">
        <v>1272</v>
      </c>
      <c r="AD336" s="14">
        <v>43</v>
      </c>
      <c r="AE336" s="14">
        <v>2500</v>
      </c>
      <c r="AF336" s="14">
        <v>5000</v>
      </c>
      <c r="AG336" s="14">
        <v>2115</v>
      </c>
      <c r="AH336" s="14">
        <v>0</v>
      </c>
      <c r="AI336" s="14">
        <v>48</v>
      </c>
      <c r="AJ336" s="14">
        <v>216</v>
      </c>
      <c r="AK336" s="14" t="s">
        <v>1996</v>
      </c>
      <c r="AL336" s="14" t="s">
        <v>2000</v>
      </c>
      <c r="AM336" s="14">
        <v>202.63</v>
      </c>
      <c r="AN336" s="14">
        <v>184.55</v>
      </c>
      <c r="AO336" s="14">
        <v>54.99</v>
      </c>
      <c r="AP336" s="14">
        <v>18825</v>
      </c>
      <c r="AQ336" s="14">
        <v>18745</v>
      </c>
      <c r="AR336" s="14">
        <v>23000</v>
      </c>
      <c r="AS336" s="14">
        <v>16325</v>
      </c>
      <c r="AT336" s="14">
        <v>18156</v>
      </c>
      <c r="AU336" s="14">
        <v>12</v>
      </c>
      <c r="AV336" s="14">
        <v>228.49</v>
      </c>
      <c r="AW336" s="14">
        <v>21.38</v>
      </c>
      <c r="AX336" s="14">
        <v>7.61</v>
      </c>
      <c r="AY336" s="14" t="b">
        <v>0</v>
      </c>
    </row>
    <row r="337" spans="1:51" hidden="1" x14ac:dyDescent="0.3">
      <c r="A337" t="str">
        <f>CONCATENATE(I337,E337,LEFT(G337,10))</f>
        <v>HFA604LLER2026-02-05</v>
      </c>
      <c r="B337" s="15" t="s">
        <v>4640</v>
      </c>
      <c r="C337" s="14" t="s">
        <v>336</v>
      </c>
      <c r="D337" s="14" t="s">
        <v>337</v>
      </c>
      <c r="E337" s="14" t="s">
        <v>59</v>
      </c>
      <c r="F337" s="14" t="s">
        <v>43</v>
      </c>
      <c r="G337" s="14" t="s">
        <v>4641</v>
      </c>
      <c r="H337" s="14" t="s">
        <v>393</v>
      </c>
      <c r="I337" s="14" t="s">
        <v>73</v>
      </c>
      <c r="J337" s="14" t="s">
        <v>83</v>
      </c>
      <c r="K337" s="14" t="s">
        <v>340</v>
      </c>
      <c r="L337" s="14" t="s">
        <v>341</v>
      </c>
      <c r="M337" s="16" t="s">
        <v>4642</v>
      </c>
      <c r="N337" s="14"/>
      <c r="O337" s="14" t="s">
        <v>395</v>
      </c>
      <c r="P337" s="14">
        <v>120</v>
      </c>
      <c r="Q337" s="14">
        <v>2</v>
      </c>
      <c r="R337" s="14">
        <v>5000</v>
      </c>
      <c r="S337" s="14" t="s">
        <v>4643</v>
      </c>
      <c r="T337" s="14" t="s">
        <v>4644</v>
      </c>
      <c r="U337" s="14">
        <v>0.85666666666666602</v>
      </c>
      <c r="V337" s="14">
        <v>1.0561111111111099</v>
      </c>
      <c r="W337" s="14">
        <v>764</v>
      </c>
      <c r="X337" s="14">
        <v>80</v>
      </c>
      <c r="Y337" s="14">
        <v>684</v>
      </c>
      <c r="Z337" s="14">
        <v>1736</v>
      </c>
      <c r="AA337" s="14">
        <v>272</v>
      </c>
      <c r="AB337" s="14">
        <v>273</v>
      </c>
      <c r="AC337" s="14">
        <v>1145</v>
      </c>
      <c r="AD337" s="14">
        <v>46</v>
      </c>
      <c r="AE337" s="14">
        <v>2500</v>
      </c>
      <c r="AF337" s="14">
        <v>5000</v>
      </c>
      <c r="AG337" s="14">
        <v>2414</v>
      </c>
      <c r="AH337" s="14">
        <v>0</v>
      </c>
      <c r="AI337" s="14">
        <v>49</v>
      </c>
      <c r="AJ337" s="14">
        <v>197</v>
      </c>
      <c r="AK337" s="14" t="s">
        <v>4641</v>
      </c>
      <c r="AL337" s="14" t="s">
        <v>4645</v>
      </c>
      <c r="AM337" s="14">
        <v>202.63</v>
      </c>
      <c r="AN337" s="14">
        <v>184.55</v>
      </c>
      <c r="AO337" s="14">
        <v>54.99</v>
      </c>
      <c r="AP337" s="14">
        <v>20811</v>
      </c>
      <c r="AQ337" s="14">
        <v>20731</v>
      </c>
      <c r="AR337" s="14">
        <v>23000</v>
      </c>
      <c r="AS337" s="14">
        <v>18311</v>
      </c>
      <c r="AT337" s="14">
        <v>20047</v>
      </c>
      <c r="AU337" s="14">
        <v>7</v>
      </c>
      <c r="AV337" s="14">
        <v>224.11</v>
      </c>
      <c r="AW337" s="14">
        <v>11.05</v>
      </c>
      <c r="AX337" s="14">
        <v>6.6</v>
      </c>
      <c r="AY337" s="14" t="b">
        <v>0</v>
      </c>
    </row>
    <row r="338" spans="1:51" hidden="1" x14ac:dyDescent="0.3">
      <c r="A338" t="str">
        <f>CONCATENATE(I338,E338,LEFT(G338,10))</f>
        <v>HFA604LLER2026-02-07</v>
      </c>
      <c r="B338" s="14" t="s">
        <v>4890</v>
      </c>
      <c r="C338" s="14" t="s">
        <v>336</v>
      </c>
      <c r="D338" s="14" t="s">
        <v>337</v>
      </c>
      <c r="E338" s="14" t="s">
        <v>59</v>
      </c>
      <c r="F338" s="14" t="s">
        <v>43</v>
      </c>
      <c r="G338" s="14" t="s">
        <v>4891</v>
      </c>
      <c r="H338" s="14" t="s">
        <v>339</v>
      </c>
      <c r="I338" s="14" t="s">
        <v>73</v>
      </c>
      <c r="J338" s="14" t="s">
        <v>83</v>
      </c>
      <c r="K338" s="14" t="s">
        <v>340</v>
      </c>
      <c r="L338" s="14" t="s">
        <v>341</v>
      </c>
      <c r="M338" s="16" t="s">
        <v>1090</v>
      </c>
      <c r="N338" s="14"/>
      <c r="O338" s="14" t="s">
        <v>4892</v>
      </c>
      <c r="P338" s="14">
        <v>120</v>
      </c>
      <c r="Q338" s="14">
        <v>2</v>
      </c>
      <c r="R338" s="14">
        <v>6100</v>
      </c>
      <c r="S338" s="14" t="s">
        <v>4893</v>
      </c>
      <c r="T338" s="14" t="s">
        <v>4894</v>
      </c>
      <c r="U338" s="14">
        <v>0.88083333333333302</v>
      </c>
      <c r="V338" s="14">
        <v>1.12638888888888</v>
      </c>
      <c r="W338" s="14">
        <v>728</v>
      </c>
      <c r="X338" s="14">
        <v>80</v>
      </c>
      <c r="Y338" s="14">
        <v>648</v>
      </c>
      <c r="Z338" s="14">
        <v>1572</v>
      </c>
      <c r="AA338" s="14">
        <v>258</v>
      </c>
      <c r="AB338" s="14">
        <v>282</v>
      </c>
      <c r="AC338" s="14">
        <v>986</v>
      </c>
      <c r="AD338" s="14">
        <v>47</v>
      </c>
      <c r="AE338" s="14">
        <v>2300</v>
      </c>
      <c r="AF338" s="14">
        <v>5000</v>
      </c>
      <c r="AG338" s="14">
        <v>2299</v>
      </c>
      <c r="AH338" s="14">
        <v>0</v>
      </c>
      <c r="AI338" s="14">
        <v>53</v>
      </c>
      <c r="AJ338" s="14">
        <v>194</v>
      </c>
      <c r="AK338" s="14" t="s">
        <v>4891</v>
      </c>
      <c r="AL338" s="14" t="s">
        <v>4895</v>
      </c>
      <c r="AM338" s="14">
        <v>202.63</v>
      </c>
      <c r="AN338" s="14">
        <v>184.55</v>
      </c>
      <c r="AO338" s="14">
        <v>54.99</v>
      </c>
      <c r="AP338" s="14">
        <v>21725</v>
      </c>
      <c r="AQ338" s="14">
        <v>21645</v>
      </c>
      <c r="AR338" s="14">
        <v>23000</v>
      </c>
      <c r="AS338" s="14">
        <v>19425</v>
      </c>
      <c r="AT338" s="14">
        <v>20997</v>
      </c>
      <c r="AU338" s="14">
        <v>-7</v>
      </c>
      <c r="AV338" s="14">
        <v>280.92</v>
      </c>
      <c r="AW338" s="14">
        <v>36.159999999999997</v>
      </c>
      <c r="AX338" s="14">
        <v>7.05</v>
      </c>
      <c r="AY338" s="14" t="b">
        <v>0</v>
      </c>
    </row>
    <row r="339" spans="1:51" hidden="1" x14ac:dyDescent="0.3">
      <c r="A339" t="str">
        <f>CONCATENATE(I339,E339,LEFT(G339,10))</f>
        <v>HFA604LLER2026-02-08</v>
      </c>
      <c r="B339" s="14" t="s">
        <v>391</v>
      </c>
      <c r="C339" s="14" t="s">
        <v>336</v>
      </c>
      <c r="D339" s="14" t="s">
        <v>337</v>
      </c>
      <c r="E339" s="14" t="s">
        <v>59</v>
      </c>
      <c r="F339" s="14" t="s">
        <v>43</v>
      </c>
      <c r="G339" s="14" t="s">
        <v>392</v>
      </c>
      <c r="H339" s="14" t="s">
        <v>393</v>
      </c>
      <c r="I339" s="14" t="s">
        <v>73</v>
      </c>
      <c r="J339" s="14" t="s">
        <v>83</v>
      </c>
      <c r="K339" s="14" t="s">
        <v>340</v>
      </c>
      <c r="L339" s="14" t="s">
        <v>341</v>
      </c>
      <c r="M339" s="16" t="s">
        <v>394</v>
      </c>
      <c r="N339" s="14"/>
      <c r="O339" s="14" t="s">
        <v>395</v>
      </c>
      <c r="P339" s="14">
        <v>120</v>
      </c>
      <c r="Q339" s="14">
        <v>2</v>
      </c>
      <c r="R339" s="14">
        <v>2300</v>
      </c>
      <c r="S339" s="14" t="s">
        <v>396</v>
      </c>
      <c r="T339" s="14" t="s">
        <v>397</v>
      </c>
      <c r="U339" s="14">
        <v>0.92027777777777697</v>
      </c>
      <c r="V339" s="14">
        <v>1.1755555555555499</v>
      </c>
      <c r="W339" s="14">
        <v>774</v>
      </c>
      <c r="X339" s="14">
        <v>80</v>
      </c>
      <c r="Y339" s="14">
        <v>694</v>
      </c>
      <c r="Z339" s="14">
        <v>1526</v>
      </c>
      <c r="AA339" s="14">
        <v>266</v>
      </c>
      <c r="AB339" s="14">
        <v>249</v>
      </c>
      <c r="AC339" s="14">
        <v>970</v>
      </c>
      <c r="AD339" s="14">
        <v>42</v>
      </c>
      <c r="AE339" s="14">
        <v>2300</v>
      </c>
      <c r="AF339" s="14">
        <v>5000</v>
      </c>
      <c r="AG339" s="14">
        <v>2444</v>
      </c>
      <c r="AH339" s="14">
        <v>0</v>
      </c>
      <c r="AI339" s="14">
        <v>50</v>
      </c>
      <c r="AJ339" s="14">
        <v>184</v>
      </c>
      <c r="AK339" s="14" t="s">
        <v>392</v>
      </c>
      <c r="AL339" s="14" t="s">
        <v>398</v>
      </c>
      <c r="AM339" s="14">
        <v>202.63</v>
      </c>
      <c r="AN339" s="14">
        <v>184.55</v>
      </c>
      <c r="AO339" s="14">
        <v>54.99</v>
      </c>
      <c r="AP339" s="14">
        <v>17911</v>
      </c>
      <c r="AQ339" s="14">
        <v>17831</v>
      </c>
      <c r="AR339" s="14">
        <v>23000</v>
      </c>
      <c r="AS339" s="14">
        <v>15611</v>
      </c>
      <c r="AT339" s="14">
        <v>17137</v>
      </c>
      <c r="AU339" s="14">
        <v>-3</v>
      </c>
      <c r="AV339" s="14">
        <v>272.31</v>
      </c>
      <c r="AW339" s="14">
        <v>35.11</v>
      </c>
      <c r="AX339" s="14">
        <v>7.95</v>
      </c>
      <c r="AY339" s="14" t="b">
        <v>0</v>
      </c>
    </row>
    <row r="340" spans="1:51" hidden="1" x14ac:dyDescent="0.3">
      <c r="A340" t="str">
        <f>CONCATENATE(I340,E340,LEFT(G340,10))</f>
        <v>HFA604LLER2026-02-12</v>
      </c>
      <c r="B340" s="15" t="s">
        <v>533</v>
      </c>
      <c r="C340" s="14" t="s">
        <v>336</v>
      </c>
      <c r="D340" s="14" t="s">
        <v>337</v>
      </c>
      <c r="E340" s="14" t="s">
        <v>59</v>
      </c>
      <c r="F340" s="14" t="s">
        <v>43</v>
      </c>
      <c r="G340" s="14" t="s">
        <v>534</v>
      </c>
      <c r="H340" s="14" t="s">
        <v>393</v>
      </c>
      <c r="I340" s="14" t="s">
        <v>73</v>
      </c>
      <c r="J340" s="14" t="s">
        <v>83</v>
      </c>
      <c r="K340" s="14" t="s">
        <v>340</v>
      </c>
      <c r="L340" s="14" t="s">
        <v>341</v>
      </c>
      <c r="M340" s="16" t="s">
        <v>535</v>
      </c>
      <c r="N340" s="14"/>
      <c r="O340" s="14" t="s">
        <v>536</v>
      </c>
      <c r="P340" s="14">
        <v>120</v>
      </c>
      <c r="Q340" s="14">
        <v>2</v>
      </c>
      <c r="R340" s="14">
        <v>6500</v>
      </c>
      <c r="S340" s="14" t="s">
        <v>537</v>
      </c>
      <c r="T340" s="14" t="s">
        <v>538</v>
      </c>
      <c r="U340" s="14">
        <v>0.881388888888888</v>
      </c>
      <c r="V340" s="14">
        <v>1.1369444444444401</v>
      </c>
      <c r="W340" s="14">
        <v>764</v>
      </c>
      <c r="X340" s="14">
        <v>80</v>
      </c>
      <c r="Y340" s="14">
        <v>684</v>
      </c>
      <c r="Z340" s="14">
        <v>1736</v>
      </c>
      <c r="AA340" s="14">
        <v>284</v>
      </c>
      <c r="AB340" s="14">
        <v>288</v>
      </c>
      <c r="AC340" s="14">
        <v>1116</v>
      </c>
      <c r="AD340" s="14">
        <v>48</v>
      </c>
      <c r="AE340" s="14">
        <v>2500</v>
      </c>
      <c r="AF340" s="14">
        <v>5000</v>
      </c>
      <c r="AG340" s="14">
        <v>2415</v>
      </c>
      <c r="AH340" s="14">
        <v>0</v>
      </c>
      <c r="AI340" s="14">
        <v>49</v>
      </c>
      <c r="AJ340" s="14">
        <v>195</v>
      </c>
      <c r="AK340" s="14" t="s">
        <v>534</v>
      </c>
      <c r="AL340" s="14" t="s">
        <v>539</v>
      </c>
      <c r="AM340" s="14">
        <v>202.63</v>
      </c>
      <c r="AN340" s="14">
        <v>184.55</v>
      </c>
      <c r="AO340" s="14">
        <v>54.99</v>
      </c>
      <c r="AP340" s="14">
        <v>22311</v>
      </c>
      <c r="AQ340" s="14">
        <v>22231</v>
      </c>
      <c r="AR340" s="14">
        <v>23000</v>
      </c>
      <c r="AS340" s="14">
        <v>19811</v>
      </c>
      <c r="AT340" s="14">
        <v>21547</v>
      </c>
      <c r="AU340" s="14">
        <v>12</v>
      </c>
      <c r="AV340" s="14">
        <v>237.48</v>
      </c>
      <c r="AW340" s="14">
        <v>27.39</v>
      </c>
      <c r="AX340" s="14">
        <v>4.6900000000000004</v>
      </c>
      <c r="AY340" s="14" t="b">
        <v>0</v>
      </c>
    </row>
    <row r="341" spans="1:51" hidden="1" x14ac:dyDescent="0.3">
      <c r="A341" t="str">
        <f>CONCATENATE(I341,E341,LEFT(G341,10))</f>
        <v>HFA604LLER2026-02-14</v>
      </c>
      <c r="B341" s="14" t="s">
        <v>4267</v>
      </c>
      <c r="C341" s="14" t="s">
        <v>336</v>
      </c>
      <c r="D341" s="14" t="s">
        <v>337</v>
      </c>
      <c r="E341" s="14" t="s">
        <v>59</v>
      </c>
      <c r="F341" s="14" t="s">
        <v>43</v>
      </c>
      <c r="G341" s="14" t="s">
        <v>4268</v>
      </c>
      <c r="H341" s="14" t="s">
        <v>339</v>
      </c>
      <c r="I341" s="14" t="s">
        <v>73</v>
      </c>
      <c r="J341" s="14" t="s">
        <v>83</v>
      </c>
      <c r="K341" s="14" t="s">
        <v>340</v>
      </c>
      <c r="L341" s="14" t="s">
        <v>341</v>
      </c>
      <c r="M341" s="16" t="s">
        <v>4269</v>
      </c>
      <c r="N341" s="14"/>
      <c r="O341" s="14" t="s">
        <v>4270</v>
      </c>
      <c r="P341" s="14">
        <v>120</v>
      </c>
      <c r="Q341" s="14">
        <v>2</v>
      </c>
      <c r="R341" s="14">
        <v>6800</v>
      </c>
      <c r="S341" s="14" t="s">
        <v>4271</v>
      </c>
      <c r="T341" s="14" t="s">
        <v>4272</v>
      </c>
      <c r="U341" s="14">
        <v>0.97222222222222199</v>
      </c>
      <c r="V341" s="14">
        <v>1.2136111111111101</v>
      </c>
      <c r="W341" s="14">
        <v>740</v>
      </c>
      <c r="X341" s="14">
        <v>80</v>
      </c>
      <c r="Y341" s="14">
        <v>660</v>
      </c>
      <c r="Z341" s="14">
        <v>1460</v>
      </c>
      <c r="AA341" s="14">
        <v>258</v>
      </c>
      <c r="AB341" s="14">
        <v>288</v>
      </c>
      <c r="AC341" s="14">
        <v>866</v>
      </c>
      <c r="AD341" s="14">
        <v>48</v>
      </c>
      <c r="AE341" s="14">
        <v>2200</v>
      </c>
      <c r="AF341" s="14">
        <v>5000</v>
      </c>
      <c r="AG341" s="14">
        <v>2337</v>
      </c>
      <c r="AH341" s="14">
        <v>0</v>
      </c>
      <c r="AI341" s="14">
        <v>54</v>
      </c>
      <c r="AJ341" s="14">
        <v>184</v>
      </c>
      <c r="AK341" s="14" t="s">
        <v>4268</v>
      </c>
      <c r="AL341" s="14" t="s">
        <v>4273</v>
      </c>
      <c r="AM341" s="14">
        <v>202.63</v>
      </c>
      <c r="AN341" s="14">
        <v>184.55</v>
      </c>
      <c r="AO341" s="14">
        <v>54.99</v>
      </c>
      <c r="AP341" s="14">
        <v>22325</v>
      </c>
      <c r="AQ341" s="14">
        <v>22245</v>
      </c>
      <c r="AR341" s="14">
        <v>23000</v>
      </c>
      <c r="AS341" s="14">
        <v>20125</v>
      </c>
      <c r="AT341" s="14">
        <v>21585</v>
      </c>
      <c r="AU341" s="14">
        <v>-12</v>
      </c>
      <c r="AV341" s="14">
        <v>299.76</v>
      </c>
      <c r="AW341" s="14">
        <v>24.97</v>
      </c>
      <c r="AX341" s="14">
        <v>8.35</v>
      </c>
      <c r="AY341" s="14" t="b">
        <v>0</v>
      </c>
    </row>
    <row r="342" spans="1:51" hidden="1" x14ac:dyDescent="0.3">
      <c r="A342" t="str">
        <f>CONCATENATE(I342,E342,LEFT(G342,10))</f>
        <v>HFA604LLER2026-02-15</v>
      </c>
      <c r="B342" s="14" t="s">
        <v>4191</v>
      </c>
      <c r="C342" s="14" t="s">
        <v>336</v>
      </c>
      <c r="D342" s="14" t="s">
        <v>337</v>
      </c>
      <c r="E342" s="14" t="s">
        <v>59</v>
      </c>
      <c r="F342" s="14" t="s">
        <v>43</v>
      </c>
      <c r="G342" s="14" t="s">
        <v>4192</v>
      </c>
      <c r="H342" s="14" t="s">
        <v>393</v>
      </c>
      <c r="I342" s="14" t="s">
        <v>73</v>
      </c>
      <c r="J342" s="14" t="s">
        <v>83</v>
      </c>
      <c r="K342" s="14" t="s">
        <v>340</v>
      </c>
      <c r="L342" s="14" t="s">
        <v>341</v>
      </c>
      <c r="M342" s="16" t="s">
        <v>731</v>
      </c>
      <c r="N342" s="14"/>
      <c r="O342" s="14" t="s">
        <v>4193</v>
      </c>
      <c r="P342" s="14">
        <v>120</v>
      </c>
      <c r="Q342" s="14">
        <v>2</v>
      </c>
      <c r="R342" s="14">
        <v>3000</v>
      </c>
      <c r="S342" s="14" t="s">
        <v>4194</v>
      </c>
      <c r="T342" s="14" t="s">
        <v>4195</v>
      </c>
      <c r="U342" s="14">
        <v>0.86333333333333295</v>
      </c>
      <c r="V342" s="14">
        <v>0.90777777777777702</v>
      </c>
      <c r="W342" s="14">
        <v>753</v>
      </c>
      <c r="X342" s="14">
        <v>80</v>
      </c>
      <c r="Y342" s="14">
        <v>673</v>
      </c>
      <c r="Z342" s="14">
        <v>1747</v>
      </c>
      <c r="AA342" s="14">
        <v>260</v>
      </c>
      <c r="AB342" s="14">
        <v>256</v>
      </c>
      <c r="AC342" s="14">
        <v>1188</v>
      </c>
      <c r="AD342" s="14">
        <v>43</v>
      </c>
      <c r="AE342" s="14">
        <v>2500</v>
      </c>
      <c r="AF342" s="14">
        <v>5000</v>
      </c>
      <c r="AG342" s="14">
        <v>2381</v>
      </c>
      <c r="AH342" s="14">
        <v>0</v>
      </c>
      <c r="AI342" s="14">
        <v>50</v>
      </c>
      <c r="AJ342" s="14">
        <v>201</v>
      </c>
      <c r="AK342" s="14" t="s">
        <v>4192</v>
      </c>
      <c r="AL342" s="14" t="s">
        <v>4196</v>
      </c>
      <c r="AM342" s="14">
        <v>202.56</v>
      </c>
      <c r="AN342" s="14">
        <v>184.55</v>
      </c>
      <c r="AO342" s="14">
        <v>54.99</v>
      </c>
      <c r="AP342" s="14">
        <v>18811</v>
      </c>
      <c r="AQ342" s="14">
        <v>18731</v>
      </c>
      <c r="AR342" s="14">
        <v>23000</v>
      </c>
      <c r="AS342" s="14">
        <v>16311</v>
      </c>
      <c r="AT342" s="14">
        <v>18058</v>
      </c>
      <c r="AU342" s="14">
        <v>3</v>
      </c>
      <c r="AV342" s="14">
        <v>234.24</v>
      </c>
      <c r="AW342" s="14">
        <v>7.23</v>
      </c>
      <c r="AX342" s="14">
        <v>11.69</v>
      </c>
      <c r="AY342" s="14" t="b">
        <v>0</v>
      </c>
    </row>
    <row r="343" spans="1:51" hidden="1" x14ac:dyDescent="0.3">
      <c r="A343" t="str">
        <f>CONCATENATE(I343,E343,LEFT(G343,10))</f>
        <v>HFA604LLER2026-02-19</v>
      </c>
      <c r="B343" s="14" t="s">
        <v>3928</v>
      </c>
      <c r="C343" s="14" t="s">
        <v>336</v>
      </c>
      <c r="D343" s="14" t="s">
        <v>337</v>
      </c>
      <c r="E343" s="14" t="s">
        <v>59</v>
      </c>
      <c r="F343" s="14" t="s">
        <v>43</v>
      </c>
      <c r="G343" s="14" t="s">
        <v>3929</v>
      </c>
      <c r="H343" s="14" t="s">
        <v>339</v>
      </c>
      <c r="I343" s="14" t="s">
        <v>73</v>
      </c>
      <c r="J343" s="14" t="s">
        <v>83</v>
      </c>
      <c r="K343" s="14" t="s">
        <v>340</v>
      </c>
      <c r="L343" s="14" t="s">
        <v>341</v>
      </c>
      <c r="M343" s="16" t="s">
        <v>3930</v>
      </c>
      <c r="N343" s="14"/>
      <c r="O343" s="14" t="s">
        <v>395</v>
      </c>
      <c r="P343" s="14">
        <v>120</v>
      </c>
      <c r="Q343" s="14">
        <v>2</v>
      </c>
      <c r="R343" s="14">
        <v>6700</v>
      </c>
      <c r="S343" s="14" t="s">
        <v>3931</v>
      </c>
      <c r="T343" s="14" t="s">
        <v>3932</v>
      </c>
      <c r="U343" s="14">
        <v>0.92500000000000004</v>
      </c>
      <c r="V343" s="14">
        <v>1.22861111111111</v>
      </c>
      <c r="W343" s="14">
        <v>719</v>
      </c>
      <c r="X343" s="14">
        <v>80</v>
      </c>
      <c r="Y343" s="14">
        <v>639</v>
      </c>
      <c r="Z343" s="14">
        <v>1781</v>
      </c>
      <c r="AA343" s="14">
        <v>261</v>
      </c>
      <c r="AB343" s="14">
        <v>290</v>
      </c>
      <c r="AC343" s="14">
        <v>1182</v>
      </c>
      <c r="AD343" s="14">
        <v>48</v>
      </c>
      <c r="AE343" s="14">
        <v>2500</v>
      </c>
      <c r="AF343" s="14">
        <v>5000</v>
      </c>
      <c r="AG343" s="14">
        <v>2272</v>
      </c>
      <c r="AH343" s="14">
        <v>0</v>
      </c>
      <c r="AI343" s="14">
        <v>52</v>
      </c>
      <c r="AJ343" s="14">
        <v>209</v>
      </c>
      <c r="AK343" s="14" t="s">
        <v>3929</v>
      </c>
      <c r="AL343" s="14" t="s">
        <v>3933</v>
      </c>
      <c r="AM343" s="14">
        <v>202.63</v>
      </c>
      <c r="AN343" s="14">
        <v>184.55</v>
      </c>
      <c r="AO343" s="14">
        <v>54.99</v>
      </c>
      <c r="AP343" s="14">
        <v>22525</v>
      </c>
      <c r="AQ343" s="14">
        <v>22445</v>
      </c>
      <c r="AR343" s="14">
        <v>23000</v>
      </c>
      <c r="AS343" s="14">
        <v>20025</v>
      </c>
      <c r="AT343" s="14">
        <v>21806</v>
      </c>
      <c r="AU343" s="14">
        <v>-1</v>
      </c>
      <c r="AV343" s="14">
        <v>274.87</v>
      </c>
      <c r="AW343" s="14">
        <v>12.7</v>
      </c>
      <c r="AX343" s="14">
        <v>5.87</v>
      </c>
      <c r="AY343" s="14" t="b">
        <v>0</v>
      </c>
    </row>
    <row r="344" spans="1:51" hidden="1" x14ac:dyDescent="0.3">
      <c r="A344" t="str">
        <f>CONCATENATE(I344,E344,LEFT(G344,10))</f>
        <v>HFA604LLER2026-02-21</v>
      </c>
      <c r="B344" s="14" t="s">
        <v>3825</v>
      </c>
      <c r="C344" s="14" t="s">
        <v>336</v>
      </c>
      <c r="D344" s="14" t="s">
        <v>337</v>
      </c>
      <c r="E344" s="14" t="s">
        <v>59</v>
      </c>
      <c r="F344" s="14" t="s">
        <v>43</v>
      </c>
      <c r="G344" s="14" t="s">
        <v>3826</v>
      </c>
      <c r="H344" s="14" t="s">
        <v>339</v>
      </c>
      <c r="I344" s="14" t="s">
        <v>73</v>
      </c>
      <c r="J344" s="14" t="s">
        <v>83</v>
      </c>
      <c r="K344" s="14" t="s">
        <v>340</v>
      </c>
      <c r="L344" s="14" t="s">
        <v>341</v>
      </c>
      <c r="M344" s="16" t="s">
        <v>682</v>
      </c>
      <c r="N344" s="14"/>
      <c r="O344" s="14" t="s">
        <v>395</v>
      </c>
      <c r="P344" s="14">
        <v>120</v>
      </c>
      <c r="Q344" s="14">
        <v>2</v>
      </c>
      <c r="R344" s="14">
        <v>6000</v>
      </c>
      <c r="S344" s="14" t="s">
        <v>3827</v>
      </c>
      <c r="T344" s="14" t="s">
        <v>3828</v>
      </c>
      <c r="U344" s="14">
        <v>0.85750000000000004</v>
      </c>
      <c r="V344" s="14">
        <v>1.0166666666666599</v>
      </c>
      <c r="W344" s="14">
        <v>677</v>
      </c>
      <c r="X344" s="14">
        <v>80</v>
      </c>
      <c r="Y344" s="14">
        <v>597</v>
      </c>
      <c r="Z344" s="14">
        <v>1823</v>
      </c>
      <c r="AA344" s="14">
        <v>263</v>
      </c>
      <c r="AB344" s="14">
        <v>284</v>
      </c>
      <c r="AC344" s="14">
        <v>1229</v>
      </c>
      <c r="AD344" s="14">
        <v>47</v>
      </c>
      <c r="AE344" s="14">
        <v>2500</v>
      </c>
      <c r="AF344" s="14">
        <v>5000</v>
      </c>
      <c r="AG344" s="14">
        <v>2139</v>
      </c>
      <c r="AH344" s="14">
        <v>0</v>
      </c>
      <c r="AI344" s="14">
        <v>49</v>
      </c>
      <c r="AJ344" s="14">
        <v>211</v>
      </c>
      <c r="AK344" s="14" t="s">
        <v>3826</v>
      </c>
      <c r="AL344" s="14" t="s">
        <v>3829</v>
      </c>
      <c r="AM344" s="14">
        <v>202.63</v>
      </c>
      <c r="AN344" s="14">
        <v>184.55</v>
      </c>
      <c r="AO344" s="14">
        <v>54.99</v>
      </c>
      <c r="AP344" s="14">
        <v>21825</v>
      </c>
      <c r="AQ344" s="14">
        <v>21745</v>
      </c>
      <c r="AR344" s="14">
        <v>23000</v>
      </c>
      <c r="AS344" s="14">
        <v>19325</v>
      </c>
      <c r="AT344" s="14">
        <v>21148</v>
      </c>
      <c r="AU344" s="14">
        <v>15</v>
      </c>
      <c r="AV344" s="14">
        <v>226.33</v>
      </c>
      <c r="AW344" s="14">
        <v>25.55</v>
      </c>
      <c r="AX344" s="14">
        <v>6.76</v>
      </c>
      <c r="AY344" s="14" t="b">
        <v>0</v>
      </c>
    </row>
    <row r="345" spans="1:51" hidden="1" x14ac:dyDescent="0.3">
      <c r="A345" t="str">
        <f>CONCATENATE(I345,E345,LEFT(G345,10))</f>
        <v>HFA604LLER2026-02-26</v>
      </c>
      <c r="B345" s="14" t="s">
        <v>3486</v>
      </c>
      <c r="C345" s="14" t="s">
        <v>336</v>
      </c>
      <c r="D345" s="14" t="s">
        <v>337</v>
      </c>
      <c r="E345" s="14" t="s">
        <v>59</v>
      </c>
      <c r="F345" s="14" t="s">
        <v>43</v>
      </c>
      <c r="G345" s="14" t="s">
        <v>3487</v>
      </c>
      <c r="H345" s="14" t="s">
        <v>371</v>
      </c>
      <c r="I345" s="14" t="s">
        <v>73</v>
      </c>
      <c r="J345" s="14" t="s">
        <v>83</v>
      </c>
      <c r="K345" s="14" t="s">
        <v>340</v>
      </c>
      <c r="L345" s="14" t="s">
        <v>341</v>
      </c>
      <c r="M345" s="16" t="s">
        <v>543</v>
      </c>
      <c r="N345" s="14"/>
      <c r="O345" s="14" t="s">
        <v>3488</v>
      </c>
      <c r="P345" s="14">
        <v>120</v>
      </c>
      <c r="Q345" s="14">
        <v>2</v>
      </c>
      <c r="R345" s="14">
        <v>6900</v>
      </c>
      <c r="S345" s="14" t="s">
        <v>3489</v>
      </c>
      <c r="T345" s="14" t="s">
        <v>3490</v>
      </c>
      <c r="U345" s="14">
        <v>0.91888888888888798</v>
      </c>
      <c r="V345" s="14">
        <v>1.1202777777777699</v>
      </c>
      <c r="W345" s="14">
        <v>747</v>
      </c>
      <c r="X345" s="14">
        <v>80</v>
      </c>
      <c r="Y345" s="14">
        <v>667</v>
      </c>
      <c r="Z345" s="14">
        <v>1453</v>
      </c>
      <c r="AA345" s="14">
        <v>269</v>
      </c>
      <c r="AB345" s="14">
        <v>291</v>
      </c>
      <c r="AC345" s="14">
        <v>844</v>
      </c>
      <c r="AD345" s="14">
        <v>48</v>
      </c>
      <c r="AE345" s="14">
        <v>2200</v>
      </c>
      <c r="AF345" s="14">
        <v>5000</v>
      </c>
      <c r="AG345" s="14">
        <v>2361</v>
      </c>
      <c r="AH345" s="14">
        <v>0</v>
      </c>
      <c r="AI345" s="14">
        <v>52</v>
      </c>
      <c r="AJ345" s="14">
        <v>177</v>
      </c>
      <c r="AK345" s="14" t="s">
        <v>3487</v>
      </c>
      <c r="AL345" s="14" t="s">
        <v>3491</v>
      </c>
      <c r="AM345" s="14">
        <v>202.63</v>
      </c>
      <c r="AN345" s="14">
        <v>184.55</v>
      </c>
      <c r="AO345" s="14">
        <v>54.99</v>
      </c>
      <c r="AP345" s="14">
        <v>22600</v>
      </c>
      <c r="AQ345" s="14">
        <v>22520</v>
      </c>
      <c r="AR345" s="14">
        <v>23000</v>
      </c>
      <c r="AS345" s="14">
        <v>20400</v>
      </c>
      <c r="AT345" s="14">
        <v>21853</v>
      </c>
      <c r="AU345" s="14">
        <v>-5</v>
      </c>
      <c r="AV345" s="14">
        <v>275.75</v>
      </c>
      <c r="AW345" s="14">
        <v>35.29</v>
      </c>
      <c r="AX345" s="14">
        <v>3.53</v>
      </c>
      <c r="AY345" s="14" t="b">
        <v>0</v>
      </c>
    </row>
    <row r="346" spans="1:51" hidden="1" x14ac:dyDescent="0.3">
      <c r="A346" t="str">
        <f>CONCATENATE(I346,E346,LEFT(G346,10))</f>
        <v>HFA605LLHA2026-01-01</v>
      </c>
      <c r="B346" s="14" t="s">
        <v>4494</v>
      </c>
      <c r="C346" s="14" t="s">
        <v>336</v>
      </c>
      <c r="D346" s="14" t="s">
        <v>337</v>
      </c>
      <c r="E346" s="14" t="s">
        <v>43</v>
      </c>
      <c r="F346" s="14" t="s">
        <v>59</v>
      </c>
      <c r="G346" s="14" t="s">
        <v>4495</v>
      </c>
      <c r="H346" s="14" t="s">
        <v>339</v>
      </c>
      <c r="I346" s="14" t="s">
        <v>62</v>
      </c>
      <c r="J346" s="14" t="s">
        <v>83</v>
      </c>
      <c r="K346" s="14" t="s">
        <v>349</v>
      </c>
      <c r="L346" s="14" t="s">
        <v>341</v>
      </c>
      <c r="M346" s="16" t="s">
        <v>4496</v>
      </c>
      <c r="N346" s="14"/>
      <c r="O346" s="14" t="s">
        <v>4497</v>
      </c>
      <c r="P346" s="14">
        <v>50</v>
      </c>
      <c r="Q346" s="14">
        <v>2</v>
      </c>
      <c r="R346" s="14">
        <v>3700</v>
      </c>
      <c r="S346" s="14" t="s">
        <v>4498</v>
      </c>
      <c r="T346" s="14" t="s">
        <v>4499</v>
      </c>
      <c r="U346" s="14">
        <v>0.96972222222222204</v>
      </c>
      <c r="V346" s="14">
        <v>1.1088888888888799</v>
      </c>
      <c r="W346" s="14">
        <v>784</v>
      </c>
      <c r="X346" s="14">
        <v>50</v>
      </c>
      <c r="Y346" s="14">
        <v>734</v>
      </c>
      <c r="Z346" s="14">
        <v>1046</v>
      </c>
      <c r="AA346" s="14">
        <v>548</v>
      </c>
      <c r="AB346" s="14">
        <v>256</v>
      </c>
      <c r="AC346" s="14">
        <v>200</v>
      </c>
      <c r="AD346" s="14">
        <v>43</v>
      </c>
      <c r="AE346" s="14">
        <v>1831</v>
      </c>
      <c r="AF346" s="14">
        <v>5000</v>
      </c>
      <c r="AG346" s="14">
        <v>2479</v>
      </c>
      <c r="AH346" s="14">
        <v>0</v>
      </c>
      <c r="AI346" s="14">
        <v>58</v>
      </c>
      <c r="AJ346" s="14">
        <v>149</v>
      </c>
      <c r="AK346" s="14" t="s">
        <v>4495</v>
      </c>
      <c r="AL346" s="14" t="s">
        <v>4500</v>
      </c>
      <c r="AM346" s="14">
        <v>230.38</v>
      </c>
      <c r="AN346" s="14">
        <v>184.55</v>
      </c>
      <c r="AO346" s="14">
        <v>155.72</v>
      </c>
      <c r="AP346" s="14">
        <v>18856</v>
      </c>
      <c r="AQ346" s="14">
        <v>18806</v>
      </c>
      <c r="AR346" s="14">
        <v>23000</v>
      </c>
      <c r="AS346" s="14">
        <v>17025</v>
      </c>
      <c r="AT346" s="14">
        <v>18071</v>
      </c>
      <c r="AU346" s="14">
        <v>-7</v>
      </c>
      <c r="AV346" s="14">
        <v>263.74</v>
      </c>
      <c r="AW346" s="14">
        <v>40.47</v>
      </c>
      <c r="AX346" s="14">
        <v>2.08</v>
      </c>
      <c r="AY346" s="14" t="b">
        <v>0</v>
      </c>
    </row>
    <row r="347" spans="1:51" hidden="1" x14ac:dyDescent="0.3">
      <c r="A347" t="str">
        <f>CONCATENATE(I347,E347,LEFT(G347,10))</f>
        <v>HFA605LLHA2026-01-04</v>
      </c>
      <c r="B347" s="14" t="s">
        <v>5352</v>
      </c>
      <c r="C347" s="14" t="s">
        <v>336</v>
      </c>
      <c r="D347" s="14" t="s">
        <v>337</v>
      </c>
      <c r="E347" s="14" t="s">
        <v>43</v>
      </c>
      <c r="F347" s="14" t="s">
        <v>59</v>
      </c>
      <c r="G347" s="14" t="s">
        <v>5353</v>
      </c>
      <c r="H347" s="14" t="s">
        <v>339</v>
      </c>
      <c r="I347" s="14" t="s">
        <v>62</v>
      </c>
      <c r="J347" s="14" t="s">
        <v>83</v>
      </c>
      <c r="K347" s="14" t="s">
        <v>349</v>
      </c>
      <c r="L347" s="14" t="s">
        <v>341</v>
      </c>
      <c r="M347" s="16" t="s">
        <v>5348</v>
      </c>
      <c r="N347" s="14"/>
      <c r="O347" s="14" t="s">
        <v>5354</v>
      </c>
      <c r="P347" s="14">
        <v>50</v>
      </c>
      <c r="Q347" s="14">
        <v>3</v>
      </c>
      <c r="R347" s="14">
        <v>5100</v>
      </c>
      <c r="S347" s="14" t="s">
        <v>5355</v>
      </c>
      <c r="T347" s="14" t="s">
        <v>5356</v>
      </c>
      <c r="U347" s="14">
        <v>0.99694444444444397</v>
      </c>
      <c r="V347" s="14">
        <v>1.1083333333333301</v>
      </c>
      <c r="W347" s="14">
        <v>781</v>
      </c>
      <c r="X347" s="14">
        <v>50</v>
      </c>
      <c r="Y347" s="14">
        <v>731</v>
      </c>
      <c r="Z347" s="14">
        <v>940</v>
      </c>
      <c r="AA347" s="14">
        <v>529</v>
      </c>
      <c r="AB347" s="14">
        <v>267</v>
      </c>
      <c r="AC347" s="14">
        <v>100</v>
      </c>
      <c r="AD347" s="14">
        <v>44</v>
      </c>
      <c r="AE347" s="14">
        <v>1721</v>
      </c>
      <c r="AF347" s="14">
        <v>5000</v>
      </c>
      <c r="AG347" s="14">
        <v>2467</v>
      </c>
      <c r="AH347" s="14">
        <v>0</v>
      </c>
      <c r="AI347" s="14">
        <v>59</v>
      </c>
      <c r="AJ347" s="14">
        <v>141</v>
      </c>
      <c r="AK347" s="14" t="s">
        <v>5353</v>
      </c>
      <c r="AL347" s="14" t="s">
        <v>5357</v>
      </c>
      <c r="AM347" s="14">
        <v>230.38</v>
      </c>
      <c r="AN347" s="14">
        <v>184.55</v>
      </c>
      <c r="AO347" s="14">
        <v>155.72</v>
      </c>
      <c r="AP347" s="14">
        <v>20146</v>
      </c>
      <c r="AQ347" s="14">
        <v>20096</v>
      </c>
      <c r="AR347" s="14">
        <v>23000</v>
      </c>
      <c r="AS347" s="14">
        <v>18425</v>
      </c>
      <c r="AT347" s="14">
        <v>19365</v>
      </c>
      <c r="AU347" s="14">
        <v>-8</v>
      </c>
      <c r="AV347" s="14">
        <v>182.01</v>
      </c>
      <c r="AW347" s="14">
        <v>9.5399999999999991</v>
      </c>
      <c r="AX347" s="14">
        <v>7.36</v>
      </c>
      <c r="AY347" s="14" t="b">
        <v>0</v>
      </c>
    </row>
    <row r="348" spans="1:51" hidden="1" x14ac:dyDescent="0.3">
      <c r="A348" t="str">
        <f>CONCATENATE(I348,E348,LEFT(G348,10))</f>
        <v>HFA605LLHA2026-01-05</v>
      </c>
      <c r="B348" s="14" t="s">
        <v>1680</v>
      </c>
      <c r="C348" s="14" t="s">
        <v>336</v>
      </c>
      <c r="D348" s="14" t="s">
        <v>337</v>
      </c>
      <c r="E348" s="14" t="s">
        <v>43</v>
      </c>
      <c r="F348" s="14" t="s">
        <v>59</v>
      </c>
      <c r="G348" s="14" t="s">
        <v>1681</v>
      </c>
      <c r="H348" s="14" t="s">
        <v>371</v>
      </c>
      <c r="I348" s="14" t="s">
        <v>62</v>
      </c>
      <c r="J348" s="14" t="s">
        <v>83</v>
      </c>
      <c r="K348" s="14" t="s">
        <v>349</v>
      </c>
      <c r="L348" s="14" t="s">
        <v>341</v>
      </c>
      <c r="M348" s="16" t="s">
        <v>1682</v>
      </c>
      <c r="N348" s="14"/>
      <c r="O348" s="14" t="s">
        <v>1529</v>
      </c>
      <c r="P348" s="14">
        <v>50</v>
      </c>
      <c r="Q348" s="14">
        <v>2</v>
      </c>
      <c r="R348" s="14">
        <v>3500</v>
      </c>
      <c r="S348" s="14" t="s">
        <v>1683</v>
      </c>
      <c r="T348" s="14" t="s">
        <v>1684</v>
      </c>
      <c r="U348" s="14">
        <v>0.95194444444444404</v>
      </c>
      <c r="V348" s="14">
        <v>1.0444444444444401</v>
      </c>
      <c r="W348" s="14">
        <v>768</v>
      </c>
      <c r="X348" s="14">
        <v>50</v>
      </c>
      <c r="Y348" s="14">
        <v>718</v>
      </c>
      <c r="Z348" s="14">
        <v>939</v>
      </c>
      <c r="AA348" s="14">
        <v>542</v>
      </c>
      <c r="AB348" s="14">
        <v>255</v>
      </c>
      <c r="AC348" s="14">
        <v>100</v>
      </c>
      <c r="AD348" s="14">
        <v>42</v>
      </c>
      <c r="AE348" s="14">
        <v>1707</v>
      </c>
      <c r="AF348" s="14">
        <v>5000</v>
      </c>
      <c r="AG348" s="14">
        <v>2426</v>
      </c>
      <c r="AH348" s="14">
        <v>0</v>
      </c>
      <c r="AI348" s="14">
        <v>57</v>
      </c>
      <c r="AJ348" s="14">
        <v>140</v>
      </c>
      <c r="AK348" s="14" t="s">
        <v>1681</v>
      </c>
      <c r="AL348" s="14" t="s">
        <v>1685</v>
      </c>
      <c r="AM348" s="14">
        <v>230.38</v>
      </c>
      <c r="AN348" s="14">
        <v>184.55</v>
      </c>
      <c r="AO348" s="14">
        <v>155.72</v>
      </c>
      <c r="AP348" s="14">
        <v>18707</v>
      </c>
      <c r="AQ348" s="14">
        <v>18657</v>
      </c>
      <c r="AR348" s="14">
        <v>23000</v>
      </c>
      <c r="AS348" s="14">
        <v>17000</v>
      </c>
      <c r="AT348" s="14">
        <v>17939</v>
      </c>
      <c r="AU348" s="14">
        <v>-1</v>
      </c>
      <c r="AV348" s="14">
        <v>238.99</v>
      </c>
      <c r="AW348" s="14">
        <v>1.71</v>
      </c>
      <c r="AX348" s="14">
        <v>7.7</v>
      </c>
      <c r="AY348" s="14" t="b">
        <v>0</v>
      </c>
    </row>
    <row r="349" spans="1:51" hidden="1" x14ac:dyDescent="0.3">
      <c r="A349" t="str">
        <f>CONCATENATE(I349,E349,LEFT(G349,10))</f>
        <v>HFA605LLHA2026-01-06</v>
      </c>
      <c r="B349" s="14" t="s">
        <v>4834</v>
      </c>
      <c r="C349" s="14" t="s">
        <v>336</v>
      </c>
      <c r="D349" s="14" t="s">
        <v>337</v>
      </c>
      <c r="E349" s="14" t="s">
        <v>43</v>
      </c>
      <c r="F349" s="14" t="s">
        <v>59</v>
      </c>
      <c r="G349" s="14" t="s">
        <v>4835</v>
      </c>
      <c r="H349" s="14" t="s">
        <v>371</v>
      </c>
      <c r="I349" s="14" t="s">
        <v>62</v>
      </c>
      <c r="J349" s="14" t="s">
        <v>83</v>
      </c>
      <c r="K349" s="14" t="s">
        <v>349</v>
      </c>
      <c r="L349" s="14" t="s">
        <v>341</v>
      </c>
      <c r="M349" s="16" t="s">
        <v>4836</v>
      </c>
      <c r="N349" s="14"/>
      <c r="O349" s="14" t="s">
        <v>3951</v>
      </c>
      <c r="P349" s="14">
        <v>50</v>
      </c>
      <c r="Q349" s="14">
        <v>2</v>
      </c>
      <c r="R349" s="14">
        <v>4300</v>
      </c>
      <c r="S349" s="14" t="s">
        <v>4837</v>
      </c>
      <c r="T349" s="14" t="s">
        <v>4838</v>
      </c>
      <c r="U349" s="14">
        <v>0.97138888888888797</v>
      </c>
      <c r="V349" s="14">
        <v>1.13194444444444</v>
      </c>
      <c r="W349" s="14">
        <v>774</v>
      </c>
      <c r="X349" s="14">
        <v>50</v>
      </c>
      <c r="Y349" s="14">
        <v>724</v>
      </c>
      <c r="Z349" s="14">
        <v>1076</v>
      </c>
      <c r="AA349" s="14">
        <v>552</v>
      </c>
      <c r="AB349" s="14">
        <v>262</v>
      </c>
      <c r="AC349" s="14">
        <v>217</v>
      </c>
      <c r="AD349" s="14">
        <v>44</v>
      </c>
      <c r="AE349" s="14">
        <v>1850</v>
      </c>
      <c r="AF349" s="14">
        <v>5000</v>
      </c>
      <c r="AG349" s="14">
        <v>2447</v>
      </c>
      <c r="AH349" s="14">
        <v>0</v>
      </c>
      <c r="AI349" s="14">
        <v>57</v>
      </c>
      <c r="AJ349" s="14">
        <v>151</v>
      </c>
      <c r="AK349" s="14" t="s">
        <v>4835</v>
      </c>
      <c r="AL349" s="14" t="s">
        <v>4839</v>
      </c>
      <c r="AM349" s="14">
        <v>230.38</v>
      </c>
      <c r="AN349" s="14">
        <v>184.55</v>
      </c>
      <c r="AO349" s="14">
        <v>155.72</v>
      </c>
      <c r="AP349" s="14">
        <v>19650</v>
      </c>
      <c r="AQ349" s="14">
        <v>19600</v>
      </c>
      <c r="AR349" s="14">
        <v>23000</v>
      </c>
      <c r="AS349" s="14">
        <v>17800</v>
      </c>
      <c r="AT349" s="14">
        <v>18876</v>
      </c>
      <c r="AU349" s="14">
        <v>-2</v>
      </c>
      <c r="AV349" s="14">
        <v>268.8</v>
      </c>
      <c r="AW349" s="14">
        <v>17.38</v>
      </c>
      <c r="AX349" s="14">
        <v>8.44</v>
      </c>
      <c r="AY349" s="14" t="b">
        <v>0</v>
      </c>
    </row>
    <row r="350" spans="1:51" hidden="1" x14ac:dyDescent="0.3">
      <c r="A350" t="str">
        <f>CONCATENATE(I350,E350,LEFT(G350,10))</f>
        <v>HFA605LLHA2026-01-07</v>
      </c>
      <c r="B350" s="14" t="s">
        <v>1401</v>
      </c>
      <c r="C350" s="14" t="s">
        <v>336</v>
      </c>
      <c r="D350" s="14" t="s">
        <v>337</v>
      </c>
      <c r="E350" s="14" t="s">
        <v>43</v>
      </c>
      <c r="F350" s="14" t="s">
        <v>59</v>
      </c>
      <c r="G350" s="14" t="s">
        <v>1402</v>
      </c>
      <c r="H350" s="14" t="s">
        <v>371</v>
      </c>
      <c r="I350" s="14" t="s">
        <v>62</v>
      </c>
      <c r="J350" s="14" t="s">
        <v>83</v>
      </c>
      <c r="K350" s="14" t="s">
        <v>349</v>
      </c>
      <c r="L350" s="14" t="s">
        <v>341</v>
      </c>
      <c r="M350" s="16" t="s">
        <v>1403</v>
      </c>
      <c r="N350" s="14"/>
      <c r="O350" s="14" t="s">
        <v>739</v>
      </c>
      <c r="P350" s="14">
        <v>50</v>
      </c>
      <c r="Q350" s="14">
        <v>2</v>
      </c>
      <c r="R350" s="14">
        <v>4600</v>
      </c>
      <c r="S350" s="14" t="s">
        <v>1404</v>
      </c>
      <c r="T350" s="14" t="s">
        <v>1405</v>
      </c>
      <c r="U350" s="14">
        <v>1.0024999999999999</v>
      </c>
      <c r="V350" s="14">
        <v>1.1599999999999999</v>
      </c>
      <c r="W350" s="14">
        <v>759</v>
      </c>
      <c r="X350" s="14">
        <v>50</v>
      </c>
      <c r="Y350" s="14">
        <v>709</v>
      </c>
      <c r="Z350" s="14">
        <v>972</v>
      </c>
      <c r="AA350" s="14">
        <v>564</v>
      </c>
      <c r="AB350" s="14">
        <v>264</v>
      </c>
      <c r="AC350" s="14">
        <v>100</v>
      </c>
      <c r="AD350" s="14">
        <v>44</v>
      </c>
      <c r="AE350" s="14">
        <v>1732</v>
      </c>
      <c r="AF350" s="14">
        <v>5000</v>
      </c>
      <c r="AG350" s="14">
        <v>2400</v>
      </c>
      <c r="AH350" s="14">
        <v>0</v>
      </c>
      <c r="AI350" s="14">
        <v>56</v>
      </c>
      <c r="AJ350" s="14">
        <v>140</v>
      </c>
      <c r="AK350" s="14" t="s">
        <v>1402</v>
      </c>
      <c r="AL350" s="14" t="s">
        <v>1406</v>
      </c>
      <c r="AM350" s="14">
        <v>230.38</v>
      </c>
      <c r="AN350" s="14">
        <v>184.55</v>
      </c>
      <c r="AO350" s="14">
        <v>155.72</v>
      </c>
      <c r="AP350" s="14">
        <v>19832</v>
      </c>
      <c r="AQ350" s="14">
        <v>19782</v>
      </c>
      <c r="AR350" s="14">
        <v>23000</v>
      </c>
      <c r="AS350" s="14">
        <v>18100</v>
      </c>
      <c r="AT350" s="14">
        <v>19072</v>
      </c>
      <c r="AU350" s="14">
        <v>4</v>
      </c>
      <c r="AV350" s="14">
        <v>303.08999999999997</v>
      </c>
      <c r="AW350" s="14">
        <v>12.79</v>
      </c>
      <c r="AX350" s="14">
        <v>8.73</v>
      </c>
      <c r="AY350" s="14" t="b">
        <v>0</v>
      </c>
    </row>
    <row r="351" spans="1:51" hidden="1" x14ac:dyDescent="0.3">
      <c r="A351" t="str">
        <f>CONCATENATE(I351,E351,LEFT(G351,10))</f>
        <v>HFA605LLHA2026-01-08</v>
      </c>
      <c r="B351" s="14" t="s">
        <v>2855</v>
      </c>
      <c r="C351" s="14" t="s">
        <v>336</v>
      </c>
      <c r="D351" s="14" t="s">
        <v>337</v>
      </c>
      <c r="E351" s="14" t="s">
        <v>43</v>
      </c>
      <c r="F351" s="14" t="s">
        <v>59</v>
      </c>
      <c r="G351" s="14" t="s">
        <v>2856</v>
      </c>
      <c r="H351" s="14" t="s">
        <v>371</v>
      </c>
      <c r="I351" s="14" t="s">
        <v>62</v>
      </c>
      <c r="J351" s="14" t="s">
        <v>83</v>
      </c>
      <c r="K351" s="14" t="s">
        <v>349</v>
      </c>
      <c r="L351" s="14" t="s">
        <v>341</v>
      </c>
      <c r="M351" s="16" t="s">
        <v>2851</v>
      </c>
      <c r="N351" s="14"/>
      <c r="O351" s="14" t="s">
        <v>1529</v>
      </c>
      <c r="P351" s="14">
        <v>50</v>
      </c>
      <c r="Q351" s="14">
        <v>2</v>
      </c>
      <c r="R351" s="14">
        <v>3100</v>
      </c>
      <c r="S351" s="14" t="s">
        <v>2857</v>
      </c>
      <c r="T351" s="14" t="s">
        <v>2858</v>
      </c>
      <c r="U351" s="14">
        <v>0.95416666666666605</v>
      </c>
      <c r="V351" s="14">
        <v>1.0927777777777701</v>
      </c>
      <c r="W351" s="14">
        <v>793</v>
      </c>
      <c r="X351" s="14">
        <v>50</v>
      </c>
      <c r="Y351" s="14">
        <v>743</v>
      </c>
      <c r="Z351" s="14">
        <v>907</v>
      </c>
      <c r="AA351" s="14">
        <v>517</v>
      </c>
      <c r="AB351" s="14">
        <v>251</v>
      </c>
      <c r="AC351" s="14">
        <v>97</v>
      </c>
      <c r="AD351" s="14">
        <v>42</v>
      </c>
      <c r="AE351" s="14">
        <v>1700</v>
      </c>
      <c r="AF351" s="14">
        <v>5000</v>
      </c>
      <c r="AG351" s="14">
        <v>2505</v>
      </c>
      <c r="AH351" s="14">
        <v>0</v>
      </c>
      <c r="AI351" s="14">
        <v>60</v>
      </c>
      <c r="AJ351" s="14">
        <v>140</v>
      </c>
      <c r="AK351" s="14" t="s">
        <v>2856</v>
      </c>
      <c r="AL351" s="14" t="s">
        <v>2859</v>
      </c>
      <c r="AM351" s="14">
        <v>230.38</v>
      </c>
      <c r="AN351" s="14">
        <v>184.55</v>
      </c>
      <c r="AO351" s="14">
        <v>155.72</v>
      </c>
      <c r="AP351" s="14">
        <v>18300</v>
      </c>
      <c r="AQ351" s="14">
        <v>18250</v>
      </c>
      <c r="AR351" s="14">
        <v>23000</v>
      </c>
      <c r="AS351" s="14">
        <v>16600</v>
      </c>
      <c r="AT351" s="14">
        <v>17507</v>
      </c>
      <c r="AU351" s="14">
        <v>-13</v>
      </c>
      <c r="AV351" s="14">
        <v>224.51</v>
      </c>
      <c r="AW351" s="14">
        <v>22.12</v>
      </c>
      <c r="AX351" s="14">
        <v>9.9499999999999993</v>
      </c>
      <c r="AY351" s="14" t="b">
        <v>0</v>
      </c>
    </row>
    <row r="352" spans="1:51" hidden="1" x14ac:dyDescent="0.3">
      <c r="A352" t="str">
        <f>CONCATENATE(I352,E352,LEFT(G352,10))</f>
        <v>HFA605LLHA2026-01-11</v>
      </c>
      <c r="B352" s="14" t="s">
        <v>2195</v>
      </c>
      <c r="C352" s="14" t="s">
        <v>336</v>
      </c>
      <c r="D352" s="14" t="s">
        <v>337</v>
      </c>
      <c r="E352" s="14" t="s">
        <v>43</v>
      </c>
      <c r="F352" s="14" t="s">
        <v>59</v>
      </c>
      <c r="G352" s="14" t="s">
        <v>2196</v>
      </c>
      <c r="H352" s="14" t="s">
        <v>436</v>
      </c>
      <c r="I352" s="14" t="s">
        <v>62</v>
      </c>
      <c r="J352" s="14" t="s">
        <v>83</v>
      </c>
      <c r="K352" s="14" t="s">
        <v>349</v>
      </c>
      <c r="L352" s="14" t="s">
        <v>341</v>
      </c>
      <c r="M352" s="16" t="s">
        <v>2197</v>
      </c>
      <c r="N352" s="14" t="s">
        <v>359</v>
      </c>
      <c r="O352" s="14" t="s">
        <v>2198</v>
      </c>
      <c r="P352" s="14">
        <v>50</v>
      </c>
      <c r="Q352" s="14">
        <v>2</v>
      </c>
      <c r="R352" s="14">
        <v>1900</v>
      </c>
      <c r="S352" s="14" t="s">
        <v>2199</v>
      </c>
      <c r="T352" s="14" t="s">
        <v>2200</v>
      </c>
      <c r="U352" s="14">
        <v>0.89944444444444405</v>
      </c>
      <c r="V352" s="14">
        <v>1.00722222222222</v>
      </c>
      <c r="W352" s="14">
        <v>788</v>
      </c>
      <c r="X352" s="14">
        <v>50</v>
      </c>
      <c r="Y352" s="14">
        <v>738</v>
      </c>
      <c r="Z352" s="14">
        <v>899</v>
      </c>
      <c r="AA352" s="14">
        <v>519</v>
      </c>
      <c r="AB352" s="14">
        <v>240</v>
      </c>
      <c r="AC352" s="14">
        <v>100</v>
      </c>
      <c r="AD352" s="14">
        <v>40</v>
      </c>
      <c r="AE352" s="14">
        <v>1687</v>
      </c>
      <c r="AF352" s="14">
        <v>5000</v>
      </c>
      <c r="AG352" s="14">
        <v>2490</v>
      </c>
      <c r="AH352" s="14">
        <v>0</v>
      </c>
      <c r="AI352" s="14">
        <v>58</v>
      </c>
      <c r="AJ352" s="14">
        <v>139</v>
      </c>
      <c r="AK352" s="14" t="s">
        <v>2196</v>
      </c>
      <c r="AL352" s="14" t="s">
        <v>2201</v>
      </c>
      <c r="AM352" s="14">
        <v>230.38</v>
      </c>
      <c r="AN352" s="14">
        <v>184.55</v>
      </c>
      <c r="AO352" s="14">
        <v>155.72</v>
      </c>
      <c r="AP352" s="14">
        <v>16792</v>
      </c>
      <c r="AQ352" s="14">
        <v>16742</v>
      </c>
      <c r="AR352" s="14">
        <v>23000</v>
      </c>
      <c r="AS352" s="14">
        <v>15105</v>
      </c>
      <c r="AT352" s="14">
        <v>16004</v>
      </c>
      <c r="AU352" s="14">
        <v>-12</v>
      </c>
      <c r="AV352" s="14">
        <v>240.81</v>
      </c>
      <c r="AW352" s="14">
        <v>26.85</v>
      </c>
      <c r="AX352" s="14">
        <v>4.6100000000000003</v>
      </c>
      <c r="AY352" s="14" t="b">
        <v>0</v>
      </c>
    </row>
    <row r="353" spans="1:51" hidden="1" x14ac:dyDescent="0.3">
      <c r="A353" t="str">
        <f>CONCATENATE(I353,E353,LEFT(G353,10))</f>
        <v>HFA605LLHA2026-01-12</v>
      </c>
      <c r="B353" s="14" t="s">
        <v>6021</v>
      </c>
      <c r="C353" s="14" t="s">
        <v>336</v>
      </c>
      <c r="D353" s="14" t="s">
        <v>337</v>
      </c>
      <c r="E353" s="14" t="s">
        <v>43</v>
      </c>
      <c r="F353" s="14" t="s">
        <v>59</v>
      </c>
      <c r="G353" s="14" t="s">
        <v>6022</v>
      </c>
      <c r="H353" s="14" t="s">
        <v>339</v>
      </c>
      <c r="I353" s="14" t="s">
        <v>62</v>
      </c>
      <c r="J353" s="14" t="s">
        <v>83</v>
      </c>
      <c r="K353" s="14" t="s">
        <v>349</v>
      </c>
      <c r="L353" s="14" t="s">
        <v>341</v>
      </c>
      <c r="M353" s="16" t="s">
        <v>6023</v>
      </c>
      <c r="N353" s="14"/>
      <c r="O353" s="14" t="s">
        <v>6024</v>
      </c>
      <c r="P353" s="14">
        <v>50</v>
      </c>
      <c r="Q353" s="14">
        <v>2</v>
      </c>
      <c r="R353" s="14">
        <v>2800</v>
      </c>
      <c r="S353" s="14" t="s">
        <v>6025</v>
      </c>
      <c r="T353" s="14" t="s">
        <v>6026</v>
      </c>
      <c r="U353" s="14">
        <v>-1.05111111111111</v>
      </c>
      <c r="V353" s="14">
        <v>1.05944444444444</v>
      </c>
      <c r="W353" s="14">
        <v>809</v>
      </c>
      <c r="X353" s="14">
        <v>50</v>
      </c>
      <c r="Y353" s="14">
        <v>759</v>
      </c>
      <c r="Z353" s="14">
        <v>1041</v>
      </c>
      <c r="AA353" s="14">
        <v>522</v>
      </c>
      <c r="AB353" s="14">
        <v>249</v>
      </c>
      <c r="AC353" s="14">
        <v>229</v>
      </c>
      <c r="AD353" s="14">
        <v>41</v>
      </c>
      <c r="AE353" s="14">
        <v>1850</v>
      </c>
      <c r="AF353" s="14">
        <v>5000</v>
      </c>
      <c r="AG353" s="14">
        <v>2556</v>
      </c>
      <c r="AH353" s="14">
        <v>0</v>
      </c>
      <c r="AI353" s="14">
        <v>60</v>
      </c>
      <c r="AJ353" s="14">
        <v>152</v>
      </c>
      <c r="AK353" s="14" t="s">
        <v>6022</v>
      </c>
      <c r="AL353" s="14" t="s">
        <v>6027</v>
      </c>
      <c r="AM353" s="14">
        <v>230.38</v>
      </c>
      <c r="AN353" s="14">
        <v>184.55</v>
      </c>
      <c r="AO353" s="14">
        <v>155.72</v>
      </c>
      <c r="AP353" s="14">
        <v>17975</v>
      </c>
      <c r="AQ353" s="14">
        <v>17925</v>
      </c>
      <c r="AR353" s="14">
        <v>23000</v>
      </c>
      <c r="AS353" s="14">
        <v>16125</v>
      </c>
      <c r="AT353" s="14">
        <v>17166</v>
      </c>
      <c r="AU353" s="14">
        <v>-18</v>
      </c>
      <c r="AV353" s="14">
        <v>246.16</v>
      </c>
      <c r="AW353" s="14">
        <v>45.1</v>
      </c>
      <c r="AX353" s="14">
        <v>3.05</v>
      </c>
      <c r="AY353" s="14" t="b">
        <v>0</v>
      </c>
    </row>
    <row r="354" spans="1:51" hidden="1" x14ac:dyDescent="0.3">
      <c r="A354" t="str">
        <f>CONCATENATE(I354,E354,LEFT(G354,10))</f>
        <v>HFA605LLHA2026-01-14</v>
      </c>
      <c r="B354" s="14" t="s">
        <v>5715</v>
      </c>
      <c r="C354" s="14" t="s">
        <v>336</v>
      </c>
      <c r="D354" s="14" t="s">
        <v>337</v>
      </c>
      <c r="E354" s="14" t="s">
        <v>43</v>
      </c>
      <c r="F354" s="14" t="s">
        <v>59</v>
      </c>
      <c r="G354" s="14" t="s">
        <v>5716</v>
      </c>
      <c r="H354" s="14" t="s">
        <v>371</v>
      </c>
      <c r="I354" s="14" t="s">
        <v>62</v>
      </c>
      <c r="J354" s="14" t="s">
        <v>83</v>
      </c>
      <c r="K354" s="14" t="s">
        <v>349</v>
      </c>
      <c r="L354" s="14" t="s">
        <v>341</v>
      </c>
      <c r="M354" s="16" t="s">
        <v>5717</v>
      </c>
      <c r="N354" s="14"/>
      <c r="O354" s="14" t="s">
        <v>1529</v>
      </c>
      <c r="P354" s="14">
        <v>50</v>
      </c>
      <c r="Q354" s="14">
        <v>2</v>
      </c>
      <c r="R354" s="14">
        <v>4300</v>
      </c>
      <c r="S354" s="14" t="s">
        <v>5718</v>
      </c>
      <c r="T354" s="14" t="s">
        <v>5719</v>
      </c>
      <c r="U354" s="14">
        <v>0.82750000000000001</v>
      </c>
      <c r="V354" s="14">
        <v>0.96861111111111098</v>
      </c>
      <c r="W354" s="14">
        <v>750</v>
      </c>
      <c r="X354" s="14">
        <v>50</v>
      </c>
      <c r="Y354" s="14">
        <v>700</v>
      </c>
      <c r="Z354" s="14">
        <v>1018</v>
      </c>
      <c r="AA354" s="14">
        <v>613</v>
      </c>
      <c r="AB354" s="14">
        <v>262</v>
      </c>
      <c r="AC354" s="14">
        <v>100</v>
      </c>
      <c r="AD354" s="14">
        <v>44</v>
      </c>
      <c r="AE354" s="14">
        <v>1768</v>
      </c>
      <c r="AF354" s="14">
        <v>5000</v>
      </c>
      <c r="AG354" s="14">
        <v>2370</v>
      </c>
      <c r="AH354" s="14">
        <v>0</v>
      </c>
      <c r="AI354" s="14">
        <v>54</v>
      </c>
      <c r="AJ354" s="14">
        <v>140</v>
      </c>
      <c r="AK354" s="14" t="s">
        <v>5716</v>
      </c>
      <c r="AL354" s="14" t="s">
        <v>5720</v>
      </c>
      <c r="AM354" s="14">
        <v>230.38</v>
      </c>
      <c r="AN354" s="14">
        <v>184.55</v>
      </c>
      <c r="AO354" s="14">
        <v>155.72</v>
      </c>
      <c r="AP354" s="14">
        <v>19568</v>
      </c>
      <c r="AQ354" s="14">
        <v>19518</v>
      </c>
      <c r="AR354" s="14">
        <v>23000</v>
      </c>
      <c r="AS354" s="14">
        <v>17800</v>
      </c>
      <c r="AT354" s="14">
        <v>18818</v>
      </c>
      <c r="AU354" s="14">
        <v>15</v>
      </c>
      <c r="AV354" s="14">
        <v>311.88</v>
      </c>
      <c r="AW354" s="14">
        <v>32.53</v>
      </c>
      <c r="AX354" s="14">
        <v>1.32</v>
      </c>
      <c r="AY354" s="14" t="b">
        <v>0</v>
      </c>
    </row>
    <row r="355" spans="1:51" hidden="1" x14ac:dyDescent="0.3">
      <c r="A355" t="str">
        <f>CONCATENATE(I355,E355,LEFT(G355,10))</f>
        <v>HFA605LLHA2026-01-15</v>
      </c>
      <c r="B355" s="14" t="s">
        <v>6130</v>
      </c>
      <c r="C355" s="14" t="s">
        <v>336</v>
      </c>
      <c r="D355" s="14" t="s">
        <v>337</v>
      </c>
      <c r="E355" s="14" t="s">
        <v>43</v>
      </c>
      <c r="F355" s="14" t="s">
        <v>59</v>
      </c>
      <c r="G355" s="14" t="s">
        <v>6131</v>
      </c>
      <c r="H355" s="14" t="s">
        <v>371</v>
      </c>
      <c r="I355" s="14" t="s">
        <v>62</v>
      </c>
      <c r="J355" s="14" t="s">
        <v>83</v>
      </c>
      <c r="K355" s="14" t="s">
        <v>349</v>
      </c>
      <c r="L355" s="14" t="s">
        <v>341</v>
      </c>
      <c r="M355" s="16" t="s">
        <v>6132</v>
      </c>
      <c r="N355" s="14"/>
      <c r="O355" s="14" t="s">
        <v>739</v>
      </c>
      <c r="P355" s="14">
        <v>50</v>
      </c>
      <c r="Q355" s="14">
        <v>2</v>
      </c>
      <c r="R355" s="14">
        <v>1800</v>
      </c>
      <c r="S355" s="14" t="s">
        <v>6133</v>
      </c>
      <c r="T355" s="14" t="s">
        <v>6134</v>
      </c>
      <c r="U355" s="14">
        <v>0.88527777777777705</v>
      </c>
      <c r="V355" s="14">
        <v>0.99694444444444397</v>
      </c>
      <c r="W355" s="14">
        <v>754</v>
      </c>
      <c r="X355" s="14">
        <v>50</v>
      </c>
      <c r="Y355" s="14">
        <v>704</v>
      </c>
      <c r="Z355" s="14">
        <v>948</v>
      </c>
      <c r="AA355" s="14">
        <v>566</v>
      </c>
      <c r="AB355" s="14">
        <v>242</v>
      </c>
      <c r="AC355" s="14">
        <v>100</v>
      </c>
      <c r="AD355" s="14">
        <v>40</v>
      </c>
      <c r="AE355" s="14">
        <v>1702</v>
      </c>
      <c r="AF355" s="14">
        <v>5000</v>
      </c>
      <c r="AG355" s="14">
        <v>2384</v>
      </c>
      <c r="AH355" s="14">
        <v>0</v>
      </c>
      <c r="AI355" s="14">
        <v>54</v>
      </c>
      <c r="AJ355" s="14">
        <v>138</v>
      </c>
      <c r="AK355" s="14" t="s">
        <v>6131</v>
      </c>
      <c r="AL355" s="14" t="s">
        <v>6135</v>
      </c>
      <c r="AM355" s="14">
        <v>230.38</v>
      </c>
      <c r="AN355" s="14">
        <v>184.55</v>
      </c>
      <c r="AO355" s="14">
        <v>155.72</v>
      </c>
      <c r="AP355" s="14">
        <v>17002</v>
      </c>
      <c r="AQ355" s="14">
        <v>16952</v>
      </c>
      <c r="AR355" s="14">
        <v>23000</v>
      </c>
      <c r="AS355" s="14">
        <v>15300</v>
      </c>
      <c r="AT355" s="14">
        <v>16248</v>
      </c>
      <c r="AU355" s="14">
        <v>7</v>
      </c>
      <c r="AV355" s="14">
        <v>309.87</v>
      </c>
      <c r="AW355" s="14">
        <v>17.84</v>
      </c>
      <c r="AX355" s="14">
        <v>2.33</v>
      </c>
      <c r="AY355" s="14" t="b">
        <v>0</v>
      </c>
    </row>
    <row r="356" spans="1:51" hidden="1" x14ac:dyDescent="0.3">
      <c r="A356" t="str">
        <f>CONCATENATE(I356,E356,LEFT(G356,10))</f>
        <v>HFA605LLHA2026-01-18</v>
      </c>
      <c r="B356" s="14" t="s">
        <v>5528</v>
      </c>
      <c r="C356" s="14" t="s">
        <v>336</v>
      </c>
      <c r="D356" s="14" t="s">
        <v>337</v>
      </c>
      <c r="E356" s="14" t="s">
        <v>43</v>
      </c>
      <c r="F356" s="14" t="s">
        <v>59</v>
      </c>
      <c r="G356" s="14" t="s">
        <v>5529</v>
      </c>
      <c r="H356" s="14" t="s">
        <v>393</v>
      </c>
      <c r="I356" s="14" t="s">
        <v>62</v>
      </c>
      <c r="J356" s="14" t="s">
        <v>83</v>
      </c>
      <c r="K356" s="14" t="s">
        <v>349</v>
      </c>
      <c r="L356" s="14" t="s">
        <v>341</v>
      </c>
      <c r="M356" s="16" t="s">
        <v>5530</v>
      </c>
      <c r="N356" s="14"/>
      <c r="O356" s="14" t="s">
        <v>5531</v>
      </c>
      <c r="P356" s="14">
        <v>50</v>
      </c>
      <c r="Q356" s="14">
        <v>2</v>
      </c>
      <c r="R356" s="14">
        <v>5600</v>
      </c>
      <c r="S356" s="14" t="s">
        <v>5532</v>
      </c>
      <c r="T356" s="14" t="s">
        <v>5533</v>
      </c>
      <c r="U356" s="14">
        <v>0.86888888888888804</v>
      </c>
      <c r="V356" s="14">
        <v>1.0236111111111099</v>
      </c>
      <c r="W356" s="14">
        <v>855</v>
      </c>
      <c r="X356" s="14">
        <v>50</v>
      </c>
      <c r="Y356" s="14">
        <v>805</v>
      </c>
      <c r="Z356" s="14">
        <v>1175</v>
      </c>
      <c r="AA356" s="14">
        <v>608</v>
      </c>
      <c r="AB356" s="14">
        <v>273</v>
      </c>
      <c r="AC356" s="14">
        <v>249</v>
      </c>
      <c r="AD356" s="14">
        <v>46</v>
      </c>
      <c r="AE356" s="14">
        <v>2030</v>
      </c>
      <c r="AF356" s="14">
        <v>5000</v>
      </c>
      <c r="AG356" s="14">
        <v>2701</v>
      </c>
      <c r="AH356" s="14">
        <v>0</v>
      </c>
      <c r="AI356" s="14">
        <v>56</v>
      </c>
      <c r="AJ356" s="14">
        <v>150</v>
      </c>
      <c r="AK356" s="14" t="s">
        <v>5529</v>
      </c>
      <c r="AL356" s="14" t="s">
        <v>5534</v>
      </c>
      <c r="AM356" s="14">
        <v>230.38</v>
      </c>
      <c r="AN356" s="14">
        <v>184.55</v>
      </c>
      <c r="AO356" s="14">
        <v>155.72</v>
      </c>
      <c r="AP356" s="14">
        <v>20941</v>
      </c>
      <c r="AQ356" s="14">
        <v>20891</v>
      </c>
      <c r="AR356" s="14">
        <v>23000</v>
      </c>
      <c r="AS356" s="14">
        <v>18911</v>
      </c>
      <c r="AT356" s="14">
        <v>20086</v>
      </c>
      <c r="AU356" s="14">
        <v>4</v>
      </c>
      <c r="AV356" s="14">
        <v>286.27999999999997</v>
      </c>
      <c r="AW356" s="14">
        <v>27.11</v>
      </c>
      <c r="AX356" s="14">
        <v>0.14000000000000001</v>
      </c>
      <c r="AY356" s="14" t="b">
        <v>0</v>
      </c>
    </row>
    <row r="357" spans="1:51" hidden="1" x14ac:dyDescent="0.3">
      <c r="A357" t="str">
        <f>CONCATENATE(I357,E357,LEFT(G357,10))</f>
        <v>HFA605LLHA2026-01-19</v>
      </c>
      <c r="B357" s="14" t="s">
        <v>5934</v>
      </c>
      <c r="C357" s="14" t="s">
        <v>336</v>
      </c>
      <c r="D357" s="14" t="s">
        <v>337</v>
      </c>
      <c r="E357" s="14" t="s">
        <v>43</v>
      </c>
      <c r="F357" s="14" t="s">
        <v>59</v>
      </c>
      <c r="G357" s="14" t="s">
        <v>5935</v>
      </c>
      <c r="H357" s="14" t="s">
        <v>371</v>
      </c>
      <c r="I357" s="14" t="s">
        <v>62</v>
      </c>
      <c r="J357" s="14" t="s">
        <v>83</v>
      </c>
      <c r="K357" s="14" t="s">
        <v>349</v>
      </c>
      <c r="L357" s="14" t="s">
        <v>341</v>
      </c>
      <c r="M357" s="16" t="s">
        <v>5936</v>
      </c>
      <c r="N357" s="14"/>
      <c r="O357" s="14" t="s">
        <v>5937</v>
      </c>
      <c r="P357" s="14">
        <v>50</v>
      </c>
      <c r="Q357" s="14">
        <v>2</v>
      </c>
      <c r="R357" s="14">
        <v>4600</v>
      </c>
      <c r="S357" s="14" t="s">
        <v>5938</v>
      </c>
      <c r="T357" s="14" t="s">
        <v>5939</v>
      </c>
      <c r="U357" s="14">
        <v>0.87805555555555503</v>
      </c>
      <c r="V357" s="14">
        <v>1.0561111111111099</v>
      </c>
      <c r="W357" s="14">
        <v>774</v>
      </c>
      <c r="X357" s="14">
        <v>50</v>
      </c>
      <c r="Y357" s="14">
        <v>724</v>
      </c>
      <c r="Z357" s="14">
        <v>998</v>
      </c>
      <c r="AA357" s="14">
        <v>590</v>
      </c>
      <c r="AB357" s="14">
        <v>264</v>
      </c>
      <c r="AC357" s="14">
        <v>100</v>
      </c>
      <c r="AD357" s="14">
        <v>44</v>
      </c>
      <c r="AE357" s="14">
        <v>1772</v>
      </c>
      <c r="AF357" s="14">
        <v>5000</v>
      </c>
      <c r="AG357" s="14">
        <v>2445</v>
      </c>
      <c r="AH357" s="14">
        <v>0</v>
      </c>
      <c r="AI357" s="14">
        <v>55</v>
      </c>
      <c r="AJ357" s="14">
        <v>140</v>
      </c>
      <c r="AK357" s="14" t="s">
        <v>5935</v>
      </c>
      <c r="AL357" s="14" t="s">
        <v>5940</v>
      </c>
      <c r="AM357" s="14">
        <v>230.38</v>
      </c>
      <c r="AN357" s="14">
        <v>184.55</v>
      </c>
      <c r="AO357" s="14">
        <v>155.72</v>
      </c>
      <c r="AP357" s="14">
        <v>19872</v>
      </c>
      <c r="AQ357" s="14">
        <v>19822</v>
      </c>
      <c r="AR357" s="14">
        <v>23000</v>
      </c>
      <c r="AS357" s="14">
        <v>18100</v>
      </c>
      <c r="AT357" s="14">
        <v>19098</v>
      </c>
      <c r="AU357" s="14">
        <v>6</v>
      </c>
      <c r="AV357" s="14">
        <v>289.63</v>
      </c>
      <c r="AW357" s="14">
        <v>32.81</v>
      </c>
      <c r="AX357" s="14">
        <v>1.29</v>
      </c>
      <c r="AY357" s="14" t="b">
        <v>0</v>
      </c>
    </row>
    <row r="358" spans="1:51" hidden="1" x14ac:dyDescent="0.3">
      <c r="A358" t="str">
        <f>CONCATENATE(I358,E358,LEFT(G358,10))</f>
        <v>HFA605LLHA2026-01-20</v>
      </c>
      <c r="B358" s="14" t="s">
        <v>4757</v>
      </c>
      <c r="C358" s="14" t="s">
        <v>336</v>
      </c>
      <c r="D358" s="14" t="s">
        <v>337</v>
      </c>
      <c r="E358" s="14" t="s">
        <v>43</v>
      </c>
      <c r="F358" s="14" t="s">
        <v>59</v>
      </c>
      <c r="G358" s="14" t="s">
        <v>4758</v>
      </c>
      <c r="H358" s="14" t="s">
        <v>371</v>
      </c>
      <c r="I358" s="14" t="s">
        <v>62</v>
      </c>
      <c r="J358" s="14" t="s">
        <v>83</v>
      </c>
      <c r="K358" s="14" t="s">
        <v>349</v>
      </c>
      <c r="L358" s="14" t="s">
        <v>341</v>
      </c>
      <c r="M358" s="16" t="s">
        <v>4759</v>
      </c>
      <c r="N358" s="14"/>
      <c r="O358" s="14" t="s">
        <v>4760</v>
      </c>
      <c r="P358" s="14">
        <v>50</v>
      </c>
      <c r="Q358" s="14">
        <v>2</v>
      </c>
      <c r="R358" s="14">
        <v>2400</v>
      </c>
      <c r="S358" s="14" t="s">
        <v>4761</v>
      </c>
      <c r="T358" s="14" t="s">
        <v>4762</v>
      </c>
      <c r="U358" s="14">
        <v>0.87166666666666603</v>
      </c>
      <c r="V358" s="14">
        <v>1.0477777777777699</v>
      </c>
      <c r="W358" s="14">
        <v>755</v>
      </c>
      <c r="X358" s="14">
        <v>50</v>
      </c>
      <c r="Y358" s="14">
        <v>705</v>
      </c>
      <c r="Z358" s="14">
        <v>982</v>
      </c>
      <c r="AA358" s="14">
        <v>595</v>
      </c>
      <c r="AB358" s="14">
        <v>246</v>
      </c>
      <c r="AC358" s="14">
        <v>100</v>
      </c>
      <c r="AD358" s="14">
        <v>41</v>
      </c>
      <c r="AE358" s="14">
        <v>1738</v>
      </c>
      <c r="AF358" s="14">
        <v>5000</v>
      </c>
      <c r="AG358" s="14">
        <v>2387</v>
      </c>
      <c r="AH358" s="14">
        <v>0</v>
      </c>
      <c r="AI358" s="14">
        <v>54</v>
      </c>
      <c r="AJ358" s="14">
        <v>140</v>
      </c>
      <c r="AK358" s="14" t="s">
        <v>4758</v>
      </c>
      <c r="AL358" s="14" t="s">
        <v>4763</v>
      </c>
      <c r="AM358" s="14">
        <v>230.38</v>
      </c>
      <c r="AN358" s="14">
        <v>184.55</v>
      </c>
      <c r="AO358" s="14">
        <v>155.72</v>
      </c>
      <c r="AP358" s="14">
        <v>17638</v>
      </c>
      <c r="AQ358" s="14">
        <v>17588</v>
      </c>
      <c r="AR358" s="14">
        <v>23000</v>
      </c>
      <c r="AS358" s="14">
        <v>15900</v>
      </c>
      <c r="AT358" s="14">
        <v>16882</v>
      </c>
      <c r="AU358" s="14">
        <v>9</v>
      </c>
      <c r="AV358" s="14">
        <v>295.62</v>
      </c>
      <c r="AW358" s="14">
        <v>39.4</v>
      </c>
      <c r="AX358" s="14">
        <v>1.27</v>
      </c>
      <c r="AY358" s="14" t="b">
        <v>0</v>
      </c>
    </row>
    <row r="359" spans="1:51" hidden="1" x14ac:dyDescent="0.3">
      <c r="A359" t="str">
        <f>CONCATENATE(I359,E359,LEFT(G359,10))</f>
        <v>HFA605LLHA2026-01-21</v>
      </c>
      <c r="B359" s="14" t="s">
        <v>1526</v>
      </c>
      <c r="C359" s="14" t="s">
        <v>336</v>
      </c>
      <c r="D359" s="14" t="s">
        <v>337</v>
      </c>
      <c r="E359" s="14" t="s">
        <v>43</v>
      </c>
      <c r="F359" s="14" t="s">
        <v>59</v>
      </c>
      <c r="G359" s="14" t="s">
        <v>1527</v>
      </c>
      <c r="H359" s="14" t="s">
        <v>393</v>
      </c>
      <c r="I359" s="14" t="s">
        <v>62</v>
      </c>
      <c r="J359" s="14" t="s">
        <v>83</v>
      </c>
      <c r="K359" s="14" t="s">
        <v>349</v>
      </c>
      <c r="L359" s="14" t="s">
        <v>341</v>
      </c>
      <c r="M359" s="16" t="s">
        <v>1528</v>
      </c>
      <c r="N359" s="14"/>
      <c r="O359" s="14" t="s">
        <v>1529</v>
      </c>
      <c r="P359" s="14">
        <v>50</v>
      </c>
      <c r="Q359" s="14">
        <v>2</v>
      </c>
      <c r="R359" s="14">
        <v>3300</v>
      </c>
      <c r="S359" s="14" t="s">
        <v>1530</v>
      </c>
      <c r="T359" s="14" t="s">
        <v>1531</v>
      </c>
      <c r="U359" s="14">
        <v>0.98277777777777697</v>
      </c>
      <c r="V359" s="14">
        <v>1.175</v>
      </c>
      <c r="W359" s="14">
        <v>826</v>
      </c>
      <c r="X359" s="14">
        <v>50</v>
      </c>
      <c r="Y359" s="14">
        <v>776</v>
      </c>
      <c r="Z359" s="14">
        <v>1774</v>
      </c>
      <c r="AA359" s="14">
        <v>592</v>
      </c>
      <c r="AB359" s="14">
        <v>258</v>
      </c>
      <c r="AC359" s="14">
        <v>880</v>
      </c>
      <c r="AD359" s="14">
        <v>43</v>
      </c>
      <c r="AE359" s="14">
        <v>2600</v>
      </c>
      <c r="AF359" s="14">
        <v>5000</v>
      </c>
      <c r="AG359" s="14">
        <v>2611</v>
      </c>
      <c r="AH359" s="14">
        <v>0</v>
      </c>
      <c r="AI359" s="14">
        <v>56</v>
      </c>
      <c r="AJ359" s="14">
        <v>200</v>
      </c>
      <c r="AK359" s="14" t="s">
        <v>1527</v>
      </c>
      <c r="AL359" s="14" t="s">
        <v>1532</v>
      </c>
      <c r="AM359" s="14">
        <v>230.38</v>
      </c>
      <c r="AN359" s="14">
        <v>184.55</v>
      </c>
      <c r="AO359" s="14">
        <v>155.72</v>
      </c>
      <c r="AP359" s="14">
        <v>19211</v>
      </c>
      <c r="AQ359" s="14">
        <v>19161</v>
      </c>
      <c r="AR359" s="14">
        <v>23000</v>
      </c>
      <c r="AS359" s="14">
        <v>16611</v>
      </c>
      <c r="AT359" s="14">
        <v>18385</v>
      </c>
      <c r="AU359" s="14">
        <v>6</v>
      </c>
      <c r="AV359" s="14">
        <v>293.02999999999997</v>
      </c>
      <c r="AW359" s="14">
        <v>25.17</v>
      </c>
      <c r="AX359" s="14">
        <v>5.53</v>
      </c>
      <c r="AY359" s="14" t="b">
        <v>0</v>
      </c>
    </row>
    <row r="360" spans="1:51" hidden="1" x14ac:dyDescent="0.3">
      <c r="A360" t="str">
        <f>CONCATENATE(I360,E360,LEFT(G360,10))</f>
        <v>HFA605LLHA2026-01-22</v>
      </c>
      <c r="B360" s="14" t="s">
        <v>2084</v>
      </c>
      <c r="C360" s="14" t="s">
        <v>336</v>
      </c>
      <c r="D360" s="14" t="s">
        <v>337</v>
      </c>
      <c r="E360" s="14" t="s">
        <v>43</v>
      </c>
      <c r="F360" s="14" t="s">
        <v>59</v>
      </c>
      <c r="G360" s="14" t="s">
        <v>2085</v>
      </c>
      <c r="H360" s="14" t="s">
        <v>357</v>
      </c>
      <c r="I360" s="14" t="s">
        <v>62</v>
      </c>
      <c r="J360" s="14" t="s">
        <v>83</v>
      </c>
      <c r="K360" s="14" t="s">
        <v>349</v>
      </c>
      <c r="L360" s="14" t="s">
        <v>341</v>
      </c>
      <c r="M360" s="16" t="s">
        <v>2086</v>
      </c>
      <c r="N360" s="14" t="s">
        <v>359</v>
      </c>
      <c r="O360" s="14" t="s">
        <v>2087</v>
      </c>
      <c r="P360" s="14">
        <v>50</v>
      </c>
      <c r="Q360" s="14">
        <v>2</v>
      </c>
      <c r="R360" s="14">
        <v>4300</v>
      </c>
      <c r="S360" s="14" t="s">
        <v>2088</v>
      </c>
      <c r="T360" s="14" t="s">
        <v>2089</v>
      </c>
      <c r="U360" s="14">
        <v>1.0302777777777701</v>
      </c>
      <c r="V360" s="14">
        <v>1.19888888888888</v>
      </c>
      <c r="W360" s="14">
        <v>810</v>
      </c>
      <c r="X360" s="14">
        <v>50</v>
      </c>
      <c r="Y360" s="14">
        <v>760</v>
      </c>
      <c r="Z360" s="14">
        <v>908</v>
      </c>
      <c r="AA360" s="14">
        <v>506</v>
      </c>
      <c r="AB360" s="14">
        <v>259</v>
      </c>
      <c r="AC360" s="14">
        <v>100</v>
      </c>
      <c r="AD360" s="14">
        <v>43</v>
      </c>
      <c r="AE360" s="14">
        <v>1718</v>
      </c>
      <c r="AF360" s="14">
        <v>5000</v>
      </c>
      <c r="AG360" s="14">
        <v>2560</v>
      </c>
      <c r="AH360" s="14">
        <v>0</v>
      </c>
      <c r="AI360" s="14">
        <v>62</v>
      </c>
      <c r="AJ360" s="14">
        <v>142</v>
      </c>
      <c r="AK360" s="14" t="s">
        <v>2085</v>
      </c>
      <c r="AL360" s="14" t="s">
        <v>2090</v>
      </c>
      <c r="AM360" s="14">
        <v>230.38</v>
      </c>
      <c r="AN360" s="14">
        <v>184.55</v>
      </c>
      <c r="AO360" s="14">
        <v>155.72</v>
      </c>
      <c r="AP360" s="14">
        <v>19243</v>
      </c>
      <c r="AQ360" s="14">
        <v>19193</v>
      </c>
      <c r="AR360" s="14">
        <v>23000</v>
      </c>
      <c r="AS360" s="14">
        <v>17525</v>
      </c>
      <c r="AT360" s="14">
        <v>18433</v>
      </c>
      <c r="AU360" s="14">
        <v>-21</v>
      </c>
      <c r="AV360" s="14">
        <v>224.02</v>
      </c>
      <c r="AW360" s="14">
        <v>35.11</v>
      </c>
      <c r="AX360" s="14">
        <v>6.12</v>
      </c>
      <c r="AY360" s="14" t="b">
        <v>0</v>
      </c>
    </row>
    <row r="361" spans="1:51" hidden="1" x14ac:dyDescent="0.3">
      <c r="A361" t="str">
        <f>CONCATENATE(I361,E361,LEFT(G361,10))</f>
        <v>HFA605LLHA2026-01-25</v>
      </c>
      <c r="B361" s="14" t="s">
        <v>5186</v>
      </c>
      <c r="C361" s="14" t="s">
        <v>336</v>
      </c>
      <c r="D361" s="14" t="s">
        <v>337</v>
      </c>
      <c r="E361" s="14" t="s">
        <v>43</v>
      </c>
      <c r="F361" s="14" t="s">
        <v>59</v>
      </c>
      <c r="G361" s="14" t="s">
        <v>5187</v>
      </c>
      <c r="H361" s="14" t="s">
        <v>357</v>
      </c>
      <c r="I361" s="14" t="s">
        <v>62</v>
      </c>
      <c r="J361" s="14" t="s">
        <v>83</v>
      </c>
      <c r="K361" s="14" t="s">
        <v>349</v>
      </c>
      <c r="L361" s="14" t="s">
        <v>341</v>
      </c>
      <c r="M361" s="16" t="s">
        <v>5188</v>
      </c>
      <c r="N361" s="14" t="s">
        <v>359</v>
      </c>
      <c r="O361" s="14" t="s">
        <v>5189</v>
      </c>
      <c r="P361" s="14">
        <v>50</v>
      </c>
      <c r="Q361" s="14">
        <v>3</v>
      </c>
      <c r="R361" s="14">
        <v>5400</v>
      </c>
      <c r="S361" s="14" t="s">
        <v>5190</v>
      </c>
      <c r="T361" s="14" t="s">
        <v>5191</v>
      </c>
      <c r="U361" s="14">
        <v>0.97222222222222199</v>
      </c>
      <c r="V361" s="14">
        <v>1.1452777777777701</v>
      </c>
      <c r="W361" s="14">
        <v>746</v>
      </c>
      <c r="X361" s="14">
        <v>50</v>
      </c>
      <c r="Y361" s="14">
        <v>696</v>
      </c>
      <c r="Z361" s="14">
        <v>965</v>
      </c>
      <c r="AA361" s="14">
        <v>551</v>
      </c>
      <c r="AB361" s="14">
        <v>269</v>
      </c>
      <c r="AC361" s="14">
        <v>100</v>
      </c>
      <c r="AD361" s="14">
        <v>45</v>
      </c>
      <c r="AE361" s="14">
        <v>1710</v>
      </c>
      <c r="AF361" s="14">
        <v>5000</v>
      </c>
      <c r="AG361" s="14">
        <v>2357</v>
      </c>
      <c r="AH361" s="14">
        <v>0</v>
      </c>
      <c r="AI361" s="14">
        <v>56</v>
      </c>
      <c r="AJ361" s="14">
        <v>140</v>
      </c>
      <c r="AK361" s="14" t="s">
        <v>5187</v>
      </c>
      <c r="AL361" s="14" t="s">
        <v>5192</v>
      </c>
      <c r="AM361" s="14">
        <v>230.38</v>
      </c>
      <c r="AN361" s="14">
        <v>184.55</v>
      </c>
      <c r="AO361" s="14">
        <v>155.72</v>
      </c>
      <c r="AP361" s="14">
        <v>20335</v>
      </c>
      <c r="AQ361" s="14">
        <v>20285</v>
      </c>
      <c r="AR361" s="14">
        <v>23000</v>
      </c>
      <c r="AS361" s="14">
        <v>18625</v>
      </c>
      <c r="AT361" s="14">
        <v>19590</v>
      </c>
      <c r="AU361" s="14">
        <v>3</v>
      </c>
      <c r="AV361" s="14">
        <v>295.39999999999998</v>
      </c>
      <c r="AW361" s="14">
        <v>12.22</v>
      </c>
      <c r="AX361" s="14">
        <v>6.48</v>
      </c>
      <c r="AY361" s="14" t="b">
        <v>0</v>
      </c>
    </row>
    <row r="362" spans="1:51" hidden="1" x14ac:dyDescent="0.3">
      <c r="A362" t="str">
        <f>CONCATENATE(I362,E362,LEFT(G362,10))</f>
        <v>HFA605LLHA2026-01-27</v>
      </c>
      <c r="B362" s="14" t="s">
        <v>957</v>
      </c>
      <c r="C362" s="14" t="s">
        <v>336</v>
      </c>
      <c r="D362" s="14" t="s">
        <v>337</v>
      </c>
      <c r="E362" s="14" t="s">
        <v>43</v>
      </c>
      <c r="F362" s="14" t="s">
        <v>59</v>
      </c>
      <c r="G362" s="14" t="s">
        <v>958</v>
      </c>
      <c r="H362" s="14" t="s">
        <v>371</v>
      </c>
      <c r="I362" s="14" t="s">
        <v>62</v>
      </c>
      <c r="J362" s="14" t="s">
        <v>83</v>
      </c>
      <c r="K362" s="14" t="s">
        <v>349</v>
      </c>
      <c r="L362" s="14" t="s">
        <v>341</v>
      </c>
      <c r="M362" s="16" t="s">
        <v>959</v>
      </c>
      <c r="N362" s="14"/>
      <c r="O362" s="14" t="s">
        <v>387</v>
      </c>
      <c r="P362" s="14">
        <v>50</v>
      </c>
      <c r="Q362" s="14">
        <v>2</v>
      </c>
      <c r="R362" s="14">
        <v>3000</v>
      </c>
      <c r="S362" s="14" t="s">
        <v>960</v>
      </c>
      <c r="T362" s="14" t="s">
        <v>961</v>
      </c>
      <c r="U362" s="14">
        <v>1.0063888888888799</v>
      </c>
      <c r="V362" s="14">
        <v>1.1299999999999999</v>
      </c>
      <c r="W362" s="14">
        <v>838</v>
      </c>
      <c r="X362" s="14">
        <v>50</v>
      </c>
      <c r="Y362" s="14">
        <v>788</v>
      </c>
      <c r="Z362" s="14">
        <v>1022</v>
      </c>
      <c r="AA362" s="14">
        <v>515</v>
      </c>
      <c r="AB362" s="14">
        <v>251</v>
      </c>
      <c r="AC362" s="14">
        <v>214</v>
      </c>
      <c r="AD362" s="14">
        <v>42</v>
      </c>
      <c r="AE362" s="14">
        <v>1860</v>
      </c>
      <c r="AF362" s="14">
        <v>5000</v>
      </c>
      <c r="AG362" s="14">
        <v>2649</v>
      </c>
      <c r="AH362" s="14">
        <v>0</v>
      </c>
      <c r="AI362" s="14">
        <v>61</v>
      </c>
      <c r="AJ362" s="14">
        <v>149</v>
      </c>
      <c r="AK362" s="14" t="s">
        <v>958</v>
      </c>
      <c r="AL362" s="14" t="s">
        <v>962</v>
      </c>
      <c r="AM362" s="14">
        <v>230.38</v>
      </c>
      <c r="AN362" s="14">
        <v>184.55</v>
      </c>
      <c r="AO362" s="14">
        <v>155.72</v>
      </c>
      <c r="AP362" s="14">
        <v>18360</v>
      </c>
      <c r="AQ362" s="14">
        <v>18310</v>
      </c>
      <c r="AR362" s="14">
        <v>23000</v>
      </c>
      <c r="AS362" s="14">
        <v>16500</v>
      </c>
      <c r="AT362" s="14">
        <v>17522</v>
      </c>
      <c r="AU362" s="14">
        <v>-21</v>
      </c>
      <c r="AV362" s="14">
        <v>231.38</v>
      </c>
      <c r="AW362" s="14">
        <v>35.93</v>
      </c>
      <c r="AX362" s="14">
        <v>3.28</v>
      </c>
      <c r="AY362" s="14" t="b">
        <v>0</v>
      </c>
    </row>
    <row r="363" spans="1:51" hidden="1" x14ac:dyDescent="0.3">
      <c r="A363" t="str">
        <f>CONCATENATE(I363,E363,LEFT(G363,10))</f>
        <v>HFA605LLHA2026-01-28</v>
      </c>
      <c r="B363" s="14" t="s">
        <v>1306</v>
      </c>
      <c r="C363" s="14" t="s">
        <v>336</v>
      </c>
      <c r="D363" s="14" t="s">
        <v>337</v>
      </c>
      <c r="E363" s="14" t="s">
        <v>43</v>
      </c>
      <c r="F363" s="14" t="s">
        <v>59</v>
      </c>
      <c r="G363" s="14" t="s">
        <v>1307</v>
      </c>
      <c r="H363" s="14" t="s">
        <v>371</v>
      </c>
      <c r="I363" s="14" t="s">
        <v>62</v>
      </c>
      <c r="J363" s="14" t="s">
        <v>83</v>
      </c>
      <c r="K363" s="14" t="s">
        <v>349</v>
      </c>
      <c r="L363" s="14" t="s">
        <v>341</v>
      </c>
      <c r="M363" s="16" t="s">
        <v>1308</v>
      </c>
      <c r="N363" s="14"/>
      <c r="O363" s="14" t="s">
        <v>387</v>
      </c>
      <c r="P363" s="14">
        <v>50</v>
      </c>
      <c r="Q363" s="14">
        <v>3</v>
      </c>
      <c r="R363" s="14">
        <v>3700</v>
      </c>
      <c r="S363" s="14" t="s">
        <v>1309</v>
      </c>
      <c r="T363" s="14" t="s">
        <v>1310</v>
      </c>
      <c r="U363" s="14">
        <v>1.0175000000000001</v>
      </c>
      <c r="V363" s="14">
        <v>6.1097222222222198</v>
      </c>
      <c r="W363" s="14">
        <v>773</v>
      </c>
      <c r="X363" s="14">
        <v>50</v>
      </c>
      <c r="Y363" s="14">
        <v>723</v>
      </c>
      <c r="Z363" s="14">
        <v>1095</v>
      </c>
      <c r="AA363" s="14">
        <v>595</v>
      </c>
      <c r="AB363" s="14">
        <v>258</v>
      </c>
      <c r="AC363" s="14">
        <v>200</v>
      </c>
      <c r="AD363" s="14">
        <v>43</v>
      </c>
      <c r="AE363" s="14">
        <v>1869</v>
      </c>
      <c r="AF363" s="14">
        <v>5000</v>
      </c>
      <c r="AG363" s="14">
        <v>2444</v>
      </c>
      <c r="AH363" s="14">
        <v>0</v>
      </c>
      <c r="AI363" s="14">
        <v>55</v>
      </c>
      <c r="AJ363" s="14">
        <v>147</v>
      </c>
      <c r="AK363" s="14" t="s">
        <v>1307</v>
      </c>
      <c r="AL363" s="14" t="s">
        <v>1311</v>
      </c>
      <c r="AM363" s="14">
        <v>230.38</v>
      </c>
      <c r="AN363" s="14">
        <v>184.55</v>
      </c>
      <c r="AO363" s="14">
        <v>155.72</v>
      </c>
      <c r="AP363" s="14">
        <v>19069</v>
      </c>
      <c r="AQ363" s="14">
        <v>19019</v>
      </c>
      <c r="AR363" s="14">
        <v>23000</v>
      </c>
      <c r="AS363" s="14">
        <v>17200</v>
      </c>
      <c r="AT363" s="14">
        <v>18295</v>
      </c>
      <c r="AU363" s="14">
        <v>6</v>
      </c>
      <c r="AV363" s="14">
        <v>288.64</v>
      </c>
      <c r="AW363" s="14">
        <v>33.25</v>
      </c>
      <c r="AX363" s="14">
        <v>-0.31</v>
      </c>
      <c r="AY363" s="14" t="b">
        <v>0</v>
      </c>
    </row>
    <row r="364" spans="1:51" hidden="1" x14ac:dyDescent="0.3">
      <c r="A364" t="str">
        <f>CONCATENATE(I364,E364,LEFT(G364,10))</f>
        <v>HFA605LLHA2026-01-29</v>
      </c>
      <c r="B364" s="14" t="s">
        <v>6293</v>
      </c>
      <c r="C364" s="14" t="s">
        <v>336</v>
      </c>
      <c r="D364" s="14" t="s">
        <v>337</v>
      </c>
      <c r="E364" s="14" t="s">
        <v>43</v>
      </c>
      <c r="F364" s="14" t="s">
        <v>59</v>
      </c>
      <c r="G364" s="14" t="s">
        <v>6294</v>
      </c>
      <c r="H364" s="14" t="s">
        <v>371</v>
      </c>
      <c r="I364" s="14" t="s">
        <v>62</v>
      </c>
      <c r="J364" s="14" t="s">
        <v>83</v>
      </c>
      <c r="K364" s="14" t="s">
        <v>349</v>
      </c>
      <c r="L364" s="14" t="s">
        <v>341</v>
      </c>
      <c r="M364" s="16" t="s">
        <v>6295</v>
      </c>
      <c r="N364" s="14"/>
      <c r="O364" s="14" t="s">
        <v>387</v>
      </c>
      <c r="P364" s="14">
        <v>50</v>
      </c>
      <c r="Q364" s="14">
        <v>3</v>
      </c>
      <c r="R364" s="14">
        <v>4000</v>
      </c>
      <c r="S364" s="14" t="s">
        <v>6296</v>
      </c>
      <c r="T364" s="14" t="s">
        <v>6297</v>
      </c>
      <c r="U364" s="14">
        <v>0.88555555555555499</v>
      </c>
      <c r="V364" s="14">
        <v>1.0416666666666601</v>
      </c>
      <c r="W364" s="14">
        <v>779</v>
      </c>
      <c r="X364" s="14">
        <v>50</v>
      </c>
      <c r="Y364" s="14">
        <v>729</v>
      </c>
      <c r="Z364" s="14">
        <v>966</v>
      </c>
      <c r="AA364" s="14">
        <v>563</v>
      </c>
      <c r="AB364" s="14">
        <v>259</v>
      </c>
      <c r="AC364" s="14">
        <v>100</v>
      </c>
      <c r="AD364" s="14">
        <v>43</v>
      </c>
      <c r="AE364" s="14">
        <v>1744</v>
      </c>
      <c r="AF364" s="14">
        <v>5000</v>
      </c>
      <c r="AG364" s="14">
        <v>2461</v>
      </c>
      <c r="AH364" s="14">
        <v>0</v>
      </c>
      <c r="AI364" s="14">
        <v>57</v>
      </c>
      <c r="AJ364" s="14">
        <v>141</v>
      </c>
      <c r="AK364" s="14" t="s">
        <v>6294</v>
      </c>
      <c r="AL364" s="14" t="s">
        <v>6298</v>
      </c>
      <c r="AM364" s="14">
        <v>230.38</v>
      </c>
      <c r="AN364" s="14">
        <v>184.55</v>
      </c>
      <c r="AO364" s="14">
        <v>155.72</v>
      </c>
      <c r="AP364" s="14">
        <v>19244</v>
      </c>
      <c r="AQ364" s="14">
        <v>19194</v>
      </c>
      <c r="AR364" s="14">
        <v>23000</v>
      </c>
      <c r="AS364" s="14">
        <v>17500</v>
      </c>
      <c r="AT364" s="14">
        <v>18466</v>
      </c>
      <c r="AU364" s="14">
        <v>-1</v>
      </c>
      <c r="AV364" s="14">
        <v>275.76</v>
      </c>
      <c r="AW364" s="14">
        <v>24.48</v>
      </c>
      <c r="AX364" s="14">
        <v>4.8899999999999997</v>
      </c>
      <c r="AY364" s="14" t="b">
        <v>0</v>
      </c>
    </row>
    <row r="365" spans="1:51" hidden="1" x14ac:dyDescent="0.3">
      <c r="A365" t="str">
        <f>CONCATENATE(I365,E365,LEFT(G365,10))</f>
        <v>HFA605LLHA2026-02-02</v>
      </c>
      <c r="B365" s="14" t="s">
        <v>863</v>
      </c>
      <c r="C365" s="14" t="s">
        <v>336</v>
      </c>
      <c r="D365" s="14" t="s">
        <v>337</v>
      </c>
      <c r="E365" s="14" t="s">
        <v>43</v>
      </c>
      <c r="F365" s="14" t="s">
        <v>59</v>
      </c>
      <c r="G365" s="14" t="s">
        <v>864</v>
      </c>
      <c r="H365" s="14" t="s">
        <v>339</v>
      </c>
      <c r="I365" s="14" t="s">
        <v>62</v>
      </c>
      <c r="J365" s="14" t="s">
        <v>83</v>
      </c>
      <c r="K365" s="14" t="s">
        <v>349</v>
      </c>
      <c r="L365" s="14" t="s">
        <v>341</v>
      </c>
      <c r="M365" s="16" t="s">
        <v>865</v>
      </c>
      <c r="N365" s="14"/>
      <c r="O365" s="14" t="s">
        <v>866</v>
      </c>
      <c r="P365" s="14">
        <v>50</v>
      </c>
      <c r="Q365" s="14">
        <v>2</v>
      </c>
      <c r="R365" s="14">
        <v>3200</v>
      </c>
      <c r="S365" s="14" t="s">
        <v>867</v>
      </c>
      <c r="T365" s="14" t="s">
        <v>868</v>
      </c>
      <c r="U365" s="14">
        <v>0.90444444444444405</v>
      </c>
      <c r="V365" s="14">
        <v>1.0308333333333299</v>
      </c>
      <c r="W365" s="14">
        <v>793</v>
      </c>
      <c r="X365" s="14">
        <v>50</v>
      </c>
      <c r="Y365" s="14">
        <v>743</v>
      </c>
      <c r="Z365" s="14">
        <v>1057</v>
      </c>
      <c r="AA365" s="14">
        <v>518</v>
      </c>
      <c r="AB365" s="14">
        <v>252</v>
      </c>
      <c r="AC365" s="14">
        <v>245</v>
      </c>
      <c r="AD365" s="14">
        <v>42</v>
      </c>
      <c r="AE365" s="14">
        <v>1850</v>
      </c>
      <c r="AF365" s="14">
        <v>5000</v>
      </c>
      <c r="AG365" s="14">
        <v>2507</v>
      </c>
      <c r="AH365" s="14">
        <v>0</v>
      </c>
      <c r="AI365" s="14">
        <v>60</v>
      </c>
      <c r="AJ365" s="14">
        <v>153</v>
      </c>
      <c r="AK365" s="14" t="s">
        <v>864</v>
      </c>
      <c r="AL365" s="14" t="s">
        <v>869</v>
      </c>
      <c r="AM365" s="14">
        <v>230.38</v>
      </c>
      <c r="AN365" s="14">
        <v>184.55</v>
      </c>
      <c r="AO365" s="14">
        <v>155.72</v>
      </c>
      <c r="AP365" s="14">
        <v>18375</v>
      </c>
      <c r="AQ365" s="14">
        <v>18325</v>
      </c>
      <c r="AR365" s="14">
        <v>23000</v>
      </c>
      <c r="AS365" s="14">
        <v>16525</v>
      </c>
      <c r="AT365" s="14">
        <v>17582</v>
      </c>
      <c r="AU365" s="14">
        <v>-15</v>
      </c>
      <c r="AV365" s="14">
        <v>242.74</v>
      </c>
      <c r="AW365" s="14">
        <v>37.31</v>
      </c>
      <c r="AX365" s="14">
        <v>6</v>
      </c>
      <c r="AY365" s="14" t="b">
        <v>0</v>
      </c>
    </row>
    <row r="366" spans="1:51" hidden="1" x14ac:dyDescent="0.3">
      <c r="A366" t="str">
        <f>CONCATENATE(I366,E366,LEFT(G366,10))</f>
        <v>HFA605LLHA2026-02-03</v>
      </c>
      <c r="B366" s="14" t="s">
        <v>2440</v>
      </c>
      <c r="C366" s="14" t="s">
        <v>336</v>
      </c>
      <c r="D366" s="14" t="s">
        <v>337</v>
      </c>
      <c r="E366" s="14" t="s">
        <v>43</v>
      </c>
      <c r="F366" s="14" t="s">
        <v>59</v>
      </c>
      <c r="G366" s="14" t="s">
        <v>2441</v>
      </c>
      <c r="H366" s="14" t="s">
        <v>371</v>
      </c>
      <c r="I366" s="14" t="s">
        <v>62</v>
      </c>
      <c r="J366" s="14" t="s">
        <v>83</v>
      </c>
      <c r="K366" s="14" t="s">
        <v>349</v>
      </c>
      <c r="L366" s="14" t="s">
        <v>341</v>
      </c>
      <c r="M366" s="16" t="s">
        <v>2442</v>
      </c>
      <c r="N366" s="14"/>
      <c r="O366" s="14" t="s">
        <v>866</v>
      </c>
      <c r="P366" s="14">
        <v>50</v>
      </c>
      <c r="Q366" s="14">
        <v>2</v>
      </c>
      <c r="R366" s="14">
        <v>2400</v>
      </c>
      <c r="S366" s="14" t="s">
        <v>2443</v>
      </c>
      <c r="T366" s="14" t="s">
        <v>2444</v>
      </c>
      <c r="U366" s="14">
        <v>0.863611111111111</v>
      </c>
      <c r="V366" s="14">
        <v>1.03944444444444</v>
      </c>
      <c r="W366" s="14">
        <v>745</v>
      </c>
      <c r="X366" s="14">
        <v>50</v>
      </c>
      <c r="Y366" s="14">
        <v>695</v>
      </c>
      <c r="Z366" s="14">
        <v>1225</v>
      </c>
      <c r="AA366" s="14">
        <v>597</v>
      </c>
      <c r="AB366" s="14">
        <v>248</v>
      </c>
      <c r="AC366" s="14">
        <v>338</v>
      </c>
      <c r="AD366" s="14">
        <v>41</v>
      </c>
      <c r="AE366" s="14">
        <v>1970</v>
      </c>
      <c r="AF366" s="14">
        <v>5000</v>
      </c>
      <c r="AG366" s="14">
        <v>2355</v>
      </c>
      <c r="AH366" s="14">
        <v>0</v>
      </c>
      <c r="AI366" s="14">
        <v>54</v>
      </c>
      <c r="AJ366" s="14">
        <v>160</v>
      </c>
      <c r="AK366" s="14" t="s">
        <v>2441</v>
      </c>
      <c r="AL366" s="14" t="s">
        <v>2445</v>
      </c>
      <c r="AM366" s="14">
        <v>230.38</v>
      </c>
      <c r="AN366" s="14">
        <v>184.55</v>
      </c>
      <c r="AO366" s="14">
        <v>155.72</v>
      </c>
      <c r="AP366" s="14">
        <v>17870</v>
      </c>
      <c r="AQ366" s="14">
        <v>17820</v>
      </c>
      <c r="AR366" s="14">
        <v>23000</v>
      </c>
      <c r="AS366" s="14">
        <v>15900</v>
      </c>
      <c r="AT366" s="14">
        <v>17125</v>
      </c>
      <c r="AU366" s="14">
        <v>11</v>
      </c>
      <c r="AV366" s="14">
        <v>298.77</v>
      </c>
      <c r="AW366" s="14">
        <v>39.909999999999997</v>
      </c>
      <c r="AX366" s="14">
        <v>3.65</v>
      </c>
      <c r="AY366" s="14" t="b">
        <v>0</v>
      </c>
    </row>
    <row r="367" spans="1:51" hidden="1" x14ac:dyDescent="0.3">
      <c r="A367" t="str">
        <f>CONCATENATE(I367,E367,LEFT(G367,10))</f>
        <v>HFA605LLHA2026-02-04</v>
      </c>
      <c r="B367" s="14" t="s">
        <v>5839</v>
      </c>
      <c r="C367" s="14" t="s">
        <v>336</v>
      </c>
      <c r="D367" s="14" t="s">
        <v>337</v>
      </c>
      <c r="E367" s="14" t="s">
        <v>43</v>
      </c>
      <c r="F367" s="14" t="s">
        <v>59</v>
      </c>
      <c r="G367" s="14" t="s">
        <v>5840</v>
      </c>
      <c r="H367" s="14" t="s">
        <v>371</v>
      </c>
      <c r="I367" s="14" t="s">
        <v>62</v>
      </c>
      <c r="J367" s="14" t="s">
        <v>83</v>
      </c>
      <c r="K367" s="14" t="s">
        <v>349</v>
      </c>
      <c r="L367" s="14" t="s">
        <v>341</v>
      </c>
      <c r="M367" s="16" t="s">
        <v>5841</v>
      </c>
      <c r="N367" s="14"/>
      <c r="O367" s="14" t="s">
        <v>4706</v>
      </c>
      <c r="P367" s="14">
        <v>50</v>
      </c>
      <c r="Q367" s="14">
        <v>3</v>
      </c>
      <c r="R367" s="14">
        <v>4000</v>
      </c>
      <c r="S367" s="14" t="s">
        <v>5842</v>
      </c>
      <c r="T367" s="14" t="s">
        <v>5843</v>
      </c>
      <c r="U367" s="14">
        <v>0.93500000000000005</v>
      </c>
      <c r="V367" s="14">
        <v>1.0402777777777701</v>
      </c>
      <c r="W367" s="14">
        <v>775</v>
      </c>
      <c r="X367" s="14">
        <v>50</v>
      </c>
      <c r="Y367" s="14">
        <v>725</v>
      </c>
      <c r="Z367" s="14">
        <v>1015</v>
      </c>
      <c r="AA367" s="14">
        <v>552</v>
      </c>
      <c r="AB367" s="14">
        <v>259</v>
      </c>
      <c r="AC367" s="14">
        <v>161</v>
      </c>
      <c r="AD367" s="14">
        <v>43</v>
      </c>
      <c r="AE367" s="14">
        <v>1790</v>
      </c>
      <c r="AF367" s="14">
        <v>5000</v>
      </c>
      <c r="AG367" s="14">
        <v>2448</v>
      </c>
      <c r="AH367" s="14">
        <v>0</v>
      </c>
      <c r="AI367" s="14">
        <v>57</v>
      </c>
      <c r="AJ367" s="14">
        <v>145</v>
      </c>
      <c r="AK367" s="14" t="s">
        <v>5840</v>
      </c>
      <c r="AL367" s="14" t="s">
        <v>5844</v>
      </c>
      <c r="AM367" s="14">
        <v>230.38</v>
      </c>
      <c r="AN367" s="14">
        <v>184.55</v>
      </c>
      <c r="AO367" s="14">
        <v>155.72</v>
      </c>
      <c r="AP367" s="14">
        <v>19290</v>
      </c>
      <c r="AQ367" s="14">
        <v>19240</v>
      </c>
      <c r="AR367" s="14">
        <v>23000</v>
      </c>
      <c r="AS367" s="14">
        <v>17500</v>
      </c>
      <c r="AT367" s="14">
        <v>18515</v>
      </c>
      <c r="AU367" s="14">
        <v>-1</v>
      </c>
      <c r="AV367" s="14">
        <v>276.31</v>
      </c>
      <c r="AW367" s="14">
        <v>10.93</v>
      </c>
      <c r="AX367" s="14">
        <v>6.28</v>
      </c>
      <c r="AY367" s="14" t="b">
        <v>0</v>
      </c>
    </row>
    <row r="368" spans="1:51" hidden="1" x14ac:dyDescent="0.3">
      <c r="A368" t="str">
        <f>CONCATENATE(I368,E368,LEFT(G368,10))</f>
        <v>HFA605LLHA2026-02-08</v>
      </c>
      <c r="B368" s="14" t="s">
        <v>384</v>
      </c>
      <c r="C368" s="14" t="s">
        <v>336</v>
      </c>
      <c r="D368" s="14" t="s">
        <v>337</v>
      </c>
      <c r="E368" s="14" t="s">
        <v>43</v>
      </c>
      <c r="F368" s="14" t="s">
        <v>59</v>
      </c>
      <c r="G368" s="14" t="s">
        <v>385</v>
      </c>
      <c r="H368" s="14" t="s">
        <v>371</v>
      </c>
      <c r="I368" s="14" t="s">
        <v>62</v>
      </c>
      <c r="J368" s="14" t="s">
        <v>83</v>
      </c>
      <c r="K368" s="14" t="s">
        <v>349</v>
      </c>
      <c r="L368" s="14" t="s">
        <v>341</v>
      </c>
      <c r="M368" s="16" t="s">
        <v>386</v>
      </c>
      <c r="N368" s="14"/>
      <c r="O368" s="14" t="s">
        <v>387</v>
      </c>
      <c r="P368" s="14">
        <v>50</v>
      </c>
      <c r="Q368" s="14">
        <v>2</v>
      </c>
      <c r="R368" s="14">
        <v>4300</v>
      </c>
      <c r="S368" s="14" t="s">
        <v>388</v>
      </c>
      <c r="T368" s="14" t="s">
        <v>389</v>
      </c>
      <c r="U368" s="14">
        <v>0.90611111111111098</v>
      </c>
      <c r="V368" s="14">
        <v>1.0536111111111099</v>
      </c>
      <c r="W368" s="14">
        <v>768</v>
      </c>
      <c r="X368" s="14">
        <v>50</v>
      </c>
      <c r="Y368" s="14">
        <v>718</v>
      </c>
      <c r="Z368" s="14">
        <v>979</v>
      </c>
      <c r="AA368" s="14">
        <v>574</v>
      </c>
      <c r="AB368" s="14">
        <v>262</v>
      </c>
      <c r="AC368" s="14">
        <v>100</v>
      </c>
      <c r="AD368" s="14">
        <v>44</v>
      </c>
      <c r="AE368" s="14">
        <v>1747</v>
      </c>
      <c r="AF368" s="14">
        <v>5000</v>
      </c>
      <c r="AG368" s="14">
        <v>2428</v>
      </c>
      <c r="AH368" s="14">
        <v>0</v>
      </c>
      <c r="AI368" s="14">
        <v>57</v>
      </c>
      <c r="AJ368" s="14">
        <v>142</v>
      </c>
      <c r="AK368" s="14" t="s">
        <v>385</v>
      </c>
      <c r="AL368" s="14" t="s">
        <v>390</v>
      </c>
      <c r="AM368" s="14">
        <v>230.38</v>
      </c>
      <c r="AN368" s="14">
        <v>184.55</v>
      </c>
      <c r="AO368" s="14">
        <v>155.72</v>
      </c>
      <c r="AP368" s="14">
        <v>19547</v>
      </c>
      <c r="AQ368" s="14">
        <v>19497</v>
      </c>
      <c r="AR368" s="14">
        <v>23000</v>
      </c>
      <c r="AS368" s="14">
        <v>17800</v>
      </c>
      <c r="AT368" s="14">
        <v>18779</v>
      </c>
      <c r="AU368" s="14">
        <v>0</v>
      </c>
      <c r="AV368" s="14">
        <v>274.32</v>
      </c>
      <c r="AW368" s="14">
        <v>38.01</v>
      </c>
      <c r="AX368" s="14">
        <v>8.48</v>
      </c>
      <c r="AY368" s="14" t="b">
        <v>0</v>
      </c>
    </row>
    <row r="369" spans="1:51" hidden="1" x14ac:dyDescent="0.3">
      <c r="A369" t="str">
        <f>CONCATENATE(I369,E369,LEFT(G369,10))</f>
        <v>HFA605LLHA2026-02-09</v>
      </c>
      <c r="B369" s="14" t="s">
        <v>1236</v>
      </c>
      <c r="C369" s="14" t="s">
        <v>336</v>
      </c>
      <c r="D369" s="14" t="s">
        <v>337</v>
      </c>
      <c r="E369" s="14" t="s">
        <v>43</v>
      </c>
      <c r="F369" s="14" t="s">
        <v>59</v>
      </c>
      <c r="G369" s="14" t="s">
        <v>1237</v>
      </c>
      <c r="H369" s="14" t="s">
        <v>339</v>
      </c>
      <c r="I369" s="14" t="s">
        <v>62</v>
      </c>
      <c r="J369" s="14" t="s">
        <v>83</v>
      </c>
      <c r="K369" s="14" t="s">
        <v>349</v>
      </c>
      <c r="L369" s="14" t="s">
        <v>341</v>
      </c>
      <c r="M369" s="16" t="s">
        <v>1238</v>
      </c>
      <c r="N369" s="14"/>
      <c r="O369" s="14" t="s">
        <v>387</v>
      </c>
      <c r="P369" s="14">
        <v>50</v>
      </c>
      <c r="Q369" s="14">
        <v>2</v>
      </c>
      <c r="R369" s="14">
        <v>3900</v>
      </c>
      <c r="S369" s="14" t="s">
        <v>1239</v>
      </c>
      <c r="T369" s="14" t="s">
        <v>1240</v>
      </c>
      <c r="U369" s="14">
        <v>0.90305555555555495</v>
      </c>
      <c r="V369" s="14">
        <v>1.07388888888888</v>
      </c>
      <c r="W369" s="14">
        <v>766</v>
      </c>
      <c r="X369" s="14">
        <v>50</v>
      </c>
      <c r="Y369" s="14">
        <v>716</v>
      </c>
      <c r="Z369" s="14">
        <v>1254</v>
      </c>
      <c r="AA369" s="14">
        <v>537</v>
      </c>
      <c r="AB369" s="14">
        <v>259</v>
      </c>
      <c r="AC369" s="14">
        <v>415</v>
      </c>
      <c r="AD369" s="14">
        <v>43</v>
      </c>
      <c r="AE369" s="14">
        <v>2020</v>
      </c>
      <c r="AF369" s="14">
        <v>5000</v>
      </c>
      <c r="AG369" s="14">
        <v>2420</v>
      </c>
      <c r="AH369" s="14">
        <v>0</v>
      </c>
      <c r="AI369" s="14">
        <v>58</v>
      </c>
      <c r="AJ369" s="14">
        <v>168</v>
      </c>
      <c r="AK369" s="14" t="s">
        <v>1237</v>
      </c>
      <c r="AL369" s="14" t="s">
        <v>1241</v>
      </c>
      <c r="AM369" s="14">
        <v>230.38</v>
      </c>
      <c r="AN369" s="14">
        <v>184.55</v>
      </c>
      <c r="AO369" s="14">
        <v>155.72</v>
      </c>
      <c r="AP369" s="14">
        <v>19245</v>
      </c>
      <c r="AQ369" s="14">
        <v>19195</v>
      </c>
      <c r="AR369" s="14">
        <v>23000</v>
      </c>
      <c r="AS369" s="14">
        <v>17225</v>
      </c>
      <c r="AT369" s="14">
        <v>18479</v>
      </c>
      <c r="AU369" s="14">
        <v>-5</v>
      </c>
      <c r="AV369" s="14">
        <v>259.89999999999998</v>
      </c>
      <c r="AW369" s="14">
        <v>30.64</v>
      </c>
      <c r="AX369" s="14">
        <v>8.2799999999999994</v>
      </c>
      <c r="AY369" s="14" t="b">
        <v>0</v>
      </c>
    </row>
    <row r="370" spans="1:51" hidden="1" x14ac:dyDescent="0.3">
      <c r="A370" t="str">
        <f>CONCATENATE(I370,E370,LEFT(G370,10))</f>
        <v>HFA605LLHA2026-02-10</v>
      </c>
      <c r="B370" s="14" t="s">
        <v>4420</v>
      </c>
      <c r="C370" s="14" t="s">
        <v>336</v>
      </c>
      <c r="D370" s="14" t="s">
        <v>337</v>
      </c>
      <c r="E370" s="14" t="s">
        <v>43</v>
      </c>
      <c r="F370" s="14" t="s">
        <v>59</v>
      </c>
      <c r="G370" s="14" t="s">
        <v>4421</v>
      </c>
      <c r="H370" s="14" t="s">
        <v>371</v>
      </c>
      <c r="I370" s="14" t="s">
        <v>62</v>
      </c>
      <c r="J370" s="14" t="s">
        <v>83</v>
      </c>
      <c r="K370" s="14" t="s">
        <v>349</v>
      </c>
      <c r="L370" s="14" t="s">
        <v>341</v>
      </c>
      <c r="M370" s="16" t="s">
        <v>4422</v>
      </c>
      <c r="N370" s="14"/>
      <c r="O370" s="14" t="s">
        <v>387</v>
      </c>
      <c r="P370" s="14">
        <v>50</v>
      </c>
      <c r="Q370" s="14">
        <v>2</v>
      </c>
      <c r="R370" s="14">
        <v>3200</v>
      </c>
      <c r="S370" s="14" t="s">
        <v>4423</v>
      </c>
      <c r="T370" s="14" t="s">
        <v>4424</v>
      </c>
      <c r="U370" s="14">
        <v>0.92500000000000004</v>
      </c>
      <c r="V370" s="14">
        <v>1.11944444444444</v>
      </c>
      <c r="W370" s="14">
        <v>806</v>
      </c>
      <c r="X370" s="14">
        <v>50</v>
      </c>
      <c r="Y370" s="14">
        <v>756</v>
      </c>
      <c r="Z370" s="14">
        <v>1134</v>
      </c>
      <c r="AA370" s="14">
        <v>534</v>
      </c>
      <c r="AB370" s="14">
        <v>254</v>
      </c>
      <c r="AC370" s="14">
        <v>303</v>
      </c>
      <c r="AD370" s="14">
        <v>42</v>
      </c>
      <c r="AE370" s="14">
        <v>1940</v>
      </c>
      <c r="AF370" s="14">
        <v>5000</v>
      </c>
      <c r="AG370" s="14">
        <v>2547</v>
      </c>
      <c r="AH370" s="14">
        <v>0</v>
      </c>
      <c r="AI370" s="14">
        <v>59</v>
      </c>
      <c r="AJ370" s="14">
        <v>157</v>
      </c>
      <c r="AK370" s="14" t="s">
        <v>4421</v>
      </c>
      <c r="AL370" s="14" t="s">
        <v>4425</v>
      </c>
      <c r="AM370" s="14">
        <v>230.38</v>
      </c>
      <c r="AN370" s="14">
        <v>184.55</v>
      </c>
      <c r="AO370" s="14">
        <v>155.72</v>
      </c>
      <c r="AP370" s="14">
        <v>18640</v>
      </c>
      <c r="AQ370" s="14">
        <v>18590</v>
      </c>
      <c r="AR370" s="14">
        <v>23000</v>
      </c>
      <c r="AS370" s="14">
        <v>16700</v>
      </c>
      <c r="AT370" s="14">
        <v>17834</v>
      </c>
      <c r="AU370" s="14">
        <v>-13</v>
      </c>
      <c r="AV370" s="14">
        <v>251.98</v>
      </c>
      <c r="AW370" s="14">
        <v>41.03</v>
      </c>
      <c r="AX370" s="14">
        <v>6.18</v>
      </c>
      <c r="AY370" s="14" t="b">
        <v>0</v>
      </c>
    </row>
    <row r="371" spans="1:51" hidden="1" x14ac:dyDescent="0.3">
      <c r="A371" t="str">
        <f>CONCATENATE(I371,E371,LEFT(G371,10))</f>
        <v>HFA605LLHA2026-02-11</v>
      </c>
      <c r="B371" s="14" t="s">
        <v>2687</v>
      </c>
      <c r="C371" s="14" t="s">
        <v>336</v>
      </c>
      <c r="D371" s="14" t="s">
        <v>337</v>
      </c>
      <c r="E371" s="14" t="s">
        <v>43</v>
      </c>
      <c r="F371" s="14" t="s">
        <v>59</v>
      </c>
      <c r="G371" s="14" t="s">
        <v>2688</v>
      </c>
      <c r="H371" s="14" t="s">
        <v>371</v>
      </c>
      <c r="I371" s="14" t="s">
        <v>62</v>
      </c>
      <c r="J371" s="14" t="s">
        <v>83</v>
      </c>
      <c r="K371" s="14" t="s">
        <v>349</v>
      </c>
      <c r="L371" s="14" t="s">
        <v>341</v>
      </c>
      <c r="M371" s="16" t="s">
        <v>2689</v>
      </c>
      <c r="N371" s="14"/>
      <c r="O371" s="14" t="s">
        <v>563</v>
      </c>
      <c r="P371" s="14">
        <v>50</v>
      </c>
      <c r="Q371" s="14">
        <v>2</v>
      </c>
      <c r="R371" s="14">
        <v>3650</v>
      </c>
      <c r="S371" s="14" t="s">
        <v>2690</v>
      </c>
      <c r="T371" s="14" t="s">
        <v>2691</v>
      </c>
      <c r="U371" s="14">
        <v>0.98583333333333301</v>
      </c>
      <c r="V371" s="14">
        <v>1.12611111111111</v>
      </c>
      <c r="W371" s="14">
        <v>807</v>
      </c>
      <c r="X371" s="14">
        <v>50</v>
      </c>
      <c r="Y371" s="14">
        <v>757</v>
      </c>
      <c r="Z371" s="14">
        <v>944</v>
      </c>
      <c r="AA371" s="14">
        <v>545</v>
      </c>
      <c r="AB371" s="14">
        <v>256</v>
      </c>
      <c r="AC371" s="14">
        <v>100</v>
      </c>
      <c r="AD371" s="14">
        <v>43</v>
      </c>
      <c r="AE371" s="14">
        <v>1751</v>
      </c>
      <c r="AF371" s="14">
        <v>5000</v>
      </c>
      <c r="AG371" s="14">
        <v>2550</v>
      </c>
      <c r="AH371" s="14">
        <v>0</v>
      </c>
      <c r="AI371" s="14">
        <v>59</v>
      </c>
      <c r="AJ371" s="14">
        <v>140</v>
      </c>
      <c r="AK371" s="14" t="s">
        <v>2688</v>
      </c>
      <c r="AL371" s="14" t="s">
        <v>2692</v>
      </c>
      <c r="AM371" s="14">
        <v>230.38</v>
      </c>
      <c r="AN371" s="14">
        <v>184.55</v>
      </c>
      <c r="AO371" s="14">
        <v>155.72</v>
      </c>
      <c r="AP371" s="14">
        <v>18901</v>
      </c>
      <c r="AQ371" s="14">
        <v>18851</v>
      </c>
      <c r="AR371" s="14">
        <v>23000</v>
      </c>
      <c r="AS371" s="14">
        <v>17150</v>
      </c>
      <c r="AT371" s="14">
        <v>18094</v>
      </c>
      <c r="AU371" s="14">
        <v>-10</v>
      </c>
      <c r="AV371" s="14">
        <v>255.65</v>
      </c>
      <c r="AW371" s="14">
        <v>35.4</v>
      </c>
      <c r="AX371" s="14">
        <v>3.62</v>
      </c>
      <c r="AY371" s="14" t="b">
        <v>0</v>
      </c>
    </row>
    <row r="372" spans="1:51" hidden="1" x14ac:dyDescent="0.3">
      <c r="A372" t="str">
        <f>CONCATENATE(I372,E372,LEFT(G372,10))</f>
        <v>HFA605LLHA2026-02-15</v>
      </c>
      <c r="B372" s="15" t="s">
        <v>4203</v>
      </c>
      <c r="C372" s="14" t="s">
        <v>336</v>
      </c>
      <c r="D372" s="14" t="s">
        <v>337</v>
      </c>
      <c r="E372" s="14" t="s">
        <v>43</v>
      </c>
      <c r="F372" s="14" t="s">
        <v>59</v>
      </c>
      <c r="G372" s="14" t="s">
        <v>4204</v>
      </c>
      <c r="H372" s="14" t="s">
        <v>371</v>
      </c>
      <c r="I372" s="14" t="s">
        <v>62</v>
      </c>
      <c r="J372" s="14" t="s">
        <v>83</v>
      </c>
      <c r="K372" s="14" t="s">
        <v>349</v>
      </c>
      <c r="L372" s="14" t="s">
        <v>341</v>
      </c>
      <c r="M372" s="16" t="s">
        <v>4205</v>
      </c>
      <c r="N372" s="14"/>
      <c r="O372" s="14" t="s">
        <v>4095</v>
      </c>
      <c r="P372" s="14">
        <v>50</v>
      </c>
      <c r="Q372" s="14">
        <v>2</v>
      </c>
      <c r="R372" s="14">
        <v>3050</v>
      </c>
      <c r="S372" s="14" t="s">
        <v>4206</v>
      </c>
      <c r="T372" s="14" t="s">
        <v>4207</v>
      </c>
      <c r="U372" s="14">
        <v>0.96055555555555505</v>
      </c>
      <c r="V372" s="14">
        <v>1.08388888888888</v>
      </c>
      <c r="W372" s="14">
        <v>762</v>
      </c>
      <c r="X372" s="14">
        <v>50</v>
      </c>
      <c r="Y372" s="14">
        <v>712</v>
      </c>
      <c r="Z372" s="14">
        <v>920</v>
      </c>
      <c r="AA372" s="14">
        <v>527</v>
      </c>
      <c r="AB372" s="14">
        <v>251</v>
      </c>
      <c r="AC372" s="14">
        <v>100</v>
      </c>
      <c r="AD372" s="14">
        <v>42</v>
      </c>
      <c r="AE372" s="14">
        <v>1682</v>
      </c>
      <c r="AF372" s="14">
        <v>5000</v>
      </c>
      <c r="AG372" s="14">
        <v>2407</v>
      </c>
      <c r="AH372" s="14">
        <v>0</v>
      </c>
      <c r="AI372" s="14">
        <v>58</v>
      </c>
      <c r="AJ372" s="14">
        <v>140</v>
      </c>
      <c r="AK372" s="14" t="s">
        <v>4204</v>
      </c>
      <c r="AL372" s="14" t="s">
        <v>4208</v>
      </c>
      <c r="AM372" s="14">
        <v>230.38</v>
      </c>
      <c r="AN372" s="14">
        <v>184.55</v>
      </c>
      <c r="AO372" s="14">
        <v>155.72</v>
      </c>
      <c r="AP372" s="14">
        <v>18232</v>
      </c>
      <c r="AQ372" s="14">
        <v>18182</v>
      </c>
      <c r="AR372" s="14">
        <v>23000</v>
      </c>
      <c r="AS372" s="14">
        <v>16550</v>
      </c>
      <c r="AT372" s="14">
        <v>17470</v>
      </c>
      <c r="AU372" s="14">
        <v>-4</v>
      </c>
      <c r="AV372" s="14">
        <v>241.06</v>
      </c>
      <c r="AW372" s="14">
        <v>9.2100000000000009</v>
      </c>
      <c r="AX372" s="14">
        <v>11.96</v>
      </c>
      <c r="AY372" s="14" t="b">
        <v>0</v>
      </c>
    </row>
    <row r="373" spans="1:51" hidden="1" x14ac:dyDescent="0.3">
      <c r="A373" t="str">
        <f>CONCATENATE(I373,E373,LEFT(G373,10))</f>
        <v>HFA605LLHA2026-02-16</v>
      </c>
      <c r="B373" s="14" t="s">
        <v>4092</v>
      </c>
      <c r="C373" s="14" t="s">
        <v>336</v>
      </c>
      <c r="D373" s="14" t="s">
        <v>337</v>
      </c>
      <c r="E373" s="14" t="s">
        <v>43</v>
      </c>
      <c r="F373" s="14" t="s">
        <v>59</v>
      </c>
      <c r="G373" s="14" t="s">
        <v>4093</v>
      </c>
      <c r="H373" s="14" t="s">
        <v>371</v>
      </c>
      <c r="I373" s="14" t="s">
        <v>62</v>
      </c>
      <c r="J373" s="14" t="s">
        <v>83</v>
      </c>
      <c r="K373" s="14" t="s">
        <v>349</v>
      </c>
      <c r="L373" s="14" t="s">
        <v>341</v>
      </c>
      <c r="M373" s="16" t="s">
        <v>4094</v>
      </c>
      <c r="N373" s="14"/>
      <c r="O373" s="14" t="s">
        <v>4095</v>
      </c>
      <c r="P373" s="14">
        <v>50</v>
      </c>
      <c r="Q373" s="14">
        <v>2</v>
      </c>
      <c r="R373" s="14">
        <v>6700</v>
      </c>
      <c r="S373" s="14" t="s">
        <v>4096</v>
      </c>
      <c r="T373" s="14" t="s">
        <v>4097</v>
      </c>
      <c r="U373" s="14">
        <v>1.0208333333333299</v>
      </c>
      <c r="V373" s="14">
        <v>1.1672222222222199</v>
      </c>
      <c r="W373" s="14">
        <v>816</v>
      </c>
      <c r="X373" s="14">
        <v>50</v>
      </c>
      <c r="Y373" s="14">
        <v>766</v>
      </c>
      <c r="Z373" s="14">
        <v>957</v>
      </c>
      <c r="AA373" s="14">
        <v>527</v>
      </c>
      <c r="AB373" s="14">
        <v>283</v>
      </c>
      <c r="AC373" s="14">
        <v>100</v>
      </c>
      <c r="AD373" s="14">
        <v>47</v>
      </c>
      <c r="AE373" s="14">
        <v>1773</v>
      </c>
      <c r="AF373" s="14">
        <v>5000</v>
      </c>
      <c r="AG373" s="14">
        <v>2580</v>
      </c>
      <c r="AH373" s="14">
        <v>0</v>
      </c>
      <c r="AI373" s="14">
        <v>62</v>
      </c>
      <c r="AJ373" s="14">
        <v>143</v>
      </c>
      <c r="AK373" s="14" t="s">
        <v>4093</v>
      </c>
      <c r="AL373" s="14" t="s">
        <v>4098</v>
      </c>
      <c r="AM373" s="14">
        <v>230.38</v>
      </c>
      <c r="AN373" s="14">
        <v>184.55</v>
      </c>
      <c r="AO373" s="14">
        <v>155.72</v>
      </c>
      <c r="AP373" s="14">
        <v>21973</v>
      </c>
      <c r="AQ373" s="14">
        <v>21923</v>
      </c>
      <c r="AR373" s="14">
        <v>23000</v>
      </c>
      <c r="AS373" s="14">
        <v>20200</v>
      </c>
      <c r="AT373" s="14">
        <v>21157</v>
      </c>
      <c r="AU373" s="14">
        <v>-16</v>
      </c>
      <c r="AV373" s="14">
        <v>213.07</v>
      </c>
      <c r="AW373" s="14">
        <v>24.7</v>
      </c>
      <c r="AX373" s="14">
        <v>11.87</v>
      </c>
      <c r="AY373" s="14" t="b">
        <v>0</v>
      </c>
    </row>
    <row r="374" spans="1:51" hidden="1" x14ac:dyDescent="0.3">
      <c r="A374" t="str">
        <f>CONCATENATE(I374,E374,LEFT(G374,10))</f>
        <v>HFA605LLHA2026-02-17</v>
      </c>
      <c r="B374" s="14" t="s">
        <v>4032</v>
      </c>
      <c r="C374" s="14" t="s">
        <v>336</v>
      </c>
      <c r="D374" s="14" t="s">
        <v>337</v>
      </c>
      <c r="E374" s="14" t="s">
        <v>43</v>
      </c>
      <c r="F374" s="14" t="s">
        <v>59</v>
      </c>
      <c r="G374" s="14" t="s">
        <v>4033</v>
      </c>
      <c r="H374" s="14" t="s">
        <v>371</v>
      </c>
      <c r="I374" s="14" t="s">
        <v>62</v>
      </c>
      <c r="J374" s="14" t="s">
        <v>83</v>
      </c>
      <c r="K374" s="14" t="s">
        <v>349</v>
      </c>
      <c r="L374" s="14" t="s">
        <v>341</v>
      </c>
      <c r="M374" s="16" t="s">
        <v>4034</v>
      </c>
      <c r="N374" s="14"/>
      <c r="O374" s="14" t="s">
        <v>4035</v>
      </c>
      <c r="P374" s="14">
        <v>50</v>
      </c>
      <c r="Q374" s="14">
        <v>2</v>
      </c>
      <c r="R374" s="14">
        <v>3700</v>
      </c>
      <c r="S374" s="14" t="s">
        <v>4036</v>
      </c>
      <c r="T374" s="14" t="s">
        <v>4037</v>
      </c>
      <c r="U374" s="14">
        <v>1.1438888888888801</v>
      </c>
      <c r="V374" s="14">
        <v>1.2749999999999999</v>
      </c>
      <c r="W374" s="14">
        <v>861</v>
      </c>
      <c r="X374" s="14">
        <v>50</v>
      </c>
      <c r="Y374" s="14">
        <v>811</v>
      </c>
      <c r="Z374" s="14">
        <v>939</v>
      </c>
      <c r="AA374" s="14">
        <v>505</v>
      </c>
      <c r="AB374" s="14">
        <v>256</v>
      </c>
      <c r="AC374" s="14">
        <v>134</v>
      </c>
      <c r="AD374" s="14">
        <v>43</v>
      </c>
      <c r="AE374" s="14">
        <v>1800</v>
      </c>
      <c r="AF374" s="14">
        <v>5000</v>
      </c>
      <c r="AG374" s="14">
        <v>2722</v>
      </c>
      <c r="AH374" s="14">
        <v>0</v>
      </c>
      <c r="AI374" s="14">
        <v>63</v>
      </c>
      <c r="AJ374" s="14">
        <v>146</v>
      </c>
      <c r="AK374" s="14" t="s">
        <v>4033</v>
      </c>
      <c r="AL374" s="14" t="s">
        <v>4038</v>
      </c>
      <c r="AM374" s="14">
        <v>230.38</v>
      </c>
      <c r="AN374" s="14">
        <v>184.55</v>
      </c>
      <c r="AO374" s="14">
        <v>155.72</v>
      </c>
      <c r="AP374" s="14">
        <v>19000</v>
      </c>
      <c r="AQ374" s="14">
        <v>18950</v>
      </c>
      <c r="AR374" s="14">
        <v>23000</v>
      </c>
      <c r="AS374" s="14">
        <v>17200</v>
      </c>
      <c r="AT374" s="14">
        <v>18139</v>
      </c>
      <c r="AU374" s="14">
        <v>-29</v>
      </c>
      <c r="AV374" s="14">
        <v>230.51</v>
      </c>
      <c r="AW374" s="14">
        <v>47.9</v>
      </c>
      <c r="AX374" s="14">
        <v>5.59</v>
      </c>
      <c r="AY374" s="14" t="b">
        <v>0</v>
      </c>
    </row>
    <row r="375" spans="1:51" hidden="1" x14ac:dyDescent="0.3">
      <c r="A375" t="str">
        <f>CONCATENATE(I375,E375,LEFT(G375,10))</f>
        <v>HFA605LLHA2026-02-18</v>
      </c>
      <c r="B375" s="14" t="s">
        <v>1916</v>
      </c>
      <c r="C375" s="14" t="s">
        <v>336</v>
      </c>
      <c r="D375" s="14" t="s">
        <v>337</v>
      </c>
      <c r="E375" s="14" t="s">
        <v>43</v>
      </c>
      <c r="F375" s="14" t="s">
        <v>59</v>
      </c>
      <c r="G375" s="14" t="s">
        <v>1911</v>
      </c>
      <c r="H375" s="14" t="s">
        <v>339</v>
      </c>
      <c r="I375" s="14" t="s">
        <v>62</v>
      </c>
      <c r="J375" s="14" t="s">
        <v>83</v>
      </c>
      <c r="K375" s="14" t="s">
        <v>349</v>
      </c>
      <c r="L375" s="14" t="s">
        <v>341</v>
      </c>
      <c r="M375" s="16" t="s">
        <v>1917</v>
      </c>
      <c r="N375" s="14"/>
      <c r="O375" s="14" t="s">
        <v>1918</v>
      </c>
      <c r="P375" s="14">
        <v>50</v>
      </c>
      <c r="Q375" s="14">
        <v>2</v>
      </c>
      <c r="R375" s="14">
        <v>3100</v>
      </c>
      <c r="S375" s="14" t="s">
        <v>1919</v>
      </c>
      <c r="T375" s="14" t="s">
        <v>1920</v>
      </c>
      <c r="U375" s="14">
        <v>0.94305555555555498</v>
      </c>
      <c r="V375" s="14">
        <v>1.0844444444444401</v>
      </c>
      <c r="W375" s="14">
        <v>799</v>
      </c>
      <c r="X375" s="14">
        <v>50</v>
      </c>
      <c r="Y375" s="14">
        <v>749</v>
      </c>
      <c r="Z375" s="14">
        <v>1081</v>
      </c>
      <c r="AA375" s="14">
        <v>515</v>
      </c>
      <c r="AB375" s="14">
        <v>251</v>
      </c>
      <c r="AC375" s="14">
        <v>273</v>
      </c>
      <c r="AD375" s="14">
        <v>42</v>
      </c>
      <c r="AE375" s="14">
        <v>1880</v>
      </c>
      <c r="AF375" s="14">
        <v>5000</v>
      </c>
      <c r="AG375" s="14">
        <v>2526</v>
      </c>
      <c r="AH375" s="14">
        <v>0</v>
      </c>
      <c r="AI375" s="14">
        <v>61</v>
      </c>
      <c r="AJ375" s="14">
        <v>157</v>
      </c>
      <c r="AK375" s="14" t="s">
        <v>1911</v>
      </c>
      <c r="AL375" s="14" t="s">
        <v>1921</v>
      </c>
      <c r="AM375" s="14">
        <v>230.38</v>
      </c>
      <c r="AN375" s="14">
        <v>184.55</v>
      </c>
      <c r="AO375" s="14">
        <v>155.72</v>
      </c>
      <c r="AP375" s="14">
        <v>18305</v>
      </c>
      <c r="AQ375" s="14">
        <v>18255</v>
      </c>
      <c r="AR375" s="14">
        <v>23000</v>
      </c>
      <c r="AS375" s="14">
        <v>16425</v>
      </c>
      <c r="AT375" s="14">
        <v>17506</v>
      </c>
      <c r="AU375" s="14">
        <v>-18</v>
      </c>
      <c r="AV375" s="14">
        <v>244.1</v>
      </c>
      <c r="AW375" s="14">
        <v>42.44</v>
      </c>
      <c r="AX375" s="14">
        <v>6.8</v>
      </c>
      <c r="AY375" s="14" t="b">
        <v>0</v>
      </c>
    </row>
    <row r="376" spans="1:51" hidden="1" x14ac:dyDescent="0.3">
      <c r="A376" t="str">
        <f>CONCATENATE(I376,E376,LEFT(G376,10))</f>
        <v>HFA605LLHA2026-02-19</v>
      </c>
      <c r="B376" s="14" t="s">
        <v>3922</v>
      </c>
      <c r="C376" s="14" t="s">
        <v>336</v>
      </c>
      <c r="D376" s="14" t="s">
        <v>337</v>
      </c>
      <c r="E376" s="14" t="s">
        <v>43</v>
      </c>
      <c r="F376" s="14" t="s">
        <v>59</v>
      </c>
      <c r="G376" s="14" t="s">
        <v>3923</v>
      </c>
      <c r="H376" s="14" t="s">
        <v>371</v>
      </c>
      <c r="I376" s="14" t="s">
        <v>62</v>
      </c>
      <c r="J376" s="14" t="s">
        <v>83</v>
      </c>
      <c r="K376" s="14" t="s">
        <v>349</v>
      </c>
      <c r="L376" s="14" t="s">
        <v>341</v>
      </c>
      <c r="M376" s="16" t="s">
        <v>3917</v>
      </c>
      <c r="N376" s="14"/>
      <c r="O376" s="14" t="s">
        <v>3924</v>
      </c>
      <c r="P376" s="14">
        <v>50</v>
      </c>
      <c r="Q376" s="14">
        <v>2</v>
      </c>
      <c r="R376" s="14">
        <v>4300</v>
      </c>
      <c r="S376" s="14" t="s">
        <v>3925</v>
      </c>
      <c r="T376" s="14" t="s">
        <v>3926</v>
      </c>
      <c r="U376" s="14">
        <v>0.97</v>
      </c>
      <c r="V376" s="14">
        <v>1.145</v>
      </c>
      <c r="W376" s="14">
        <v>781</v>
      </c>
      <c r="X376" s="14">
        <v>50</v>
      </c>
      <c r="Y376" s="14">
        <v>731</v>
      </c>
      <c r="Z376" s="14">
        <v>957</v>
      </c>
      <c r="AA376" s="14">
        <v>552</v>
      </c>
      <c r="AB376" s="14">
        <v>261</v>
      </c>
      <c r="AC376" s="14">
        <v>100</v>
      </c>
      <c r="AD376" s="14">
        <v>44</v>
      </c>
      <c r="AE376" s="14">
        <v>1738</v>
      </c>
      <c r="AF376" s="14">
        <v>5000</v>
      </c>
      <c r="AG376" s="14">
        <v>2469</v>
      </c>
      <c r="AH376" s="14">
        <v>0</v>
      </c>
      <c r="AI376" s="14">
        <v>58</v>
      </c>
      <c r="AJ376" s="14">
        <v>141</v>
      </c>
      <c r="AK376" s="14" t="s">
        <v>3923</v>
      </c>
      <c r="AL376" s="14" t="s">
        <v>3927</v>
      </c>
      <c r="AM376" s="14">
        <v>230.38</v>
      </c>
      <c r="AN376" s="14">
        <v>184.55</v>
      </c>
      <c r="AO376" s="14">
        <v>155.72</v>
      </c>
      <c r="AP376" s="14">
        <v>19538</v>
      </c>
      <c r="AQ376" s="14">
        <v>19488</v>
      </c>
      <c r="AR376" s="14">
        <v>23000</v>
      </c>
      <c r="AS376" s="14">
        <v>17800</v>
      </c>
      <c r="AT376" s="14">
        <v>18757</v>
      </c>
      <c r="AU376" s="14">
        <v>-2</v>
      </c>
      <c r="AV376" s="14">
        <v>270.76</v>
      </c>
      <c r="AW376" s="14">
        <v>13.67</v>
      </c>
      <c r="AX376" s="14">
        <v>5.43</v>
      </c>
      <c r="AY376" s="14" t="b">
        <v>0</v>
      </c>
    </row>
    <row r="377" spans="1:51" hidden="1" x14ac:dyDescent="0.3">
      <c r="A377" t="str">
        <f>CONCATENATE(I377,E377,LEFT(G377,10))</f>
        <v>HFA605LLHA2026-02-22</v>
      </c>
      <c r="B377" s="14" t="s">
        <v>1030</v>
      </c>
      <c r="C377" s="14" t="s">
        <v>336</v>
      </c>
      <c r="D377" s="14" t="s">
        <v>337</v>
      </c>
      <c r="E377" s="14" t="s">
        <v>43</v>
      </c>
      <c r="F377" s="14" t="s">
        <v>59</v>
      </c>
      <c r="G377" s="14" t="s">
        <v>1031</v>
      </c>
      <c r="H377" s="14" t="s">
        <v>371</v>
      </c>
      <c r="I377" s="14" t="s">
        <v>62</v>
      </c>
      <c r="J377" s="14" t="s">
        <v>83</v>
      </c>
      <c r="K377" s="14" t="s">
        <v>349</v>
      </c>
      <c r="L377" s="14" t="s">
        <v>341</v>
      </c>
      <c r="M377" s="16" t="s">
        <v>1026</v>
      </c>
      <c r="N377" s="14"/>
      <c r="O377" s="14" t="s">
        <v>387</v>
      </c>
      <c r="P377" s="14">
        <v>50</v>
      </c>
      <c r="Q377" s="14">
        <v>2</v>
      </c>
      <c r="R377" s="14">
        <v>5400</v>
      </c>
      <c r="S377" s="14" t="s">
        <v>1032</v>
      </c>
      <c r="T377" s="14" t="s">
        <v>1033</v>
      </c>
      <c r="U377" s="14">
        <v>2.97027777777777</v>
      </c>
      <c r="V377" s="14">
        <v>3.0791666666666599</v>
      </c>
      <c r="W377" s="14">
        <v>823</v>
      </c>
      <c r="X377" s="14">
        <v>50</v>
      </c>
      <c r="Y377" s="14">
        <v>773</v>
      </c>
      <c r="Z377" s="14">
        <v>953</v>
      </c>
      <c r="AA377" s="14">
        <v>537</v>
      </c>
      <c r="AB377" s="14">
        <v>271</v>
      </c>
      <c r="AC377" s="14">
        <v>100</v>
      </c>
      <c r="AD377" s="14">
        <v>45</v>
      </c>
      <c r="AE377" s="14">
        <v>1776</v>
      </c>
      <c r="AF377" s="14">
        <v>5000</v>
      </c>
      <c r="AG377" s="14">
        <v>2600</v>
      </c>
      <c r="AH377" s="14">
        <v>0</v>
      </c>
      <c r="AI377" s="14">
        <v>60</v>
      </c>
      <c r="AJ377" s="14">
        <v>141</v>
      </c>
      <c r="AK377" s="14" t="s">
        <v>1031</v>
      </c>
      <c r="AL377" s="14" t="s">
        <v>1034</v>
      </c>
      <c r="AM377" s="14">
        <v>230.38</v>
      </c>
      <c r="AN377" s="14">
        <v>184.55</v>
      </c>
      <c r="AO377" s="14">
        <v>155.72</v>
      </c>
      <c r="AP377" s="14">
        <v>20676</v>
      </c>
      <c r="AQ377" s="14">
        <v>20626</v>
      </c>
      <c r="AR377" s="14">
        <v>23000</v>
      </c>
      <c r="AS377" s="14">
        <v>18900</v>
      </c>
      <c r="AT377" s="14">
        <v>19853</v>
      </c>
      <c r="AU377" s="14">
        <v>-14</v>
      </c>
      <c r="AV377" s="14">
        <v>240.27</v>
      </c>
      <c r="AW377" s="14">
        <v>28.33</v>
      </c>
      <c r="AX377" s="14">
        <v>5.29</v>
      </c>
      <c r="AY377" s="14" t="b">
        <v>0</v>
      </c>
    </row>
    <row r="378" spans="1:51" hidden="1" x14ac:dyDescent="0.3">
      <c r="A378" t="str">
        <f>CONCATENATE(I378,E378,LEFT(G378,10))</f>
        <v>HFA605LLHA2026-02-23</v>
      </c>
      <c r="B378" s="14" t="s">
        <v>3754</v>
      </c>
      <c r="C378" s="14" t="s">
        <v>336</v>
      </c>
      <c r="D378" s="14" t="s">
        <v>337</v>
      </c>
      <c r="E378" s="14" t="s">
        <v>43</v>
      </c>
      <c r="F378" s="14" t="s">
        <v>59</v>
      </c>
      <c r="G378" s="14" t="s">
        <v>3755</v>
      </c>
      <c r="H378" s="14" t="s">
        <v>371</v>
      </c>
      <c r="I378" s="14" t="s">
        <v>62</v>
      </c>
      <c r="J378" s="14" t="s">
        <v>83</v>
      </c>
      <c r="K378" s="14" t="s">
        <v>349</v>
      </c>
      <c r="L378" s="14" t="s">
        <v>341</v>
      </c>
      <c r="M378" s="16" t="s">
        <v>3756</v>
      </c>
      <c r="N378" s="14"/>
      <c r="O378" s="14" t="s">
        <v>387</v>
      </c>
      <c r="P378" s="14">
        <v>50</v>
      </c>
      <c r="Q378" s="14">
        <v>2</v>
      </c>
      <c r="R378" s="14">
        <v>6400</v>
      </c>
      <c r="S378" s="14" t="s">
        <v>3757</v>
      </c>
      <c r="T378" s="14" t="s">
        <v>3758</v>
      </c>
      <c r="U378" s="14">
        <v>0.97944444444444401</v>
      </c>
      <c r="V378" s="14">
        <v>1.10916666666666</v>
      </c>
      <c r="W378" s="14">
        <v>848</v>
      </c>
      <c r="X378" s="14">
        <v>50</v>
      </c>
      <c r="Y378" s="14">
        <v>798</v>
      </c>
      <c r="Z378" s="14">
        <v>980</v>
      </c>
      <c r="AA378" s="14">
        <v>553</v>
      </c>
      <c r="AB378" s="14">
        <v>280</v>
      </c>
      <c r="AC378" s="14">
        <v>100</v>
      </c>
      <c r="AD378" s="14">
        <v>47</v>
      </c>
      <c r="AE378" s="14">
        <v>1828</v>
      </c>
      <c r="AF378" s="14">
        <v>5000</v>
      </c>
      <c r="AG378" s="14">
        <v>2679</v>
      </c>
      <c r="AH378" s="14">
        <v>0</v>
      </c>
      <c r="AI378" s="14">
        <v>61</v>
      </c>
      <c r="AJ378" s="14">
        <v>142</v>
      </c>
      <c r="AK378" s="14" t="s">
        <v>3755</v>
      </c>
      <c r="AL378" s="14" t="s">
        <v>3759</v>
      </c>
      <c r="AM378" s="14">
        <v>230.38</v>
      </c>
      <c r="AN378" s="14">
        <v>184.55</v>
      </c>
      <c r="AO378" s="14">
        <v>155.72</v>
      </c>
      <c r="AP378" s="14">
        <v>21728</v>
      </c>
      <c r="AQ378" s="14">
        <v>21678</v>
      </c>
      <c r="AR378" s="14">
        <v>23000</v>
      </c>
      <c r="AS378" s="14">
        <v>19900</v>
      </c>
      <c r="AT378" s="14">
        <v>20880</v>
      </c>
      <c r="AU378" s="14">
        <v>-17</v>
      </c>
      <c r="AV378" s="14">
        <v>233.64</v>
      </c>
      <c r="AW378" s="14">
        <v>29.25</v>
      </c>
      <c r="AX378" s="14">
        <v>1.2</v>
      </c>
      <c r="AY378" s="14" t="b">
        <v>0</v>
      </c>
    </row>
    <row r="379" spans="1:51" hidden="1" x14ac:dyDescent="0.3">
      <c r="A379" t="str">
        <f>CONCATENATE(I379,E379,LEFT(G379,10))</f>
        <v>HFA605LLHA2026-02-24</v>
      </c>
      <c r="B379" s="14" t="s">
        <v>3693</v>
      </c>
      <c r="C379" s="14" t="s">
        <v>336</v>
      </c>
      <c r="D379" s="14" t="s">
        <v>337</v>
      </c>
      <c r="E379" s="14" t="s">
        <v>43</v>
      </c>
      <c r="F379" s="14" t="s">
        <v>59</v>
      </c>
      <c r="G379" s="14" t="s">
        <v>3694</v>
      </c>
      <c r="H379" s="14" t="s">
        <v>371</v>
      </c>
      <c r="I379" s="14" t="s">
        <v>62</v>
      </c>
      <c r="J379" s="14" t="s">
        <v>83</v>
      </c>
      <c r="K379" s="14" t="s">
        <v>349</v>
      </c>
      <c r="L379" s="14" t="s">
        <v>341</v>
      </c>
      <c r="M379" s="16" t="s">
        <v>3695</v>
      </c>
      <c r="N379" s="14"/>
      <c r="O379" s="14" t="s">
        <v>3696</v>
      </c>
      <c r="P379" s="14">
        <v>50</v>
      </c>
      <c r="Q379" s="14">
        <v>2</v>
      </c>
      <c r="R379" s="14">
        <v>4000</v>
      </c>
      <c r="S379" s="14" t="s">
        <v>3697</v>
      </c>
      <c r="T379" s="14" t="s">
        <v>3698</v>
      </c>
      <c r="U379" s="14">
        <v>0.813888888888888</v>
      </c>
      <c r="V379" s="14">
        <v>0.91944444444444395</v>
      </c>
      <c r="W379" s="14">
        <v>760</v>
      </c>
      <c r="X379" s="14">
        <v>50</v>
      </c>
      <c r="Y379" s="14">
        <v>710</v>
      </c>
      <c r="Z379" s="14">
        <v>1040</v>
      </c>
      <c r="AA379" s="14">
        <v>587</v>
      </c>
      <c r="AB379" s="14">
        <v>260</v>
      </c>
      <c r="AC379" s="14">
        <v>150</v>
      </c>
      <c r="AD379" s="14">
        <v>43</v>
      </c>
      <c r="AE379" s="14">
        <v>1800</v>
      </c>
      <c r="AF379" s="14">
        <v>5000</v>
      </c>
      <c r="AG379" s="14">
        <v>2401</v>
      </c>
      <c r="AH379" s="14">
        <v>0</v>
      </c>
      <c r="AI379" s="14">
        <v>55</v>
      </c>
      <c r="AJ379" s="14">
        <v>144</v>
      </c>
      <c r="AK379" s="14" t="s">
        <v>3694</v>
      </c>
      <c r="AL379" s="14" t="s">
        <v>3699</v>
      </c>
      <c r="AM379" s="14">
        <v>230.38</v>
      </c>
      <c r="AN379" s="14">
        <v>184.55</v>
      </c>
      <c r="AO379" s="14">
        <v>155.72</v>
      </c>
      <c r="AP379" s="14">
        <v>19300</v>
      </c>
      <c r="AQ379" s="14">
        <v>19250</v>
      </c>
      <c r="AR379" s="14">
        <v>23000</v>
      </c>
      <c r="AS379" s="14">
        <v>17500</v>
      </c>
      <c r="AT379" s="14">
        <v>18540</v>
      </c>
      <c r="AU379" s="14">
        <v>10</v>
      </c>
      <c r="AV379" s="14">
        <v>313.23</v>
      </c>
      <c r="AW379" s="14">
        <v>22.13</v>
      </c>
      <c r="AX379" s="14">
        <v>2</v>
      </c>
      <c r="AY379" s="14" t="b">
        <v>0</v>
      </c>
    </row>
    <row r="380" spans="1:51" hidden="1" x14ac:dyDescent="0.3">
      <c r="A380" t="str">
        <f>CONCATENATE(I380,E380,LEFT(G380,10))</f>
        <v>HFA605LLHA2026-02-25</v>
      </c>
      <c r="B380" s="14" t="s">
        <v>3597</v>
      </c>
      <c r="C380" s="14" t="s">
        <v>336</v>
      </c>
      <c r="D380" s="14" t="s">
        <v>337</v>
      </c>
      <c r="E380" s="14" t="s">
        <v>43</v>
      </c>
      <c r="F380" s="14" t="s">
        <v>59</v>
      </c>
      <c r="G380" s="14" t="s">
        <v>3598</v>
      </c>
      <c r="H380" s="14" t="s">
        <v>371</v>
      </c>
      <c r="I380" s="14" t="s">
        <v>62</v>
      </c>
      <c r="J380" s="14" t="s">
        <v>83</v>
      </c>
      <c r="K380" s="14" t="s">
        <v>349</v>
      </c>
      <c r="L380" s="14" t="s">
        <v>341</v>
      </c>
      <c r="M380" s="16" t="s">
        <v>3599</v>
      </c>
      <c r="N380" s="14"/>
      <c r="O380" s="14" t="s">
        <v>739</v>
      </c>
      <c r="P380" s="14">
        <v>50</v>
      </c>
      <c r="Q380" s="14">
        <v>2</v>
      </c>
      <c r="R380" s="14">
        <v>2800</v>
      </c>
      <c r="S380" s="14" t="s">
        <v>3600</v>
      </c>
      <c r="T380" s="14" t="s">
        <v>3601</v>
      </c>
      <c r="U380" s="14">
        <v>0.9</v>
      </c>
      <c r="V380" s="14">
        <v>1.0052777777777699</v>
      </c>
      <c r="W380" s="14">
        <v>786</v>
      </c>
      <c r="X380" s="14">
        <v>50</v>
      </c>
      <c r="Y380" s="14">
        <v>736</v>
      </c>
      <c r="Z380" s="14">
        <v>1794</v>
      </c>
      <c r="AA380" s="14">
        <v>554</v>
      </c>
      <c r="AB380" s="14">
        <v>256</v>
      </c>
      <c r="AC380" s="14">
        <v>942</v>
      </c>
      <c r="AD380" s="14">
        <v>43</v>
      </c>
      <c r="AE380" s="14">
        <v>2580</v>
      </c>
      <c r="AF380" s="14">
        <v>5000</v>
      </c>
      <c r="AG380" s="14">
        <v>2483</v>
      </c>
      <c r="AH380" s="14">
        <v>0</v>
      </c>
      <c r="AI380" s="14">
        <v>57</v>
      </c>
      <c r="AJ380" s="14">
        <v>207</v>
      </c>
      <c r="AK380" s="14" t="s">
        <v>3598</v>
      </c>
      <c r="AL380" s="14" t="s">
        <v>3602</v>
      </c>
      <c r="AM380" s="14">
        <v>230.38</v>
      </c>
      <c r="AN380" s="14">
        <v>184.55</v>
      </c>
      <c r="AO380" s="14">
        <v>155.72</v>
      </c>
      <c r="AP380" s="14">
        <v>18880</v>
      </c>
      <c r="AQ380" s="14">
        <v>18830</v>
      </c>
      <c r="AR380" s="14">
        <v>23000</v>
      </c>
      <c r="AS380" s="14">
        <v>16300</v>
      </c>
      <c r="AT380" s="14">
        <v>18094</v>
      </c>
      <c r="AU380" s="14">
        <v>-3</v>
      </c>
      <c r="AV380" s="14">
        <v>263.52</v>
      </c>
      <c r="AW380" s="14">
        <v>19.37</v>
      </c>
      <c r="AX380" s="14">
        <v>3.53</v>
      </c>
      <c r="AY380" s="14" t="b">
        <v>0</v>
      </c>
    </row>
    <row r="381" spans="1:51" hidden="1" x14ac:dyDescent="0.3">
      <c r="A381" t="str">
        <f>CONCATENATE(I381,E381,LEFT(G381,10))</f>
        <v>HFA605LLHA2026-02-26</v>
      </c>
      <c r="B381" s="14" t="s">
        <v>3479</v>
      </c>
      <c r="C381" s="14" t="s">
        <v>336</v>
      </c>
      <c r="D381" s="14" t="s">
        <v>337</v>
      </c>
      <c r="E381" s="14" t="s">
        <v>43</v>
      </c>
      <c r="F381" s="14" t="s">
        <v>59</v>
      </c>
      <c r="G381" s="14" t="s">
        <v>3480</v>
      </c>
      <c r="H381" s="14" t="s">
        <v>393</v>
      </c>
      <c r="I381" s="14" t="s">
        <v>62</v>
      </c>
      <c r="J381" s="14" t="s">
        <v>83</v>
      </c>
      <c r="K381" s="14" t="s">
        <v>349</v>
      </c>
      <c r="L381" s="14" t="s">
        <v>341</v>
      </c>
      <c r="M381" s="16" t="s">
        <v>3481</v>
      </c>
      <c r="N381" s="14"/>
      <c r="O381" s="14" t="s">
        <v>3482</v>
      </c>
      <c r="P381" s="14">
        <v>50</v>
      </c>
      <c r="Q381" s="14">
        <v>2</v>
      </c>
      <c r="R381" s="14">
        <v>3300</v>
      </c>
      <c r="S381" s="14" t="s">
        <v>3483</v>
      </c>
      <c r="T381" s="14" t="s">
        <v>3484</v>
      </c>
      <c r="U381" s="14">
        <v>0.924722222222222</v>
      </c>
      <c r="V381" s="14">
        <v>1.04555555555555</v>
      </c>
      <c r="W381" s="14">
        <v>844</v>
      </c>
      <c r="X381" s="14">
        <v>50</v>
      </c>
      <c r="Y381" s="14">
        <v>794</v>
      </c>
      <c r="Z381" s="14">
        <v>980</v>
      </c>
      <c r="AA381" s="14">
        <v>587</v>
      </c>
      <c r="AB381" s="14">
        <v>252</v>
      </c>
      <c r="AC381" s="14">
        <v>100</v>
      </c>
      <c r="AD381" s="14">
        <v>42</v>
      </c>
      <c r="AE381" s="14">
        <v>1824</v>
      </c>
      <c r="AF381" s="14">
        <v>5000</v>
      </c>
      <c r="AG381" s="14">
        <v>2665</v>
      </c>
      <c r="AH381" s="14">
        <v>0</v>
      </c>
      <c r="AI381" s="14">
        <v>56</v>
      </c>
      <c r="AJ381" s="14">
        <v>140</v>
      </c>
      <c r="AK381" s="14" t="s">
        <v>3480</v>
      </c>
      <c r="AL381" s="14" t="s">
        <v>3485</v>
      </c>
      <c r="AM381" s="14">
        <v>230.38</v>
      </c>
      <c r="AN381" s="14">
        <v>184.55</v>
      </c>
      <c r="AO381" s="14">
        <v>155.72</v>
      </c>
      <c r="AP381" s="14">
        <v>18435</v>
      </c>
      <c r="AQ381" s="14">
        <v>18385</v>
      </c>
      <c r="AR381" s="14">
        <v>23000</v>
      </c>
      <c r="AS381" s="14">
        <v>16611</v>
      </c>
      <c r="AT381" s="14">
        <v>17592</v>
      </c>
      <c r="AU381" s="14">
        <v>0</v>
      </c>
      <c r="AV381" s="14">
        <v>275.94</v>
      </c>
      <c r="AW381" s="14">
        <v>35.590000000000003</v>
      </c>
      <c r="AX381" s="14">
        <v>3.61</v>
      </c>
      <c r="AY381" s="14" t="b">
        <v>0</v>
      </c>
    </row>
    <row r="382" spans="1:51" hidden="1" x14ac:dyDescent="0.3">
      <c r="A382" t="str">
        <f>CONCATENATE(I382,E382,LEFT(G382,10))</f>
        <v>HFA606LLER2026-01-01</v>
      </c>
      <c r="B382" s="14" t="s">
        <v>4481</v>
      </c>
      <c r="C382" s="14" t="s">
        <v>336</v>
      </c>
      <c r="D382" s="14" t="s">
        <v>337</v>
      </c>
      <c r="E382" s="14" t="s">
        <v>59</v>
      </c>
      <c r="F382" s="14" t="s">
        <v>43</v>
      </c>
      <c r="G382" s="14" t="s">
        <v>4482</v>
      </c>
      <c r="H382" s="14" t="s">
        <v>339</v>
      </c>
      <c r="I382" s="14" t="s">
        <v>63</v>
      </c>
      <c r="J382" s="14" t="s">
        <v>83</v>
      </c>
      <c r="K382" s="14" t="s">
        <v>340</v>
      </c>
      <c r="L382" s="14" t="s">
        <v>341</v>
      </c>
      <c r="M382" s="16" t="s">
        <v>4483</v>
      </c>
      <c r="N382" s="14"/>
      <c r="O382" s="14" t="s">
        <v>4484</v>
      </c>
      <c r="P382" s="14">
        <v>140</v>
      </c>
      <c r="Q382" s="14">
        <v>2</v>
      </c>
      <c r="R382" s="14">
        <v>4000</v>
      </c>
      <c r="S382" s="14" t="s">
        <v>4485</v>
      </c>
      <c r="T382" s="14" t="s">
        <v>4486</v>
      </c>
      <c r="U382" s="14">
        <v>0.87916666666666599</v>
      </c>
      <c r="V382" s="14">
        <v>1.1125</v>
      </c>
      <c r="W382" s="14">
        <v>694</v>
      </c>
      <c r="X382" s="14">
        <v>80</v>
      </c>
      <c r="Y382" s="14">
        <v>614</v>
      </c>
      <c r="Z382" s="14">
        <v>1906</v>
      </c>
      <c r="AA382" s="14">
        <v>260</v>
      </c>
      <c r="AB382" s="14">
        <v>266</v>
      </c>
      <c r="AC382" s="14">
        <v>1336</v>
      </c>
      <c r="AD382" s="14">
        <v>44</v>
      </c>
      <c r="AE382" s="14">
        <v>2600</v>
      </c>
      <c r="AF382" s="14">
        <v>5000</v>
      </c>
      <c r="AG382" s="14">
        <v>2192</v>
      </c>
      <c r="AH382" s="14">
        <v>0</v>
      </c>
      <c r="AI382" s="14">
        <v>49</v>
      </c>
      <c r="AJ382" s="14">
        <v>221</v>
      </c>
      <c r="AK382" s="14" t="s">
        <v>4482</v>
      </c>
      <c r="AL382" s="14" t="s">
        <v>4487</v>
      </c>
      <c r="AM382" s="14">
        <v>202.56</v>
      </c>
      <c r="AN382" s="14">
        <v>184.55</v>
      </c>
      <c r="AO382" s="14">
        <v>54.99</v>
      </c>
      <c r="AP382" s="14">
        <v>19925</v>
      </c>
      <c r="AQ382" s="14">
        <v>19845</v>
      </c>
      <c r="AR382" s="14">
        <v>23000</v>
      </c>
      <c r="AS382" s="14">
        <v>17325</v>
      </c>
      <c r="AT382" s="14">
        <v>19231</v>
      </c>
      <c r="AU382" s="14">
        <v>5</v>
      </c>
      <c r="AV382" s="14">
        <v>262.16000000000003</v>
      </c>
      <c r="AW382" s="14">
        <v>39.79</v>
      </c>
      <c r="AX382" s="14">
        <v>1.92</v>
      </c>
      <c r="AY382" s="14" t="b">
        <v>0</v>
      </c>
    </row>
    <row r="383" spans="1:51" hidden="1" x14ac:dyDescent="0.3">
      <c r="A383" t="str">
        <f>CONCATENATE(I383,E383,LEFT(G383,10))</f>
        <v>HFA606LLER2026-01-04</v>
      </c>
      <c r="B383" s="14" t="s">
        <v>5340</v>
      </c>
      <c r="C383" s="14" t="s">
        <v>336</v>
      </c>
      <c r="D383" s="14" t="s">
        <v>337</v>
      </c>
      <c r="E383" s="14" t="s">
        <v>59</v>
      </c>
      <c r="F383" s="14" t="s">
        <v>43</v>
      </c>
      <c r="G383" s="14" t="s">
        <v>5341</v>
      </c>
      <c r="H383" s="14" t="s">
        <v>339</v>
      </c>
      <c r="I383" s="14" t="s">
        <v>63</v>
      </c>
      <c r="J383" s="14" t="s">
        <v>83</v>
      </c>
      <c r="K383" s="14" t="s">
        <v>340</v>
      </c>
      <c r="L383" s="14" t="s">
        <v>341</v>
      </c>
      <c r="M383" s="16" t="s">
        <v>731</v>
      </c>
      <c r="N383" s="14"/>
      <c r="O383" s="14" t="s">
        <v>5342</v>
      </c>
      <c r="P383" s="14">
        <v>120</v>
      </c>
      <c r="Q383" s="14">
        <v>3</v>
      </c>
      <c r="R383" s="14">
        <v>6300</v>
      </c>
      <c r="S383" s="14" t="s">
        <v>5343</v>
      </c>
      <c r="T383" s="14" t="s">
        <v>5344</v>
      </c>
      <c r="U383" s="14">
        <v>0.97499999999999998</v>
      </c>
      <c r="V383" s="14">
        <v>1.2263888888888801</v>
      </c>
      <c r="W383" s="14">
        <v>692</v>
      </c>
      <c r="X383" s="14">
        <v>80</v>
      </c>
      <c r="Y383" s="14">
        <v>612</v>
      </c>
      <c r="Z383" s="14">
        <v>1808</v>
      </c>
      <c r="AA383" s="14">
        <v>268</v>
      </c>
      <c r="AB383" s="14">
        <v>287</v>
      </c>
      <c r="AC383" s="14">
        <v>1206</v>
      </c>
      <c r="AD383" s="14">
        <v>48</v>
      </c>
      <c r="AE383" s="14">
        <v>2500</v>
      </c>
      <c r="AF383" s="14">
        <v>5000</v>
      </c>
      <c r="AG383" s="14">
        <v>2187</v>
      </c>
      <c r="AH383" s="14">
        <v>0</v>
      </c>
      <c r="AI383" s="14">
        <v>50</v>
      </c>
      <c r="AJ383" s="14">
        <v>211</v>
      </c>
      <c r="AK383" s="14" t="s">
        <v>5341</v>
      </c>
      <c r="AL383" s="14" t="s">
        <v>5345</v>
      </c>
      <c r="AM383" s="14">
        <v>202.54</v>
      </c>
      <c r="AN383" s="14">
        <v>184.55</v>
      </c>
      <c r="AO383" s="14">
        <v>54.99</v>
      </c>
      <c r="AP383" s="14">
        <v>22125</v>
      </c>
      <c r="AQ383" s="14">
        <v>22045</v>
      </c>
      <c r="AR383" s="14">
        <v>23000</v>
      </c>
      <c r="AS383" s="14">
        <v>19625</v>
      </c>
      <c r="AT383" s="14">
        <v>21433</v>
      </c>
      <c r="AU383" s="14">
        <v>8</v>
      </c>
      <c r="AV383" s="14">
        <v>165.03</v>
      </c>
      <c r="AW383" s="14">
        <v>11.1</v>
      </c>
      <c r="AX383" s="14">
        <v>6.97</v>
      </c>
      <c r="AY383" s="14" t="b">
        <v>0</v>
      </c>
    </row>
    <row r="384" spans="1:51" hidden="1" x14ac:dyDescent="0.3">
      <c r="A384" t="str">
        <f>CONCATENATE(I384,E384,LEFT(G384,10))</f>
        <v>HFA606LLER2026-01-05</v>
      </c>
      <c r="B384" s="14" t="s">
        <v>1673</v>
      </c>
      <c r="C384" s="14" t="s">
        <v>336</v>
      </c>
      <c r="D384" s="14" t="s">
        <v>337</v>
      </c>
      <c r="E384" s="14" t="s">
        <v>59</v>
      </c>
      <c r="F384" s="14" t="s">
        <v>43</v>
      </c>
      <c r="G384" s="14" t="s">
        <v>1674</v>
      </c>
      <c r="H384" s="14" t="s">
        <v>371</v>
      </c>
      <c r="I384" s="14" t="s">
        <v>63</v>
      </c>
      <c r="J384" s="14" t="s">
        <v>83</v>
      </c>
      <c r="K384" s="14" t="s">
        <v>340</v>
      </c>
      <c r="L384" s="14" t="s">
        <v>341</v>
      </c>
      <c r="M384" s="16" t="s">
        <v>1675</v>
      </c>
      <c r="N384" s="14"/>
      <c r="O384" s="14" t="s">
        <v>1676</v>
      </c>
      <c r="P384" s="14">
        <v>120</v>
      </c>
      <c r="Q384" s="14">
        <v>2</v>
      </c>
      <c r="R384" s="14">
        <v>3500</v>
      </c>
      <c r="S384" s="14" t="s">
        <v>1677</v>
      </c>
      <c r="T384" s="14" t="s">
        <v>1678</v>
      </c>
      <c r="U384" s="14">
        <v>0.84861111111111098</v>
      </c>
      <c r="V384" s="14">
        <v>1.04111111111111</v>
      </c>
      <c r="W384" s="14">
        <v>706</v>
      </c>
      <c r="X384" s="14">
        <v>80</v>
      </c>
      <c r="Y384" s="14">
        <v>626</v>
      </c>
      <c r="Z384" s="14">
        <v>1394</v>
      </c>
      <c r="AA384" s="14">
        <v>255</v>
      </c>
      <c r="AB384" s="14">
        <v>259</v>
      </c>
      <c r="AC384" s="14">
        <v>836</v>
      </c>
      <c r="AD384" s="14">
        <v>43</v>
      </c>
      <c r="AE384" s="14">
        <v>2100</v>
      </c>
      <c r="AF384" s="14">
        <v>5000</v>
      </c>
      <c r="AG384" s="14">
        <v>2232</v>
      </c>
      <c r="AH384" s="14">
        <v>0</v>
      </c>
      <c r="AI384" s="14">
        <v>50</v>
      </c>
      <c r="AJ384" s="14">
        <v>175</v>
      </c>
      <c r="AK384" s="14" t="s">
        <v>1674</v>
      </c>
      <c r="AL384" s="14" t="s">
        <v>1679</v>
      </c>
      <c r="AM384" s="14">
        <v>202.56</v>
      </c>
      <c r="AN384" s="14">
        <v>184.55</v>
      </c>
      <c r="AO384" s="14">
        <v>54.99</v>
      </c>
      <c r="AP384" s="14">
        <v>19100</v>
      </c>
      <c r="AQ384" s="14">
        <v>19020</v>
      </c>
      <c r="AR384" s="14">
        <v>23000</v>
      </c>
      <c r="AS384" s="14">
        <v>17000</v>
      </c>
      <c r="AT384" s="14">
        <v>18394</v>
      </c>
      <c r="AU384" s="14">
        <v>1</v>
      </c>
      <c r="AV384" s="14">
        <v>178.96</v>
      </c>
      <c r="AW384" s="14">
        <v>2.0299999999999998</v>
      </c>
      <c r="AX384" s="14">
        <v>7.94</v>
      </c>
      <c r="AY384" s="14" t="b">
        <v>0</v>
      </c>
    </row>
    <row r="385" spans="1:51" hidden="1" x14ac:dyDescent="0.3">
      <c r="A385" t="str">
        <f>CONCATENATE(I385,E385,LEFT(G385,10))</f>
        <v>HFA606LLER2026-01-06</v>
      </c>
      <c r="B385" s="14" t="s">
        <v>4829</v>
      </c>
      <c r="C385" s="14" t="s">
        <v>336</v>
      </c>
      <c r="D385" s="14" t="s">
        <v>337</v>
      </c>
      <c r="E385" s="14" t="s">
        <v>59</v>
      </c>
      <c r="F385" s="14" t="s">
        <v>43</v>
      </c>
      <c r="G385" s="14" t="s">
        <v>4830</v>
      </c>
      <c r="H385" s="14" t="s">
        <v>371</v>
      </c>
      <c r="I385" s="14" t="s">
        <v>63</v>
      </c>
      <c r="J385" s="14" t="s">
        <v>83</v>
      </c>
      <c r="K385" s="14" t="s">
        <v>340</v>
      </c>
      <c r="L385" s="14" t="s">
        <v>341</v>
      </c>
      <c r="M385" s="16" t="s">
        <v>1688</v>
      </c>
      <c r="N385" s="14"/>
      <c r="O385" s="14" t="s">
        <v>395</v>
      </c>
      <c r="P385" s="14">
        <v>120</v>
      </c>
      <c r="Q385" s="14">
        <v>2</v>
      </c>
      <c r="R385" s="14">
        <v>5100</v>
      </c>
      <c r="S385" s="14" t="s">
        <v>4831</v>
      </c>
      <c r="T385" s="14" t="s">
        <v>4832</v>
      </c>
      <c r="U385" s="14">
        <v>0.881388888888888</v>
      </c>
      <c r="V385" s="14">
        <v>1.08805555555555</v>
      </c>
      <c r="W385" s="14">
        <v>717</v>
      </c>
      <c r="X385" s="14">
        <v>80</v>
      </c>
      <c r="Y385" s="14">
        <v>637</v>
      </c>
      <c r="Z385" s="14">
        <v>1383</v>
      </c>
      <c r="AA385" s="14">
        <v>262</v>
      </c>
      <c r="AB385" s="14">
        <v>273</v>
      </c>
      <c r="AC385" s="14">
        <v>802</v>
      </c>
      <c r="AD385" s="14">
        <v>45</v>
      </c>
      <c r="AE385" s="14">
        <v>2100</v>
      </c>
      <c r="AF385" s="14">
        <v>5000</v>
      </c>
      <c r="AG385" s="14">
        <v>2267</v>
      </c>
      <c r="AH385" s="14">
        <v>0</v>
      </c>
      <c r="AI385" s="14">
        <v>51</v>
      </c>
      <c r="AJ385" s="14">
        <v>173</v>
      </c>
      <c r="AK385" s="14" t="s">
        <v>4830</v>
      </c>
      <c r="AL385" s="14" t="s">
        <v>4833</v>
      </c>
      <c r="AM385" s="14">
        <v>202.63</v>
      </c>
      <c r="AN385" s="14">
        <v>184.55</v>
      </c>
      <c r="AO385" s="14">
        <v>54.99</v>
      </c>
      <c r="AP385" s="14">
        <v>20700</v>
      </c>
      <c r="AQ385" s="14">
        <v>20620</v>
      </c>
      <c r="AR385" s="14">
        <v>23000</v>
      </c>
      <c r="AS385" s="14">
        <v>18600</v>
      </c>
      <c r="AT385" s="14">
        <v>19983</v>
      </c>
      <c r="AU385" s="14">
        <v>0</v>
      </c>
      <c r="AV385" s="14">
        <v>268.61</v>
      </c>
      <c r="AW385" s="14">
        <v>13.41</v>
      </c>
      <c r="AX385" s="14">
        <v>8.1999999999999993</v>
      </c>
      <c r="AY385" s="14" t="b">
        <v>0</v>
      </c>
    </row>
    <row r="386" spans="1:51" hidden="1" x14ac:dyDescent="0.3">
      <c r="A386" t="str">
        <f>CONCATENATE(I386,E386,LEFT(G386,10))</f>
        <v>HFA606LLER2026-01-07</v>
      </c>
      <c r="B386" s="14" t="s">
        <v>1395</v>
      </c>
      <c r="C386" s="14" t="s">
        <v>336</v>
      </c>
      <c r="D386" s="14" t="s">
        <v>337</v>
      </c>
      <c r="E386" s="14" t="s">
        <v>59</v>
      </c>
      <c r="F386" s="14" t="s">
        <v>43</v>
      </c>
      <c r="G386" s="14" t="s">
        <v>1396</v>
      </c>
      <c r="H386" s="14" t="s">
        <v>371</v>
      </c>
      <c r="I386" s="14" t="s">
        <v>63</v>
      </c>
      <c r="J386" s="14" t="s">
        <v>83</v>
      </c>
      <c r="K386" s="14" t="s">
        <v>340</v>
      </c>
      <c r="L386" s="14" t="s">
        <v>341</v>
      </c>
      <c r="M386" s="16" t="s">
        <v>1376</v>
      </c>
      <c r="N386" s="14"/>
      <c r="O386" s="14" t="s">
        <v>1397</v>
      </c>
      <c r="P386" s="14">
        <v>120</v>
      </c>
      <c r="Q386" s="14">
        <v>2</v>
      </c>
      <c r="R386" s="14">
        <v>5900</v>
      </c>
      <c r="S386" s="14" t="s">
        <v>1398</v>
      </c>
      <c r="T386" s="14" t="s">
        <v>1399</v>
      </c>
      <c r="U386" s="14">
        <v>0.90972222222222199</v>
      </c>
      <c r="V386" s="14">
        <v>1.0458333333333301</v>
      </c>
      <c r="W386" s="14">
        <v>738</v>
      </c>
      <c r="X386" s="14">
        <v>80</v>
      </c>
      <c r="Y386" s="14">
        <v>658</v>
      </c>
      <c r="Z386" s="14">
        <v>1362</v>
      </c>
      <c r="AA386" s="14">
        <v>252</v>
      </c>
      <c r="AB386" s="14">
        <v>280</v>
      </c>
      <c r="AC386" s="14">
        <v>783</v>
      </c>
      <c r="AD386" s="14">
        <v>47</v>
      </c>
      <c r="AE386" s="14">
        <v>2100</v>
      </c>
      <c r="AF386" s="14">
        <v>5000</v>
      </c>
      <c r="AG386" s="14">
        <v>2334</v>
      </c>
      <c r="AH386" s="14">
        <v>0</v>
      </c>
      <c r="AI386" s="14">
        <v>53</v>
      </c>
      <c r="AJ386" s="14">
        <v>173</v>
      </c>
      <c r="AK386" s="14" t="s">
        <v>1396</v>
      </c>
      <c r="AL386" s="14" t="s">
        <v>1400</v>
      </c>
      <c r="AM386" s="14">
        <v>202.63</v>
      </c>
      <c r="AN386" s="14">
        <v>184.55</v>
      </c>
      <c r="AO386" s="14">
        <v>54.99</v>
      </c>
      <c r="AP386" s="14">
        <v>21500</v>
      </c>
      <c r="AQ386" s="14">
        <v>21420</v>
      </c>
      <c r="AR386" s="14">
        <v>23000</v>
      </c>
      <c r="AS386" s="14">
        <v>19400</v>
      </c>
      <c r="AT386" s="14">
        <v>20762</v>
      </c>
      <c r="AU386" s="14">
        <v>-7</v>
      </c>
      <c r="AV386" s="14">
        <v>321.66000000000003</v>
      </c>
      <c r="AW386" s="14">
        <v>10.220000000000001</v>
      </c>
      <c r="AX386" s="14">
        <v>8.49</v>
      </c>
      <c r="AY386" s="14" t="b">
        <v>0</v>
      </c>
    </row>
    <row r="387" spans="1:51" hidden="1" x14ac:dyDescent="0.3">
      <c r="A387" t="str">
        <f>CONCATENATE(I387,E387,LEFT(G387,10))</f>
        <v>HFA606LLER2026-01-08</v>
      </c>
      <c r="B387" s="14" t="s">
        <v>2843</v>
      </c>
      <c r="C387" s="14" t="s">
        <v>336</v>
      </c>
      <c r="D387" s="14" t="s">
        <v>337</v>
      </c>
      <c r="E387" s="14" t="s">
        <v>59</v>
      </c>
      <c r="F387" s="14" t="s">
        <v>43</v>
      </c>
      <c r="G387" s="14" t="s">
        <v>2839</v>
      </c>
      <c r="H387" s="14" t="s">
        <v>371</v>
      </c>
      <c r="I387" s="14" t="s">
        <v>63</v>
      </c>
      <c r="J387" s="14" t="s">
        <v>83</v>
      </c>
      <c r="K387" s="14" t="s">
        <v>340</v>
      </c>
      <c r="L387" s="14" t="s">
        <v>341</v>
      </c>
      <c r="M387" s="16" t="s">
        <v>2844</v>
      </c>
      <c r="N387" s="14"/>
      <c r="O387" s="14" t="s">
        <v>2845</v>
      </c>
      <c r="P387" s="14">
        <v>120</v>
      </c>
      <c r="Q387" s="14">
        <v>2</v>
      </c>
      <c r="R387" s="14">
        <v>6100</v>
      </c>
      <c r="S387" s="14" t="s">
        <v>2846</v>
      </c>
      <c r="T387" s="14" t="s">
        <v>2847</v>
      </c>
      <c r="U387" s="14">
        <v>0.83833333333333304</v>
      </c>
      <c r="V387" s="14">
        <v>1.13194444444444</v>
      </c>
      <c r="W387" s="14">
        <v>686</v>
      </c>
      <c r="X387" s="14">
        <v>80</v>
      </c>
      <c r="Y387" s="14">
        <v>606</v>
      </c>
      <c r="Z387" s="14">
        <v>1414</v>
      </c>
      <c r="AA387" s="14">
        <v>274</v>
      </c>
      <c r="AB387" s="14">
        <v>282</v>
      </c>
      <c r="AC387" s="14">
        <v>810</v>
      </c>
      <c r="AD387" s="14">
        <v>47</v>
      </c>
      <c r="AE387" s="14">
        <v>2100</v>
      </c>
      <c r="AF387" s="14">
        <v>5000</v>
      </c>
      <c r="AG387" s="14">
        <v>2169</v>
      </c>
      <c r="AH387" s="14">
        <v>0</v>
      </c>
      <c r="AI387" s="14">
        <v>49</v>
      </c>
      <c r="AJ387" s="14">
        <v>173</v>
      </c>
      <c r="AK387" s="14" t="s">
        <v>2839</v>
      </c>
      <c r="AL387" s="14" t="s">
        <v>2848</v>
      </c>
      <c r="AM387" s="14">
        <v>202.56</v>
      </c>
      <c r="AN387" s="14">
        <v>184.55</v>
      </c>
      <c r="AO387" s="14">
        <v>54.99</v>
      </c>
      <c r="AP387" s="14">
        <v>21700</v>
      </c>
      <c r="AQ387" s="14">
        <v>21620</v>
      </c>
      <c r="AR387" s="14">
        <v>23000</v>
      </c>
      <c r="AS387" s="14">
        <v>19600</v>
      </c>
      <c r="AT387" s="14">
        <v>21014</v>
      </c>
      <c r="AU387" s="14">
        <v>14</v>
      </c>
      <c r="AV387" s="14">
        <v>226.65</v>
      </c>
      <c r="AW387" s="14">
        <v>24.63</v>
      </c>
      <c r="AX387" s="14">
        <v>9.32</v>
      </c>
      <c r="AY387" s="14" t="b">
        <v>0</v>
      </c>
    </row>
    <row r="388" spans="1:51" hidden="1" x14ac:dyDescent="0.3">
      <c r="A388" t="str">
        <f>CONCATENATE(I388,E388,LEFT(G388,10))</f>
        <v>HFA606LLER2026-01-11</v>
      </c>
      <c r="B388" s="14" t="s">
        <v>2183</v>
      </c>
      <c r="C388" s="14" t="s">
        <v>336</v>
      </c>
      <c r="D388" s="14" t="s">
        <v>337</v>
      </c>
      <c r="E388" s="14" t="s">
        <v>59</v>
      </c>
      <c r="F388" s="14" t="s">
        <v>43</v>
      </c>
      <c r="G388" s="14" t="s">
        <v>2178</v>
      </c>
      <c r="H388" s="14" t="s">
        <v>436</v>
      </c>
      <c r="I388" s="14" t="s">
        <v>63</v>
      </c>
      <c r="J388" s="14" t="s">
        <v>83</v>
      </c>
      <c r="K388" s="14" t="s">
        <v>340</v>
      </c>
      <c r="L388" s="14" t="s">
        <v>341</v>
      </c>
      <c r="M388" s="16" t="s">
        <v>2184</v>
      </c>
      <c r="N388" s="14" t="s">
        <v>359</v>
      </c>
      <c r="O388" s="14" t="s">
        <v>2185</v>
      </c>
      <c r="P388" s="14">
        <v>120</v>
      </c>
      <c r="Q388" s="14">
        <v>2</v>
      </c>
      <c r="R388" s="14">
        <v>6000</v>
      </c>
      <c r="S388" s="14" t="s">
        <v>2186</v>
      </c>
      <c r="T388" s="14" t="s">
        <v>2187</v>
      </c>
      <c r="U388" s="14">
        <v>0.80888888888888799</v>
      </c>
      <c r="V388" s="14">
        <v>0.96333333333333304</v>
      </c>
      <c r="W388" s="14">
        <v>695</v>
      </c>
      <c r="X388" s="14">
        <v>80</v>
      </c>
      <c r="Y388" s="14">
        <v>615</v>
      </c>
      <c r="Z388" s="14">
        <v>2005</v>
      </c>
      <c r="AA388" s="14">
        <v>273</v>
      </c>
      <c r="AB388" s="14">
        <v>284</v>
      </c>
      <c r="AC388" s="14">
        <v>1400</v>
      </c>
      <c r="AD388" s="14">
        <v>47</v>
      </c>
      <c r="AE388" s="14">
        <v>2700</v>
      </c>
      <c r="AF388" s="14">
        <v>5000</v>
      </c>
      <c r="AG388" s="14">
        <v>2197</v>
      </c>
      <c r="AH388" s="14">
        <v>0</v>
      </c>
      <c r="AI388" s="14">
        <v>49</v>
      </c>
      <c r="AJ388" s="14">
        <v>226</v>
      </c>
      <c r="AK388" s="14" t="s">
        <v>2178</v>
      </c>
      <c r="AL388" s="14" t="s">
        <v>2188</v>
      </c>
      <c r="AM388" s="14">
        <v>202.63</v>
      </c>
      <c r="AN388" s="14">
        <v>184.55</v>
      </c>
      <c r="AO388" s="14">
        <v>54.99</v>
      </c>
      <c r="AP388" s="14">
        <v>21905</v>
      </c>
      <c r="AQ388" s="14">
        <v>21825</v>
      </c>
      <c r="AR388" s="14">
        <v>23000</v>
      </c>
      <c r="AS388" s="14">
        <v>19205</v>
      </c>
      <c r="AT388" s="14">
        <v>21210</v>
      </c>
      <c r="AU388" s="14">
        <v>12</v>
      </c>
      <c r="AV388" s="14">
        <v>236.22</v>
      </c>
      <c r="AW388" s="14">
        <v>25.17</v>
      </c>
      <c r="AX388" s="14">
        <v>4.17</v>
      </c>
      <c r="AY388" s="14" t="b">
        <v>0</v>
      </c>
    </row>
    <row r="389" spans="1:51" hidden="1" x14ac:dyDescent="0.3">
      <c r="A389" t="str">
        <f>CONCATENATE(I389,E389,LEFT(G389,10))</f>
        <v>HFA606LLER2026-01-12</v>
      </c>
      <c r="B389" s="14" t="s">
        <v>6016</v>
      </c>
      <c r="C389" s="14" t="s">
        <v>336</v>
      </c>
      <c r="D389" s="14" t="s">
        <v>337</v>
      </c>
      <c r="E389" s="14" t="s">
        <v>59</v>
      </c>
      <c r="F389" s="14" t="s">
        <v>43</v>
      </c>
      <c r="G389" s="14" t="s">
        <v>6017</v>
      </c>
      <c r="H389" s="14" t="s">
        <v>339</v>
      </c>
      <c r="I389" s="14" t="s">
        <v>63</v>
      </c>
      <c r="J389" s="14" t="s">
        <v>83</v>
      </c>
      <c r="K389" s="14" t="s">
        <v>340</v>
      </c>
      <c r="L389" s="14" t="s">
        <v>341</v>
      </c>
      <c r="M389" s="16" t="s">
        <v>6018</v>
      </c>
      <c r="N389" s="14"/>
      <c r="O389" s="14" t="s">
        <v>4551</v>
      </c>
      <c r="P389" s="14">
        <v>120</v>
      </c>
      <c r="Q389" s="14">
        <v>2</v>
      </c>
      <c r="R389" s="14">
        <v>2300</v>
      </c>
      <c r="S389" s="14" t="s">
        <v>6019</v>
      </c>
      <c r="T389" s="14"/>
      <c r="U389" s="14"/>
      <c r="V389" s="14">
        <v>1.4477777777777701</v>
      </c>
      <c r="W389" s="14">
        <v>666</v>
      </c>
      <c r="X389" s="14">
        <v>80</v>
      </c>
      <c r="Y389" s="14">
        <v>586</v>
      </c>
      <c r="Z389" s="14">
        <v>1634</v>
      </c>
      <c r="AA389" s="14">
        <v>355</v>
      </c>
      <c r="AB389" s="14">
        <v>250</v>
      </c>
      <c r="AC389" s="14">
        <v>986</v>
      </c>
      <c r="AD389" s="14">
        <v>42</v>
      </c>
      <c r="AE389" s="14">
        <v>2300</v>
      </c>
      <c r="AF389" s="14">
        <v>5000</v>
      </c>
      <c r="AG389" s="14">
        <v>2106</v>
      </c>
      <c r="AH389" s="14">
        <v>0</v>
      </c>
      <c r="AI389" s="14">
        <v>47</v>
      </c>
      <c r="AJ389" s="14">
        <v>194</v>
      </c>
      <c r="AK389" s="14" t="s">
        <v>6017</v>
      </c>
      <c r="AL389" s="14" t="s">
        <v>6020</v>
      </c>
      <c r="AM389" s="14">
        <v>202.56</v>
      </c>
      <c r="AN389" s="14">
        <v>184.55</v>
      </c>
      <c r="AO389" s="14">
        <v>79.3</v>
      </c>
      <c r="AP389" s="14">
        <v>17925</v>
      </c>
      <c r="AQ389" s="14">
        <v>17845</v>
      </c>
      <c r="AR389" s="14">
        <v>23000</v>
      </c>
      <c r="AS389" s="14">
        <v>15625</v>
      </c>
      <c r="AT389" s="14">
        <v>17259</v>
      </c>
      <c r="AU389" s="14">
        <v>16</v>
      </c>
      <c r="AV389" s="14">
        <v>245.79</v>
      </c>
      <c r="AW389" s="14">
        <v>47.4</v>
      </c>
      <c r="AX389" s="14">
        <v>2.4</v>
      </c>
      <c r="AY389" s="14" t="b">
        <v>0</v>
      </c>
    </row>
    <row r="390" spans="1:51" hidden="1" x14ac:dyDescent="0.3">
      <c r="A390" t="str">
        <f>CONCATENATE(I390,E390,LEFT(G390,10))</f>
        <v>HFA606LLER2026-01-14</v>
      </c>
      <c r="B390" s="14" t="s">
        <v>5702</v>
      </c>
      <c r="C390" s="14" t="s">
        <v>336</v>
      </c>
      <c r="D390" s="14" t="s">
        <v>337</v>
      </c>
      <c r="E390" s="14" t="s">
        <v>59</v>
      </c>
      <c r="F390" s="14" t="s">
        <v>43</v>
      </c>
      <c r="G390" s="14" t="s">
        <v>5703</v>
      </c>
      <c r="H390" s="14" t="s">
        <v>371</v>
      </c>
      <c r="I390" s="14" t="s">
        <v>63</v>
      </c>
      <c r="J390" s="14" t="s">
        <v>83</v>
      </c>
      <c r="K390" s="14" t="s">
        <v>340</v>
      </c>
      <c r="L390" s="14" t="s">
        <v>341</v>
      </c>
      <c r="M390" s="16" t="s">
        <v>5704</v>
      </c>
      <c r="N390" s="14"/>
      <c r="O390" s="14" t="s">
        <v>5705</v>
      </c>
      <c r="P390" s="14">
        <v>120</v>
      </c>
      <c r="Q390" s="14">
        <v>2</v>
      </c>
      <c r="R390" s="14">
        <v>5000</v>
      </c>
      <c r="S390" s="14" t="s">
        <v>5706</v>
      </c>
      <c r="T390" s="14" t="s">
        <v>5707</v>
      </c>
      <c r="U390" s="14">
        <v>0.98194444444444395</v>
      </c>
      <c r="V390" s="14">
        <v>1.1272222222222199</v>
      </c>
      <c r="W390" s="14">
        <v>788</v>
      </c>
      <c r="X390" s="14">
        <v>80</v>
      </c>
      <c r="Y390" s="14">
        <v>708</v>
      </c>
      <c r="Z390" s="14">
        <v>1512</v>
      </c>
      <c r="AA390" s="14">
        <v>257</v>
      </c>
      <c r="AB390" s="14">
        <v>273</v>
      </c>
      <c r="AC390" s="14">
        <v>937</v>
      </c>
      <c r="AD390" s="14">
        <v>46</v>
      </c>
      <c r="AE390" s="14">
        <v>2300</v>
      </c>
      <c r="AF390" s="14">
        <v>5000</v>
      </c>
      <c r="AG390" s="14">
        <v>2489</v>
      </c>
      <c r="AH390" s="14">
        <v>0</v>
      </c>
      <c r="AI390" s="14">
        <v>54</v>
      </c>
      <c r="AJ390" s="14">
        <v>187</v>
      </c>
      <c r="AK390" s="14" t="s">
        <v>5703</v>
      </c>
      <c r="AL390" s="14" t="s">
        <v>5708</v>
      </c>
      <c r="AM390" s="14">
        <v>202.56</v>
      </c>
      <c r="AN390" s="14">
        <v>184.55</v>
      </c>
      <c r="AO390" s="14">
        <v>54.99</v>
      </c>
      <c r="AP390" s="14">
        <v>20800</v>
      </c>
      <c r="AQ390" s="14">
        <v>20720</v>
      </c>
      <c r="AR390" s="14">
        <v>23000</v>
      </c>
      <c r="AS390" s="14">
        <v>18500</v>
      </c>
      <c r="AT390" s="14">
        <v>20012</v>
      </c>
      <c r="AU390" s="14">
        <v>-21</v>
      </c>
      <c r="AV390" s="14">
        <v>317.07</v>
      </c>
      <c r="AW390" s="14">
        <v>30.72</v>
      </c>
      <c r="AX390" s="14">
        <v>1.31</v>
      </c>
      <c r="AY390" s="14" t="b">
        <v>0</v>
      </c>
    </row>
    <row r="391" spans="1:51" hidden="1" x14ac:dyDescent="0.3">
      <c r="A391" t="str">
        <f>CONCATENATE(I391,E391,LEFT(G391,10))</f>
        <v>HFA606LLER2026-01-15</v>
      </c>
      <c r="B391" s="14" t="s">
        <v>6118</v>
      </c>
      <c r="C391" s="14" t="s">
        <v>336</v>
      </c>
      <c r="D391" s="14" t="s">
        <v>337</v>
      </c>
      <c r="E391" s="14" t="s">
        <v>59</v>
      </c>
      <c r="F391" s="14" t="s">
        <v>43</v>
      </c>
      <c r="G391" s="14" t="s">
        <v>6114</v>
      </c>
      <c r="H391" s="14" t="s">
        <v>371</v>
      </c>
      <c r="I391" s="14" t="s">
        <v>63</v>
      </c>
      <c r="J391" s="14" t="s">
        <v>83</v>
      </c>
      <c r="K391" s="14" t="s">
        <v>340</v>
      </c>
      <c r="L391" s="14" t="s">
        <v>341</v>
      </c>
      <c r="M391" s="16" t="s">
        <v>543</v>
      </c>
      <c r="N391" s="14"/>
      <c r="O391" s="14" t="s">
        <v>6119</v>
      </c>
      <c r="P391" s="14">
        <v>120</v>
      </c>
      <c r="Q391" s="14">
        <v>2</v>
      </c>
      <c r="R391" s="14">
        <v>6500</v>
      </c>
      <c r="S391" s="14" t="s">
        <v>6120</v>
      </c>
      <c r="T391" s="14" t="s">
        <v>6121</v>
      </c>
      <c r="U391" s="14">
        <v>0.93555555555555503</v>
      </c>
      <c r="V391" s="14">
        <v>1.0408333333333299</v>
      </c>
      <c r="W391" s="14">
        <v>759</v>
      </c>
      <c r="X391" s="14">
        <v>80</v>
      </c>
      <c r="Y391" s="14">
        <v>679</v>
      </c>
      <c r="Z391" s="14">
        <v>1441</v>
      </c>
      <c r="AA391" s="14">
        <v>262</v>
      </c>
      <c r="AB391" s="14">
        <v>287</v>
      </c>
      <c r="AC391" s="14">
        <v>844</v>
      </c>
      <c r="AD391" s="14">
        <v>48</v>
      </c>
      <c r="AE391" s="14">
        <v>2200</v>
      </c>
      <c r="AF391" s="14">
        <v>5000</v>
      </c>
      <c r="AG391" s="14">
        <v>2399</v>
      </c>
      <c r="AH391" s="14">
        <v>0</v>
      </c>
      <c r="AI391" s="14">
        <v>53</v>
      </c>
      <c r="AJ391" s="14">
        <v>178</v>
      </c>
      <c r="AK391" s="14" t="s">
        <v>6114</v>
      </c>
      <c r="AL391" s="14" t="s">
        <v>6122</v>
      </c>
      <c r="AM391" s="14">
        <v>202.61</v>
      </c>
      <c r="AN391" s="14">
        <v>184.55</v>
      </c>
      <c r="AO391" s="14">
        <v>54.99</v>
      </c>
      <c r="AP391" s="14">
        <v>22200</v>
      </c>
      <c r="AQ391" s="14">
        <v>22120</v>
      </c>
      <c r="AR391" s="14">
        <v>23000</v>
      </c>
      <c r="AS391" s="14">
        <v>20000</v>
      </c>
      <c r="AT391" s="14">
        <v>21441</v>
      </c>
      <c r="AU391" s="14">
        <v>-9</v>
      </c>
      <c r="AV391" s="14">
        <v>313.10000000000002</v>
      </c>
      <c r="AW391" s="14">
        <v>15.59</v>
      </c>
      <c r="AX391" s="14">
        <v>2.7</v>
      </c>
      <c r="AY391" s="14" t="b">
        <v>0</v>
      </c>
    </row>
    <row r="392" spans="1:51" hidden="1" x14ac:dyDescent="0.3">
      <c r="A392" t="str">
        <f>CONCATENATE(I392,E392,LEFT(G392,10))</f>
        <v>HFA606LLER2026-01-18</v>
      </c>
      <c r="B392" s="14" t="s">
        <v>5517</v>
      </c>
      <c r="C392" s="14" t="s">
        <v>336</v>
      </c>
      <c r="D392" s="14" t="s">
        <v>337</v>
      </c>
      <c r="E392" s="14" t="s">
        <v>59</v>
      </c>
      <c r="F392" s="14" t="s">
        <v>43</v>
      </c>
      <c r="G392" s="14" t="s">
        <v>5511</v>
      </c>
      <c r="H392" s="14" t="s">
        <v>393</v>
      </c>
      <c r="I392" s="14" t="s">
        <v>63</v>
      </c>
      <c r="J392" s="14" t="s">
        <v>83</v>
      </c>
      <c r="K392" s="14" t="s">
        <v>340</v>
      </c>
      <c r="L392" s="14" t="s">
        <v>341</v>
      </c>
      <c r="M392" s="16" t="s">
        <v>5315</v>
      </c>
      <c r="N392" s="14"/>
      <c r="O392" s="14" t="s">
        <v>5518</v>
      </c>
      <c r="P392" s="14">
        <v>120</v>
      </c>
      <c r="Q392" s="14">
        <v>2</v>
      </c>
      <c r="R392" s="14">
        <v>2900</v>
      </c>
      <c r="S392" s="14" t="s">
        <v>5519</v>
      </c>
      <c r="T392" s="14" t="s">
        <v>5520</v>
      </c>
      <c r="U392" s="14">
        <v>0.95111111111111102</v>
      </c>
      <c r="V392" s="14">
        <v>1.0522222222222199</v>
      </c>
      <c r="W392" s="14">
        <v>808</v>
      </c>
      <c r="X392" s="14">
        <v>80</v>
      </c>
      <c r="Y392" s="14">
        <v>728</v>
      </c>
      <c r="Z392" s="14">
        <v>1692</v>
      </c>
      <c r="AA392" s="14">
        <v>256</v>
      </c>
      <c r="AB392" s="14">
        <v>255</v>
      </c>
      <c r="AC392" s="14">
        <v>1138</v>
      </c>
      <c r="AD392" s="14">
        <v>43</v>
      </c>
      <c r="AE392" s="14">
        <v>2500</v>
      </c>
      <c r="AF392" s="14">
        <v>5000</v>
      </c>
      <c r="AG392" s="14">
        <v>2553</v>
      </c>
      <c r="AH392" s="14">
        <v>0</v>
      </c>
      <c r="AI392" s="14">
        <v>52</v>
      </c>
      <c r="AJ392" s="14">
        <v>196</v>
      </c>
      <c r="AK392" s="14" t="s">
        <v>5511</v>
      </c>
      <c r="AL392" s="14" t="s">
        <v>5521</v>
      </c>
      <c r="AM392" s="14">
        <v>202.56</v>
      </c>
      <c r="AN392" s="14">
        <v>184.55</v>
      </c>
      <c r="AO392" s="14">
        <v>54.99</v>
      </c>
      <c r="AP392" s="14">
        <v>18711</v>
      </c>
      <c r="AQ392" s="14">
        <v>18631</v>
      </c>
      <c r="AR392" s="14">
        <v>23000</v>
      </c>
      <c r="AS392" s="14">
        <v>16211</v>
      </c>
      <c r="AT392" s="14">
        <v>17903</v>
      </c>
      <c r="AU392" s="14">
        <v>-9</v>
      </c>
      <c r="AV392" s="14">
        <v>291.16000000000003</v>
      </c>
      <c r="AW392" s="14">
        <v>23.41</v>
      </c>
      <c r="AX392" s="14">
        <v>-0.24</v>
      </c>
      <c r="AY392" s="14" t="b">
        <v>0</v>
      </c>
    </row>
    <row r="393" spans="1:51" hidden="1" x14ac:dyDescent="0.3">
      <c r="A393" t="str">
        <f>CONCATENATE(I393,E393,LEFT(G393,10))</f>
        <v>HFA606LLER2026-01-19</v>
      </c>
      <c r="B393" s="14" t="s">
        <v>5921</v>
      </c>
      <c r="C393" s="14" t="s">
        <v>336</v>
      </c>
      <c r="D393" s="14" t="s">
        <v>337</v>
      </c>
      <c r="E393" s="14" t="s">
        <v>59</v>
      </c>
      <c r="F393" s="14" t="s">
        <v>43</v>
      </c>
      <c r="G393" s="14" t="s">
        <v>5922</v>
      </c>
      <c r="H393" s="14" t="s">
        <v>371</v>
      </c>
      <c r="I393" s="14" t="s">
        <v>63</v>
      </c>
      <c r="J393" s="14" t="s">
        <v>83</v>
      </c>
      <c r="K393" s="14" t="s">
        <v>340</v>
      </c>
      <c r="L393" s="14" t="s">
        <v>341</v>
      </c>
      <c r="M393" s="16" t="s">
        <v>5923</v>
      </c>
      <c r="N393" s="14"/>
      <c r="O393" s="14" t="s">
        <v>395</v>
      </c>
      <c r="P393" s="14">
        <v>120</v>
      </c>
      <c r="Q393" s="14">
        <v>2</v>
      </c>
      <c r="R393" s="14">
        <v>5600</v>
      </c>
      <c r="S393" s="14" t="s">
        <v>5924</v>
      </c>
      <c r="T393" s="14" t="s">
        <v>5925</v>
      </c>
      <c r="U393" s="14">
        <v>0.92444444444444396</v>
      </c>
      <c r="V393" s="14">
        <v>1.1213888888888801</v>
      </c>
      <c r="W393" s="14">
        <v>761</v>
      </c>
      <c r="X393" s="14">
        <v>80</v>
      </c>
      <c r="Y393" s="14">
        <v>681</v>
      </c>
      <c r="Z393" s="14">
        <v>1539</v>
      </c>
      <c r="AA393" s="14">
        <v>253</v>
      </c>
      <c r="AB393" s="14">
        <v>279</v>
      </c>
      <c r="AC393" s="14">
        <v>960</v>
      </c>
      <c r="AD393" s="14">
        <v>46</v>
      </c>
      <c r="AE393" s="14">
        <v>2300</v>
      </c>
      <c r="AF393" s="14">
        <v>5000</v>
      </c>
      <c r="AG393" s="14">
        <v>2406</v>
      </c>
      <c r="AH393" s="14">
        <v>0</v>
      </c>
      <c r="AI393" s="14">
        <v>53</v>
      </c>
      <c r="AJ393" s="14">
        <v>187</v>
      </c>
      <c r="AK393" s="14" t="s">
        <v>5922</v>
      </c>
      <c r="AL393" s="14" t="s">
        <v>5926</v>
      </c>
      <c r="AM393" s="14">
        <v>202.63</v>
      </c>
      <c r="AN393" s="14">
        <v>184.55</v>
      </c>
      <c r="AO393" s="14">
        <v>54.99</v>
      </c>
      <c r="AP393" s="14">
        <v>21400</v>
      </c>
      <c r="AQ393" s="14">
        <v>21320</v>
      </c>
      <c r="AR393" s="14">
        <v>23000</v>
      </c>
      <c r="AS393" s="14">
        <v>19100</v>
      </c>
      <c r="AT393" s="14">
        <v>20639</v>
      </c>
      <c r="AU393" s="14">
        <v>-11</v>
      </c>
      <c r="AV393" s="14">
        <v>294.56</v>
      </c>
      <c r="AW393" s="14">
        <v>28.48</v>
      </c>
      <c r="AX393" s="14">
        <v>0.78</v>
      </c>
      <c r="AY393" s="14" t="b">
        <v>0</v>
      </c>
    </row>
    <row r="394" spans="1:51" hidden="1" x14ac:dyDescent="0.3">
      <c r="A394" t="str">
        <f>CONCATENATE(I394,E394,LEFT(G394,10))</f>
        <v>HFA606LLER2026-01-20</v>
      </c>
      <c r="B394" s="14" t="s">
        <v>4743</v>
      </c>
      <c r="C394" s="14" t="s">
        <v>336</v>
      </c>
      <c r="D394" s="14" t="s">
        <v>337</v>
      </c>
      <c r="E394" s="14" t="s">
        <v>59</v>
      </c>
      <c r="F394" s="14" t="s">
        <v>43</v>
      </c>
      <c r="G394" s="14" t="s">
        <v>4744</v>
      </c>
      <c r="H394" s="14" t="s">
        <v>371</v>
      </c>
      <c r="I394" s="14" t="s">
        <v>63</v>
      </c>
      <c r="J394" s="14" t="s">
        <v>83</v>
      </c>
      <c r="K394" s="14" t="s">
        <v>340</v>
      </c>
      <c r="L394" s="14" t="s">
        <v>341</v>
      </c>
      <c r="M394" s="16" t="s">
        <v>4745</v>
      </c>
      <c r="N394" s="14"/>
      <c r="O394" s="14" t="s">
        <v>4746</v>
      </c>
      <c r="P394" s="14">
        <v>120</v>
      </c>
      <c r="Q394" s="14">
        <v>2</v>
      </c>
      <c r="R394" s="14">
        <v>6800</v>
      </c>
      <c r="S394" s="14" t="s">
        <v>4747</v>
      </c>
      <c r="T394" s="14" t="s">
        <v>4748</v>
      </c>
      <c r="U394" s="14">
        <v>1.0222222222222199</v>
      </c>
      <c r="V394" s="14">
        <v>1.1727777777777699</v>
      </c>
      <c r="W394" s="14">
        <v>780</v>
      </c>
      <c r="X394" s="14">
        <v>80</v>
      </c>
      <c r="Y394" s="14">
        <v>700</v>
      </c>
      <c r="Z394" s="14">
        <v>1520</v>
      </c>
      <c r="AA394" s="14">
        <v>259</v>
      </c>
      <c r="AB394" s="14">
        <v>291</v>
      </c>
      <c r="AC394" s="14">
        <v>922</v>
      </c>
      <c r="AD394" s="14">
        <v>48</v>
      </c>
      <c r="AE394" s="14">
        <v>2300</v>
      </c>
      <c r="AF394" s="14">
        <v>5000</v>
      </c>
      <c r="AG394" s="14">
        <v>2464</v>
      </c>
      <c r="AH394" s="14">
        <v>0</v>
      </c>
      <c r="AI394" s="14">
        <v>54</v>
      </c>
      <c r="AJ394" s="14">
        <v>186</v>
      </c>
      <c r="AK394" s="14" t="s">
        <v>4744</v>
      </c>
      <c r="AL394" s="14" t="s">
        <v>4749</v>
      </c>
      <c r="AM394" s="14">
        <v>202.56</v>
      </c>
      <c r="AN394" s="14">
        <v>184.55</v>
      </c>
      <c r="AO394" s="14">
        <v>54.99</v>
      </c>
      <c r="AP394" s="14">
        <v>22600</v>
      </c>
      <c r="AQ394" s="14">
        <v>22520</v>
      </c>
      <c r="AR394" s="14">
        <v>23000</v>
      </c>
      <c r="AS394" s="14">
        <v>20300</v>
      </c>
      <c r="AT394" s="14">
        <v>21820</v>
      </c>
      <c r="AU394" s="14">
        <v>-16</v>
      </c>
      <c r="AV394" s="14">
        <v>296.60000000000002</v>
      </c>
      <c r="AW394" s="14">
        <v>36.04</v>
      </c>
      <c r="AX394" s="14">
        <v>1.39</v>
      </c>
      <c r="AY394" s="14" t="b">
        <v>0</v>
      </c>
    </row>
    <row r="395" spans="1:51" hidden="1" x14ac:dyDescent="0.3">
      <c r="A395" t="str">
        <f>CONCATENATE(I395,E395,LEFT(G395,10))</f>
        <v>HFA606LLER2026-01-21</v>
      </c>
      <c r="B395" s="14" t="s">
        <v>1520</v>
      </c>
      <c r="C395" s="14" t="s">
        <v>336</v>
      </c>
      <c r="D395" s="14" t="s">
        <v>337</v>
      </c>
      <c r="E395" s="14" t="s">
        <v>59</v>
      </c>
      <c r="F395" s="14" t="s">
        <v>43</v>
      </c>
      <c r="G395" s="14" t="s">
        <v>1521</v>
      </c>
      <c r="H395" s="14" t="s">
        <v>393</v>
      </c>
      <c r="I395" s="14" t="s">
        <v>63</v>
      </c>
      <c r="J395" s="14" t="s">
        <v>83</v>
      </c>
      <c r="K395" s="14" t="s">
        <v>340</v>
      </c>
      <c r="L395" s="14" t="s">
        <v>341</v>
      </c>
      <c r="M395" s="16" t="s">
        <v>1522</v>
      </c>
      <c r="N395" s="14"/>
      <c r="O395" s="14" t="s">
        <v>395</v>
      </c>
      <c r="P395" s="14">
        <v>120</v>
      </c>
      <c r="Q395" s="14">
        <v>2</v>
      </c>
      <c r="R395" s="14">
        <v>6200</v>
      </c>
      <c r="S395" s="14" t="s">
        <v>1523</v>
      </c>
      <c r="T395" s="14" t="s">
        <v>1524</v>
      </c>
      <c r="U395" s="14">
        <v>1.0408333333333299</v>
      </c>
      <c r="V395" s="14">
        <v>1.2477777777777701</v>
      </c>
      <c r="W395" s="14">
        <v>795</v>
      </c>
      <c r="X395" s="14">
        <v>80</v>
      </c>
      <c r="Y395" s="14">
        <v>715</v>
      </c>
      <c r="Z395" s="14">
        <v>889</v>
      </c>
      <c r="AA395" s="14">
        <v>266</v>
      </c>
      <c r="AB395" s="14">
        <v>277</v>
      </c>
      <c r="AC395" s="14">
        <v>300</v>
      </c>
      <c r="AD395" s="14">
        <v>46</v>
      </c>
      <c r="AE395" s="14">
        <v>1684</v>
      </c>
      <c r="AF395" s="14">
        <v>5000</v>
      </c>
      <c r="AG395" s="14">
        <v>2513</v>
      </c>
      <c r="AH395" s="14">
        <v>0</v>
      </c>
      <c r="AI395" s="14">
        <v>52</v>
      </c>
      <c r="AJ395" s="14">
        <v>129</v>
      </c>
      <c r="AK395" s="14" t="s">
        <v>1521</v>
      </c>
      <c r="AL395" s="14" t="s">
        <v>1525</v>
      </c>
      <c r="AM395" s="14">
        <v>202.63</v>
      </c>
      <c r="AN395" s="14">
        <v>184.55</v>
      </c>
      <c r="AO395" s="14">
        <v>54.99</v>
      </c>
      <c r="AP395" s="14">
        <v>21195</v>
      </c>
      <c r="AQ395" s="14">
        <v>21115</v>
      </c>
      <c r="AR395" s="14">
        <v>23000</v>
      </c>
      <c r="AS395" s="14">
        <v>19511</v>
      </c>
      <c r="AT395" s="14">
        <v>20400</v>
      </c>
      <c r="AU395" s="14">
        <v>-7</v>
      </c>
      <c r="AV395" s="14">
        <v>289.08999999999997</v>
      </c>
      <c r="AW395" s="14">
        <v>19.57</v>
      </c>
      <c r="AX395" s="14">
        <v>5.49</v>
      </c>
      <c r="AY395" s="14" t="b">
        <v>0</v>
      </c>
    </row>
    <row r="396" spans="1:51" hidden="1" x14ac:dyDescent="0.3">
      <c r="A396" t="str">
        <f>CONCATENATE(I396,E396,LEFT(G396,10))</f>
        <v>HFA606LLER2026-01-22</v>
      </c>
      <c r="B396" s="14" t="s">
        <v>2069</v>
      </c>
      <c r="C396" s="14" t="s">
        <v>336</v>
      </c>
      <c r="D396" s="14" t="s">
        <v>337</v>
      </c>
      <c r="E396" s="14" t="s">
        <v>59</v>
      </c>
      <c r="F396" s="14" t="s">
        <v>43</v>
      </c>
      <c r="G396" s="14" t="s">
        <v>2070</v>
      </c>
      <c r="H396" s="14" t="s">
        <v>357</v>
      </c>
      <c r="I396" s="14" t="s">
        <v>63</v>
      </c>
      <c r="J396" s="14" t="s">
        <v>83</v>
      </c>
      <c r="K396" s="14" t="s">
        <v>340</v>
      </c>
      <c r="L396" s="14" t="s">
        <v>341</v>
      </c>
      <c r="M396" s="16" t="s">
        <v>731</v>
      </c>
      <c r="N396" s="14" t="s">
        <v>359</v>
      </c>
      <c r="O396" s="14" t="s">
        <v>395</v>
      </c>
      <c r="P396" s="14">
        <v>150</v>
      </c>
      <c r="Q396" s="14">
        <v>2</v>
      </c>
      <c r="R396" s="14">
        <v>6400</v>
      </c>
      <c r="S396" s="14" t="s">
        <v>2071</v>
      </c>
      <c r="T396" s="14" t="s">
        <v>2072</v>
      </c>
      <c r="U396" s="14">
        <v>0.91222222222222205</v>
      </c>
      <c r="V396" s="14">
        <v>1.04666666666666</v>
      </c>
      <c r="W396" s="14">
        <v>652</v>
      </c>
      <c r="X396" s="14">
        <v>80</v>
      </c>
      <c r="Y396" s="14">
        <v>572</v>
      </c>
      <c r="Z396" s="14">
        <v>1648</v>
      </c>
      <c r="AA396" s="14">
        <v>594</v>
      </c>
      <c r="AB396" s="14">
        <v>285</v>
      </c>
      <c r="AC396" s="14">
        <v>722</v>
      </c>
      <c r="AD396" s="14">
        <v>47</v>
      </c>
      <c r="AE396" s="14">
        <v>2300</v>
      </c>
      <c r="AF396" s="14">
        <v>5000</v>
      </c>
      <c r="AG396" s="14">
        <v>2061</v>
      </c>
      <c r="AH396" s="14">
        <v>0</v>
      </c>
      <c r="AI396" s="14">
        <v>48</v>
      </c>
      <c r="AJ396" s="14">
        <v>192</v>
      </c>
      <c r="AK396" s="14" t="s">
        <v>2070</v>
      </c>
      <c r="AL396" s="14" t="s">
        <v>2073</v>
      </c>
      <c r="AM396" s="14">
        <v>202.63</v>
      </c>
      <c r="AN396" s="14">
        <v>184.55</v>
      </c>
      <c r="AO396" s="14">
        <v>54.99</v>
      </c>
      <c r="AP396" s="14">
        <v>21925</v>
      </c>
      <c r="AQ396" s="14">
        <v>21845</v>
      </c>
      <c r="AR396" s="14">
        <v>23000</v>
      </c>
      <c r="AS396" s="14">
        <v>19625</v>
      </c>
      <c r="AT396" s="14">
        <v>21273</v>
      </c>
      <c r="AU396" s="14">
        <v>21</v>
      </c>
      <c r="AV396" s="14">
        <v>224.25</v>
      </c>
      <c r="AW396" s="14">
        <v>39.06</v>
      </c>
      <c r="AX396" s="14">
        <v>5.62</v>
      </c>
      <c r="AY396" s="14" t="b">
        <v>0</v>
      </c>
    </row>
    <row r="397" spans="1:51" hidden="1" x14ac:dyDescent="0.3">
      <c r="A397" t="str">
        <f>CONCATENATE(I397,E397,LEFT(G397,10))</f>
        <v>HFA606LLER2026-01-25</v>
      </c>
      <c r="B397" s="14" t="s">
        <v>5169</v>
      </c>
      <c r="C397" s="14" t="s">
        <v>336</v>
      </c>
      <c r="D397" s="14" t="s">
        <v>337</v>
      </c>
      <c r="E397" s="14" t="s">
        <v>59</v>
      </c>
      <c r="F397" s="14" t="s">
        <v>43</v>
      </c>
      <c r="G397" s="14" t="s">
        <v>5170</v>
      </c>
      <c r="H397" s="14" t="s">
        <v>357</v>
      </c>
      <c r="I397" s="14" t="s">
        <v>63</v>
      </c>
      <c r="J397" s="14" t="s">
        <v>83</v>
      </c>
      <c r="K397" s="14" t="s">
        <v>340</v>
      </c>
      <c r="L397" s="14" t="s">
        <v>341</v>
      </c>
      <c r="M397" s="16" t="s">
        <v>5171</v>
      </c>
      <c r="N397" s="14" t="s">
        <v>359</v>
      </c>
      <c r="O397" s="14" t="s">
        <v>395</v>
      </c>
      <c r="P397" s="14">
        <v>120</v>
      </c>
      <c r="Q397" s="14">
        <v>3</v>
      </c>
      <c r="R397" s="14">
        <v>0</v>
      </c>
      <c r="S397" s="14" t="s">
        <v>5172</v>
      </c>
      <c r="T397" s="14" t="s">
        <v>5173</v>
      </c>
      <c r="U397" s="14">
        <v>0.89388888888888796</v>
      </c>
      <c r="V397" s="14">
        <v>1.1058333333333299</v>
      </c>
      <c r="W397" s="14">
        <v>687</v>
      </c>
      <c r="X397" s="14">
        <v>80</v>
      </c>
      <c r="Y397" s="14">
        <v>607</v>
      </c>
      <c r="Z397" s="14">
        <v>1813</v>
      </c>
      <c r="AA397" s="14">
        <v>245</v>
      </c>
      <c r="AB397" s="14">
        <v>249</v>
      </c>
      <c r="AC397" s="14">
        <v>1278</v>
      </c>
      <c r="AD397" s="14">
        <v>42</v>
      </c>
      <c r="AE397" s="14">
        <v>2500</v>
      </c>
      <c r="AF397" s="14">
        <v>5000</v>
      </c>
      <c r="AG397" s="14">
        <v>2170</v>
      </c>
      <c r="AH397" s="14">
        <v>0</v>
      </c>
      <c r="AI397" s="14">
        <v>50</v>
      </c>
      <c r="AJ397" s="14">
        <v>218</v>
      </c>
      <c r="AK397" s="14" t="s">
        <v>5170</v>
      </c>
      <c r="AL397" s="14" t="s">
        <v>5174</v>
      </c>
      <c r="AM397" s="14">
        <v>202.63</v>
      </c>
      <c r="AN397" s="14">
        <v>184.55</v>
      </c>
      <c r="AO397" s="14">
        <v>54.99</v>
      </c>
      <c r="AP397" s="14">
        <v>17825</v>
      </c>
      <c r="AQ397" s="14">
        <v>17745</v>
      </c>
      <c r="AR397" s="14">
        <v>23000</v>
      </c>
      <c r="AS397" s="14">
        <v>15325</v>
      </c>
      <c r="AT397" s="14">
        <v>17138</v>
      </c>
      <c r="AU397" s="14">
        <v>-2</v>
      </c>
      <c r="AV397" s="14">
        <v>290.29000000000002</v>
      </c>
      <c r="AW397" s="14">
        <v>7.62</v>
      </c>
      <c r="AX397" s="14">
        <v>5.99</v>
      </c>
      <c r="AY397" s="14" t="b">
        <v>0</v>
      </c>
    </row>
    <row r="398" spans="1:51" hidden="1" x14ac:dyDescent="0.3">
      <c r="A398" t="str">
        <f>CONCATENATE(I398,E398,LEFT(G398,10))</f>
        <v>HFA606LLER2026-01-27</v>
      </c>
      <c r="B398" s="14" t="s">
        <v>951</v>
      </c>
      <c r="C398" s="14" t="s">
        <v>336</v>
      </c>
      <c r="D398" s="14" t="s">
        <v>337</v>
      </c>
      <c r="E398" s="14" t="s">
        <v>59</v>
      </c>
      <c r="F398" s="14" t="s">
        <v>43</v>
      </c>
      <c r="G398" s="14" t="s">
        <v>952</v>
      </c>
      <c r="H398" s="14" t="s">
        <v>371</v>
      </c>
      <c r="I398" s="14" t="s">
        <v>63</v>
      </c>
      <c r="J398" s="14" t="s">
        <v>83</v>
      </c>
      <c r="K398" s="14" t="s">
        <v>340</v>
      </c>
      <c r="L398" s="14" t="s">
        <v>341</v>
      </c>
      <c r="M398" s="16" t="s">
        <v>953</v>
      </c>
      <c r="N398" s="14"/>
      <c r="O398" s="14" t="s">
        <v>395</v>
      </c>
      <c r="P398" s="14">
        <v>120</v>
      </c>
      <c r="Q398" s="14">
        <v>2</v>
      </c>
      <c r="R398" s="14">
        <v>5550</v>
      </c>
      <c r="S398" s="14" t="s">
        <v>954</v>
      </c>
      <c r="T398" s="14" t="s">
        <v>955</v>
      </c>
      <c r="U398" s="14">
        <v>0.82305555555555499</v>
      </c>
      <c r="V398" s="14">
        <v>1.11666666666666</v>
      </c>
      <c r="W398" s="14">
        <v>688</v>
      </c>
      <c r="X398" s="14">
        <v>80</v>
      </c>
      <c r="Y398" s="14">
        <v>608</v>
      </c>
      <c r="Z398" s="14">
        <v>1512</v>
      </c>
      <c r="AA398" s="14">
        <v>271</v>
      </c>
      <c r="AB398" s="14">
        <v>278</v>
      </c>
      <c r="AC398" s="14">
        <v>917</v>
      </c>
      <c r="AD398" s="14">
        <v>46</v>
      </c>
      <c r="AE398" s="14">
        <v>2200</v>
      </c>
      <c r="AF398" s="14">
        <v>5000</v>
      </c>
      <c r="AG398" s="14">
        <v>2175</v>
      </c>
      <c r="AH398" s="14">
        <v>0</v>
      </c>
      <c r="AI398" s="14">
        <v>47</v>
      </c>
      <c r="AJ398" s="14">
        <v>179</v>
      </c>
      <c r="AK398" s="14" t="s">
        <v>952</v>
      </c>
      <c r="AL398" s="14" t="s">
        <v>956</v>
      </c>
      <c r="AM398" s="14">
        <v>202.63</v>
      </c>
      <c r="AN398" s="14">
        <v>184.55</v>
      </c>
      <c r="AO398" s="14">
        <v>54.99</v>
      </c>
      <c r="AP398" s="14">
        <v>21250</v>
      </c>
      <c r="AQ398" s="14">
        <v>21170</v>
      </c>
      <c r="AR398" s="14">
        <v>23000</v>
      </c>
      <c r="AS398" s="14">
        <v>19050</v>
      </c>
      <c r="AT398" s="14">
        <v>20562</v>
      </c>
      <c r="AU398" s="14">
        <v>19</v>
      </c>
      <c r="AV398" s="14">
        <v>226.57</v>
      </c>
      <c r="AW398" s="14">
        <v>31.87</v>
      </c>
      <c r="AX398" s="14">
        <v>2.2999999999999998</v>
      </c>
      <c r="AY398" s="14" t="b">
        <v>0</v>
      </c>
    </row>
    <row r="399" spans="1:51" hidden="1" x14ac:dyDescent="0.3">
      <c r="A399" t="str">
        <f>CONCATENATE(I399,E399,LEFT(G399,10))</f>
        <v>HFA606LLER2026-01-28</v>
      </c>
      <c r="B399" s="14" t="s">
        <v>1300</v>
      </c>
      <c r="C399" s="14" t="s">
        <v>336</v>
      </c>
      <c r="D399" s="14" t="s">
        <v>337</v>
      </c>
      <c r="E399" s="14" t="s">
        <v>59</v>
      </c>
      <c r="F399" s="14" t="s">
        <v>43</v>
      </c>
      <c r="G399" s="14" t="s">
        <v>1301</v>
      </c>
      <c r="H399" s="14" t="s">
        <v>371</v>
      </c>
      <c r="I399" s="14" t="s">
        <v>63</v>
      </c>
      <c r="J399" s="14" t="s">
        <v>83</v>
      </c>
      <c r="K399" s="14" t="s">
        <v>340</v>
      </c>
      <c r="L399" s="14" t="s">
        <v>341</v>
      </c>
      <c r="M399" s="16" t="s">
        <v>731</v>
      </c>
      <c r="N399" s="14"/>
      <c r="O399" s="14" t="s">
        <v>1302</v>
      </c>
      <c r="P399" s="14">
        <v>120</v>
      </c>
      <c r="Q399" s="14">
        <v>3</v>
      </c>
      <c r="R399" s="14">
        <v>6650</v>
      </c>
      <c r="S399" s="14" t="s">
        <v>1303</v>
      </c>
      <c r="T399" s="14" t="s">
        <v>1304</v>
      </c>
      <c r="U399" s="14">
        <v>0.94638888888888795</v>
      </c>
      <c r="V399" s="14">
        <v>1.0786111111111101</v>
      </c>
      <c r="W399" s="14">
        <v>770</v>
      </c>
      <c r="X399" s="14">
        <v>80</v>
      </c>
      <c r="Y399" s="14">
        <v>690</v>
      </c>
      <c r="Z399" s="14">
        <v>1430</v>
      </c>
      <c r="AA399" s="14">
        <v>267</v>
      </c>
      <c r="AB399" s="14">
        <v>288</v>
      </c>
      <c r="AC399" s="14">
        <v>826</v>
      </c>
      <c r="AD399" s="14">
        <v>48</v>
      </c>
      <c r="AE399" s="14">
        <v>2200</v>
      </c>
      <c r="AF399" s="14">
        <v>5000</v>
      </c>
      <c r="AG399" s="14">
        <v>2434</v>
      </c>
      <c r="AH399" s="14">
        <v>0</v>
      </c>
      <c r="AI399" s="14">
        <v>53</v>
      </c>
      <c r="AJ399" s="14">
        <v>176</v>
      </c>
      <c r="AK399" s="14" t="s">
        <v>1301</v>
      </c>
      <c r="AL399" s="14" t="s">
        <v>1305</v>
      </c>
      <c r="AM399" s="14">
        <v>202.56</v>
      </c>
      <c r="AN399" s="14">
        <v>184.55</v>
      </c>
      <c r="AO399" s="14">
        <v>54.99</v>
      </c>
      <c r="AP399" s="14">
        <v>22350</v>
      </c>
      <c r="AQ399" s="14">
        <v>22270</v>
      </c>
      <c r="AR399" s="14">
        <v>23000</v>
      </c>
      <c r="AS399" s="14">
        <v>20150</v>
      </c>
      <c r="AT399" s="14">
        <v>21580</v>
      </c>
      <c r="AU399" s="14">
        <v>-11</v>
      </c>
      <c r="AV399" s="14">
        <v>292.07</v>
      </c>
      <c r="AW399" s="14">
        <v>32.549999999999997</v>
      </c>
      <c r="AX399" s="14">
        <v>-7.0000000000000007E-2</v>
      </c>
      <c r="AY399" s="14" t="b">
        <v>0</v>
      </c>
    </row>
    <row r="400" spans="1:51" hidden="1" x14ac:dyDescent="0.3">
      <c r="A400" t="str">
        <f>CONCATENATE(I400,E400,LEFT(G400,10))</f>
        <v>HFA606LLER2026-01-29</v>
      </c>
      <c r="B400" s="14" t="s">
        <v>6283</v>
      </c>
      <c r="C400" s="14" t="s">
        <v>336</v>
      </c>
      <c r="D400" s="14" t="s">
        <v>337</v>
      </c>
      <c r="E400" s="14" t="s">
        <v>59</v>
      </c>
      <c r="F400" s="14" t="s">
        <v>43</v>
      </c>
      <c r="G400" s="14" t="s">
        <v>6284</v>
      </c>
      <c r="H400" s="14" t="s">
        <v>371</v>
      </c>
      <c r="I400" s="14" t="s">
        <v>63</v>
      </c>
      <c r="J400" s="14" t="s">
        <v>83</v>
      </c>
      <c r="K400" s="14" t="s">
        <v>340</v>
      </c>
      <c r="L400" s="14" t="s">
        <v>341</v>
      </c>
      <c r="M400" s="16" t="s">
        <v>1090</v>
      </c>
      <c r="N400" s="14"/>
      <c r="O400" s="14" t="s">
        <v>1175</v>
      </c>
      <c r="P400" s="14">
        <v>120</v>
      </c>
      <c r="Q400" s="14">
        <v>3</v>
      </c>
      <c r="R400" s="14">
        <v>6900</v>
      </c>
      <c r="S400" s="14" t="s">
        <v>6285</v>
      </c>
      <c r="T400" s="14" t="s">
        <v>6286</v>
      </c>
      <c r="U400" s="14">
        <v>0.88916666666666599</v>
      </c>
      <c r="V400" s="14">
        <v>1.0816666666666599</v>
      </c>
      <c r="W400" s="14">
        <v>733</v>
      </c>
      <c r="X400" s="14">
        <v>80</v>
      </c>
      <c r="Y400" s="14">
        <v>653</v>
      </c>
      <c r="Z400" s="14">
        <v>1467</v>
      </c>
      <c r="AA400" s="14">
        <v>277</v>
      </c>
      <c r="AB400" s="14">
        <v>291</v>
      </c>
      <c r="AC400" s="14">
        <v>851</v>
      </c>
      <c r="AD400" s="14">
        <v>49</v>
      </c>
      <c r="AE400" s="14">
        <v>2200</v>
      </c>
      <c r="AF400" s="14">
        <v>5000</v>
      </c>
      <c r="AG400" s="14">
        <v>2316</v>
      </c>
      <c r="AH400" s="14">
        <v>0</v>
      </c>
      <c r="AI400" s="14">
        <v>51</v>
      </c>
      <c r="AJ400" s="14">
        <v>178</v>
      </c>
      <c r="AK400" s="14" t="s">
        <v>6284</v>
      </c>
      <c r="AL400" s="14" t="s">
        <v>6287</v>
      </c>
      <c r="AM400" s="14">
        <v>202.63</v>
      </c>
      <c r="AN400" s="14">
        <v>184.55</v>
      </c>
      <c r="AO400" s="14">
        <v>54.99</v>
      </c>
      <c r="AP400" s="14">
        <v>22600</v>
      </c>
      <c r="AQ400" s="14">
        <v>22520</v>
      </c>
      <c r="AR400" s="14">
        <v>23000</v>
      </c>
      <c r="AS400" s="14">
        <v>20400</v>
      </c>
      <c r="AT400" s="14">
        <v>21867</v>
      </c>
      <c r="AU400" s="14">
        <v>0</v>
      </c>
      <c r="AV400" s="14">
        <v>267.43</v>
      </c>
      <c r="AW400" s="14">
        <v>20.59</v>
      </c>
      <c r="AX400" s="14">
        <v>5.27</v>
      </c>
      <c r="AY400" s="14" t="b">
        <v>0</v>
      </c>
    </row>
    <row r="401" spans="1:51" hidden="1" x14ac:dyDescent="0.3">
      <c r="A401" t="str">
        <f>CONCATENATE(I401,E401,LEFT(G401,10))</f>
        <v>HFA606LLER2026-02-02</v>
      </c>
      <c r="B401" s="14" t="s">
        <v>849</v>
      </c>
      <c r="C401" s="14" t="s">
        <v>336</v>
      </c>
      <c r="D401" s="14" t="s">
        <v>337</v>
      </c>
      <c r="E401" s="14" t="s">
        <v>59</v>
      </c>
      <c r="F401" s="14" t="s">
        <v>43</v>
      </c>
      <c r="G401" s="14" t="s">
        <v>850</v>
      </c>
      <c r="H401" s="14" t="s">
        <v>339</v>
      </c>
      <c r="I401" s="14" t="s">
        <v>63</v>
      </c>
      <c r="J401" s="14" t="s">
        <v>83</v>
      </c>
      <c r="K401" s="14" t="s">
        <v>340</v>
      </c>
      <c r="L401" s="14" t="s">
        <v>341</v>
      </c>
      <c r="M401" s="16" t="s">
        <v>851</v>
      </c>
      <c r="N401" s="14"/>
      <c r="O401" s="14" t="s">
        <v>852</v>
      </c>
      <c r="P401" s="14">
        <v>120</v>
      </c>
      <c r="Q401" s="14">
        <v>2</v>
      </c>
      <c r="R401" s="14">
        <v>2500</v>
      </c>
      <c r="S401" s="14" t="s">
        <v>853</v>
      </c>
      <c r="T401" s="14" t="s">
        <v>854</v>
      </c>
      <c r="U401" s="14">
        <v>0.89722222222222203</v>
      </c>
      <c r="V401" s="14">
        <v>1.1074999999999999</v>
      </c>
      <c r="W401" s="14">
        <v>667</v>
      </c>
      <c r="X401" s="14">
        <v>80</v>
      </c>
      <c r="Y401" s="14">
        <v>587</v>
      </c>
      <c r="Z401" s="14">
        <v>1433</v>
      </c>
      <c r="AA401" s="14">
        <v>254</v>
      </c>
      <c r="AB401" s="14">
        <v>250</v>
      </c>
      <c r="AC401" s="14">
        <v>887</v>
      </c>
      <c r="AD401" s="14">
        <v>42</v>
      </c>
      <c r="AE401" s="14">
        <v>2100</v>
      </c>
      <c r="AF401" s="14">
        <v>5000</v>
      </c>
      <c r="AG401" s="14">
        <v>2109</v>
      </c>
      <c r="AH401" s="14">
        <v>0</v>
      </c>
      <c r="AI401" s="14">
        <v>48</v>
      </c>
      <c r="AJ401" s="14">
        <v>179</v>
      </c>
      <c r="AK401" s="14" t="s">
        <v>850</v>
      </c>
      <c r="AL401" s="14" t="s">
        <v>855</v>
      </c>
      <c r="AM401" s="14">
        <v>202.56</v>
      </c>
      <c r="AN401" s="14">
        <v>184.55</v>
      </c>
      <c r="AO401" s="14">
        <v>54.99</v>
      </c>
      <c r="AP401" s="14">
        <v>17925</v>
      </c>
      <c r="AQ401" s="14">
        <v>17845</v>
      </c>
      <c r="AR401" s="14">
        <v>23000</v>
      </c>
      <c r="AS401" s="14">
        <v>15825</v>
      </c>
      <c r="AT401" s="14">
        <v>17258</v>
      </c>
      <c r="AU401" s="14">
        <v>11</v>
      </c>
      <c r="AV401" s="14">
        <v>246</v>
      </c>
      <c r="AW401" s="14">
        <v>35.22</v>
      </c>
      <c r="AX401" s="14">
        <v>5.51</v>
      </c>
      <c r="AY401" s="14" t="b">
        <v>0</v>
      </c>
    </row>
    <row r="402" spans="1:51" hidden="1" x14ac:dyDescent="0.3">
      <c r="A402" t="str">
        <f>CONCATENATE(I402,E402,LEFT(G402,10))</f>
        <v>HFA606LLER2026-02-03</v>
      </c>
      <c r="B402" s="14" t="s">
        <v>2433</v>
      </c>
      <c r="C402" s="14" t="s">
        <v>336</v>
      </c>
      <c r="D402" s="14" t="s">
        <v>337</v>
      </c>
      <c r="E402" s="14" t="s">
        <v>59</v>
      </c>
      <c r="F402" s="14" t="s">
        <v>43</v>
      </c>
      <c r="G402" s="14" t="s">
        <v>2434</v>
      </c>
      <c r="H402" s="14" t="s">
        <v>371</v>
      </c>
      <c r="I402" s="14" t="s">
        <v>63</v>
      </c>
      <c r="J402" s="14" t="s">
        <v>83</v>
      </c>
      <c r="K402" s="14" t="s">
        <v>340</v>
      </c>
      <c r="L402" s="14" t="s">
        <v>341</v>
      </c>
      <c r="M402" s="16" t="s">
        <v>2435</v>
      </c>
      <c r="N402" s="14"/>
      <c r="O402" s="14" t="s">
        <v>2436</v>
      </c>
      <c r="P402" s="14">
        <v>120</v>
      </c>
      <c r="Q402" s="14">
        <v>2</v>
      </c>
      <c r="R402" s="14">
        <v>6800</v>
      </c>
      <c r="S402" s="14" t="s">
        <v>2437</v>
      </c>
      <c r="T402" s="14" t="s">
        <v>2438</v>
      </c>
      <c r="U402" s="14">
        <v>-0.97416666666666596</v>
      </c>
      <c r="V402" s="14">
        <v>-0.71083333333333298</v>
      </c>
      <c r="W402" s="14">
        <v>788</v>
      </c>
      <c r="X402" s="14">
        <v>80</v>
      </c>
      <c r="Y402" s="14">
        <v>708</v>
      </c>
      <c r="Z402" s="14">
        <v>1512</v>
      </c>
      <c r="AA402" s="14">
        <v>262</v>
      </c>
      <c r="AB402" s="14">
        <v>291</v>
      </c>
      <c r="AC402" s="14">
        <v>911</v>
      </c>
      <c r="AD402" s="14">
        <v>48</v>
      </c>
      <c r="AE402" s="14">
        <v>2300</v>
      </c>
      <c r="AF402" s="14">
        <v>5000</v>
      </c>
      <c r="AG402" s="14">
        <v>2490</v>
      </c>
      <c r="AH402" s="14">
        <v>0</v>
      </c>
      <c r="AI402" s="14">
        <v>55</v>
      </c>
      <c r="AJ402" s="14">
        <v>185</v>
      </c>
      <c r="AK402" s="14" t="s">
        <v>2434</v>
      </c>
      <c r="AL402" s="14" t="s">
        <v>2439</v>
      </c>
      <c r="AM402" s="14">
        <v>202.63</v>
      </c>
      <c r="AN402" s="14">
        <v>184.55</v>
      </c>
      <c r="AO402" s="14">
        <v>54.99</v>
      </c>
      <c r="AP402" s="14">
        <v>22600</v>
      </c>
      <c r="AQ402" s="14">
        <v>22520</v>
      </c>
      <c r="AR402" s="14">
        <v>23000</v>
      </c>
      <c r="AS402" s="14">
        <v>20300</v>
      </c>
      <c r="AT402" s="14">
        <v>21812</v>
      </c>
      <c r="AU402" s="14">
        <v>-19</v>
      </c>
      <c r="AV402" s="14">
        <v>305.44</v>
      </c>
      <c r="AW402" s="14">
        <v>36.1</v>
      </c>
      <c r="AX402" s="14">
        <v>3.56</v>
      </c>
      <c r="AY402" s="14" t="b">
        <v>0</v>
      </c>
    </row>
    <row r="403" spans="1:51" hidden="1" x14ac:dyDescent="0.3">
      <c r="A403" t="str">
        <f>CONCATENATE(I403,E403,LEFT(G403,10))</f>
        <v>HFA606LLER2026-02-04</v>
      </c>
      <c r="B403" s="14" t="s">
        <v>5826</v>
      </c>
      <c r="C403" s="14" t="s">
        <v>336</v>
      </c>
      <c r="D403" s="14" t="s">
        <v>337</v>
      </c>
      <c r="E403" s="14" t="s">
        <v>59</v>
      </c>
      <c r="F403" s="14" t="s">
        <v>43</v>
      </c>
      <c r="G403" s="14" t="s">
        <v>5827</v>
      </c>
      <c r="H403" s="14" t="s">
        <v>371</v>
      </c>
      <c r="I403" s="14" t="s">
        <v>63</v>
      </c>
      <c r="J403" s="14" t="s">
        <v>83</v>
      </c>
      <c r="K403" s="14" t="s">
        <v>340</v>
      </c>
      <c r="L403" s="14" t="s">
        <v>341</v>
      </c>
      <c r="M403" s="16" t="s">
        <v>2844</v>
      </c>
      <c r="N403" s="14"/>
      <c r="O403" s="14" t="s">
        <v>5828</v>
      </c>
      <c r="P403" s="14">
        <v>120</v>
      </c>
      <c r="Q403" s="14">
        <v>3</v>
      </c>
      <c r="R403" s="14">
        <v>5650</v>
      </c>
      <c r="S403" s="14" t="s">
        <v>5829</v>
      </c>
      <c r="T403" s="14" t="s">
        <v>5830</v>
      </c>
      <c r="U403" s="14">
        <v>0.91055555555555501</v>
      </c>
      <c r="V403" s="14">
        <v>1.0974999999999999</v>
      </c>
      <c r="W403" s="14">
        <v>722</v>
      </c>
      <c r="X403" s="14">
        <v>80</v>
      </c>
      <c r="Y403" s="14">
        <v>642</v>
      </c>
      <c r="Z403" s="14">
        <v>1378</v>
      </c>
      <c r="AA403" s="14">
        <v>259</v>
      </c>
      <c r="AB403" s="14">
        <v>278</v>
      </c>
      <c r="AC403" s="14">
        <v>795</v>
      </c>
      <c r="AD403" s="14">
        <v>46</v>
      </c>
      <c r="AE403" s="14">
        <v>2100</v>
      </c>
      <c r="AF403" s="14">
        <v>5000</v>
      </c>
      <c r="AG403" s="14">
        <v>2281</v>
      </c>
      <c r="AH403" s="14">
        <v>0</v>
      </c>
      <c r="AI403" s="14">
        <v>51</v>
      </c>
      <c r="AJ403" s="14">
        <v>172</v>
      </c>
      <c r="AK403" s="14" t="s">
        <v>5827</v>
      </c>
      <c r="AL403" s="14" t="s">
        <v>5831</v>
      </c>
      <c r="AM403" s="14">
        <v>202.56</v>
      </c>
      <c r="AN403" s="14">
        <v>184.55</v>
      </c>
      <c r="AO403" s="14">
        <v>54.99</v>
      </c>
      <c r="AP403" s="14">
        <v>21250</v>
      </c>
      <c r="AQ403" s="14">
        <v>21170</v>
      </c>
      <c r="AR403" s="14">
        <v>23000</v>
      </c>
      <c r="AS403" s="14">
        <v>19150</v>
      </c>
      <c r="AT403" s="14">
        <v>20528</v>
      </c>
      <c r="AU403" s="14">
        <v>-1</v>
      </c>
      <c r="AV403" s="14">
        <v>279.08999999999997</v>
      </c>
      <c r="AW403" s="14">
        <v>8.86</v>
      </c>
      <c r="AX403" s="14">
        <v>6.12</v>
      </c>
      <c r="AY403" s="14" t="b">
        <v>0</v>
      </c>
    </row>
    <row r="404" spans="1:51" hidden="1" x14ac:dyDescent="0.3">
      <c r="A404" t="str">
        <f>CONCATENATE(I404,E404,LEFT(G404,10))</f>
        <v>HFA606LLER2026-02-08</v>
      </c>
      <c r="B404" s="14" t="s">
        <v>370</v>
      </c>
      <c r="C404" s="14" t="s">
        <v>336</v>
      </c>
      <c r="D404" s="14" t="s">
        <v>337</v>
      </c>
      <c r="E404" s="14" t="s">
        <v>59</v>
      </c>
      <c r="F404" s="14" t="s">
        <v>43</v>
      </c>
      <c r="G404" s="14" t="s">
        <v>365</v>
      </c>
      <c r="H404" s="14" t="s">
        <v>371</v>
      </c>
      <c r="I404" s="14" t="s">
        <v>63</v>
      </c>
      <c r="J404" s="14" t="s">
        <v>83</v>
      </c>
      <c r="K404" s="14" t="s">
        <v>340</v>
      </c>
      <c r="L404" s="14" t="s">
        <v>341</v>
      </c>
      <c r="M404" s="16" t="s">
        <v>372</v>
      </c>
      <c r="N404" s="14"/>
      <c r="O404" s="14" t="s">
        <v>373</v>
      </c>
      <c r="P404" s="14">
        <v>120</v>
      </c>
      <c r="Q404" s="14">
        <v>2</v>
      </c>
      <c r="R404" s="14">
        <v>4400</v>
      </c>
      <c r="S404" s="14" t="s">
        <v>374</v>
      </c>
      <c r="T404" s="14" t="s">
        <v>375</v>
      </c>
      <c r="U404" s="14">
        <v>0.93944444444444397</v>
      </c>
      <c r="V404" s="14">
        <v>1.2124999999999999</v>
      </c>
      <c r="W404" s="14">
        <v>765</v>
      </c>
      <c r="X404" s="14">
        <v>80</v>
      </c>
      <c r="Y404" s="14">
        <v>685</v>
      </c>
      <c r="Z404" s="14">
        <v>1535</v>
      </c>
      <c r="AA404" s="14">
        <v>264</v>
      </c>
      <c r="AB404" s="14">
        <v>268</v>
      </c>
      <c r="AC404" s="14">
        <v>959</v>
      </c>
      <c r="AD404" s="14">
        <v>45</v>
      </c>
      <c r="AE404" s="14">
        <v>2300</v>
      </c>
      <c r="AF404" s="14">
        <v>5000</v>
      </c>
      <c r="AG404" s="14">
        <v>2416</v>
      </c>
      <c r="AH404" s="14">
        <v>0</v>
      </c>
      <c r="AI404" s="14">
        <v>54</v>
      </c>
      <c r="AJ404" s="14">
        <v>192</v>
      </c>
      <c r="AK404" s="14" t="s">
        <v>365</v>
      </c>
      <c r="AL404" s="14" t="s">
        <v>376</v>
      </c>
      <c r="AM404" s="14">
        <v>216.76</v>
      </c>
      <c r="AN404" s="14">
        <v>184.55</v>
      </c>
      <c r="AO404" s="14">
        <v>54.99</v>
      </c>
      <c r="AP404" s="14">
        <v>20200</v>
      </c>
      <c r="AQ404" s="14">
        <v>20120</v>
      </c>
      <c r="AR404" s="14">
        <v>23000</v>
      </c>
      <c r="AS404" s="14">
        <v>17900</v>
      </c>
      <c r="AT404" s="14">
        <v>19435</v>
      </c>
      <c r="AU404" s="14">
        <v>-5</v>
      </c>
      <c r="AV404" s="14">
        <v>276.27</v>
      </c>
      <c r="AW404" s="14">
        <v>37.590000000000003</v>
      </c>
      <c r="AX404" s="14">
        <v>7.97</v>
      </c>
      <c r="AY404" s="14" t="b">
        <v>0</v>
      </c>
    </row>
    <row r="405" spans="1:51" hidden="1" x14ac:dyDescent="0.3">
      <c r="A405" t="str">
        <f>CONCATENATE(I405,E405,LEFT(G405,10))</f>
        <v>HFA606LLER2026-02-09</v>
      </c>
      <c r="B405" s="14" t="s">
        <v>1230</v>
      </c>
      <c r="C405" s="14" t="s">
        <v>336</v>
      </c>
      <c r="D405" s="14" t="s">
        <v>337</v>
      </c>
      <c r="E405" s="14" t="s">
        <v>59</v>
      </c>
      <c r="F405" s="14" t="s">
        <v>43</v>
      </c>
      <c r="G405" s="14" t="s">
        <v>1231</v>
      </c>
      <c r="H405" s="14" t="s">
        <v>339</v>
      </c>
      <c r="I405" s="14" t="s">
        <v>63</v>
      </c>
      <c r="J405" s="14" t="s">
        <v>83</v>
      </c>
      <c r="K405" s="14" t="s">
        <v>340</v>
      </c>
      <c r="L405" s="14" t="s">
        <v>341</v>
      </c>
      <c r="M405" s="16" t="s">
        <v>1232</v>
      </c>
      <c r="N405" s="14"/>
      <c r="O405" s="14" t="s">
        <v>395</v>
      </c>
      <c r="P405" s="14">
        <v>120</v>
      </c>
      <c r="Q405" s="14">
        <v>2</v>
      </c>
      <c r="R405" s="14">
        <v>4900</v>
      </c>
      <c r="S405" s="14" t="s">
        <v>1233</v>
      </c>
      <c r="T405" s="14" t="s">
        <v>1234</v>
      </c>
      <c r="U405" s="14">
        <v>0.92638888888888804</v>
      </c>
      <c r="V405" s="14">
        <v>1.1397222222222201</v>
      </c>
      <c r="W405" s="14">
        <v>688</v>
      </c>
      <c r="X405" s="14">
        <v>80</v>
      </c>
      <c r="Y405" s="14">
        <v>608</v>
      </c>
      <c r="Z405" s="14">
        <v>1512</v>
      </c>
      <c r="AA405" s="14">
        <v>262</v>
      </c>
      <c r="AB405" s="14">
        <v>271</v>
      </c>
      <c r="AC405" s="14">
        <v>934</v>
      </c>
      <c r="AD405" s="14">
        <v>45</v>
      </c>
      <c r="AE405" s="14">
        <v>2200</v>
      </c>
      <c r="AF405" s="14">
        <v>5000</v>
      </c>
      <c r="AG405" s="14">
        <v>2173</v>
      </c>
      <c r="AH405" s="14">
        <v>0</v>
      </c>
      <c r="AI405" s="14">
        <v>50</v>
      </c>
      <c r="AJ405" s="14">
        <v>187</v>
      </c>
      <c r="AK405" s="14" t="s">
        <v>1231</v>
      </c>
      <c r="AL405" s="14" t="s">
        <v>1235</v>
      </c>
      <c r="AM405" s="14">
        <v>202.63</v>
      </c>
      <c r="AN405" s="14">
        <v>184.55</v>
      </c>
      <c r="AO405" s="14">
        <v>54.99</v>
      </c>
      <c r="AP405" s="14">
        <v>20425</v>
      </c>
      <c r="AQ405" s="14">
        <v>20345</v>
      </c>
      <c r="AR405" s="14">
        <v>23000</v>
      </c>
      <c r="AS405" s="14">
        <v>18225</v>
      </c>
      <c r="AT405" s="14">
        <v>19737</v>
      </c>
      <c r="AU405" s="14">
        <v>4</v>
      </c>
      <c r="AV405" s="14">
        <v>258.3</v>
      </c>
      <c r="AW405" s="14">
        <v>28.29</v>
      </c>
      <c r="AX405" s="14">
        <v>8.56</v>
      </c>
      <c r="AY405" s="14" t="b">
        <v>0</v>
      </c>
    </row>
    <row r="406" spans="1:51" hidden="1" x14ac:dyDescent="0.3">
      <c r="A406" t="str">
        <f>CONCATENATE(I406,E406,LEFT(G406,10))</f>
        <v>HFA606LLER2026-02-10</v>
      </c>
      <c r="B406" s="14" t="s">
        <v>4414</v>
      </c>
      <c r="C406" s="14" t="s">
        <v>336</v>
      </c>
      <c r="D406" s="14" t="s">
        <v>337</v>
      </c>
      <c r="E406" s="14" t="s">
        <v>59</v>
      </c>
      <c r="F406" s="14" t="s">
        <v>43</v>
      </c>
      <c r="G406" s="14" t="s">
        <v>4415</v>
      </c>
      <c r="H406" s="14" t="s">
        <v>371</v>
      </c>
      <c r="I406" s="14" t="s">
        <v>63</v>
      </c>
      <c r="J406" s="14" t="s">
        <v>83</v>
      </c>
      <c r="K406" s="14" t="s">
        <v>340</v>
      </c>
      <c r="L406" s="14" t="s">
        <v>341</v>
      </c>
      <c r="M406" s="16" t="s">
        <v>2844</v>
      </c>
      <c r="N406" s="14"/>
      <c r="O406" s="14" t="s">
        <v>4416</v>
      </c>
      <c r="P406" s="14">
        <v>120</v>
      </c>
      <c r="Q406" s="14">
        <v>2</v>
      </c>
      <c r="R406" s="14">
        <v>6500</v>
      </c>
      <c r="S406" s="14" t="s">
        <v>4417</v>
      </c>
      <c r="T406" s="14" t="s">
        <v>4418</v>
      </c>
      <c r="U406" s="14">
        <v>0.93500000000000005</v>
      </c>
      <c r="V406" s="14">
        <v>1.2338888888888799</v>
      </c>
      <c r="W406" s="14">
        <v>709</v>
      </c>
      <c r="X406" s="14">
        <v>80</v>
      </c>
      <c r="Y406" s="14">
        <v>629</v>
      </c>
      <c r="Z406" s="14">
        <v>1391</v>
      </c>
      <c r="AA406" s="14">
        <v>269</v>
      </c>
      <c r="AB406" s="14">
        <v>286</v>
      </c>
      <c r="AC406" s="14">
        <v>789</v>
      </c>
      <c r="AD406" s="14">
        <v>48</v>
      </c>
      <c r="AE406" s="14">
        <v>2100</v>
      </c>
      <c r="AF406" s="14">
        <v>5000</v>
      </c>
      <c r="AG406" s="14">
        <v>2239</v>
      </c>
      <c r="AH406" s="14">
        <v>0</v>
      </c>
      <c r="AI406" s="14">
        <v>50</v>
      </c>
      <c r="AJ406" s="14">
        <v>171</v>
      </c>
      <c r="AK406" s="14" t="s">
        <v>4415</v>
      </c>
      <c r="AL406" s="14" t="s">
        <v>4419</v>
      </c>
      <c r="AM406" s="14">
        <v>202.56</v>
      </c>
      <c r="AN406" s="14">
        <v>184.55</v>
      </c>
      <c r="AO406" s="14">
        <v>54.99</v>
      </c>
      <c r="AP406" s="14">
        <v>22100</v>
      </c>
      <c r="AQ406" s="14">
        <v>22020</v>
      </c>
      <c r="AR406" s="14">
        <v>23000</v>
      </c>
      <c r="AS406" s="14">
        <v>20000</v>
      </c>
      <c r="AT406" s="14">
        <v>21391</v>
      </c>
      <c r="AU406" s="14">
        <v>9</v>
      </c>
      <c r="AV406" s="14">
        <v>251.97</v>
      </c>
      <c r="AW406" s="14">
        <v>37.9</v>
      </c>
      <c r="AX406" s="14">
        <v>5.97</v>
      </c>
      <c r="AY406" s="14" t="b">
        <v>0</v>
      </c>
    </row>
    <row r="407" spans="1:51" hidden="1" x14ac:dyDescent="0.3">
      <c r="A407" t="str">
        <f>CONCATENATE(I407,E407,LEFT(G407,10))</f>
        <v>HFA606LLER2026-02-11</v>
      </c>
      <c r="B407" s="14" t="s">
        <v>2675</v>
      </c>
      <c r="C407" s="14" t="s">
        <v>336</v>
      </c>
      <c r="D407" s="14" t="s">
        <v>337</v>
      </c>
      <c r="E407" s="14" t="s">
        <v>59</v>
      </c>
      <c r="F407" s="14" t="s">
        <v>43</v>
      </c>
      <c r="G407" s="14" t="s">
        <v>2676</v>
      </c>
      <c r="H407" s="14" t="s">
        <v>371</v>
      </c>
      <c r="I407" s="14" t="s">
        <v>63</v>
      </c>
      <c r="J407" s="14" t="s">
        <v>83</v>
      </c>
      <c r="K407" s="14" t="s">
        <v>340</v>
      </c>
      <c r="L407" s="14" t="s">
        <v>341</v>
      </c>
      <c r="M407" s="16" t="s">
        <v>2658</v>
      </c>
      <c r="N407" s="14"/>
      <c r="O407" s="14" t="s">
        <v>2677</v>
      </c>
      <c r="P407" s="14">
        <v>120</v>
      </c>
      <c r="Q407" s="14">
        <v>2</v>
      </c>
      <c r="R407" s="14">
        <v>6600</v>
      </c>
      <c r="S407" s="14" t="s">
        <v>2678</v>
      </c>
      <c r="T407" s="14" t="s">
        <v>2679</v>
      </c>
      <c r="U407" s="14">
        <v>0.94111111111111101</v>
      </c>
      <c r="V407" s="14">
        <v>1.1541666666666599</v>
      </c>
      <c r="W407" s="14">
        <v>722</v>
      </c>
      <c r="X407" s="14">
        <v>80</v>
      </c>
      <c r="Y407" s="14">
        <v>642</v>
      </c>
      <c r="Z407" s="14">
        <v>1578</v>
      </c>
      <c r="AA407" s="14">
        <v>273</v>
      </c>
      <c r="AB407" s="14">
        <v>289</v>
      </c>
      <c r="AC407" s="14">
        <v>967</v>
      </c>
      <c r="AD407" s="14">
        <v>48</v>
      </c>
      <c r="AE407" s="14">
        <v>2300</v>
      </c>
      <c r="AF407" s="14">
        <v>5000</v>
      </c>
      <c r="AG407" s="14">
        <v>2282</v>
      </c>
      <c r="AH407" s="14">
        <v>0</v>
      </c>
      <c r="AI407" s="14">
        <v>50</v>
      </c>
      <c r="AJ407" s="14">
        <v>186</v>
      </c>
      <c r="AK407" s="14" t="s">
        <v>2676</v>
      </c>
      <c r="AL407" s="14" t="s">
        <v>2680</v>
      </c>
      <c r="AM407" s="14">
        <v>202.56</v>
      </c>
      <c r="AN407" s="14">
        <v>184.55</v>
      </c>
      <c r="AO407" s="14">
        <v>54.99</v>
      </c>
      <c r="AP407" s="14">
        <v>22400</v>
      </c>
      <c r="AQ407" s="14">
        <v>22320</v>
      </c>
      <c r="AR407" s="14">
        <v>23000</v>
      </c>
      <c r="AS407" s="14">
        <v>20100</v>
      </c>
      <c r="AT407" s="14">
        <v>21678</v>
      </c>
      <c r="AU407" s="14">
        <v>7</v>
      </c>
      <c r="AV407" s="14">
        <v>255.58</v>
      </c>
      <c r="AW407" s="14">
        <v>32.479999999999997</v>
      </c>
      <c r="AX407" s="14">
        <v>3.11</v>
      </c>
      <c r="AY407" s="14" t="b">
        <v>0</v>
      </c>
    </row>
    <row r="408" spans="1:51" hidden="1" x14ac:dyDescent="0.3">
      <c r="A408" t="str">
        <f>CONCATENATE(I408,E408,LEFT(G408,10))</f>
        <v>HFA606LLER2026-02-15</v>
      </c>
      <c r="B408" s="14" t="s">
        <v>4181</v>
      </c>
      <c r="C408" s="14" t="s">
        <v>336</v>
      </c>
      <c r="D408" s="14" t="s">
        <v>337</v>
      </c>
      <c r="E408" s="14" t="s">
        <v>59</v>
      </c>
      <c r="F408" s="14" t="s">
        <v>43</v>
      </c>
      <c r="G408" s="14" t="s">
        <v>4182</v>
      </c>
      <c r="H408" s="14" t="s">
        <v>371</v>
      </c>
      <c r="I408" s="14" t="s">
        <v>63</v>
      </c>
      <c r="J408" s="14" t="s">
        <v>83</v>
      </c>
      <c r="K408" s="14" t="s">
        <v>340</v>
      </c>
      <c r="L408" s="14" t="s">
        <v>341</v>
      </c>
      <c r="M408" s="16" t="s">
        <v>2670</v>
      </c>
      <c r="N408" s="14"/>
      <c r="O408" s="14" t="s">
        <v>4121</v>
      </c>
      <c r="P408" s="14">
        <v>120</v>
      </c>
      <c r="Q408" s="14">
        <v>2</v>
      </c>
      <c r="R408" s="14">
        <v>3800</v>
      </c>
      <c r="S408" s="14" t="s">
        <v>4183</v>
      </c>
      <c r="T408" s="14" t="s">
        <v>4184</v>
      </c>
      <c r="U408" s="14">
        <v>0.87138888888888799</v>
      </c>
      <c r="V408" s="14">
        <v>1.00861111111111</v>
      </c>
      <c r="W408" s="14">
        <v>691</v>
      </c>
      <c r="X408" s="14">
        <v>80</v>
      </c>
      <c r="Y408" s="14">
        <v>611</v>
      </c>
      <c r="Z408" s="14">
        <v>1509</v>
      </c>
      <c r="AA408" s="14">
        <v>255</v>
      </c>
      <c r="AB408" s="14">
        <v>262</v>
      </c>
      <c r="AC408" s="14">
        <v>947</v>
      </c>
      <c r="AD408" s="14">
        <v>44</v>
      </c>
      <c r="AE408" s="14">
        <v>2200</v>
      </c>
      <c r="AF408" s="14">
        <v>5000</v>
      </c>
      <c r="AG408" s="14">
        <v>2184</v>
      </c>
      <c r="AH408" s="14">
        <v>0</v>
      </c>
      <c r="AI408" s="14">
        <v>50</v>
      </c>
      <c r="AJ408" s="14">
        <v>185</v>
      </c>
      <c r="AK408" s="14" t="s">
        <v>4182</v>
      </c>
      <c r="AL408" s="14" t="s">
        <v>4185</v>
      </c>
      <c r="AM408" s="14">
        <v>202.63</v>
      </c>
      <c r="AN408" s="14">
        <v>184.55</v>
      </c>
      <c r="AO408" s="14">
        <v>54.99</v>
      </c>
      <c r="AP408" s="14">
        <v>19500</v>
      </c>
      <c r="AQ408" s="14">
        <v>19420</v>
      </c>
      <c r="AR408" s="14">
        <v>23000</v>
      </c>
      <c r="AS408" s="14">
        <v>17300</v>
      </c>
      <c r="AT408" s="14">
        <v>18809</v>
      </c>
      <c r="AU408" s="14">
        <v>4</v>
      </c>
      <c r="AV408" s="14">
        <v>214.46</v>
      </c>
      <c r="AW408" s="14">
        <v>8.17</v>
      </c>
      <c r="AX408" s="14">
        <v>11.91</v>
      </c>
      <c r="AY408" s="14" t="b">
        <v>0</v>
      </c>
    </row>
    <row r="409" spans="1:51" hidden="1" x14ac:dyDescent="0.3">
      <c r="A409" t="str">
        <f>CONCATENATE(I409,E409,LEFT(G409,10))</f>
        <v>HFA606LLER2026-02-16</v>
      </c>
      <c r="B409" s="14" t="s">
        <v>4087</v>
      </c>
      <c r="C409" s="14" t="s">
        <v>336</v>
      </c>
      <c r="D409" s="14" t="s">
        <v>337</v>
      </c>
      <c r="E409" s="14" t="s">
        <v>59</v>
      </c>
      <c r="F409" s="14" t="s">
        <v>43</v>
      </c>
      <c r="G409" s="14" t="s">
        <v>4088</v>
      </c>
      <c r="H409" s="14" t="s">
        <v>371</v>
      </c>
      <c r="I409" s="14" t="s">
        <v>63</v>
      </c>
      <c r="J409" s="14" t="s">
        <v>83</v>
      </c>
      <c r="K409" s="14" t="s">
        <v>340</v>
      </c>
      <c r="L409" s="14" t="s">
        <v>341</v>
      </c>
      <c r="M409" s="16" t="s">
        <v>1867</v>
      </c>
      <c r="N409" s="14"/>
      <c r="O409" s="14" t="s">
        <v>4028</v>
      </c>
      <c r="P409" s="14">
        <v>120</v>
      </c>
      <c r="Q409" s="14">
        <v>2</v>
      </c>
      <c r="R409" s="14">
        <v>2900</v>
      </c>
      <c r="S409" s="14" t="s">
        <v>4089</v>
      </c>
      <c r="T409" s="14" t="s">
        <v>4090</v>
      </c>
      <c r="U409" s="14">
        <v>0.83499999999999996</v>
      </c>
      <c r="V409" s="14">
        <v>0.99888888888888805</v>
      </c>
      <c r="W409" s="14">
        <v>662</v>
      </c>
      <c r="X409" s="14">
        <v>80</v>
      </c>
      <c r="Y409" s="14">
        <v>582</v>
      </c>
      <c r="Z409" s="14">
        <v>1438</v>
      </c>
      <c r="AA409" s="14">
        <v>254</v>
      </c>
      <c r="AB409" s="14">
        <v>255</v>
      </c>
      <c r="AC409" s="14">
        <v>887</v>
      </c>
      <c r="AD409" s="14">
        <v>42</v>
      </c>
      <c r="AE409" s="14">
        <v>2100</v>
      </c>
      <c r="AF409" s="14">
        <v>5000</v>
      </c>
      <c r="AG409" s="14">
        <v>2093</v>
      </c>
      <c r="AH409" s="14">
        <v>0</v>
      </c>
      <c r="AI409" s="14">
        <v>48</v>
      </c>
      <c r="AJ409" s="14">
        <v>178</v>
      </c>
      <c r="AK409" s="14" t="s">
        <v>4088</v>
      </c>
      <c r="AL409" s="14" t="s">
        <v>4091</v>
      </c>
      <c r="AM409" s="14">
        <v>202.63</v>
      </c>
      <c r="AN409" s="14">
        <v>184.55</v>
      </c>
      <c r="AO409" s="14">
        <v>54.99</v>
      </c>
      <c r="AP409" s="14">
        <v>18500</v>
      </c>
      <c r="AQ409" s="14">
        <v>18420</v>
      </c>
      <c r="AR409" s="14">
        <v>23000</v>
      </c>
      <c r="AS409" s="14">
        <v>16400</v>
      </c>
      <c r="AT409" s="14">
        <v>17838</v>
      </c>
      <c r="AU409" s="14">
        <v>16</v>
      </c>
      <c r="AV409" s="14">
        <v>210.05</v>
      </c>
      <c r="AW409" s="14">
        <v>21.49</v>
      </c>
      <c r="AX409" s="14">
        <v>11.45</v>
      </c>
      <c r="AY409" s="14" t="b">
        <v>0</v>
      </c>
    </row>
    <row r="410" spans="1:51" hidden="1" x14ac:dyDescent="0.3">
      <c r="A410" t="str">
        <f>CONCATENATE(I410,E410,LEFT(G410,10))</f>
        <v>HFA606LLER2026-02-17</v>
      </c>
      <c r="B410" s="14" t="s">
        <v>4026</v>
      </c>
      <c r="C410" s="14" t="s">
        <v>336</v>
      </c>
      <c r="D410" s="14" t="s">
        <v>337</v>
      </c>
      <c r="E410" s="14" t="s">
        <v>59</v>
      </c>
      <c r="F410" s="14" t="s">
        <v>43</v>
      </c>
      <c r="G410" s="14" t="s">
        <v>4027</v>
      </c>
      <c r="H410" s="14" t="s">
        <v>371</v>
      </c>
      <c r="I410" s="14" t="s">
        <v>63</v>
      </c>
      <c r="J410" s="14" t="s">
        <v>83</v>
      </c>
      <c r="K410" s="14" t="s">
        <v>340</v>
      </c>
      <c r="L410" s="14" t="s">
        <v>341</v>
      </c>
      <c r="M410" s="16" t="s">
        <v>731</v>
      </c>
      <c r="N410" s="14"/>
      <c r="O410" s="14" t="s">
        <v>4028</v>
      </c>
      <c r="P410" s="14">
        <v>120</v>
      </c>
      <c r="Q410" s="14">
        <v>2</v>
      </c>
      <c r="R410" s="14">
        <v>4900</v>
      </c>
      <c r="S410" s="14" t="s">
        <v>4029</v>
      </c>
      <c r="T410" s="14" t="s">
        <v>4030</v>
      </c>
      <c r="U410" s="14">
        <v>0.82111111111111101</v>
      </c>
      <c r="V410" s="14">
        <v>0.89972222222222198</v>
      </c>
      <c r="W410" s="14">
        <v>675</v>
      </c>
      <c r="X410" s="14">
        <v>80</v>
      </c>
      <c r="Y410" s="14">
        <v>595</v>
      </c>
      <c r="Z410" s="14">
        <v>1425</v>
      </c>
      <c r="AA410" s="14">
        <v>267</v>
      </c>
      <c r="AB410" s="14">
        <v>271</v>
      </c>
      <c r="AC410" s="14">
        <v>842</v>
      </c>
      <c r="AD410" s="14">
        <v>45</v>
      </c>
      <c r="AE410" s="14">
        <v>2100</v>
      </c>
      <c r="AF410" s="14">
        <v>5000</v>
      </c>
      <c r="AG410" s="14">
        <v>2133</v>
      </c>
      <c r="AH410" s="14">
        <v>0</v>
      </c>
      <c r="AI410" s="14">
        <v>47</v>
      </c>
      <c r="AJ410" s="14">
        <v>172</v>
      </c>
      <c r="AK410" s="14" t="s">
        <v>4027</v>
      </c>
      <c r="AL410" s="14" t="s">
        <v>4031</v>
      </c>
      <c r="AM410" s="14">
        <v>202.63</v>
      </c>
      <c r="AN410" s="14">
        <v>184.55</v>
      </c>
      <c r="AO410" s="14">
        <v>54.99</v>
      </c>
      <c r="AP410" s="14">
        <v>20500</v>
      </c>
      <c r="AQ410" s="14">
        <v>20420</v>
      </c>
      <c r="AR410" s="14">
        <v>23000</v>
      </c>
      <c r="AS410" s="14">
        <v>18400</v>
      </c>
      <c r="AT410" s="14">
        <v>19825</v>
      </c>
      <c r="AU410" s="14">
        <v>21</v>
      </c>
      <c r="AV410" s="14">
        <v>231.58</v>
      </c>
      <c r="AW410" s="14">
        <v>40.479999999999997</v>
      </c>
      <c r="AX410" s="14">
        <v>5.73</v>
      </c>
      <c r="AY410" s="14" t="b">
        <v>0</v>
      </c>
    </row>
    <row r="411" spans="1:51" hidden="1" x14ac:dyDescent="0.3">
      <c r="A411" t="str">
        <f>CONCATENATE(I411,E411,LEFT(G411,10))</f>
        <v>HFA606LLER2026-02-18</v>
      </c>
      <c r="B411" s="14" t="s">
        <v>1892</v>
      </c>
      <c r="C411" s="14" t="s">
        <v>336</v>
      </c>
      <c r="D411" s="14" t="s">
        <v>337</v>
      </c>
      <c r="E411" s="14" t="s">
        <v>59</v>
      </c>
      <c r="F411" s="14" t="s">
        <v>43</v>
      </c>
      <c r="G411" s="14" t="s">
        <v>1893</v>
      </c>
      <c r="H411" s="14" t="s">
        <v>339</v>
      </c>
      <c r="I411" s="14" t="s">
        <v>63</v>
      </c>
      <c r="J411" s="14" t="s">
        <v>83</v>
      </c>
      <c r="K411" s="14" t="s">
        <v>340</v>
      </c>
      <c r="L411" s="14" t="s">
        <v>341</v>
      </c>
      <c r="M411" s="16" t="s">
        <v>731</v>
      </c>
      <c r="N411" s="14"/>
      <c r="O411" s="14" t="s">
        <v>1894</v>
      </c>
      <c r="P411" s="14">
        <v>120</v>
      </c>
      <c r="Q411" s="14">
        <v>2</v>
      </c>
      <c r="R411" s="14">
        <v>6700</v>
      </c>
      <c r="S411" s="14" t="s">
        <v>1895</v>
      </c>
      <c r="T411" s="14" t="s">
        <v>1896</v>
      </c>
      <c r="U411" s="14">
        <v>0.95611111111111102</v>
      </c>
      <c r="V411" s="14">
        <v>1.1327777777777699</v>
      </c>
      <c r="W411" s="14">
        <v>692</v>
      </c>
      <c r="X411" s="14">
        <v>80</v>
      </c>
      <c r="Y411" s="14">
        <v>612</v>
      </c>
      <c r="Z411" s="14">
        <v>1808</v>
      </c>
      <c r="AA411" s="14">
        <v>269</v>
      </c>
      <c r="AB411" s="14">
        <v>291</v>
      </c>
      <c r="AC411" s="14">
        <v>1200</v>
      </c>
      <c r="AD411" s="14">
        <v>48</v>
      </c>
      <c r="AE411" s="14">
        <v>2500</v>
      </c>
      <c r="AF411" s="14">
        <v>5000</v>
      </c>
      <c r="AG411" s="14">
        <v>2186</v>
      </c>
      <c r="AH411" s="14">
        <v>0</v>
      </c>
      <c r="AI411" s="14">
        <v>49</v>
      </c>
      <c r="AJ411" s="14">
        <v>209</v>
      </c>
      <c r="AK411" s="14" t="s">
        <v>1893</v>
      </c>
      <c r="AL411" s="14" t="s">
        <v>1897</v>
      </c>
      <c r="AM411" s="14">
        <v>202.56</v>
      </c>
      <c r="AN411" s="14">
        <v>184.55</v>
      </c>
      <c r="AO411" s="14">
        <v>54.99</v>
      </c>
      <c r="AP411" s="14">
        <v>22525</v>
      </c>
      <c r="AQ411" s="14">
        <v>22445</v>
      </c>
      <c r="AR411" s="14">
        <v>23000</v>
      </c>
      <c r="AS411" s="14">
        <v>20025</v>
      </c>
      <c r="AT411" s="14">
        <v>21833</v>
      </c>
      <c r="AU411" s="14">
        <v>10</v>
      </c>
      <c r="AV411" s="14">
        <v>248.63</v>
      </c>
      <c r="AW411" s="14">
        <v>40.54</v>
      </c>
      <c r="AX411" s="14">
        <v>5.91</v>
      </c>
      <c r="AY411" s="14" t="b">
        <v>0</v>
      </c>
    </row>
    <row r="412" spans="1:51" hidden="1" x14ac:dyDescent="0.3">
      <c r="A412" t="str">
        <f>CONCATENATE(I412,E412,LEFT(G412,10))</f>
        <v>HFA606LLER2026-02-19</v>
      </c>
      <c r="B412" s="14" t="s">
        <v>3905</v>
      </c>
      <c r="C412" s="14" t="s">
        <v>336</v>
      </c>
      <c r="D412" s="14" t="s">
        <v>337</v>
      </c>
      <c r="E412" s="14" t="s">
        <v>59</v>
      </c>
      <c r="F412" s="14" t="s">
        <v>43</v>
      </c>
      <c r="G412" s="14" t="s">
        <v>3906</v>
      </c>
      <c r="H412" s="14" t="s">
        <v>371</v>
      </c>
      <c r="I412" s="14" t="s">
        <v>63</v>
      </c>
      <c r="J412" s="14" t="s">
        <v>83</v>
      </c>
      <c r="K412" s="14" t="s">
        <v>340</v>
      </c>
      <c r="L412" s="14" t="s">
        <v>341</v>
      </c>
      <c r="M412" s="16" t="s">
        <v>543</v>
      </c>
      <c r="N412" s="14"/>
      <c r="O412" s="14" t="s">
        <v>395</v>
      </c>
      <c r="P412" s="14">
        <v>120</v>
      </c>
      <c r="Q412" s="14">
        <v>2</v>
      </c>
      <c r="R412" s="14">
        <v>6900</v>
      </c>
      <c r="S412" s="14" t="s">
        <v>3907</v>
      </c>
      <c r="T412" s="14" t="s">
        <v>3908</v>
      </c>
      <c r="U412" s="14">
        <v>0.926111111111111</v>
      </c>
      <c r="V412" s="14">
        <v>1.08083333333333</v>
      </c>
      <c r="W412" s="14">
        <v>730</v>
      </c>
      <c r="X412" s="14">
        <v>80</v>
      </c>
      <c r="Y412" s="14">
        <v>650</v>
      </c>
      <c r="Z412" s="14">
        <v>1470</v>
      </c>
      <c r="AA412" s="14">
        <v>265</v>
      </c>
      <c r="AB412" s="14">
        <v>291</v>
      </c>
      <c r="AC412" s="14">
        <v>865</v>
      </c>
      <c r="AD412" s="14">
        <v>49</v>
      </c>
      <c r="AE412" s="14">
        <v>2200</v>
      </c>
      <c r="AF412" s="14">
        <v>5000</v>
      </c>
      <c r="AG412" s="14">
        <v>2306</v>
      </c>
      <c r="AH412" s="14">
        <v>0</v>
      </c>
      <c r="AI412" s="14">
        <v>51</v>
      </c>
      <c r="AJ412" s="14">
        <v>178</v>
      </c>
      <c r="AK412" s="14" t="s">
        <v>3906</v>
      </c>
      <c r="AL412" s="14" t="s">
        <v>3909</v>
      </c>
      <c r="AM412" s="14">
        <v>202.63</v>
      </c>
      <c r="AN412" s="14">
        <v>184.55</v>
      </c>
      <c r="AO412" s="14">
        <v>54.99</v>
      </c>
      <c r="AP412" s="14">
        <v>22600</v>
      </c>
      <c r="AQ412" s="14">
        <v>22520</v>
      </c>
      <c r="AR412" s="14">
        <v>23000</v>
      </c>
      <c r="AS412" s="14">
        <v>20400</v>
      </c>
      <c r="AT412" s="14">
        <v>21870</v>
      </c>
      <c r="AU412" s="14">
        <v>0</v>
      </c>
      <c r="AV412" s="14">
        <v>267.82</v>
      </c>
      <c r="AW412" s="14">
        <v>8.7799999999999994</v>
      </c>
      <c r="AX412" s="14">
        <v>6.08</v>
      </c>
      <c r="AY412" s="14" t="b">
        <v>0</v>
      </c>
    </row>
    <row r="413" spans="1:51" hidden="1" x14ac:dyDescent="0.3">
      <c r="A413" t="str">
        <f>CONCATENATE(I413,E413,LEFT(G413,10))</f>
        <v>HFA606LLER2026-02-22</v>
      </c>
      <c r="B413" s="14" t="s">
        <v>1019</v>
      </c>
      <c r="C413" s="14" t="s">
        <v>336</v>
      </c>
      <c r="D413" s="14" t="s">
        <v>337</v>
      </c>
      <c r="E413" s="14" t="s">
        <v>59</v>
      </c>
      <c r="F413" s="14" t="s">
        <v>43</v>
      </c>
      <c r="G413" s="14" t="s">
        <v>1014</v>
      </c>
      <c r="H413" s="14" t="s">
        <v>371</v>
      </c>
      <c r="I413" s="14" t="s">
        <v>63</v>
      </c>
      <c r="J413" s="14" t="s">
        <v>83</v>
      </c>
      <c r="K413" s="14" t="s">
        <v>340</v>
      </c>
      <c r="L413" s="14" t="s">
        <v>341</v>
      </c>
      <c r="M413" s="16" t="s">
        <v>1020</v>
      </c>
      <c r="N413" s="14"/>
      <c r="O413" s="14" t="s">
        <v>395</v>
      </c>
      <c r="P413" s="14">
        <v>120</v>
      </c>
      <c r="Q413" s="14">
        <v>2</v>
      </c>
      <c r="R413" s="14">
        <v>2900</v>
      </c>
      <c r="S413" s="14" t="s">
        <v>1021</v>
      </c>
      <c r="T413" s="14" t="s">
        <v>1022</v>
      </c>
      <c r="U413" s="14">
        <v>0.86388888888888804</v>
      </c>
      <c r="V413" s="14">
        <v>0.98250000000000004</v>
      </c>
      <c r="W413" s="14">
        <v>684</v>
      </c>
      <c r="X413" s="14">
        <v>80</v>
      </c>
      <c r="Y413" s="14">
        <v>604</v>
      </c>
      <c r="Z413" s="14">
        <v>1516</v>
      </c>
      <c r="AA413" s="14">
        <v>254</v>
      </c>
      <c r="AB413" s="14">
        <v>255</v>
      </c>
      <c r="AC413" s="14">
        <v>964</v>
      </c>
      <c r="AD413" s="14">
        <v>43</v>
      </c>
      <c r="AE413" s="14">
        <v>2200</v>
      </c>
      <c r="AF413" s="14">
        <v>5000</v>
      </c>
      <c r="AG413" s="14">
        <v>2162</v>
      </c>
      <c r="AH413" s="14">
        <v>0</v>
      </c>
      <c r="AI413" s="14">
        <v>48</v>
      </c>
      <c r="AJ413" s="14">
        <v>183</v>
      </c>
      <c r="AK413" s="14" t="s">
        <v>1014</v>
      </c>
      <c r="AL413" s="14" t="s">
        <v>1023</v>
      </c>
      <c r="AM413" s="14">
        <v>202.63</v>
      </c>
      <c r="AN413" s="14">
        <v>184.55</v>
      </c>
      <c r="AO413" s="14">
        <v>54.99</v>
      </c>
      <c r="AP413" s="14">
        <v>18600</v>
      </c>
      <c r="AQ413" s="14">
        <v>18520</v>
      </c>
      <c r="AR413" s="14">
        <v>23000</v>
      </c>
      <c r="AS413" s="14">
        <v>16400</v>
      </c>
      <c r="AT413" s="14">
        <v>17916</v>
      </c>
      <c r="AU413" s="14">
        <v>11</v>
      </c>
      <c r="AV413" s="14">
        <v>238.4</v>
      </c>
      <c r="AW413" s="14">
        <v>25.03</v>
      </c>
      <c r="AX413" s="14">
        <v>5.03</v>
      </c>
      <c r="AY413" s="14" t="b">
        <v>0</v>
      </c>
    </row>
    <row r="414" spans="1:51" hidden="1" x14ac:dyDescent="0.3">
      <c r="A414" t="str">
        <f>CONCATENATE(I414,E414,LEFT(G414,10))</f>
        <v>HFA606LLER2026-02-23</v>
      </c>
      <c r="B414" s="14" t="s">
        <v>3748</v>
      </c>
      <c r="C414" s="14" t="s">
        <v>336</v>
      </c>
      <c r="D414" s="14" t="s">
        <v>337</v>
      </c>
      <c r="E414" s="14" t="s">
        <v>59</v>
      </c>
      <c r="F414" s="14" t="s">
        <v>43</v>
      </c>
      <c r="G414" s="14" t="s">
        <v>3749</v>
      </c>
      <c r="H414" s="14" t="s">
        <v>371</v>
      </c>
      <c r="I414" s="14" t="s">
        <v>63</v>
      </c>
      <c r="J414" s="14" t="s">
        <v>83</v>
      </c>
      <c r="K414" s="14" t="s">
        <v>340</v>
      </c>
      <c r="L414" s="14" t="s">
        <v>341</v>
      </c>
      <c r="M414" s="16" t="s">
        <v>3750</v>
      </c>
      <c r="N414" s="14"/>
      <c r="O414" s="14" t="s">
        <v>3719</v>
      </c>
      <c r="P414" s="14">
        <v>120</v>
      </c>
      <c r="Q414" s="14">
        <v>2</v>
      </c>
      <c r="R414" s="14">
        <v>3800</v>
      </c>
      <c r="S414" s="14" t="s">
        <v>3751</v>
      </c>
      <c r="T414" s="14" t="s">
        <v>3752</v>
      </c>
      <c r="U414" s="14">
        <v>0.938888888888888</v>
      </c>
      <c r="V414" s="14">
        <v>1.02555555555555</v>
      </c>
      <c r="W414" s="14">
        <v>706</v>
      </c>
      <c r="X414" s="14">
        <v>80</v>
      </c>
      <c r="Y414" s="14">
        <v>626</v>
      </c>
      <c r="Z414" s="14">
        <v>1494</v>
      </c>
      <c r="AA414" s="14">
        <v>256</v>
      </c>
      <c r="AB414" s="14">
        <v>262</v>
      </c>
      <c r="AC414" s="14">
        <v>932</v>
      </c>
      <c r="AD414" s="14">
        <v>44</v>
      </c>
      <c r="AE414" s="14">
        <v>2200</v>
      </c>
      <c r="AF414" s="14">
        <v>5000</v>
      </c>
      <c r="AG414" s="14">
        <v>2230</v>
      </c>
      <c r="AH414" s="14">
        <v>0</v>
      </c>
      <c r="AI414" s="14">
        <v>48</v>
      </c>
      <c r="AJ414" s="14">
        <v>180</v>
      </c>
      <c r="AK414" s="14" t="s">
        <v>3749</v>
      </c>
      <c r="AL414" s="14" t="s">
        <v>3753</v>
      </c>
      <c r="AM414" s="14">
        <v>202.63</v>
      </c>
      <c r="AN414" s="14">
        <v>184.55</v>
      </c>
      <c r="AO414" s="14">
        <v>54.99</v>
      </c>
      <c r="AP414" s="14">
        <v>19500</v>
      </c>
      <c r="AQ414" s="14">
        <v>19420</v>
      </c>
      <c r="AR414" s="14">
        <v>23000</v>
      </c>
      <c r="AS414" s="14">
        <v>17300</v>
      </c>
      <c r="AT414" s="14">
        <v>18794</v>
      </c>
      <c r="AU414" s="14">
        <v>9</v>
      </c>
      <c r="AV414" s="14">
        <v>239.05</v>
      </c>
      <c r="AW414" s="14">
        <v>22.61</v>
      </c>
      <c r="AX414" s="14">
        <v>0.19</v>
      </c>
      <c r="AY414" s="14" t="b">
        <v>0</v>
      </c>
    </row>
    <row r="415" spans="1:51" hidden="1" x14ac:dyDescent="0.3">
      <c r="A415" t="str">
        <f>CONCATENATE(I415,E415,LEFT(G415,10))</f>
        <v>HFA606LLER2026-02-24</v>
      </c>
      <c r="B415" s="14" t="s">
        <v>3687</v>
      </c>
      <c r="C415" s="14" t="s">
        <v>336</v>
      </c>
      <c r="D415" s="14" t="s">
        <v>337</v>
      </c>
      <c r="E415" s="14" t="s">
        <v>59</v>
      </c>
      <c r="F415" s="14" t="s">
        <v>43</v>
      </c>
      <c r="G415" s="14" t="s">
        <v>3688</v>
      </c>
      <c r="H415" s="14" t="s">
        <v>371</v>
      </c>
      <c r="I415" s="14" t="s">
        <v>63</v>
      </c>
      <c r="J415" s="14" t="s">
        <v>83</v>
      </c>
      <c r="K415" s="14" t="s">
        <v>340</v>
      </c>
      <c r="L415" s="14" t="s">
        <v>341</v>
      </c>
      <c r="M415" s="16" t="s">
        <v>3689</v>
      </c>
      <c r="N415" s="14"/>
      <c r="O415" s="14" t="s">
        <v>395</v>
      </c>
      <c r="P415" s="14">
        <v>120</v>
      </c>
      <c r="Q415" s="14">
        <v>2</v>
      </c>
      <c r="R415" s="14">
        <v>4000</v>
      </c>
      <c r="S415" s="14" t="s">
        <v>3690</v>
      </c>
      <c r="T415" s="14" t="s">
        <v>3691</v>
      </c>
      <c r="U415" s="14">
        <v>0.86944444444444402</v>
      </c>
      <c r="V415" s="14">
        <v>1.03277777777777</v>
      </c>
      <c r="W415" s="14">
        <v>750</v>
      </c>
      <c r="X415" s="14">
        <v>80</v>
      </c>
      <c r="Y415" s="14">
        <v>670</v>
      </c>
      <c r="Z415" s="14">
        <v>1450</v>
      </c>
      <c r="AA415" s="14">
        <v>255</v>
      </c>
      <c r="AB415" s="14">
        <v>264</v>
      </c>
      <c r="AC415" s="14">
        <v>887</v>
      </c>
      <c r="AD415" s="14">
        <v>44</v>
      </c>
      <c r="AE415" s="14">
        <v>2200</v>
      </c>
      <c r="AF415" s="14">
        <v>5000</v>
      </c>
      <c r="AG415" s="14">
        <v>2371</v>
      </c>
      <c r="AH415" s="14">
        <v>0</v>
      </c>
      <c r="AI415" s="14">
        <v>52</v>
      </c>
      <c r="AJ415" s="14">
        <v>180</v>
      </c>
      <c r="AK415" s="14" t="s">
        <v>3688</v>
      </c>
      <c r="AL415" s="14" t="s">
        <v>3692</v>
      </c>
      <c r="AM415" s="14">
        <v>202.63</v>
      </c>
      <c r="AN415" s="14">
        <v>184.55</v>
      </c>
      <c r="AO415" s="14">
        <v>54.99</v>
      </c>
      <c r="AP415" s="14">
        <v>19700</v>
      </c>
      <c r="AQ415" s="14">
        <v>19620</v>
      </c>
      <c r="AR415" s="14">
        <v>23000</v>
      </c>
      <c r="AS415" s="14">
        <v>17500</v>
      </c>
      <c r="AT415" s="14">
        <v>18950</v>
      </c>
      <c r="AU415" s="14">
        <v>-11</v>
      </c>
      <c r="AV415" s="14">
        <v>311.38</v>
      </c>
      <c r="AW415" s="14">
        <v>18.600000000000001</v>
      </c>
      <c r="AX415" s="14">
        <v>2.3199999999999998</v>
      </c>
      <c r="AY415" s="14" t="b">
        <v>0</v>
      </c>
    </row>
    <row r="416" spans="1:51" hidden="1" x14ac:dyDescent="0.3">
      <c r="A416" t="str">
        <f>CONCATENATE(I416,E416,LEFT(G416,10))</f>
        <v>HFA606LLER2026-02-25</v>
      </c>
      <c r="B416" s="14" t="s">
        <v>3586</v>
      </c>
      <c r="C416" s="14" t="s">
        <v>336</v>
      </c>
      <c r="D416" s="14" t="s">
        <v>337</v>
      </c>
      <c r="E416" s="14" t="s">
        <v>59</v>
      </c>
      <c r="F416" s="14" t="s">
        <v>43</v>
      </c>
      <c r="G416" s="14" t="s">
        <v>3587</v>
      </c>
      <c r="H416" s="14" t="s">
        <v>371</v>
      </c>
      <c r="I416" s="14" t="s">
        <v>63</v>
      </c>
      <c r="J416" s="14" t="s">
        <v>83</v>
      </c>
      <c r="K416" s="14" t="s">
        <v>340</v>
      </c>
      <c r="L416" s="14" t="s">
        <v>341</v>
      </c>
      <c r="M416" s="16" t="s">
        <v>543</v>
      </c>
      <c r="N416" s="14"/>
      <c r="O416" s="14" t="s">
        <v>1397</v>
      </c>
      <c r="P416" s="14">
        <v>120</v>
      </c>
      <c r="Q416" s="14">
        <v>2</v>
      </c>
      <c r="R416" s="14">
        <v>4600</v>
      </c>
      <c r="S416" s="14" t="s">
        <v>3588</v>
      </c>
      <c r="T416" s="14" t="s">
        <v>3589</v>
      </c>
      <c r="U416" s="14">
        <v>0.92194444444444401</v>
      </c>
      <c r="V416" s="14">
        <v>0.99388888888888804</v>
      </c>
      <c r="W416" s="14">
        <v>721</v>
      </c>
      <c r="X416" s="14">
        <v>80</v>
      </c>
      <c r="Y416" s="14">
        <v>641</v>
      </c>
      <c r="Z416" s="14">
        <v>1479</v>
      </c>
      <c r="AA416" s="14">
        <v>267</v>
      </c>
      <c r="AB416" s="14">
        <v>269</v>
      </c>
      <c r="AC416" s="14">
        <v>898</v>
      </c>
      <c r="AD416" s="14">
        <v>45</v>
      </c>
      <c r="AE416" s="14">
        <v>2200</v>
      </c>
      <c r="AF416" s="14">
        <v>5000</v>
      </c>
      <c r="AG416" s="14">
        <v>2278</v>
      </c>
      <c r="AH416" s="14">
        <v>0</v>
      </c>
      <c r="AI416" s="14">
        <v>50</v>
      </c>
      <c r="AJ416" s="14">
        <v>180</v>
      </c>
      <c r="AK416" s="14" t="s">
        <v>3587</v>
      </c>
      <c r="AL416" s="14" t="s">
        <v>3590</v>
      </c>
      <c r="AM416" s="14">
        <v>202.63</v>
      </c>
      <c r="AN416" s="14">
        <v>184.55</v>
      </c>
      <c r="AO416" s="14">
        <v>54.99</v>
      </c>
      <c r="AP416" s="14">
        <v>20300</v>
      </c>
      <c r="AQ416" s="14">
        <v>20220</v>
      </c>
      <c r="AR416" s="14">
        <v>23000</v>
      </c>
      <c r="AS416" s="14">
        <v>18100</v>
      </c>
      <c r="AT416" s="14">
        <v>19579</v>
      </c>
      <c r="AU416" s="14">
        <v>1</v>
      </c>
      <c r="AV416" s="14">
        <v>262.08999999999997</v>
      </c>
      <c r="AW416" s="14">
        <v>19.05</v>
      </c>
      <c r="AX416" s="14">
        <v>3.64</v>
      </c>
      <c r="AY416" s="14" t="b">
        <v>0</v>
      </c>
    </row>
    <row r="417" spans="1:51" hidden="1" x14ac:dyDescent="0.3">
      <c r="A417" t="str">
        <f>CONCATENATE(I417,E417,LEFT(G417,10))</f>
        <v>HFA606LLER2026-02-26</v>
      </c>
      <c r="B417" s="14" t="s">
        <v>3473</v>
      </c>
      <c r="C417" s="14" t="s">
        <v>336</v>
      </c>
      <c r="D417" s="14" t="s">
        <v>337</v>
      </c>
      <c r="E417" s="14" t="s">
        <v>59</v>
      </c>
      <c r="F417" s="14" t="s">
        <v>43</v>
      </c>
      <c r="G417" s="14" t="s">
        <v>3474</v>
      </c>
      <c r="H417" s="14" t="s">
        <v>393</v>
      </c>
      <c r="I417" s="14" t="s">
        <v>63</v>
      </c>
      <c r="J417" s="14" t="s">
        <v>83</v>
      </c>
      <c r="K417" s="14" t="s">
        <v>340</v>
      </c>
      <c r="L417" s="14" t="s">
        <v>341</v>
      </c>
      <c r="M417" s="16" t="s">
        <v>731</v>
      </c>
      <c r="N417" s="14"/>
      <c r="O417" s="14" t="s">
        <v>3475</v>
      </c>
      <c r="P417" s="14">
        <v>120</v>
      </c>
      <c r="Q417" s="14">
        <v>2</v>
      </c>
      <c r="R417" s="14">
        <v>6700</v>
      </c>
      <c r="S417" s="14" t="s">
        <v>3476</v>
      </c>
      <c r="T417" s="14" t="s">
        <v>3477</v>
      </c>
      <c r="U417" s="14">
        <v>0.95444444444444398</v>
      </c>
      <c r="V417" s="14">
        <v>1.0633333333333299</v>
      </c>
      <c r="W417" s="14">
        <v>816</v>
      </c>
      <c r="X417" s="14">
        <v>80</v>
      </c>
      <c r="Y417" s="14">
        <v>736</v>
      </c>
      <c r="Z417" s="14">
        <v>1784</v>
      </c>
      <c r="AA417" s="14">
        <v>274</v>
      </c>
      <c r="AB417" s="14">
        <v>290</v>
      </c>
      <c r="AC417" s="14">
        <v>1171</v>
      </c>
      <c r="AD417" s="14">
        <v>48</v>
      </c>
      <c r="AE417" s="14">
        <v>2600</v>
      </c>
      <c r="AF417" s="14">
        <v>5000</v>
      </c>
      <c r="AG417" s="14">
        <v>2579</v>
      </c>
      <c r="AH417" s="14">
        <v>0</v>
      </c>
      <c r="AI417" s="14">
        <v>52</v>
      </c>
      <c r="AJ417" s="14">
        <v>201</v>
      </c>
      <c r="AK417" s="14" t="s">
        <v>3474</v>
      </c>
      <c r="AL417" s="14" t="s">
        <v>3478</v>
      </c>
      <c r="AM417" s="14">
        <v>202.56</v>
      </c>
      <c r="AN417" s="14">
        <v>184.55</v>
      </c>
      <c r="AO417" s="14">
        <v>54.99</v>
      </c>
      <c r="AP417" s="14">
        <v>22611</v>
      </c>
      <c r="AQ417" s="14">
        <v>22531</v>
      </c>
      <c r="AR417" s="14">
        <v>23000</v>
      </c>
      <c r="AS417" s="14">
        <v>20011</v>
      </c>
      <c r="AT417" s="14">
        <v>21795</v>
      </c>
      <c r="AU417" s="14">
        <v>-7</v>
      </c>
      <c r="AV417" s="14">
        <v>278.04000000000002</v>
      </c>
      <c r="AW417" s="14">
        <v>37.090000000000003</v>
      </c>
      <c r="AX417" s="14">
        <v>3.08</v>
      </c>
      <c r="AY417" s="14" t="b">
        <v>0</v>
      </c>
    </row>
    <row r="418" spans="1:51" hidden="1" x14ac:dyDescent="0.3">
      <c r="A418" t="str">
        <f>CONCATENATE(I418,E418,LEFT(G418,10))</f>
        <v>HFA701ALLHA2026-01-07</v>
      </c>
      <c r="B418" s="14" t="s">
        <v>1459</v>
      </c>
      <c r="C418" s="14" t="s">
        <v>336</v>
      </c>
      <c r="D418" s="14" t="s">
        <v>337</v>
      </c>
      <c r="E418" s="14" t="s">
        <v>43</v>
      </c>
      <c r="F418" s="14" t="s">
        <v>48</v>
      </c>
      <c r="G418" s="14" t="s">
        <v>1460</v>
      </c>
      <c r="H418" s="14" t="s">
        <v>436</v>
      </c>
      <c r="I418" s="14" t="s">
        <v>55</v>
      </c>
      <c r="J418" s="14" t="s">
        <v>401</v>
      </c>
      <c r="K418" s="14" t="s">
        <v>349</v>
      </c>
      <c r="L418" s="14" t="s">
        <v>341</v>
      </c>
      <c r="M418" s="16" t="s">
        <v>1461</v>
      </c>
      <c r="N418" s="14" t="s">
        <v>359</v>
      </c>
      <c r="O418" s="14" t="s">
        <v>1462</v>
      </c>
      <c r="P418" s="14">
        <v>50</v>
      </c>
      <c r="Q418" s="14">
        <v>2</v>
      </c>
      <c r="R418" s="14">
        <v>0</v>
      </c>
      <c r="S418" s="14" t="s">
        <v>1463</v>
      </c>
      <c r="T418" s="14" t="s">
        <v>1464</v>
      </c>
      <c r="U418" s="14">
        <v>2.9627777777777702</v>
      </c>
      <c r="V418" s="14">
        <v>3.21888888888888</v>
      </c>
      <c r="W418" s="14">
        <v>2098</v>
      </c>
      <c r="X418" s="14">
        <v>50</v>
      </c>
      <c r="Y418" s="14">
        <v>2048</v>
      </c>
      <c r="Z418" s="14">
        <v>1102</v>
      </c>
      <c r="AA418" s="14">
        <v>618</v>
      </c>
      <c r="AB418" s="14">
        <v>281</v>
      </c>
      <c r="AC418" s="14">
        <v>100</v>
      </c>
      <c r="AD418" s="14">
        <v>102</v>
      </c>
      <c r="AE418" s="14">
        <v>3200</v>
      </c>
      <c r="AF418" s="14">
        <v>5000</v>
      </c>
      <c r="AG418" s="14">
        <v>6631</v>
      </c>
      <c r="AH418" s="14">
        <v>0</v>
      </c>
      <c r="AI418" s="14">
        <v>176</v>
      </c>
      <c r="AJ418" s="14">
        <v>271</v>
      </c>
      <c r="AK418" s="14" t="s">
        <v>1460</v>
      </c>
      <c r="AL418" s="14" t="s">
        <v>1465</v>
      </c>
      <c r="AM418" s="14">
        <v>657.4</v>
      </c>
      <c r="AN418" s="14">
        <v>624.6</v>
      </c>
      <c r="AO418" s="14">
        <v>176.85</v>
      </c>
      <c r="AP418" s="14">
        <v>23029</v>
      </c>
      <c r="AQ418" s="14">
        <v>22979</v>
      </c>
      <c r="AR418" s="14">
        <v>23000</v>
      </c>
      <c r="AS418" s="14">
        <v>19829</v>
      </c>
      <c r="AT418" s="14">
        <v>20931</v>
      </c>
      <c r="AU418" s="14">
        <v>-33</v>
      </c>
      <c r="AV418" s="14">
        <v>259.63</v>
      </c>
      <c r="AW418" s="14">
        <v>46.53</v>
      </c>
      <c r="AX418" s="14">
        <v>4.9000000000000004</v>
      </c>
      <c r="AY418" s="14" t="b">
        <v>0</v>
      </c>
    </row>
    <row r="419" spans="1:51" hidden="1" x14ac:dyDescent="0.3">
      <c r="A419" t="str">
        <f>CONCATENATE(I419,E419,LEFT(G419,10))</f>
        <v>HFA701LLHA2026-01-01</v>
      </c>
      <c r="B419" s="14" t="s">
        <v>4581</v>
      </c>
      <c r="C419" s="14" t="s">
        <v>336</v>
      </c>
      <c r="D419" s="14" t="s">
        <v>337</v>
      </c>
      <c r="E419" s="14" t="s">
        <v>43</v>
      </c>
      <c r="F419" s="14" t="s">
        <v>48</v>
      </c>
      <c r="G419" s="14" t="s">
        <v>4582</v>
      </c>
      <c r="H419" s="14" t="s">
        <v>339</v>
      </c>
      <c r="I419" s="14" t="s">
        <v>53</v>
      </c>
      <c r="J419" s="14" t="s">
        <v>401</v>
      </c>
      <c r="K419" s="14" t="s">
        <v>349</v>
      </c>
      <c r="L419" s="14" t="s">
        <v>341</v>
      </c>
      <c r="M419" s="16" t="s">
        <v>4583</v>
      </c>
      <c r="N419" s="14"/>
      <c r="O419" s="14" t="s">
        <v>4511</v>
      </c>
      <c r="P419" s="14">
        <v>50</v>
      </c>
      <c r="Q419" s="14">
        <v>2</v>
      </c>
      <c r="R419" s="14">
        <v>4300</v>
      </c>
      <c r="S419" s="14" t="s">
        <v>4584</v>
      </c>
      <c r="T419" s="14" t="s">
        <v>4585</v>
      </c>
      <c r="U419" s="14">
        <v>2.9886111111111102</v>
      </c>
      <c r="V419" s="14">
        <v>3.1283333333333299</v>
      </c>
      <c r="W419" s="14">
        <v>2156</v>
      </c>
      <c r="X419" s="14">
        <v>50</v>
      </c>
      <c r="Y419" s="14">
        <v>2106</v>
      </c>
      <c r="Z419" s="14">
        <v>1125</v>
      </c>
      <c r="AA419" s="14">
        <v>558</v>
      </c>
      <c r="AB419" s="14">
        <v>261</v>
      </c>
      <c r="AC419" s="14">
        <v>200</v>
      </c>
      <c r="AD419" s="14">
        <v>105</v>
      </c>
      <c r="AE419" s="14">
        <v>3281</v>
      </c>
      <c r="AF419" s="14">
        <v>5000</v>
      </c>
      <c r="AG419" s="14">
        <v>6813</v>
      </c>
      <c r="AH419" s="14">
        <v>0</v>
      </c>
      <c r="AI419" s="14">
        <v>174</v>
      </c>
      <c r="AJ419" s="14">
        <v>273</v>
      </c>
      <c r="AK419" s="14" t="s">
        <v>4582</v>
      </c>
      <c r="AL419" s="14" t="s">
        <v>4586</v>
      </c>
      <c r="AM419" s="14">
        <v>662.64</v>
      </c>
      <c r="AN419" s="14">
        <v>624.6</v>
      </c>
      <c r="AO419" s="14">
        <v>176.85</v>
      </c>
      <c r="AP419" s="14">
        <v>20906</v>
      </c>
      <c r="AQ419" s="14">
        <v>20856</v>
      </c>
      <c r="AR419" s="14">
        <v>23000</v>
      </c>
      <c r="AS419" s="14">
        <v>17625</v>
      </c>
      <c r="AT419" s="14">
        <v>18750</v>
      </c>
      <c r="AU419" s="14">
        <v>-39</v>
      </c>
      <c r="AV419" s="14">
        <v>284.18</v>
      </c>
      <c r="AW419" s="14">
        <v>43.06</v>
      </c>
      <c r="AX419" s="14">
        <v>-2.92</v>
      </c>
      <c r="AY419" s="14" t="b">
        <v>0</v>
      </c>
    </row>
    <row r="420" spans="1:51" hidden="1" x14ac:dyDescent="0.3">
      <c r="A420" t="str">
        <f>CONCATENATE(I420,E420,LEFT(G420,10))</f>
        <v>HFA701LLHA2026-01-02</v>
      </c>
      <c r="B420" s="14" t="s">
        <v>6265</v>
      </c>
      <c r="C420" s="14" t="s">
        <v>336</v>
      </c>
      <c r="D420" s="14" t="s">
        <v>337</v>
      </c>
      <c r="E420" s="14" t="s">
        <v>43</v>
      </c>
      <c r="F420" s="14" t="s">
        <v>48</v>
      </c>
      <c r="G420" s="14" t="s">
        <v>6266</v>
      </c>
      <c r="H420" s="14" t="s">
        <v>357</v>
      </c>
      <c r="I420" s="14" t="s">
        <v>53</v>
      </c>
      <c r="J420" s="14" t="s">
        <v>401</v>
      </c>
      <c r="K420" s="14" t="s">
        <v>349</v>
      </c>
      <c r="L420" s="14" t="s">
        <v>341</v>
      </c>
      <c r="M420" s="16" t="s">
        <v>6267</v>
      </c>
      <c r="N420" s="14" t="s">
        <v>359</v>
      </c>
      <c r="O420" s="14" t="s">
        <v>6268</v>
      </c>
      <c r="P420" s="14">
        <v>50</v>
      </c>
      <c r="Q420" s="14">
        <v>2</v>
      </c>
      <c r="R420" s="14">
        <v>5400</v>
      </c>
      <c r="S420" s="14" t="s">
        <v>6269</v>
      </c>
      <c r="T420" s="14" t="s">
        <v>6270</v>
      </c>
      <c r="U420" s="14">
        <v>2.6880555555555499</v>
      </c>
      <c r="V420" s="14">
        <v>2.8944444444444399</v>
      </c>
      <c r="W420" s="14">
        <v>1951</v>
      </c>
      <c r="X420" s="14">
        <v>50</v>
      </c>
      <c r="Y420" s="14">
        <v>1901</v>
      </c>
      <c r="Z420" s="14">
        <v>1044</v>
      </c>
      <c r="AA420" s="14">
        <v>580</v>
      </c>
      <c r="AB420" s="14">
        <v>269</v>
      </c>
      <c r="AC420" s="14">
        <v>100</v>
      </c>
      <c r="AD420" s="14">
        <v>95</v>
      </c>
      <c r="AE420" s="14">
        <v>2995</v>
      </c>
      <c r="AF420" s="14">
        <v>5000</v>
      </c>
      <c r="AG420" s="14">
        <v>6164</v>
      </c>
      <c r="AH420" s="14">
        <v>0</v>
      </c>
      <c r="AI420" s="14">
        <v>165</v>
      </c>
      <c r="AJ420" s="14">
        <v>257</v>
      </c>
      <c r="AK420" s="14" t="s">
        <v>6266</v>
      </c>
      <c r="AL420" s="14" t="s">
        <v>6271</v>
      </c>
      <c r="AM420" s="14">
        <v>651.22</v>
      </c>
      <c r="AN420" s="14">
        <v>624.6</v>
      </c>
      <c r="AO420" s="14">
        <v>176.85</v>
      </c>
      <c r="AP420" s="14">
        <v>21620</v>
      </c>
      <c r="AQ420" s="14">
        <v>21570</v>
      </c>
      <c r="AR420" s="14">
        <v>23000</v>
      </c>
      <c r="AS420" s="14">
        <v>18625</v>
      </c>
      <c r="AT420" s="14">
        <v>19669</v>
      </c>
      <c r="AU420" s="14">
        <v>-27</v>
      </c>
      <c r="AV420" s="14">
        <v>305.25</v>
      </c>
      <c r="AW420" s="14">
        <v>26.69</v>
      </c>
      <c r="AX420" s="14">
        <v>-2.4</v>
      </c>
      <c r="AY420" s="14" t="b">
        <v>0</v>
      </c>
    </row>
    <row r="421" spans="1:51" hidden="1" x14ac:dyDescent="0.3">
      <c r="A421" t="str">
        <f>CONCATENATE(I421,E421,LEFT(G421,10))</f>
        <v>HFA701LLHA2026-01-04</v>
      </c>
      <c r="B421" s="14" t="s">
        <v>5421</v>
      </c>
      <c r="C421" s="14" t="s">
        <v>336</v>
      </c>
      <c r="D421" s="14" t="s">
        <v>337</v>
      </c>
      <c r="E421" s="14" t="s">
        <v>43</v>
      </c>
      <c r="F421" s="14" t="s">
        <v>48</v>
      </c>
      <c r="G421" s="14" t="s">
        <v>5422</v>
      </c>
      <c r="H421" s="14" t="s">
        <v>357</v>
      </c>
      <c r="I421" s="14" t="s">
        <v>53</v>
      </c>
      <c r="J421" s="14" t="s">
        <v>401</v>
      </c>
      <c r="K421" s="14" t="s">
        <v>349</v>
      </c>
      <c r="L421" s="14" t="s">
        <v>341</v>
      </c>
      <c r="M421" s="16" t="s">
        <v>5423</v>
      </c>
      <c r="N421" s="14" t="s">
        <v>359</v>
      </c>
      <c r="O421" s="14" t="s">
        <v>5424</v>
      </c>
      <c r="P421" s="14">
        <v>50</v>
      </c>
      <c r="Q421" s="14">
        <v>2</v>
      </c>
      <c r="R421" s="14">
        <v>5100</v>
      </c>
      <c r="S421" s="14" t="s">
        <v>5425</v>
      </c>
      <c r="T421" s="14" t="s">
        <v>5426</v>
      </c>
      <c r="U421" s="14">
        <v>2.5891666666666602</v>
      </c>
      <c r="V421" s="14">
        <v>2.8847222222222202</v>
      </c>
      <c r="W421" s="14">
        <v>1780</v>
      </c>
      <c r="X421" s="14">
        <v>50</v>
      </c>
      <c r="Y421" s="14">
        <v>1730</v>
      </c>
      <c r="Z421" s="14">
        <v>1051</v>
      </c>
      <c r="AA421" s="14">
        <v>598</v>
      </c>
      <c r="AB421" s="14">
        <v>266</v>
      </c>
      <c r="AC421" s="14">
        <v>100</v>
      </c>
      <c r="AD421" s="14">
        <v>87</v>
      </c>
      <c r="AE421" s="14">
        <v>2831</v>
      </c>
      <c r="AF421" s="14">
        <v>5000</v>
      </c>
      <c r="AG421" s="14">
        <v>5626</v>
      </c>
      <c r="AH421" s="14">
        <v>0</v>
      </c>
      <c r="AI421" s="14">
        <v>154</v>
      </c>
      <c r="AJ421" s="14">
        <v>249</v>
      </c>
      <c r="AK421" s="14" t="s">
        <v>5422</v>
      </c>
      <c r="AL421" s="14" t="s">
        <v>5427</v>
      </c>
      <c r="AM421" s="14">
        <v>651.22</v>
      </c>
      <c r="AN421" s="14">
        <v>624.6</v>
      </c>
      <c r="AO421" s="14">
        <v>176.85</v>
      </c>
      <c r="AP421" s="14">
        <v>21156</v>
      </c>
      <c r="AQ421" s="14">
        <v>21106</v>
      </c>
      <c r="AR421" s="14">
        <v>23000</v>
      </c>
      <c r="AS421" s="14">
        <v>18325</v>
      </c>
      <c r="AT421" s="14">
        <v>19376</v>
      </c>
      <c r="AU421" s="14">
        <v>-7</v>
      </c>
      <c r="AV421" s="14">
        <v>229.41</v>
      </c>
      <c r="AW421" s="14">
        <v>16.59</v>
      </c>
      <c r="AX421" s="14">
        <v>4.1900000000000004</v>
      </c>
      <c r="AY421" s="14" t="b">
        <v>0</v>
      </c>
    </row>
    <row r="422" spans="1:51" hidden="1" x14ac:dyDescent="0.3">
      <c r="A422" t="str">
        <f>CONCATENATE(I422,E422,LEFT(G422,10))</f>
        <v>HFA701LLHA2026-01-05</v>
      </c>
      <c r="B422" s="14" t="s">
        <v>1734</v>
      </c>
      <c r="C422" s="14" t="s">
        <v>336</v>
      </c>
      <c r="D422" s="14" t="s">
        <v>337</v>
      </c>
      <c r="E422" s="14" t="s">
        <v>43</v>
      </c>
      <c r="F422" s="14" t="s">
        <v>48</v>
      </c>
      <c r="G422" s="14" t="s">
        <v>1735</v>
      </c>
      <c r="H422" s="14" t="s">
        <v>393</v>
      </c>
      <c r="I422" s="14" t="s">
        <v>53</v>
      </c>
      <c r="J422" s="14" t="s">
        <v>401</v>
      </c>
      <c r="K422" s="14" t="s">
        <v>349</v>
      </c>
      <c r="L422" s="14" t="s">
        <v>341</v>
      </c>
      <c r="M422" s="16" t="s">
        <v>1736</v>
      </c>
      <c r="N422" s="14"/>
      <c r="O422" s="14" t="s">
        <v>1737</v>
      </c>
      <c r="P422" s="14">
        <v>50</v>
      </c>
      <c r="Q422" s="14">
        <v>2</v>
      </c>
      <c r="R422" s="14">
        <v>4700</v>
      </c>
      <c r="S422" s="14"/>
      <c r="T422" s="14"/>
      <c r="U422" s="14"/>
      <c r="V422" s="14"/>
      <c r="W422" s="14">
        <v>2004</v>
      </c>
      <c r="X422" s="14">
        <v>50</v>
      </c>
      <c r="Y422" s="14">
        <v>1954</v>
      </c>
      <c r="Z422" s="14">
        <v>1296</v>
      </c>
      <c r="AA422" s="14">
        <v>634</v>
      </c>
      <c r="AB422" s="14">
        <v>266</v>
      </c>
      <c r="AC422" s="14">
        <v>298</v>
      </c>
      <c r="AD422" s="14">
        <v>98</v>
      </c>
      <c r="AE422" s="14">
        <v>3300</v>
      </c>
      <c r="AF422" s="14">
        <v>5000</v>
      </c>
      <c r="AG422" s="14">
        <v>6331</v>
      </c>
      <c r="AH422" s="14">
        <v>0</v>
      </c>
      <c r="AI422" s="14">
        <v>154</v>
      </c>
      <c r="AJ422" s="14">
        <v>265</v>
      </c>
      <c r="AK422" s="14" t="s">
        <v>1735</v>
      </c>
      <c r="AL422" s="14" t="s">
        <v>1738</v>
      </c>
      <c r="AM422" s="14">
        <v>657.4</v>
      </c>
      <c r="AN422" s="14">
        <v>624.6</v>
      </c>
      <c r="AO422" s="14">
        <v>176.85</v>
      </c>
      <c r="AP422" s="14">
        <v>21311</v>
      </c>
      <c r="AQ422" s="14">
        <v>21261</v>
      </c>
      <c r="AR422" s="14">
        <v>23000</v>
      </c>
      <c r="AS422" s="14">
        <v>18011</v>
      </c>
      <c r="AT422" s="14">
        <v>19307</v>
      </c>
      <c r="AU422" s="14">
        <v>-4</v>
      </c>
      <c r="AV422" s="14">
        <v>221.31</v>
      </c>
      <c r="AW422" s="14">
        <v>20.2</v>
      </c>
      <c r="AX422" s="14">
        <v>4.7699999999999996</v>
      </c>
      <c r="AY422" s="14" t="b">
        <v>0</v>
      </c>
    </row>
    <row r="423" spans="1:51" hidden="1" x14ac:dyDescent="0.3">
      <c r="A423" t="str">
        <f>CONCATENATE(I423,E423,LEFT(G423,10))</f>
        <v>HFA701LLHA2026-01-07</v>
      </c>
      <c r="B423" s="14" t="s">
        <v>1493</v>
      </c>
      <c r="C423" s="14" t="s">
        <v>336</v>
      </c>
      <c r="D423" s="14" t="s">
        <v>337</v>
      </c>
      <c r="E423" s="14" t="s">
        <v>43</v>
      </c>
      <c r="F423" s="14" t="s">
        <v>48</v>
      </c>
      <c r="G423" s="14" t="s">
        <v>1494</v>
      </c>
      <c r="H423" s="14" t="s">
        <v>436</v>
      </c>
      <c r="I423" s="14" t="s">
        <v>53</v>
      </c>
      <c r="J423" s="14" t="s">
        <v>401</v>
      </c>
      <c r="K423" s="14" t="s">
        <v>349</v>
      </c>
      <c r="L423" s="14" t="s">
        <v>341</v>
      </c>
      <c r="M423" s="16" t="s">
        <v>1495</v>
      </c>
      <c r="N423" s="14" t="s">
        <v>359</v>
      </c>
      <c r="O423" s="14" t="s">
        <v>576</v>
      </c>
      <c r="P423" s="14">
        <v>50</v>
      </c>
      <c r="Q423" s="14">
        <v>2</v>
      </c>
      <c r="R423" s="14">
        <v>6500</v>
      </c>
      <c r="S423" s="14" t="s">
        <v>1496</v>
      </c>
      <c r="T423" s="14"/>
      <c r="U423" s="14"/>
      <c r="V423" s="14"/>
      <c r="W423" s="14">
        <v>2063</v>
      </c>
      <c r="X423" s="14">
        <v>50</v>
      </c>
      <c r="Y423" s="14">
        <v>2013</v>
      </c>
      <c r="Z423" s="14">
        <v>1092</v>
      </c>
      <c r="AA423" s="14">
        <v>612</v>
      </c>
      <c r="AB423" s="14">
        <v>280</v>
      </c>
      <c r="AC423" s="14">
        <v>100</v>
      </c>
      <c r="AD423" s="14">
        <v>101</v>
      </c>
      <c r="AE423" s="14">
        <v>3155</v>
      </c>
      <c r="AF423" s="14">
        <v>5000</v>
      </c>
      <c r="AG423" s="14">
        <v>6519</v>
      </c>
      <c r="AH423" s="14">
        <v>0</v>
      </c>
      <c r="AI423" s="14">
        <v>172</v>
      </c>
      <c r="AJ423" s="14">
        <v>267</v>
      </c>
      <c r="AK423" s="14" t="s">
        <v>1494</v>
      </c>
      <c r="AL423" s="14" t="s">
        <v>1497</v>
      </c>
      <c r="AM423" s="14">
        <v>657.4</v>
      </c>
      <c r="AN423" s="14">
        <v>624.6</v>
      </c>
      <c r="AO423" s="14">
        <v>176.85</v>
      </c>
      <c r="AP423" s="14">
        <v>22860</v>
      </c>
      <c r="AQ423" s="14">
        <v>22810</v>
      </c>
      <c r="AR423" s="14">
        <v>23000</v>
      </c>
      <c r="AS423" s="14">
        <v>19705</v>
      </c>
      <c r="AT423" s="14">
        <v>20797</v>
      </c>
      <c r="AU423" s="14">
        <v>-30</v>
      </c>
      <c r="AV423" s="14">
        <v>255.84</v>
      </c>
      <c r="AW423" s="14">
        <v>42.74</v>
      </c>
      <c r="AX423" s="14">
        <v>4.71</v>
      </c>
      <c r="AY423" s="14" t="b">
        <v>0</v>
      </c>
    </row>
    <row r="424" spans="1:51" hidden="1" x14ac:dyDescent="0.3">
      <c r="A424" t="str">
        <f>CONCATENATE(I424,E424,LEFT(G424,10))</f>
        <v>HFA701LLHA2026-01-08</v>
      </c>
      <c r="B424" s="14" t="s">
        <v>2931</v>
      </c>
      <c r="C424" s="14" t="s">
        <v>336</v>
      </c>
      <c r="D424" s="14" t="s">
        <v>337</v>
      </c>
      <c r="E424" s="14" t="s">
        <v>43</v>
      </c>
      <c r="F424" s="14" t="s">
        <v>48</v>
      </c>
      <c r="G424" s="14" t="s">
        <v>2932</v>
      </c>
      <c r="H424" s="14" t="s">
        <v>357</v>
      </c>
      <c r="I424" s="14" t="s">
        <v>53</v>
      </c>
      <c r="J424" s="14" t="s">
        <v>401</v>
      </c>
      <c r="K424" s="14" t="s">
        <v>349</v>
      </c>
      <c r="L424" s="14" t="s">
        <v>341</v>
      </c>
      <c r="M424" s="16" t="s">
        <v>2933</v>
      </c>
      <c r="N424" s="14" t="s">
        <v>359</v>
      </c>
      <c r="O424" s="14" t="s">
        <v>2934</v>
      </c>
      <c r="P424" s="14">
        <v>50</v>
      </c>
      <c r="Q424" s="14">
        <v>2</v>
      </c>
      <c r="R424" s="14">
        <v>6700</v>
      </c>
      <c r="S424" s="14" t="s">
        <v>2935</v>
      </c>
      <c r="T424" s="14" t="s">
        <v>2936</v>
      </c>
      <c r="U424" s="14">
        <v>2.97472222222222</v>
      </c>
      <c r="V424" s="14">
        <v>3.05555555555555</v>
      </c>
      <c r="W424" s="14">
        <v>1925</v>
      </c>
      <c r="X424" s="14">
        <v>50</v>
      </c>
      <c r="Y424" s="14">
        <v>1875</v>
      </c>
      <c r="Z424" s="14">
        <v>1144</v>
      </c>
      <c r="AA424" s="14">
        <v>669</v>
      </c>
      <c r="AB424" s="14">
        <v>282</v>
      </c>
      <c r="AC424" s="14">
        <v>100</v>
      </c>
      <c r="AD424" s="14">
        <v>94</v>
      </c>
      <c r="AE424" s="14">
        <v>3070</v>
      </c>
      <c r="AF424" s="14">
        <v>5000</v>
      </c>
      <c r="AG424" s="14">
        <v>6083</v>
      </c>
      <c r="AH424" s="14">
        <v>0</v>
      </c>
      <c r="AI424" s="14">
        <v>162</v>
      </c>
      <c r="AJ424" s="14">
        <v>260</v>
      </c>
      <c r="AK424" s="14" t="s">
        <v>2932</v>
      </c>
      <c r="AL424" s="14" t="s">
        <v>2937</v>
      </c>
      <c r="AM424" s="14">
        <v>651.22</v>
      </c>
      <c r="AN424" s="14">
        <v>624.6</v>
      </c>
      <c r="AO424" s="14">
        <v>176.85</v>
      </c>
      <c r="AP424" s="14">
        <v>22995</v>
      </c>
      <c r="AQ424" s="14">
        <v>22945</v>
      </c>
      <c r="AR424" s="14">
        <v>23000</v>
      </c>
      <c r="AS424" s="14">
        <v>19925</v>
      </c>
      <c r="AT424" s="14">
        <v>21069</v>
      </c>
      <c r="AU424" s="14">
        <v>-17</v>
      </c>
      <c r="AV424" s="14">
        <v>222.93</v>
      </c>
      <c r="AW424" s="14">
        <v>60.3</v>
      </c>
      <c r="AX424" s="14">
        <v>4.3600000000000003</v>
      </c>
      <c r="AY424" s="14" t="b">
        <v>0</v>
      </c>
    </row>
    <row r="425" spans="1:51" hidden="1" x14ac:dyDescent="0.3">
      <c r="A425" t="str">
        <f>CONCATENATE(I425,E425,LEFT(G425,10))</f>
        <v>HFA701LLHA2026-01-09</v>
      </c>
      <c r="B425" s="14" t="s">
        <v>2325</v>
      </c>
      <c r="C425" s="14" t="s">
        <v>336</v>
      </c>
      <c r="D425" s="14" t="s">
        <v>337</v>
      </c>
      <c r="E425" s="14" t="s">
        <v>43</v>
      </c>
      <c r="F425" s="14" t="s">
        <v>48</v>
      </c>
      <c r="G425" s="14" t="s">
        <v>2326</v>
      </c>
      <c r="H425" s="14" t="s">
        <v>436</v>
      </c>
      <c r="I425" s="14" t="s">
        <v>53</v>
      </c>
      <c r="J425" s="14" t="s">
        <v>401</v>
      </c>
      <c r="K425" s="14" t="s">
        <v>349</v>
      </c>
      <c r="L425" s="14" t="s">
        <v>341</v>
      </c>
      <c r="M425" s="16" t="s">
        <v>2327</v>
      </c>
      <c r="N425" s="14" t="s">
        <v>359</v>
      </c>
      <c r="O425" s="14" t="s">
        <v>2328</v>
      </c>
      <c r="P425" s="14">
        <v>50</v>
      </c>
      <c r="Q425" s="14">
        <v>2</v>
      </c>
      <c r="R425" s="14">
        <v>5900</v>
      </c>
      <c r="S425" s="14" t="s">
        <v>2329</v>
      </c>
      <c r="T425" s="14" t="s">
        <v>2330</v>
      </c>
      <c r="U425" s="14">
        <v>3.1452777777777698</v>
      </c>
      <c r="V425" s="14">
        <v>3.3402777777777701</v>
      </c>
      <c r="W425" s="14">
        <v>2320</v>
      </c>
      <c r="X425" s="14">
        <v>50</v>
      </c>
      <c r="Y425" s="14">
        <v>2270</v>
      </c>
      <c r="Z425" s="14">
        <v>1125</v>
      </c>
      <c r="AA425" s="14">
        <v>537</v>
      </c>
      <c r="AB425" s="14">
        <v>274</v>
      </c>
      <c r="AC425" s="14">
        <v>200</v>
      </c>
      <c r="AD425" s="14">
        <v>114</v>
      </c>
      <c r="AE425" s="14">
        <v>3445</v>
      </c>
      <c r="AF425" s="14">
        <v>5000</v>
      </c>
      <c r="AG425" s="14">
        <v>7331</v>
      </c>
      <c r="AH425" s="14">
        <v>0</v>
      </c>
      <c r="AI425" s="14">
        <v>178</v>
      </c>
      <c r="AJ425" s="14">
        <v>275</v>
      </c>
      <c r="AK425" s="14" t="s">
        <v>2326</v>
      </c>
      <c r="AL425" s="14" t="s">
        <v>2331</v>
      </c>
      <c r="AM425" s="14">
        <v>657.4</v>
      </c>
      <c r="AN425" s="14">
        <v>624.6</v>
      </c>
      <c r="AO425" s="14">
        <v>176.85</v>
      </c>
      <c r="AP425" s="14">
        <v>22550</v>
      </c>
      <c r="AQ425" s="14">
        <v>22500</v>
      </c>
      <c r="AR425" s="14">
        <v>23000</v>
      </c>
      <c r="AS425" s="14">
        <v>19105</v>
      </c>
      <c r="AT425" s="14">
        <v>20230</v>
      </c>
      <c r="AU425" s="14">
        <v>-45</v>
      </c>
      <c r="AV425" s="14">
        <v>303.35000000000002</v>
      </c>
      <c r="AW425" s="14">
        <v>49.52</v>
      </c>
      <c r="AX425" s="14">
        <v>-2.46</v>
      </c>
      <c r="AY425" s="14" t="b">
        <v>0</v>
      </c>
    </row>
    <row r="426" spans="1:51" hidden="1" x14ac:dyDescent="0.3">
      <c r="A426" t="str">
        <f>CONCATENATE(I426,E426,LEFT(G426,10))</f>
        <v>HFA701LLHA2026-01-11</v>
      </c>
      <c r="B426" s="14" t="s">
        <v>2263</v>
      </c>
      <c r="C426" s="14" t="s">
        <v>336</v>
      </c>
      <c r="D426" s="14" t="s">
        <v>337</v>
      </c>
      <c r="E426" s="14" t="s">
        <v>43</v>
      </c>
      <c r="F426" s="14" t="s">
        <v>48</v>
      </c>
      <c r="G426" s="14" t="s">
        <v>2264</v>
      </c>
      <c r="H426" s="14" t="s">
        <v>436</v>
      </c>
      <c r="I426" s="14" t="s">
        <v>53</v>
      </c>
      <c r="J426" s="14" t="s">
        <v>401</v>
      </c>
      <c r="K426" s="14" t="s">
        <v>349</v>
      </c>
      <c r="L426" s="14" t="s">
        <v>341</v>
      </c>
      <c r="M426" s="16" t="s">
        <v>2258</v>
      </c>
      <c r="N426" s="14" t="s">
        <v>359</v>
      </c>
      <c r="O426" s="14" t="s">
        <v>2265</v>
      </c>
      <c r="P426" s="14">
        <v>50</v>
      </c>
      <c r="Q426" s="14">
        <v>2</v>
      </c>
      <c r="R426" s="14">
        <v>4900</v>
      </c>
      <c r="S426" s="14" t="s">
        <v>2266</v>
      </c>
      <c r="T426" s="14" t="s">
        <v>2267</v>
      </c>
      <c r="U426" s="14">
        <v>2.8538888888888798</v>
      </c>
      <c r="V426" s="14">
        <v>3.0244444444444398</v>
      </c>
      <c r="W426" s="14">
        <v>1956</v>
      </c>
      <c r="X426" s="14">
        <v>50</v>
      </c>
      <c r="Y426" s="14">
        <v>1906</v>
      </c>
      <c r="Z426" s="14">
        <v>1057</v>
      </c>
      <c r="AA426" s="14">
        <v>597</v>
      </c>
      <c r="AB426" s="14">
        <v>265</v>
      </c>
      <c r="AC426" s="14">
        <v>100</v>
      </c>
      <c r="AD426" s="14">
        <v>95</v>
      </c>
      <c r="AE426" s="14">
        <v>3014</v>
      </c>
      <c r="AF426" s="14">
        <v>5000</v>
      </c>
      <c r="AG426" s="14">
        <v>6182</v>
      </c>
      <c r="AH426" s="14">
        <v>0</v>
      </c>
      <c r="AI426" s="14">
        <v>165</v>
      </c>
      <c r="AJ426" s="14">
        <v>257</v>
      </c>
      <c r="AK426" s="14" t="s">
        <v>2264</v>
      </c>
      <c r="AL426" s="14" t="s">
        <v>2268</v>
      </c>
      <c r="AM426" s="14">
        <v>651.22</v>
      </c>
      <c r="AN426" s="14">
        <v>624.6</v>
      </c>
      <c r="AO426" s="14">
        <v>176.85</v>
      </c>
      <c r="AP426" s="14">
        <v>21119</v>
      </c>
      <c r="AQ426" s="14">
        <v>21069</v>
      </c>
      <c r="AR426" s="14">
        <v>23000</v>
      </c>
      <c r="AS426" s="14">
        <v>18105</v>
      </c>
      <c r="AT426" s="14">
        <v>19162</v>
      </c>
      <c r="AU426" s="14">
        <v>-27</v>
      </c>
      <c r="AV426" s="14">
        <v>240.3</v>
      </c>
      <c r="AW426" s="14">
        <v>50.36</v>
      </c>
      <c r="AX426" s="14">
        <v>-0.24</v>
      </c>
      <c r="AY426" s="14" t="b">
        <v>0</v>
      </c>
    </row>
    <row r="427" spans="1:51" hidden="1" x14ac:dyDescent="0.3">
      <c r="A427" t="str">
        <f>CONCATENATE(I427,E427,LEFT(G427,10))</f>
        <v>HFA701LLHA2026-01-12</v>
      </c>
      <c r="B427" s="14" t="s">
        <v>6089</v>
      </c>
      <c r="C427" s="14" t="s">
        <v>336</v>
      </c>
      <c r="D427" s="14" t="s">
        <v>337</v>
      </c>
      <c r="E427" s="14" t="s">
        <v>43</v>
      </c>
      <c r="F427" s="14" t="s">
        <v>48</v>
      </c>
      <c r="G427" s="14" t="s">
        <v>6090</v>
      </c>
      <c r="H427" s="14" t="s">
        <v>393</v>
      </c>
      <c r="I427" s="14" t="s">
        <v>53</v>
      </c>
      <c r="J427" s="14" t="s">
        <v>401</v>
      </c>
      <c r="K427" s="14" t="s">
        <v>349</v>
      </c>
      <c r="L427" s="14" t="s">
        <v>341</v>
      </c>
      <c r="M427" s="16" t="s">
        <v>6091</v>
      </c>
      <c r="N427" s="14"/>
      <c r="O427" s="14" t="s">
        <v>5311</v>
      </c>
      <c r="P427" s="14">
        <v>50</v>
      </c>
      <c r="Q427" s="14">
        <v>2</v>
      </c>
      <c r="R427" s="14">
        <v>2900</v>
      </c>
      <c r="S427" s="14" t="s">
        <v>6092</v>
      </c>
      <c r="T427" s="14" t="s">
        <v>6093</v>
      </c>
      <c r="U427" s="14">
        <v>2.8275000000000001</v>
      </c>
      <c r="V427" s="14">
        <v>3.0550000000000002</v>
      </c>
      <c r="W427" s="14">
        <v>2152</v>
      </c>
      <c r="X427" s="14">
        <v>50</v>
      </c>
      <c r="Y427" s="14">
        <v>2102</v>
      </c>
      <c r="Z427" s="14">
        <v>1248</v>
      </c>
      <c r="AA427" s="14">
        <v>602</v>
      </c>
      <c r="AB427" s="14">
        <v>251</v>
      </c>
      <c r="AC427" s="14">
        <v>291</v>
      </c>
      <c r="AD427" s="14">
        <v>105</v>
      </c>
      <c r="AE427" s="14">
        <v>3400</v>
      </c>
      <c r="AF427" s="14">
        <v>5000</v>
      </c>
      <c r="AG427" s="14">
        <v>6799</v>
      </c>
      <c r="AH427" s="14">
        <v>0</v>
      </c>
      <c r="AI427" s="14">
        <v>165</v>
      </c>
      <c r="AJ427" s="14">
        <v>271</v>
      </c>
      <c r="AK427" s="14" t="s">
        <v>6090</v>
      </c>
      <c r="AL427" s="14" t="s">
        <v>6094</v>
      </c>
      <c r="AM427" s="14">
        <v>662.64</v>
      </c>
      <c r="AN427" s="14">
        <v>624.6</v>
      </c>
      <c r="AO427" s="14">
        <v>176.85</v>
      </c>
      <c r="AP427" s="14">
        <v>19611</v>
      </c>
      <c r="AQ427" s="14">
        <v>19561</v>
      </c>
      <c r="AR427" s="14">
        <v>23000</v>
      </c>
      <c r="AS427" s="14">
        <v>16211</v>
      </c>
      <c r="AT427" s="14">
        <v>17459</v>
      </c>
      <c r="AU427" s="14">
        <v>-26</v>
      </c>
      <c r="AV427" s="14">
        <v>248.42</v>
      </c>
      <c r="AW427" s="14">
        <v>32.94</v>
      </c>
      <c r="AX427" s="14">
        <v>-4.9400000000000004</v>
      </c>
      <c r="AY427" s="14" t="b">
        <v>0</v>
      </c>
    </row>
    <row r="428" spans="1:51" hidden="1" x14ac:dyDescent="0.3">
      <c r="A428" t="str">
        <f>CONCATENATE(I428,E428,LEFT(G428,10))</f>
        <v>HFA701LLHA2026-01-14</v>
      </c>
      <c r="B428" s="14" t="s">
        <v>5793</v>
      </c>
      <c r="C428" s="14" t="s">
        <v>336</v>
      </c>
      <c r="D428" s="14" t="s">
        <v>337</v>
      </c>
      <c r="E428" s="14" t="s">
        <v>43</v>
      </c>
      <c r="F428" s="14" t="s">
        <v>48</v>
      </c>
      <c r="G428" s="14" t="s">
        <v>5794</v>
      </c>
      <c r="H428" s="14" t="s">
        <v>357</v>
      </c>
      <c r="I428" s="14" t="s">
        <v>53</v>
      </c>
      <c r="J428" s="14" t="s">
        <v>401</v>
      </c>
      <c r="K428" s="14" t="s">
        <v>349</v>
      </c>
      <c r="L428" s="14" t="s">
        <v>341</v>
      </c>
      <c r="M428" s="16" t="s">
        <v>5789</v>
      </c>
      <c r="N428" s="14" t="s">
        <v>359</v>
      </c>
      <c r="O428" s="14" t="s">
        <v>966</v>
      </c>
      <c r="P428" s="14">
        <v>50</v>
      </c>
      <c r="Q428" s="14">
        <v>2</v>
      </c>
      <c r="R428" s="14">
        <v>6200</v>
      </c>
      <c r="S428" s="14" t="s">
        <v>5795</v>
      </c>
      <c r="T428" s="14" t="s">
        <v>5796</v>
      </c>
      <c r="U428" s="14">
        <v>2.95722222222222</v>
      </c>
      <c r="V428" s="14">
        <v>3.15</v>
      </c>
      <c r="W428" s="14">
        <v>2130</v>
      </c>
      <c r="X428" s="14">
        <v>50</v>
      </c>
      <c r="Y428" s="14">
        <v>2080</v>
      </c>
      <c r="Z428" s="14">
        <v>1037</v>
      </c>
      <c r="AA428" s="14">
        <v>557</v>
      </c>
      <c r="AB428" s="14">
        <v>276</v>
      </c>
      <c r="AC428" s="14">
        <v>100</v>
      </c>
      <c r="AD428" s="14">
        <v>104</v>
      </c>
      <c r="AE428" s="14">
        <v>3167</v>
      </c>
      <c r="AF428" s="14">
        <v>5000</v>
      </c>
      <c r="AG428" s="14">
        <v>6730</v>
      </c>
      <c r="AH428" s="14">
        <v>0</v>
      </c>
      <c r="AI428" s="14">
        <v>177</v>
      </c>
      <c r="AJ428" s="14">
        <v>268</v>
      </c>
      <c r="AK428" s="14" t="s">
        <v>5794</v>
      </c>
      <c r="AL428" s="14" t="s">
        <v>5797</v>
      </c>
      <c r="AM428" s="14">
        <v>662.64</v>
      </c>
      <c r="AN428" s="14">
        <v>624.6</v>
      </c>
      <c r="AO428" s="14">
        <v>176.85</v>
      </c>
      <c r="AP428" s="14">
        <v>22592</v>
      </c>
      <c r="AQ428" s="14">
        <v>22542</v>
      </c>
      <c r="AR428" s="14">
        <v>23000</v>
      </c>
      <c r="AS428" s="14">
        <v>19425</v>
      </c>
      <c r="AT428" s="14">
        <v>20462</v>
      </c>
      <c r="AU428" s="14">
        <v>-37</v>
      </c>
      <c r="AV428" s="14">
        <v>319.85000000000002</v>
      </c>
      <c r="AW428" s="14">
        <v>40.08</v>
      </c>
      <c r="AX428" s="14">
        <v>0.62</v>
      </c>
      <c r="AY428" s="14" t="b">
        <v>0</v>
      </c>
    </row>
    <row r="429" spans="1:51" hidden="1" x14ac:dyDescent="0.3">
      <c r="A429" t="str">
        <f>CONCATENATE(I429,E429,LEFT(G429,10))</f>
        <v>HFA701LLHA2026-01-15</v>
      </c>
      <c r="B429" s="14" t="s">
        <v>6209</v>
      </c>
      <c r="C429" s="14" t="s">
        <v>336</v>
      </c>
      <c r="D429" s="14" t="s">
        <v>337</v>
      </c>
      <c r="E429" s="14" t="s">
        <v>43</v>
      </c>
      <c r="F429" s="14" t="s">
        <v>48</v>
      </c>
      <c r="G429" s="14" t="s">
        <v>6210</v>
      </c>
      <c r="H429" s="14" t="s">
        <v>357</v>
      </c>
      <c r="I429" s="14" t="s">
        <v>53</v>
      </c>
      <c r="J429" s="14" t="s">
        <v>401</v>
      </c>
      <c r="K429" s="14" t="s">
        <v>349</v>
      </c>
      <c r="L429" s="14" t="s">
        <v>341</v>
      </c>
      <c r="M429" s="16" t="s">
        <v>6198</v>
      </c>
      <c r="N429" s="14" t="s">
        <v>359</v>
      </c>
      <c r="O429" s="14" t="s">
        <v>6211</v>
      </c>
      <c r="P429" s="14">
        <v>50</v>
      </c>
      <c r="Q429" s="14">
        <v>2</v>
      </c>
      <c r="R429" s="14">
        <v>6300</v>
      </c>
      <c r="S429" s="14" t="s">
        <v>6212</v>
      </c>
      <c r="T429" s="14" t="s">
        <v>6213</v>
      </c>
      <c r="U429" s="14">
        <v>2.8469444444444401</v>
      </c>
      <c r="V429" s="14">
        <v>2.9261111111111102</v>
      </c>
      <c r="W429" s="14">
        <v>1954</v>
      </c>
      <c r="X429" s="14">
        <v>50</v>
      </c>
      <c r="Y429" s="14">
        <v>1904</v>
      </c>
      <c r="Z429" s="14">
        <v>1056</v>
      </c>
      <c r="AA429" s="14">
        <v>584</v>
      </c>
      <c r="AB429" s="14">
        <v>278</v>
      </c>
      <c r="AC429" s="14">
        <v>100</v>
      </c>
      <c r="AD429" s="14">
        <v>95</v>
      </c>
      <c r="AE429" s="14">
        <v>3010</v>
      </c>
      <c r="AF429" s="14">
        <v>5000</v>
      </c>
      <c r="AG429" s="14">
        <v>6175</v>
      </c>
      <c r="AH429" s="14">
        <v>0</v>
      </c>
      <c r="AI429" s="14">
        <v>170</v>
      </c>
      <c r="AJ429" s="14">
        <v>263</v>
      </c>
      <c r="AK429" s="14" t="s">
        <v>6210</v>
      </c>
      <c r="AL429" s="14" t="s">
        <v>6214</v>
      </c>
      <c r="AM429" s="14">
        <v>651.22</v>
      </c>
      <c r="AN429" s="14">
        <v>624.6</v>
      </c>
      <c r="AO429" s="14">
        <v>176.85</v>
      </c>
      <c r="AP429" s="14">
        <v>22535</v>
      </c>
      <c r="AQ429" s="14">
        <v>22485</v>
      </c>
      <c r="AR429" s="14">
        <v>23000</v>
      </c>
      <c r="AS429" s="14">
        <v>19525</v>
      </c>
      <c r="AT429" s="14">
        <v>20581</v>
      </c>
      <c r="AU429" s="14">
        <v>-29</v>
      </c>
      <c r="AV429" s="14">
        <v>306.82</v>
      </c>
      <c r="AW429" s="14">
        <v>29.44</v>
      </c>
      <c r="AX429" s="14">
        <v>2.63</v>
      </c>
      <c r="AY429" s="14" t="b">
        <v>0</v>
      </c>
    </row>
    <row r="430" spans="1:51" hidden="1" x14ac:dyDescent="0.3">
      <c r="A430" t="str">
        <f>CONCATENATE(I430,E430,LEFT(G430,10))</f>
        <v>HFA701LLHA2026-01-16</v>
      </c>
      <c r="B430" s="14" t="s">
        <v>5070</v>
      </c>
      <c r="C430" s="14" t="s">
        <v>336</v>
      </c>
      <c r="D430" s="14" t="s">
        <v>337</v>
      </c>
      <c r="E430" s="14" t="s">
        <v>43</v>
      </c>
      <c r="F430" s="14" t="s">
        <v>48</v>
      </c>
      <c r="G430" s="14" t="s">
        <v>5071</v>
      </c>
      <c r="H430" s="14" t="s">
        <v>436</v>
      </c>
      <c r="I430" s="14" t="s">
        <v>53</v>
      </c>
      <c r="J430" s="14" t="s">
        <v>401</v>
      </c>
      <c r="K430" s="14" t="s">
        <v>349</v>
      </c>
      <c r="L430" s="14" t="s">
        <v>341</v>
      </c>
      <c r="M430" s="16" t="s">
        <v>5072</v>
      </c>
      <c r="N430" s="14" t="s">
        <v>359</v>
      </c>
      <c r="O430" s="14" t="s">
        <v>966</v>
      </c>
      <c r="P430" s="14">
        <v>50</v>
      </c>
      <c r="Q430" s="14">
        <v>2</v>
      </c>
      <c r="R430" s="14">
        <v>5450</v>
      </c>
      <c r="S430" s="14" t="s">
        <v>5073</v>
      </c>
      <c r="T430" s="14" t="s">
        <v>5074</v>
      </c>
      <c r="U430" s="14">
        <v>2.7336111111111099</v>
      </c>
      <c r="V430" s="14">
        <v>2.97305555555555</v>
      </c>
      <c r="W430" s="14">
        <v>1988</v>
      </c>
      <c r="X430" s="14">
        <v>50</v>
      </c>
      <c r="Y430" s="14">
        <v>1938</v>
      </c>
      <c r="Z430" s="14">
        <v>1044</v>
      </c>
      <c r="AA430" s="14">
        <v>578</v>
      </c>
      <c r="AB430" s="14">
        <v>269</v>
      </c>
      <c r="AC430" s="14">
        <v>100</v>
      </c>
      <c r="AD430" s="14">
        <v>97</v>
      </c>
      <c r="AE430" s="14">
        <v>3032</v>
      </c>
      <c r="AF430" s="14">
        <v>5000</v>
      </c>
      <c r="AG430" s="14">
        <v>6281</v>
      </c>
      <c r="AH430" s="14">
        <v>0</v>
      </c>
      <c r="AI430" s="14">
        <v>164</v>
      </c>
      <c r="AJ430" s="14">
        <v>256</v>
      </c>
      <c r="AK430" s="14" t="s">
        <v>5071</v>
      </c>
      <c r="AL430" s="14" t="s">
        <v>5075</v>
      </c>
      <c r="AM430" s="14">
        <v>662.64</v>
      </c>
      <c r="AN430" s="14">
        <v>624.6</v>
      </c>
      <c r="AO430" s="14">
        <v>176.85</v>
      </c>
      <c r="AP430" s="14">
        <v>21687</v>
      </c>
      <c r="AQ430" s="14">
        <v>21637</v>
      </c>
      <c r="AR430" s="14">
        <v>23000</v>
      </c>
      <c r="AS430" s="14">
        <v>18655</v>
      </c>
      <c r="AT430" s="14">
        <v>19699</v>
      </c>
      <c r="AU430" s="14">
        <v>-19</v>
      </c>
      <c r="AV430" s="14">
        <v>286.22000000000003</v>
      </c>
      <c r="AW430" s="14">
        <v>21.15</v>
      </c>
      <c r="AX430" s="14">
        <v>2.2799999999999998</v>
      </c>
      <c r="AY430" s="14" t="b">
        <v>0</v>
      </c>
    </row>
    <row r="431" spans="1:51" hidden="1" x14ac:dyDescent="0.3">
      <c r="A431" t="str">
        <f>CONCATENATE(I431,E431,LEFT(G431,10))</f>
        <v>HFA701LLHA2026-01-18</v>
      </c>
      <c r="B431" s="14" t="s">
        <v>5612</v>
      </c>
      <c r="C431" s="14" t="s">
        <v>336</v>
      </c>
      <c r="D431" s="14" t="s">
        <v>337</v>
      </c>
      <c r="E431" s="14" t="s">
        <v>43</v>
      </c>
      <c r="F431" s="14" t="s">
        <v>48</v>
      </c>
      <c r="G431" s="14" t="s">
        <v>5613</v>
      </c>
      <c r="H431" s="14" t="s">
        <v>436</v>
      </c>
      <c r="I431" s="14" t="s">
        <v>53</v>
      </c>
      <c r="J431" s="14" t="s">
        <v>401</v>
      </c>
      <c r="K431" s="14" t="s">
        <v>349</v>
      </c>
      <c r="L431" s="14" t="s">
        <v>341</v>
      </c>
      <c r="M431" s="16" t="s">
        <v>5614</v>
      </c>
      <c r="N431" s="14" t="s">
        <v>359</v>
      </c>
      <c r="O431" s="14" t="s">
        <v>5615</v>
      </c>
      <c r="P431" s="14">
        <v>50</v>
      </c>
      <c r="Q431" s="14">
        <v>2</v>
      </c>
      <c r="R431" s="14">
        <v>2600</v>
      </c>
      <c r="S431" s="14" t="s">
        <v>5616</v>
      </c>
      <c r="T431" s="14" t="s">
        <v>5617</v>
      </c>
      <c r="U431" s="14">
        <v>2.89472222222222</v>
      </c>
      <c r="V431" s="14">
        <v>3.0530555555555501</v>
      </c>
      <c r="W431" s="14">
        <v>2096</v>
      </c>
      <c r="X431" s="14">
        <v>50</v>
      </c>
      <c r="Y431" s="14">
        <v>2046</v>
      </c>
      <c r="Z431" s="14">
        <v>992</v>
      </c>
      <c r="AA431" s="14">
        <v>544</v>
      </c>
      <c r="AB431" s="14">
        <v>245</v>
      </c>
      <c r="AC431" s="14">
        <v>100</v>
      </c>
      <c r="AD431" s="14">
        <v>102</v>
      </c>
      <c r="AE431" s="14">
        <v>3088</v>
      </c>
      <c r="AF431" s="14">
        <v>5000</v>
      </c>
      <c r="AG431" s="14">
        <v>6623</v>
      </c>
      <c r="AH431" s="14">
        <v>0</v>
      </c>
      <c r="AI431" s="14">
        <v>168</v>
      </c>
      <c r="AJ431" s="14">
        <v>259</v>
      </c>
      <c r="AK431" s="14" t="s">
        <v>5613</v>
      </c>
      <c r="AL431" s="14" t="s">
        <v>5618</v>
      </c>
      <c r="AM431" s="14">
        <v>662.64</v>
      </c>
      <c r="AN431" s="14">
        <v>624.6</v>
      </c>
      <c r="AO431" s="14">
        <v>176.85</v>
      </c>
      <c r="AP431" s="14">
        <v>18893</v>
      </c>
      <c r="AQ431" s="14">
        <v>18843</v>
      </c>
      <c r="AR431" s="14">
        <v>23000</v>
      </c>
      <c r="AS431" s="14">
        <v>15805</v>
      </c>
      <c r="AT431" s="14">
        <v>16797</v>
      </c>
      <c r="AU431" s="14">
        <v>-32</v>
      </c>
      <c r="AV431" s="14">
        <v>302.7</v>
      </c>
      <c r="AW431" s="14">
        <v>33.4</v>
      </c>
      <c r="AX431" s="14">
        <v>-2.73</v>
      </c>
      <c r="AY431" s="14" t="b">
        <v>0</v>
      </c>
    </row>
    <row r="432" spans="1:51" hidden="1" x14ac:dyDescent="0.3">
      <c r="A432" t="str">
        <f>CONCATENATE(I432,E432,LEFT(G432,10))</f>
        <v>HFA701LLHA2026-01-19</v>
      </c>
      <c r="B432" s="14" t="s">
        <v>5993</v>
      </c>
      <c r="C432" s="14" t="s">
        <v>336</v>
      </c>
      <c r="D432" s="14" t="s">
        <v>337</v>
      </c>
      <c r="E432" s="14" t="s">
        <v>43</v>
      </c>
      <c r="F432" s="14" t="s">
        <v>48</v>
      </c>
      <c r="G432" s="14" t="s">
        <v>5994</v>
      </c>
      <c r="H432" s="14" t="s">
        <v>393</v>
      </c>
      <c r="I432" s="14" t="s">
        <v>53</v>
      </c>
      <c r="J432" s="14" t="s">
        <v>666</v>
      </c>
      <c r="K432" s="14" t="s">
        <v>349</v>
      </c>
      <c r="L432" s="14" t="s">
        <v>341</v>
      </c>
      <c r="M432" s="16" t="s">
        <v>5995</v>
      </c>
      <c r="N432" s="14"/>
      <c r="O432" s="14" t="s">
        <v>1973</v>
      </c>
      <c r="P432" s="14">
        <v>50</v>
      </c>
      <c r="Q432" s="14">
        <v>2</v>
      </c>
      <c r="R432" s="14">
        <v>2600</v>
      </c>
      <c r="S432" s="14" t="s">
        <v>5996</v>
      </c>
      <c r="T432" s="14" t="s">
        <v>5997</v>
      </c>
      <c r="U432" s="14">
        <v>2.8344444444444399</v>
      </c>
      <c r="V432" s="14">
        <v>3.0936111111111102</v>
      </c>
      <c r="W432" s="14">
        <v>2436</v>
      </c>
      <c r="X432" s="14">
        <v>50</v>
      </c>
      <c r="Y432" s="14">
        <v>2386</v>
      </c>
      <c r="Z432" s="14">
        <v>1149</v>
      </c>
      <c r="AA432" s="14">
        <v>682</v>
      </c>
      <c r="AB432" s="14">
        <v>247</v>
      </c>
      <c r="AC432" s="14">
        <v>100</v>
      </c>
      <c r="AD432" s="14">
        <v>119</v>
      </c>
      <c r="AE432" s="14">
        <v>3585</v>
      </c>
      <c r="AF432" s="14">
        <v>5000</v>
      </c>
      <c r="AG432" s="14">
        <v>7699</v>
      </c>
      <c r="AH432" s="14">
        <v>0</v>
      </c>
      <c r="AI432" s="14">
        <v>168</v>
      </c>
      <c r="AJ432" s="14">
        <v>265</v>
      </c>
      <c r="AK432" s="14" t="s">
        <v>5994</v>
      </c>
      <c r="AL432" s="14" t="s">
        <v>5998</v>
      </c>
      <c r="AM432" s="14">
        <v>662.64</v>
      </c>
      <c r="AN432" s="14">
        <v>624.6</v>
      </c>
      <c r="AO432" s="14">
        <v>180.16</v>
      </c>
      <c r="AP432" s="14">
        <v>19496</v>
      </c>
      <c r="AQ432" s="14">
        <v>19446</v>
      </c>
      <c r="AR432" s="14">
        <v>23000</v>
      </c>
      <c r="AS432" s="14">
        <v>15911</v>
      </c>
      <c r="AT432" s="14">
        <v>17060</v>
      </c>
      <c r="AU432" s="14">
        <v>-32</v>
      </c>
      <c r="AV432" s="14">
        <v>305.11</v>
      </c>
      <c r="AW432" s="14">
        <v>31.37</v>
      </c>
      <c r="AX432" s="14">
        <v>-1.92</v>
      </c>
      <c r="AY432" s="14" t="b">
        <v>0</v>
      </c>
    </row>
    <row r="433" spans="1:51" hidden="1" x14ac:dyDescent="0.3">
      <c r="A433" t="str">
        <f>CONCATENATE(I433,E433,LEFT(G433,10))</f>
        <v>HFA701LLHA2026-01-21</v>
      </c>
      <c r="B433" s="14" t="s">
        <v>1596</v>
      </c>
      <c r="C433" s="14" t="s">
        <v>336</v>
      </c>
      <c r="D433" s="14" t="s">
        <v>337</v>
      </c>
      <c r="E433" s="14" t="s">
        <v>43</v>
      </c>
      <c r="F433" s="14" t="s">
        <v>48</v>
      </c>
      <c r="G433" s="14" t="s">
        <v>1597</v>
      </c>
      <c r="H433" s="14" t="s">
        <v>436</v>
      </c>
      <c r="I433" s="14" t="s">
        <v>53</v>
      </c>
      <c r="J433" s="14" t="s">
        <v>666</v>
      </c>
      <c r="K433" s="14" t="s">
        <v>349</v>
      </c>
      <c r="L433" s="14" t="s">
        <v>341</v>
      </c>
      <c r="M433" s="16" t="s">
        <v>1598</v>
      </c>
      <c r="N433" s="14" t="s">
        <v>359</v>
      </c>
      <c r="O433" s="14" t="s">
        <v>1599</v>
      </c>
      <c r="P433" s="14">
        <v>50</v>
      </c>
      <c r="Q433" s="14">
        <v>2</v>
      </c>
      <c r="R433" s="14">
        <v>4600</v>
      </c>
      <c r="S433" s="14" t="s">
        <v>1600</v>
      </c>
      <c r="T433" s="14" t="s">
        <v>1601</v>
      </c>
      <c r="U433" s="14">
        <v>2.60111111111111</v>
      </c>
      <c r="V433" s="14">
        <v>2.8025000000000002</v>
      </c>
      <c r="W433" s="14">
        <v>2104</v>
      </c>
      <c r="X433" s="14">
        <v>50</v>
      </c>
      <c r="Y433" s="14">
        <v>2054</v>
      </c>
      <c r="Z433" s="14">
        <v>1596</v>
      </c>
      <c r="AA433" s="14">
        <v>924</v>
      </c>
      <c r="AB433" s="14">
        <v>267</v>
      </c>
      <c r="AC433" s="14">
        <v>303</v>
      </c>
      <c r="AD433" s="14">
        <v>103</v>
      </c>
      <c r="AE433" s="14">
        <v>3700</v>
      </c>
      <c r="AF433" s="14">
        <v>5000</v>
      </c>
      <c r="AG433" s="14">
        <v>6649</v>
      </c>
      <c r="AH433" s="14">
        <v>0</v>
      </c>
      <c r="AI433" s="14">
        <v>161</v>
      </c>
      <c r="AJ433" s="14">
        <v>299</v>
      </c>
      <c r="AK433" s="14" t="s">
        <v>1597</v>
      </c>
      <c r="AL433" s="14" t="s">
        <v>1602</v>
      </c>
      <c r="AM433" s="14">
        <v>662.64</v>
      </c>
      <c r="AN433" s="14">
        <v>624.6</v>
      </c>
      <c r="AO433" s="14">
        <v>323.89</v>
      </c>
      <c r="AP433" s="14">
        <v>21505</v>
      </c>
      <c r="AQ433" s="14">
        <v>21455</v>
      </c>
      <c r="AR433" s="14">
        <v>23000</v>
      </c>
      <c r="AS433" s="14">
        <v>17805</v>
      </c>
      <c r="AT433" s="14">
        <v>19401</v>
      </c>
      <c r="AU433" s="14">
        <v>-16</v>
      </c>
      <c r="AV433" s="14">
        <v>230.34</v>
      </c>
      <c r="AW433" s="14">
        <v>23.38</v>
      </c>
      <c r="AX433" s="14">
        <v>2.0099999999999998</v>
      </c>
      <c r="AY433" s="14" t="b">
        <v>0</v>
      </c>
    </row>
    <row r="434" spans="1:51" hidden="1" x14ac:dyDescent="0.3">
      <c r="A434" t="str">
        <f>CONCATENATE(I434,E434,LEFT(G434,10))</f>
        <v>HFA701LLHA2026-01-22</v>
      </c>
      <c r="B434" s="14" t="s">
        <v>2149</v>
      </c>
      <c r="C434" s="14" t="s">
        <v>336</v>
      </c>
      <c r="D434" s="14" t="s">
        <v>337</v>
      </c>
      <c r="E434" s="14" t="s">
        <v>43</v>
      </c>
      <c r="F434" s="14" t="s">
        <v>48</v>
      </c>
      <c r="G434" s="14" t="s">
        <v>2150</v>
      </c>
      <c r="H434" s="14" t="s">
        <v>357</v>
      </c>
      <c r="I434" s="14" t="s">
        <v>53</v>
      </c>
      <c r="J434" s="14" t="s">
        <v>666</v>
      </c>
      <c r="K434" s="14" t="s">
        <v>349</v>
      </c>
      <c r="L434" s="14" t="s">
        <v>341</v>
      </c>
      <c r="M434" s="16" t="s">
        <v>2151</v>
      </c>
      <c r="N434" s="14" t="s">
        <v>359</v>
      </c>
      <c r="O434" s="14" t="s">
        <v>966</v>
      </c>
      <c r="P434" s="14">
        <v>50</v>
      </c>
      <c r="Q434" s="14">
        <v>2</v>
      </c>
      <c r="R434" s="14">
        <v>6500</v>
      </c>
      <c r="S434" s="14" t="s">
        <v>2152</v>
      </c>
      <c r="T434" s="14" t="s">
        <v>2153</v>
      </c>
      <c r="U434" s="14">
        <v>2.7802777777777701</v>
      </c>
      <c r="V434" s="14">
        <v>2.9455555555555502</v>
      </c>
      <c r="W434" s="14">
        <v>1962</v>
      </c>
      <c r="X434" s="14">
        <v>50</v>
      </c>
      <c r="Y434" s="14">
        <v>1912</v>
      </c>
      <c r="Z434" s="14">
        <v>1238</v>
      </c>
      <c r="AA434" s="14">
        <v>611</v>
      </c>
      <c r="AB434" s="14">
        <v>281</v>
      </c>
      <c r="AC434" s="14">
        <v>251</v>
      </c>
      <c r="AD434" s="14">
        <v>96</v>
      </c>
      <c r="AE434" s="14">
        <v>3200</v>
      </c>
      <c r="AF434" s="14">
        <v>5000</v>
      </c>
      <c r="AG434" s="14">
        <v>6199</v>
      </c>
      <c r="AH434" s="14">
        <v>0</v>
      </c>
      <c r="AI434" s="14">
        <v>165</v>
      </c>
      <c r="AJ434" s="14">
        <v>271</v>
      </c>
      <c r="AK434" s="14" t="s">
        <v>2150</v>
      </c>
      <c r="AL434" s="14" t="s">
        <v>2154</v>
      </c>
      <c r="AM434" s="14">
        <v>662.64</v>
      </c>
      <c r="AN434" s="14">
        <v>624.6</v>
      </c>
      <c r="AO434" s="14">
        <v>182.07</v>
      </c>
      <c r="AP434" s="14">
        <v>22925</v>
      </c>
      <c r="AQ434" s="14">
        <v>22875</v>
      </c>
      <c r="AR434" s="14">
        <v>23000</v>
      </c>
      <c r="AS434" s="14">
        <v>19725</v>
      </c>
      <c r="AT434" s="14">
        <v>20963</v>
      </c>
      <c r="AU434" s="14">
        <v>-18</v>
      </c>
      <c r="AV434" s="14">
        <v>232.68</v>
      </c>
      <c r="AW434" s="14">
        <v>41.15</v>
      </c>
      <c r="AX434" s="14">
        <v>1.65</v>
      </c>
      <c r="AY434" s="14" t="b">
        <v>0</v>
      </c>
    </row>
    <row r="435" spans="1:51" hidden="1" x14ac:dyDescent="0.3">
      <c r="A435" t="str">
        <f>CONCATENATE(I435,E435,LEFT(G435,10))</f>
        <v>HFA701LLHA2026-01-23</v>
      </c>
      <c r="B435" s="15" t="s">
        <v>5136</v>
      </c>
      <c r="C435" s="14" t="s">
        <v>336</v>
      </c>
      <c r="D435" s="14" t="s">
        <v>337</v>
      </c>
      <c r="E435" s="14" t="s">
        <v>43</v>
      </c>
      <c r="F435" s="14" t="s">
        <v>48</v>
      </c>
      <c r="G435" s="14" t="s">
        <v>5137</v>
      </c>
      <c r="H435" s="14" t="s">
        <v>436</v>
      </c>
      <c r="I435" s="14" t="s">
        <v>53</v>
      </c>
      <c r="J435" s="14" t="s">
        <v>666</v>
      </c>
      <c r="K435" s="14" t="s">
        <v>349</v>
      </c>
      <c r="L435" s="14" t="s">
        <v>341</v>
      </c>
      <c r="M435" s="16" t="s">
        <v>5138</v>
      </c>
      <c r="N435" s="14" t="s">
        <v>359</v>
      </c>
      <c r="O435" s="14" t="s">
        <v>5139</v>
      </c>
      <c r="P435" s="14">
        <v>50</v>
      </c>
      <c r="Q435" s="14">
        <v>2</v>
      </c>
      <c r="R435" s="14">
        <v>3600</v>
      </c>
      <c r="S435" s="14" t="s">
        <v>5140</v>
      </c>
      <c r="T435" s="14" t="s">
        <v>5141</v>
      </c>
      <c r="U435" s="14">
        <v>2.7913888888888798</v>
      </c>
      <c r="V435" s="14">
        <v>2.9808333333333299</v>
      </c>
      <c r="W435" s="14">
        <v>1985</v>
      </c>
      <c r="X435" s="14">
        <v>50</v>
      </c>
      <c r="Y435" s="14">
        <v>1935</v>
      </c>
      <c r="Z435" s="14">
        <v>1063</v>
      </c>
      <c r="AA435" s="14">
        <v>613</v>
      </c>
      <c r="AB435" s="14">
        <v>254</v>
      </c>
      <c r="AC435" s="14">
        <v>100</v>
      </c>
      <c r="AD435" s="14">
        <v>97</v>
      </c>
      <c r="AE435" s="14">
        <v>3048</v>
      </c>
      <c r="AF435" s="14">
        <v>5000</v>
      </c>
      <c r="AG435" s="14">
        <v>6271</v>
      </c>
      <c r="AH435" s="14">
        <v>0</v>
      </c>
      <c r="AI435" s="14">
        <v>162</v>
      </c>
      <c r="AJ435" s="14">
        <v>256</v>
      </c>
      <c r="AK435" s="14" t="s">
        <v>5137</v>
      </c>
      <c r="AL435" s="14" t="s">
        <v>5142</v>
      </c>
      <c r="AM435" s="14">
        <v>662.64</v>
      </c>
      <c r="AN435" s="14">
        <v>624.6</v>
      </c>
      <c r="AO435" s="14">
        <v>180.49</v>
      </c>
      <c r="AP435" s="14">
        <v>19853</v>
      </c>
      <c r="AQ435" s="14">
        <v>19803</v>
      </c>
      <c r="AR435" s="14">
        <v>23000</v>
      </c>
      <c r="AS435" s="14">
        <v>16805</v>
      </c>
      <c r="AT435" s="14">
        <v>17868</v>
      </c>
      <c r="AU435" s="14">
        <v>-21</v>
      </c>
      <c r="AV435" s="14">
        <v>253.66</v>
      </c>
      <c r="AW435" s="14">
        <v>27.94</v>
      </c>
      <c r="AX435" s="14">
        <v>0.53</v>
      </c>
      <c r="AY435" s="14" t="b">
        <v>0</v>
      </c>
    </row>
    <row r="436" spans="1:51" hidden="1" x14ac:dyDescent="0.3">
      <c r="A436" t="str">
        <f>CONCATENATE(I436,E436,LEFT(G436,10))</f>
        <v>HFA701LLHA2026-01-25</v>
      </c>
      <c r="B436" s="14" t="s">
        <v>5257</v>
      </c>
      <c r="C436" s="14" t="s">
        <v>336</v>
      </c>
      <c r="D436" s="14" t="s">
        <v>337</v>
      </c>
      <c r="E436" s="14" t="s">
        <v>43</v>
      </c>
      <c r="F436" s="14" t="s">
        <v>48</v>
      </c>
      <c r="G436" s="14" t="s">
        <v>5258</v>
      </c>
      <c r="H436" s="14" t="s">
        <v>357</v>
      </c>
      <c r="I436" s="14" t="s">
        <v>53</v>
      </c>
      <c r="J436" s="14" t="s">
        <v>751</v>
      </c>
      <c r="K436" s="14" t="s">
        <v>349</v>
      </c>
      <c r="L436" s="14" t="s">
        <v>341</v>
      </c>
      <c r="M436" s="16" t="s">
        <v>5259</v>
      </c>
      <c r="N436" s="14" t="s">
        <v>359</v>
      </c>
      <c r="O436" s="14" t="s">
        <v>5260</v>
      </c>
      <c r="P436" s="14">
        <v>50</v>
      </c>
      <c r="Q436" s="14">
        <v>2</v>
      </c>
      <c r="R436" s="14">
        <v>2900</v>
      </c>
      <c r="S436" s="14" t="s">
        <v>5261</v>
      </c>
      <c r="T436" s="14" t="s">
        <v>5262</v>
      </c>
      <c r="U436" s="14">
        <v>2.6197222222222201</v>
      </c>
      <c r="V436" s="14">
        <v>2.8413888888888801</v>
      </c>
      <c r="W436" s="14">
        <v>1935</v>
      </c>
      <c r="X436" s="14">
        <v>50</v>
      </c>
      <c r="Y436" s="14">
        <v>1885</v>
      </c>
      <c r="Z436" s="14">
        <v>919</v>
      </c>
      <c r="AA436" s="14">
        <v>378</v>
      </c>
      <c r="AB436" s="14">
        <v>247</v>
      </c>
      <c r="AC436" s="14">
        <v>200</v>
      </c>
      <c r="AD436" s="14">
        <v>94</v>
      </c>
      <c r="AE436" s="14">
        <v>2854</v>
      </c>
      <c r="AF436" s="14">
        <v>5000</v>
      </c>
      <c r="AG436" s="14">
        <v>6113</v>
      </c>
      <c r="AH436" s="14">
        <v>0</v>
      </c>
      <c r="AI436" s="14">
        <v>160</v>
      </c>
      <c r="AJ436" s="14">
        <v>244</v>
      </c>
      <c r="AK436" s="14" t="s">
        <v>5258</v>
      </c>
      <c r="AL436" s="14" t="s">
        <v>5263</v>
      </c>
      <c r="AM436" s="14">
        <v>657.4</v>
      </c>
      <c r="AN436" s="14">
        <v>624.6</v>
      </c>
      <c r="AO436" s="14">
        <v>103.63</v>
      </c>
      <c r="AP436" s="14">
        <v>18979</v>
      </c>
      <c r="AQ436" s="14">
        <v>18929</v>
      </c>
      <c r="AR436" s="14">
        <v>23000</v>
      </c>
      <c r="AS436" s="14">
        <v>16125</v>
      </c>
      <c r="AT436" s="14">
        <v>17044</v>
      </c>
      <c r="AU436" s="14">
        <v>-17</v>
      </c>
      <c r="AV436" s="14">
        <v>270.02</v>
      </c>
      <c r="AW436" s="14">
        <v>18.5</v>
      </c>
      <c r="AX436" s="14">
        <v>4.96</v>
      </c>
      <c r="AY436" s="14" t="b">
        <v>0</v>
      </c>
    </row>
    <row r="437" spans="1:51" hidden="1" x14ac:dyDescent="0.3">
      <c r="A437" t="str">
        <f>CONCATENATE(I437,E437,LEFT(G437,10))</f>
        <v>HFA701LLHA2026-01-28</v>
      </c>
      <c r="B437" s="14" t="s">
        <v>1343</v>
      </c>
      <c r="C437" s="14" t="s">
        <v>336</v>
      </c>
      <c r="D437" s="14" t="s">
        <v>337</v>
      </c>
      <c r="E437" s="14" t="s">
        <v>43</v>
      </c>
      <c r="F437" s="14" t="s">
        <v>48</v>
      </c>
      <c r="G437" s="14" t="s">
        <v>1344</v>
      </c>
      <c r="H437" s="14" t="s">
        <v>436</v>
      </c>
      <c r="I437" s="14" t="s">
        <v>53</v>
      </c>
      <c r="J437" s="14" t="s">
        <v>401</v>
      </c>
      <c r="K437" s="14" t="s">
        <v>349</v>
      </c>
      <c r="L437" s="14" t="s">
        <v>341</v>
      </c>
      <c r="M437" s="16" t="s">
        <v>1345</v>
      </c>
      <c r="N437" s="14" t="s">
        <v>359</v>
      </c>
      <c r="O437" s="14" t="s">
        <v>1346</v>
      </c>
      <c r="P437" s="14">
        <v>50</v>
      </c>
      <c r="Q437" s="14">
        <v>2</v>
      </c>
      <c r="R437" s="14">
        <v>6450</v>
      </c>
      <c r="S437" s="14" t="s">
        <v>1347</v>
      </c>
      <c r="T437" s="14" t="s">
        <v>1348</v>
      </c>
      <c r="U437" s="14">
        <v>2.80694444444444</v>
      </c>
      <c r="V437" s="14">
        <v>2.9805555555555499</v>
      </c>
      <c r="W437" s="14">
        <v>2022</v>
      </c>
      <c r="X437" s="14">
        <v>50</v>
      </c>
      <c r="Y437" s="14">
        <v>1972</v>
      </c>
      <c r="Z437" s="14">
        <v>1063</v>
      </c>
      <c r="AA437" s="14">
        <v>585</v>
      </c>
      <c r="AB437" s="14">
        <v>279</v>
      </c>
      <c r="AC437" s="14">
        <v>100</v>
      </c>
      <c r="AD437" s="14">
        <v>99</v>
      </c>
      <c r="AE437" s="14">
        <v>3085</v>
      </c>
      <c r="AF437" s="14">
        <v>5000</v>
      </c>
      <c r="AG437" s="14">
        <v>6389</v>
      </c>
      <c r="AH437" s="14">
        <v>0</v>
      </c>
      <c r="AI437" s="14">
        <v>165</v>
      </c>
      <c r="AJ437" s="14">
        <v>257</v>
      </c>
      <c r="AK437" s="14" t="s">
        <v>1344</v>
      </c>
      <c r="AL437" s="14" t="s">
        <v>1349</v>
      </c>
      <c r="AM437" s="14">
        <v>651.22</v>
      </c>
      <c r="AN437" s="14">
        <v>624.6</v>
      </c>
      <c r="AO437" s="14">
        <v>176.85</v>
      </c>
      <c r="AP437" s="14">
        <v>22740</v>
      </c>
      <c r="AQ437" s="14">
        <v>22690</v>
      </c>
      <c r="AR437" s="14">
        <v>23000</v>
      </c>
      <c r="AS437" s="14">
        <v>19655</v>
      </c>
      <c r="AT437" s="14">
        <v>20718</v>
      </c>
      <c r="AU437" s="14">
        <v>-24</v>
      </c>
      <c r="AV437" s="14">
        <v>295.5</v>
      </c>
      <c r="AW437" s="14">
        <v>25.21</v>
      </c>
      <c r="AX437" s="14">
        <v>0.38</v>
      </c>
      <c r="AY437" s="14" t="b">
        <v>0</v>
      </c>
    </row>
    <row r="438" spans="1:51" hidden="1" x14ac:dyDescent="0.3">
      <c r="A438" t="str">
        <f>CONCATENATE(I438,E438,LEFT(G438,10))</f>
        <v>HFA701LLHA2026-01-29</v>
      </c>
      <c r="B438" s="14" t="s">
        <v>6333</v>
      </c>
      <c r="C438" s="14" t="s">
        <v>336</v>
      </c>
      <c r="D438" s="14" t="s">
        <v>337</v>
      </c>
      <c r="E438" s="14" t="s">
        <v>43</v>
      </c>
      <c r="F438" s="14" t="s">
        <v>48</v>
      </c>
      <c r="G438" s="14" t="s">
        <v>6334</v>
      </c>
      <c r="H438" s="14" t="s">
        <v>357</v>
      </c>
      <c r="I438" s="14" t="s">
        <v>53</v>
      </c>
      <c r="J438" s="14" t="s">
        <v>401</v>
      </c>
      <c r="K438" s="14" t="s">
        <v>349</v>
      </c>
      <c r="L438" s="14" t="s">
        <v>341</v>
      </c>
      <c r="M438" s="16" t="s">
        <v>6335</v>
      </c>
      <c r="N438" s="14" t="s">
        <v>359</v>
      </c>
      <c r="O438" s="14" t="s">
        <v>4843</v>
      </c>
      <c r="P438" s="14">
        <v>50</v>
      </c>
      <c r="Q438" s="14">
        <v>2</v>
      </c>
      <c r="R438" s="14">
        <v>5200</v>
      </c>
      <c r="S438" s="14" t="s">
        <v>6336</v>
      </c>
      <c r="T438" s="14" t="s">
        <v>6337</v>
      </c>
      <c r="U438" s="14">
        <v>2.74416666666666</v>
      </c>
      <c r="V438" s="14">
        <v>2.9183333333333299</v>
      </c>
      <c r="W438" s="14">
        <v>2028</v>
      </c>
      <c r="X438" s="14">
        <v>50</v>
      </c>
      <c r="Y438" s="14">
        <v>1978</v>
      </c>
      <c r="Z438" s="14">
        <v>1186</v>
      </c>
      <c r="AA438" s="14">
        <v>619</v>
      </c>
      <c r="AB438" s="14">
        <v>269</v>
      </c>
      <c r="AC438" s="14">
        <v>200</v>
      </c>
      <c r="AD438" s="14">
        <v>99</v>
      </c>
      <c r="AE438" s="14">
        <v>3214</v>
      </c>
      <c r="AF438" s="14">
        <v>5000</v>
      </c>
      <c r="AG438" s="14">
        <v>6407</v>
      </c>
      <c r="AH438" s="14">
        <v>0</v>
      </c>
      <c r="AI438" s="14">
        <v>164</v>
      </c>
      <c r="AJ438" s="14">
        <v>268</v>
      </c>
      <c r="AK438" s="14" t="s">
        <v>6334</v>
      </c>
      <c r="AL438" s="14" t="s">
        <v>6338</v>
      </c>
      <c r="AM438" s="14">
        <v>651.22</v>
      </c>
      <c r="AN438" s="14">
        <v>624.6</v>
      </c>
      <c r="AO438" s="14">
        <v>176.85</v>
      </c>
      <c r="AP438" s="14">
        <v>21639</v>
      </c>
      <c r="AQ438" s="14">
        <v>21589</v>
      </c>
      <c r="AR438" s="14">
        <v>23000</v>
      </c>
      <c r="AS438" s="14">
        <v>18425</v>
      </c>
      <c r="AT438" s="14">
        <v>19611</v>
      </c>
      <c r="AU438" s="14">
        <v>-25</v>
      </c>
      <c r="AV438" s="14">
        <v>241.57</v>
      </c>
      <c r="AW438" s="14">
        <v>42.65</v>
      </c>
      <c r="AX438" s="14">
        <v>1.97</v>
      </c>
      <c r="AY438" s="14" t="b">
        <v>0</v>
      </c>
    </row>
    <row r="439" spans="1:51" hidden="1" x14ac:dyDescent="0.3">
      <c r="A439" t="str">
        <f>CONCATENATE(I439,E439,LEFT(G439,10))</f>
        <v>HFA701LLHA2026-01-30</v>
      </c>
      <c r="B439" s="14" t="s">
        <v>1197</v>
      </c>
      <c r="C439" s="14" t="s">
        <v>336</v>
      </c>
      <c r="D439" s="14" t="s">
        <v>337</v>
      </c>
      <c r="E439" s="14" t="s">
        <v>43</v>
      </c>
      <c r="F439" s="14" t="s">
        <v>48</v>
      </c>
      <c r="G439" s="14" t="s">
        <v>1198</v>
      </c>
      <c r="H439" s="14" t="s">
        <v>436</v>
      </c>
      <c r="I439" s="14" t="s">
        <v>53</v>
      </c>
      <c r="J439" s="14" t="s">
        <v>401</v>
      </c>
      <c r="K439" s="14" t="s">
        <v>349</v>
      </c>
      <c r="L439" s="14" t="s">
        <v>341</v>
      </c>
      <c r="M439" s="16" t="s">
        <v>1199</v>
      </c>
      <c r="N439" s="14" t="s">
        <v>359</v>
      </c>
      <c r="O439" s="14" t="s">
        <v>465</v>
      </c>
      <c r="P439" s="14">
        <v>50</v>
      </c>
      <c r="Q439" s="14">
        <v>2</v>
      </c>
      <c r="R439" s="14">
        <v>5200</v>
      </c>
      <c r="S439" s="14" t="s">
        <v>1200</v>
      </c>
      <c r="T439" s="14" t="s">
        <v>1201</v>
      </c>
      <c r="U439" s="14">
        <v>2.9211111111111099</v>
      </c>
      <c r="V439" s="14">
        <v>3.1041666666666599</v>
      </c>
      <c r="W439" s="14">
        <v>2186</v>
      </c>
      <c r="X439" s="14">
        <v>50</v>
      </c>
      <c r="Y439" s="14">
        <v>2136</v>
      </c>
      <c r="Z439" s="14">
        <v>1214</v>
      </c>
      <c r="AA439" s="14">
        <v>555</v>
      </c>
      <c r="AB439" s="14">
        <v>269</v>
      </c>
      <c r="AC439" s="14">
        <v>284</v>
      </c>
      <c r="AD439" s="14">
        <v>107</v>
      </c>
      <c r="AE439" s="14">
        <v>3400</v>
      </c>
      <c r="AF439" s="14">
        <v>5000</v>
      </c>
      <c r="AG439" s="14">
        <v>6908</v>
      </c>
      <c r="AH439" s="14">
        <v>0</v>
      </c>
      <c r="AI439" s="14">
        <v>166</v>
      </c>
      <c r="AJ439" s="14">
        <v>271</v>
      </c>
      <c r="AK439" s="14" t="s">
        <v>1198</v>
      </c>
      <c r="AL439" s="14" t="s">
        <v>1202</v>
      </c>
      <c r="AM439" s="14">
        <v>662.64</v>
      </c>
      <c r="AN439" s="14">
        <v>624.6</v>
      </c>
      <c r="AO439" s="14">
        <v>176.85</v>
      </c>
      <c r="AP439" s="14">
        <v>21805</v>
      </c>
      <c r="AQ439" s="14">
        <v>21755</v>
      </c>
      <c r="AR439" s="14">
        <v>23000</v>
      </c>
      <c r="AS439" s="14">
        <v>18405</v>
      </c>
      <c r="AT439" s="14">
        <v>19619</v>
      </c>
      <c r="AU439" s="14">
        <v>-26</v>
      </c>
      <c r="AV439" s="14">
        <v>263.86</v>
      </c>
      <c r="AW439" s="14">
        <v>31.78</v>
      </c>
      <c r="AX439" s="14">
        <v>1.86</v>
      </c>
      <c r="AY439" s="14" t="b">
        <v>0</v>
      </c>
    </row>
    <row r="440" spans="1:51" hidden="1" x14ac:dyDescent="0.3">
      <c r="A440" t="str">
        <f>CONCATENATE(I440,E440,LEFT(G440,10))</f>
        <v>HFA701LLHA2026-02-05</v>
      </c>
      <c r="B440" s="14" t="s">
        <v>4710</v>
      </c>
      <c r="C440" s="14" t="s">
        <v>336</v>
      </c>
      <c r="D440" s="14" t="s">
        <v>337</v>
      </c>
      <c r="E440" s="14" t="s">
        <v>43</v>
      </c>
      <c r="F440" s="14" t="s">
        <v>48</v>
      </c>
      <c r="G440" s="14" t="s">
        <v>4711</v>
      </c>
      <c r="H440" s="14" t="s">
        <v>436</v>
      </c>
      <c r="I440" s="14" t="s">
        <v>53</v>
      </c>
      <c r="J440" s="14" t="s">
        <v>401</v>
      </c>
      <c r="K440" s="14" t="s">
        <v>349</v>
      </c>
      <c r="L440" s="14" t="s">
        <v>341</v>
      </c>
      <c r="M440" s="16" t="s">
        <v>4712</v>
      </c>
      <c r="N440" s="14" t="s">
        <v>359</v>
      </c>
      <c r="O440" s="14" t="s">
        <v>4649</v>
      </c>
      <c r="P440" s="14">
        <v>140</v>
      </c>
      <c r="Q440" s="14">
        <v>2</v>
      </c>
      <c r="R440" s="14">
        <v>5700</v>
      </c>
      <c r="S440" s="14" t="s">
        <v>4713</v>
      </c>
      <c r="T440" s="14" t="s">
        <v>4714</v>
      </c>
      <c r="U440" s="14">
        <v>2.8091666666666599</v>
      </c>
      <c r="V440" s="14">
        <v>3.03527777777777</v>
      </c>
      <c r="W440" s="14">
        <v>1999</v>
      </c>
      <c r="X440" s="14">
        <v>50</v>
      </c>
      <c r="Y440" s="14">
        <v>1949</v>
      </c>
      <c r="Z440" s="14">
        <v>1201</v>
      </c>
      <c r="AA440" s="14">
        <v>619</v>
      </c>
      <c r="AB440" s="14">
        <v>273</v>
      </c>
      <c r="AC440" s="14">
        <v>212</v>
      </c>
      <c r="AD440" s="14">
        <v>97</v>
      </c>
      <c r="AE440" s="14">
        <v>3200</v>
      </c>
      <c r="AF440" s="14">
        <v>5000</v>
      </c>
      <c r="AG440" s="14">
        <v>6317</v>
      </c>
      <c r="AH440" s="14">
        <v>0</v>
      </c>
      <c r="AI440" s="14">
        <v>158</v>
      </c>
      <c r="AJ440" s="14">
        <v>262</v>
      </c>
      <c r="AK440" s="14" t="s">
        <v>4711</v>
      </c>
      <c r="AL440" s="14" t="s">
        <v>4715</v>
      </c>
      <c r="AM440" s="14">
        <v>665.63</v>
      </c>
      <c r="AN440" s="14">
        <v>624.6</v>
      </c>
      <c r="AO440" s="14">
        <v>176.85</v>
      </c>
      <c r="AP440" s="14">
        <v>22105</v>
      </c>
      <c r="AQ440" s="14">
        <v>22055</v>
      </c>
      <c r="AR440" s="14">
        <v>23000</v>
      </c>
      <c r="AS440" s="14">
        <v>18905</v>
      </c>
      <c r="AT440" s="14">
        <v>20106</v>
      </c>
      <c r="AU440" s="14">
        <v>-10</v>
      </c>
      <c r="AV440" s="14">
        <v>228.94</v>
      </c>
      <c r="AW440" s="14">
        <v>31.39</v>
      </c>
      <c r="AX440" s="14">
        <v>2.78</v>
      </c>
      <c r="AY440" s="14" t="b">
        <v>0</v>
      </c>
    </row>
    <row r="441" spans="1:51" hidden="1" x14ac:dyDescent="0.3">
      <c r="A441" t="str">
        <f>CONCATENATE(I441,E441,LEFT(G441,10))</f>
        <v>HFA701LLHA2026-02-06</v>
      </c>
      <c r="B441" s="14" t="s">
        <v>5476</v>
      </c>
      <c r="C441" s="14" t="s">
        <v>336</v>
      </c>
      <c r="D441" s="14" t="s">
        <v>337</v>
      </c>
      <c r="E441" s="14" t="s">
        <v>43</v>
      </c>
      <c r="F441" s="14" t="s">
        <v>48</v>
      </c>
      <c r="G441" s="14" t="s">
        <v>5477</v>
      </c>
      <c r="H441" s="14" t="s">
        <v>436</v>
      </c>
      <c r="I441" s="14" t="s">
        <v>53</v>
      </c>
      <c r="J441" s="14" t="s">
        <v>751</v>
      </c>
      <c r="K441" s="14" t="s">
        <v>349</v>
      </c>
      <c r="L441" s="14" t="s">
        <v>341</v>
      </c>
      <c r="M441" s="16" t="s">
        <v>5478</v>
      </c>
      <c r="N441" s="14" t="s">
        <v>359</v>
      </c>
      <c r="O441" s="14" t="s">
        <v>5479</v>
      </c>
      <c r="P441" s="14">
        <v>50</v>
      </c>
      <c r="Q441" s="14">
        <v>2</v>
      </c>
      <c r="R441" s="14">
        <v>3400</v>
      </c>
      <c r="S441" s="14" t="s">
        <v>5480</v>
      </c>
      <c r="T441" s="14" t="s">
        <v>5481</v>
      </c>
      <c r="U441" s="14">
        <v>2.7925</v>
      </c>
      <c r="V441" s="14">
        <v>3.0319444444444401</v>
      </c>
      <c r="W441" s="14">
        <v>2078</v>
      </c>
      <c r="X441" s="14">
        <v>50</v>
      </c>
      <c r="Y441" s="14">
        <v>2028</v>
      </c>
      <c r="Z441" s="14">
        <v>915</v>
      </c>
      <c r="AA441" s="14">
        <v>363</v>
      </c>
      <c r="AB441" s="14">
        <v>251</v>
      </c>
      <c r="AC441" s="14">
        <v>200</v>
      </c>
      <c r="AD441" s="14">
        <v>101</v>
      </c>
      <c r="AE441" s="14">
        <v>2994</v>
      </c>
      <c r="AF441" s="14">
        <v>5000</v>
      </c>
      <c r="AG441" s="14">
        <v>6568</v>
      </c>
      <c r="AH441" s="14">
        <v>0</v>
      </c>
      <c r="AI441" s="14">
        <v>163</v>
      </c>
      <c r="AJ441" s="14">
        <v>245</v>
      </c>
      <c r="AK441" s="14" t="s">
        <v>5477</v>
      </c>
      <c r="AL441" s="14" t="s">
        <v>5482</v>
      </c>
      <c r="AM441" s="14">
        <v>651.22</v>
      </c>
      <c r="AN441" s="14">
        <v>624.6</v>
      </c>
      <c r="AO441" s="14">
        <v>103.63</v>
      </c>
      <c r="AP441" s="14">
        <v>19599</v>
      </c>
      <c r="AQ441" s="14">
        <v>19549</v>
      </c>
      <c r="AR441" s="14">
        <v>23000</v>
      </c>
      <c r="AS441" s="14">
        <v>16605</v>
      </c>
      <c r="AT441" s="14">
        <v>17520</v>
      </c>
      <c r="AU441" s="14">
        <v>-26</v>
      </c>
      <c r="AV441" s="14">
        <v>270.81</v>
      </c>
      <c r="AW441" s="14">
        <v>31.87</v>
      </c>
      <c r="AX441" s="14">
        <v>3</v>
      </c>
      <c r="AY441" s="14" t="b">
        <v>0</v>
      </c>
    </row>
    <row r="442" spans="1:51" hidden="1" x14ac:dyDescent="0.3">
      <c r="A442" t="str">
        <f>CONCATENATE(I442,E442,LEFT(G442,10))</f>
        <v>HFA701LLHA2026-02-08</v>
      </c>
      <c r="B442" s="14" t="s">
        <v>462</v>
      </c>
      <c r="C442" s="14" t="s">
        <v>336</v>
      </c>
      <c r="D442" s="14" t="s">
        <v>337</v>
      </c>
      <c r="E442" s="14" t="s">
        <v>43</v>
      </c>
      <c r="F442" s="14" t="s">
        <v>48</v>
      </c>
      <c r="G442" s="14" t="s">
        <v>463</v>
      </c>
      <c r="H442" s="14" t="s">
        <v>436</v>
      </c>
      <c r="I442" s="14" t="s">
        <v>53</v>
      </c>
      <c r="J442" s="14" t="s">
        <v>401</v>
      </c>
      <c r="K442" s="14" t="s">
        <v>349</v>
      </c>
      <c r="L442" s="14" t="s">
        <v>341</v>
      </c>
      <c r="M442" s="16" t="s">
        <v>464</v>
      </c>
      <c r="N442" s="14" t="s">
        <v>359</v>
      </c>
      <c r="O442" s="14" t="s">
        <v>465</v>
      </c>
      <c r="P442" s="14">
        <v>50</v>
      </c>
      <c r="Q442" s="14">
        <v>2</v>
      </c>
      <c r="R442" s="14">
        <v>2100</v>
      </c>
      <c r="S442" s="14" t="s">
        <v>466</v>
      </c>
      <c r="T442" s="14" t="s">
        <v>467</v>
      </c>
      <c r="U442" s="14">
        <v>2.93722222222222</v>
      </c>
      <c r="V442" s="14">
        <v>3.06222222222222</v>
      </c>
      <c r="W442" s="14">
        <v>2223</v>
      </c>
      <c r="X442" s="14">
        <v>50</v>
      </c>
      <c r="Y442" s="14">
        <v>2173</v>
      </c>
      <c r="Z442" s="14">
        <v>1077</v>
      </c>
      <c r="AA442" s="14">
        <v>530</v>
      </c>
      <c r="AB442" s="14">
        <v>242</v>
      </c>
      <c r="AC442" s="14">
        <v>196</v>
      </c>
      <c r="AD442" s="14">
        <v>109</v>
      </c>
      <c r="AE442" s="14">
        <v>3300</v>
      </c>
      <c r="AF442" s="14">
        <v>5000</v>
      </c>
      <c r="AG442" s="14">
        <v>7025</v>
      </c>
      <c r="AH442" s="14">
        <v>0</v>
      </c>
      <c r="AI442" s="14">
        <v>172</v>
      </c>
      <c r="AJ442" s="14">
        <v>271</v>
      </c>
      <c r="AK442" s="14" t="s">
        <v>463</v>
      </c>
      <c r="AL442" s="14" t="s">
        <v>468</v>
      </c>
      <c r="AM442" s="14">
        <v>662.64</v>
      </c>
      <c r="AN442" s="14">
        <v>624.6</v>
      </c>
      <c r="AO442" s="14">
        <v>176.85</v>
      </c>
      <c r="AP442" s="14">
        <v>18605</v>
      </c>
      <c r="AQ442" s="14">
        <v>18555</v>
      </c>
      <c r="AR442" s="14">
        <v>23000</v>
      </c>
      <c r="AS442" s="14">
        <v>15305</v>
      </c>
      <c r="AT442" s="14">
        <v>16382</v>
      </c>
      <c r="AU442" s="14">
        <v>-35</v>
      </c>
      <c r="AV442" s="14">
        <v>268.01</v>
      </c>
      <c r="AW442" s="14">
        <v>41.65</v>
      </c>
      <c r="AX442" s="14">
        <v>3.79</v>
      </c>
      <c r="AY442" s="14" t="b">
        <v>0</v>
      </c>
    </row>
    <row r="443" spans="1:51" hidden="1" x14ac:dyDescent="0.3">
      <c r="A443" t="str">
        <f>CONCATENATE(I443,E443,LEFT(G443,10))</f>
        <v>HFA701LLHA2026-02-11</v>
      </c>
      <c r="B443" s="14" t="s">
        <v>2750</v>
      </c>
      <c r="C443" s="14" t="s">
        <v>336</v>
      </c>
      <c r="D443" s="14" t="s">
        <v>337</v>
      </c>
      <c r="E443" s="14" t="s">
        <v>43</v>
      </c>
      <c r="F443" s="14" t="s">
        <v>48</v>
      </c>
      <c r="G443" s="14" t="s">
        <v>2751</v>
      </c>
      <c r="H443" s="14" t="s">
        <v>393</v>
      </c>
      <c r="I443" s="14" t="s">
        <v>53</v>
      </c>
      <c r="J443" s="14" t="s">
        <v>401</v>
      </c>
      <c r="K443" s="14" t="s">
        <v>349</v>
      </c>
      <c r="L443" s="14" t="s">
        <v>341</v>
      </c>
      <c r="M443" s="16" t="s">
        <v>2752</v>
      </c>
      <c r="N443" s="14"/>
      <c r="O443" s="14" t="s">
        <v>1973</v>
      </c>
      <c r="P443" s="14">
        <v>50</v>
      </c>
      <c r="Q443" s="14">
        <v>2</v>
      </c>
      <c r="R443" s="14">
        <v>5600</v>
      </c>
      <c r="S443" s="14" t="s">
        <v>2753</v>
      </c>
      <c r="T443" s="14" t="s">
        <v>2754</v>
      </c>
      <c r="U443" s="14">
        <v>2.68027777777777</v>
      </c>
      <c r="V443" s="14">
        <v>2.9022222222222198</v>
      </c>
      <c r="W443" s="14">
        <v>2309</v>
      </c>
      <c r="X443" s="14">
        <v>50</v>
      </c>
      <c r="Y443" s="14">
        <v>2259</v>
      </c>
      <c r="Z443" s="14">
        <v>1118</v>
      </c>
      <c r="AA443" s="14">
        <v>633</v>
      </c>
      <c r="AB443" s="14">
        <v>272</v>
      </c>
      <c r="AC443" s="14">
        <v>100</v>
      </c>
      <c r="AD443" s="14">
        <v>113</v>
      </c>
      <c r="AE443" s="14">
        <v>3427</v>
      </c>
      <c r="AF443" s="14">
        <v>5000</v>
      </c>
      <c r="AG443" s="14">
        <v>7295</v>
      </c>
      <c r="AH443" s="14">
        <v>0</v>
      </c>
      <c r="AI443" s="14">
        <v>160</v>
      </c>
      <c r="AJ443" s="14">
        <v>257</v>
      </c>
      <c r="AK443" s="14" t="s">
        <v>2751</v>
      </c>
      <c r="AL443" s="14" t="s">
        <v>2755</v>
      </c>
      <c r="AM443" s="14">
        <v>662.64</v>
      </c>
      <c r="AN443" s="14">
        <v>624.6</v>
      </c>
      <c r="AO443" s="14">
        <v>196.25</v>
      </c>
      <c r="AP443" s="14">
        <v>22338</v>
      </c>
      <c r="AQ443" s="14">
        <v>22288</v>
      </c>
      <c r="AR443" s="14">
        <v>23000</v>
      </c>
      <c r="AS443" s="14">
        <v>18911</v>
      </c>
      <c r="AT443" s="14">
        <v>20029</v>
      </c>
      <c r="AU443" s="14">
        <v>-16</v>
      </c>
      <c r="AV443" s="14">
        <v>260.52999999999997</v>
      </c>
      <c r="AW443" s="14">
        <v>19.14</v>
      </c>
      <c r="AX443" s="14">
        <v>-0.64</v>
      </c>
      <c r="AY443" s="14" t="b">
        <v>0</v>
      </c>
    </row>
    <row r="444" spans="1:51" hidden="1" x14ac:dyDescent="0.3">
      <c r="A444" t="str">
        <f>CONCATENATE(I444,E444,LEFT(G444,10))</f>
        <v>HFA701LLHA2026-02-13</v>
      </c>
      <c r="B444" s="14" t="s">
        <v>4381</v>
      </c>
      <c r="C444" s="14" t="s">
        <v>336</v>
      </c>
      <c r="D444" s="14" t="s">
        <v>337</v>
      </c>
      <c r="E444" s="14" t="s">
        <v>43</v>
      </c>
      <c r="F444" s="14" t="s">
        <v>48</v>
      </c>
      <c r="G444" s="14" t="s">
        <v>4382</v>
      </c>
      <c r="H444" s="14" t="s">
        <v>357</v>
      </c>
      <c r="I444" s="14" t="s">
        <v>53</v>
      </c>
      <c r="J444" s="14" t="s">
        <v>401</v>
      </c>
      <c r="K444" s="14" t="s">
        <v>349</v>
      </c>
      <c r="L444" s="14" t="s">
        <v>341</v>
      </c>
      <c r="M444" s="16" t="s">
        <v>4383</v>
      </c>
      <c r="N444" s="14" t="s">
        <v>359</v>
      </c>
      <c r="O444" s="14" t="s">
        <v>4384</v>
      </c>
      <c r="P444" s="14">
        <v>50</v>
      </c>
      <c r="Q444" s="14">
        <v>2</v>
      </c>
      <c r="R444" s="14">
        <v>4100</v>
      </c>
      <c r="S444" s="14" t="s">
        <v>4385</v>
      </c>
      <c r="T444" s="14" t="s">
        <v>4386</v>
      </c>
      <c r="U444" s="14">
        <v>2.6733333333333298</v>
      </c>
      <c r="V444" s="14">
        <v>2.9127777777777699</v>
      </c>
      <c r="W444" s="14">
        <v>1993</v>
      </c>
      <c r="X444" s="14">
        <v>50</v>
      </c>
      <c r="Y444" s="14">
        <v>1943</v>
      </c>
      <c r="Z444" s="14">
        <v>1307</v>
      </c>
      <c r="AA444" s="14">
        <v>572</v>
      </c>
      <c r="AB444" s="14">
        <v>260</v>
      </c>
      <c r="AC444" s="14">
        <v>378</v>
      </c>
      <c r="AD444" s="14">
        <v>97</v>
      </c>
      <c r="AE444" s="14">
        <v>3300</v>
      </c>
      <c r="AF444" s="14">
        <v>5000</v>
      </c>
      <c r="AG444" s="14">
        <v>6297</v>
      </c>
      <c r="AH444" s="14">
        <v>0</v>
      </c>
      <c r="AI444" s="14">
        <v>155</v>
      </c>
      <c r="AJ444" s="14">
        <v>269</v>
      </c>
      <c r="AK444" s="14" t="s">
        <v>4382</v>
      </c>
      <c r="AL444" s="14" t="s">
        <v>4387</v>
      </c>
      <c r="AM444" s="14">
        <v>657.4</v>
      </c>
      <c r="AN444" s="14">
        <v>624.6</v>
      </c>
      <c r="AO444" s="14">
        <v>176.85</v>
      </c>
      <c r="AP444" s="14">
        <v>20625</v>
      </c>
      <c r="AQ444" s="14">
        <v>20575</v>
      </c>
      <c r="AR444" s="14">
        <v>23000</v>
      </c>
      <c r="AS444" s="14">
        <v>17325</v>
      </c>
      <c r="AT444" s="14">
        <v>18632</v>
      </c>
      <c r="AU444" s="14">
        <v>-11</v>
      </c>
      <c r="AV444" s="14">
        <v>228.7</v>
      </c>
      <c r="AW444" s="14">
        <v>30.47</v>
      </c>
      <c r="AX444" s="14">
        <v>1.72</v>
      </c>
      <c r="AY444" s="14" t="b">
        <v>0</v>
      </c>
    </row>
    <row r="445" spans="1:51" hidden="1" x14ac:dyDescent="0.3">
      <c r="A445" t="str">
        <f>CONCATENATE(I445,E445,LEFT(G445,10))</f>
        <v>HFA701LLHA2026-02-15</v>
      </c>
      <c r="B445" s="14" t="s">
        <v>4261</v>
      </c>
      <c r="C445" s="14" t="s">
        <v>336</v>
      </c>
      <c r="D445" s="14" t="s">
        <v>337</v>
      </c>
      <c r="E445" s="14" t="s">
        <v>43</v>
      </c>
      <c r="F445" s="14" t="s">
        <v>48</v>
      </c>
      <c r="G445" s="14" t="s">
        <v>4262</v>
      </c>
      <c r="H445" s="14" t="s">
        <v>436</v>
      </c>
      <c r="I445" s="14" t="s">
        <v>53</v>
      </c>
      <c r="J445" s="14" t="s">
        <v>751</v>
      </c>
      <c r="K445" s="14" t="s">
        <v>349</v>
      </c>
      <c r="L445" s="14" t="s">
        <v>341</v>
      </c>
      <c r="M445" s="16" t="s">
        <v>4257</v>
      </c>
      <c r="N445" s="14" t="s">
        <v>359</v>
      </c>
      <c r="O445" s="14" t="s">
        <v>4263</v>
      </c>
      <c r="P445" s="14">
        <v>50</v>
      </c>
      <c r="Q445" s="14">
        <v>2</v>
      </c>
      <c r="R445" s="14">
        <v>2100</v>
      </c>
      <c r="S445" s="14" t="s">
        <v>4264</v>
      </c>
      <c r="T445" s="14" t="s">
        <v>4265</v>
      </c>
      <c r="U445" s="14">
        <v>2.6016666666666599</v>
      </c>
      <c r="V445" s="14">
        <v>2.7930555555555499</v>
      </c>
      <c r="W445" s="14">
        <v>1901</v>
      </c>
      <c r="X445" s="14">
        <v>50</v>
      </c>
      <c r="Y445" s="14">
        <v>1851</v>
      </c>
      <c r="Z445" s="14">
        <v>829</v>
      </c>
      <c r="AA445" s="14">
        <v>396</v>
      </c>
      <c r="AB445" s="14">
        <v>241</v>
      </c>
      <c r="AC445" s="14">
        <v>100</v>
      </c>
      <c r="AD445" s="14">
        <v>93</v>
      </c>
      <c r="AE445" s="14">
        <v>2730</v>
      </c>
      <c r="AF445" s="14">
        <v>5000</v>
      </c>
      <c r="AG445" s="14">
        <v>6008</v>
      </c>
      <c r="AH445" s="14">
        <v>0</v>
      </c>
      <c r="AI445" s="14">
        <v>155</v>
      </c>
      <c r="AJ445" s="14">
        <v>233</v>
      </c>
      <c r="AK445" s="14" t="s">
        <v>4262</v>
      </c>
      <c r="AL445" s="14" t="s">
        <v>4266</v>
      </c>
      <c r="AM445" s="14">
        <v>651.22</v>
      </c>
      <c r="AN445" s="14">
        <v>624.6</v>
      </c>
      <c r="AO445" s="14">
        <v>103.63</v>
      </c>
      <c r="AP445" s="14">
        <v>18035</v>
      </c>
      <c r="AQ445" s="14">
        <v>17985</v>
      </c>
      <c r="AR445" s="14">
        <v>23000</v>
      </c>
      <c r="AS445" s="14">
        <v>15305</v>
      </c>
      <c r="AT445" s="14">
        <v>16134</v>
      </c>
      <c r="AU445" s="14">
        <v>-12</v>
      </c>
      <c r="AV445" s="14">
        <v>222.92</v>
      </c>
      <c r="AW445" s="14">
        <v>32.700000000000003</v>
      </c>
      <c r="AX445" s="14">
        <v>7.2</v>
      </c>
      <c r="AY445" s="14" t="b">
        <v>0</v>
      </c>
    </row>
    <row r="446" spans="1:51" hidden="1" x14ac:dyDescent="0.3">
      <c r="A446" t="str">
        <f>CONCATENATE(I446,E446,LEFT(G446,10))</f>
        <v>HFA701LLHA2026-02-18</v>
      </c>
      <c r="B446" s="14" t="s">
        <v>1970</v>
      </c>
      <c r="C446" s="14" t="s">
        <v>336</v>
      </c>
      <c r="D446" s="14" t="s">
        <v>337</v>
      </c>
      <c r="E446" s="14" t="s">
        <v>43</v>
      </c>
      <c r="F446" s="14" t="s">
        <v>48</v>
      </c>
      <c r="G446" s="14" t="s">
        <v>1971</v>
      </c>
      <c r="H446" s="14" t="s">
        <v>393</v>
      </c>
      <c r="I446" s="14" t="s">
        <v>53</v>
      </c>
      <c r="J446" s="14" t="s">
        <v>401</v>
      </c>
      <c r="K446" s="14" t="s">
        <v>349</v>
      </c>
      <c r="L446" s="14" t="s">
        <v>341</v>
      </c>
      <c r="M446" s="16" t="s">
        <v>1972</v>
      </c>
      <c r="N446" s="14"/>
      <c r="O446" s="14" t="s">
        <v>1973</v>
      </c>
      <c r="P446" s="14">
        <v>50</v>
      </c>
      <c r="Q446" s="14">
        <v>2</v>
      </c>
      <c r="R446" s="14">
        <v>5700</v>
      </c>
      <c r="S446" s="14" t="s">
        <v>1974</v>
      </c>
      <c r="T446" s="14" t="s">
        <v>1975</v>
      </c>
      <c r="U446" s="14">
        <v>3.03694444444444</v>
      </c>
      <c r="V446" s="14">
        <v>3.1955555555555502</v>
      </c>
      <c r="W446" s="14">
        <v>2442</v>
      </c>
      <c r="X446" s="14">
        <v>50</v>
      </c>
      <c r="Y446" s="14">
        <v>2392</v>
      </c>
      <c r="Z446" s="14">
        <v>1084</v>
      </c>
      <c r="AA446" s="14">
        <v>591</v>
      </c>
      <c r="AB446" s="14">
        <v>273</v>
      </c>
      <c r="AC446" s="14">
        <v>100</v>
      </c>
      <c r="AD446" s="14">
        <v>120</v>
      </c>
      <c r="AE446" s="14">
        <v>3526</v>
      </c>
      <c r="AF446" s="14">
        <v>5000</v>
      </c>
      <c r="AG446" s="14">
        <v>7715</v>
      </c>
      <c r="AH446" s="14">
        <v>0</v>
      </c>
      <c r="AI446" s="14">
        <v>168</v>
      </c>
      <c r="AJ446" s="14">
        <v>261</v>
      </c>
      <c r="AK446" s="14" t="s">
        <v>1971</v>
      </c>
      <c r="AL446" s="14" t="s">
        <v>1976</v>
      </c>
      <c r="AM446" s="14">
        <v>662.64</v>
      </c>
      <c r="AN446" s="14">
        <v>624.6</v>
      </c>
      <c r="AO446" s="14">
        <v>196.25</v>
      </c>
      <c r="AP446" s="14">
        <v>22537</v>
      </c>
      <c r="AQ446" s="14">
        <v>22487</v>
      </c>
      <c r="AR446" s="14">
        <v>23000</v>
      </c>
      <c r="AS446" s="14">
        <v>19011</v>
      </c>
      <c r="AT446" s="14">
        <v>20095</v>
      </c>
      <c r="AU446" s="14">
        <v>-29</v>
      </c>
      <c r="AV446" s="14">
        <v>271.07</v>
      </c>
      <c r="AW446" s="14">
        <v>33.28</v>
      </c>
      <c r="AX446" s="14">
        <v>-2.17</v>
      </c>
      <c r="AY446" s="14" t="b">
        <v>0</v>
      </c>
    </row>
    <row r="447" spans="1:51" hidden="1" x14ac:dyDescent="0.3">
      <c r="A447" t="str">
        <f>CONCATENATE(I447,E447,LEFT(G447,10))</f>
        <v>HFA701LLHA2026-02-19</v>
      </c>
      <c r="B447" s="14" t="s">
        <v>4004</v>
      </c>
      <c r="C447" s="14" t="s">
        <v>336</v>
      </c>
      <c r="D447" s="14" t="s">
        <v>337</v>
      </c>
      <c r="E447" s="14" t="s">
        <v>43</v>
      </c>
      <c r="F447" s="14" t="s">
        <v>48</v>
      </c>
      <c r="G447" s="14" t="s">
        <v>4005</v>
      </c>
      <c r="H447" s="14" t="s">
        <v>357</v>
      </c>
      <c r="I447" s="14" t="s">
        <v>53</v>
      </c>
      <c r="J447" s="14"/>
      <c r="K447" s="14" t="s">
        <v>349</v>
      </c>
      <c r="L447" s="14" t="s">
        <v>341</v>
      </c>
      <c r="M447" s="16" t="s">
        <v>4006</v>
      </c>
      <c r="N447" s="14" t="s">
        <v>359</v>
      </c>
      <c r="O447" s="14" t="s">
        <v>4007</v>
      </c>
      <c r="P447" s="14">
        <v>50</v>
      </c>
      <c r="Q447" s="14">
        <v>2</v>
      </c>
      <c r="R447" s="14">
        <v>6350</v>
      </c>
      <c r="S447" s="14"/>
      <c r="T447" s="14"/>
      <c r="U447" s="14"/>
      <c r="V447" s="14"/>
      <c r="W447" s="14">
        <v>2024</v>
      </c>
      <c r="X447" s="14">
        <v>50</v>
      </c>
      <c r="Y447" s="14">
        <v>1974</v>
      </c>
      <c r="Z447" s="14">
        <v>676</v>
      </c>
      <c r="AA447" s="14">
        <v>137</v>
      </c>
      <c r="AB447" s="14">
        <v>275</v>
      </c>
      <c r="AC447" s="14">
        <v>165</v>
      </c>
      <c r="AD447" s="14">
        <v>99</v>
      </c>
      <c r="AE447" s="14">
        <v>2700</v>
      </c>
      <c r="AF447" s="14">
        <v>5000</v>
      </c>
      <c r="AG447" s="14">
        <v>6396</v>
      </c>
      <c r="AH447" s="14">
        <v>0</v>
      </c>
      <c r="AI447" s="14">
        <v>165</v>
      </c>
      <c r="AJ447" s="14">
        <v>235</v>
      </c>
      <c r="AK447" s="14" t="s">
        <v>4005</v>
      </c>
      <c r="AL447" s="14" t="s">
        <v>4008</v>
      </c>
      <c r="AM447" s="14">
        <v>651.22</v>
      </c>
      <c r="AN447" s="14">
        <v>624.6</v>
      </c>
      <c r="AO447" s="14">
        <v>0</v>
      </c>
      <c r="AP447" s="14">
        <v>22275</v>
      </c>
      <c r="AQ447" s="14">
        <v>22225</v>
      </c>
      <c r="AR447" s="14">
        <v>23000</v>
      </c>
      <c r="AS447" s="14">
        <v>19575</v>
      </c>
      <c r="AT447" s="14">
        <v>20251</v>
      </c>
      <c r="AU447" s="14">
        <v>-25</v>
      </c>
      <c r="AV447" s="14">
        <v>298.04000000000002</v>
      </c>
      <c r="AW447" s="14">
        <v>25.34</v>
      </c>
      <c r="AX447" s="14">
        <v>3.47</v>
      </c>
      <c r="AY447" s="14" t="b">
        <v>0</v>
      </c>
    </row>
    <row r="448" spans="1:51" hidden="1" x14ac:dyDescent="0.3">
      <c r="A448" t="str">
        <f>CONCATENATE(I448,E448,LEFT(G448,10))</f>
        <v>HFA701LLHA2026-02-20</v>
      </c>
      <c r="B448" s="14" t="s">
        <v>749</v>
      </c>
      <c r="C448" s="14" t="s">
        <v>336</v>
      </c>
      <c r="D448" s="14" t="s">
        <v>337</v>
      </c>
      <c r="E448" s="14" t="s">
        <v>43</v>
      </c>
      <c r="F448" s="14" t="s">
        <v>48</v>
      </c>
      <c r="G448" s="14" t="s">
        <v>750</v>
      </c>
      <c r="H448" s="14" t="s">
        <v>339</v>
      </c>
      <c r="I448" s="14" t="s">
        <v>53</v>
      </c>
      <c r="J448" s="14" t="s">
        <v>751</v>
      </c>
      <c r="K448" s="14" t="s">
        <v>349</v>
      </c>
      <c r="L448" s="14" t="s">
        <v>341</v>
      </c>
      <c r="M448" s="16" t="s">
        <v>752</v>
      </c>
      <c r="N448" s="14"/>
      <c r="O448" s="14" t="s">
        <v>753</v>
      </c>
      <c r="P448" s="14">
        <v>50</v>
      </c>
      <c r="Q448" s="14">
        <v>2</v>
      </c>
      <c r="R448" s="14">
        <v>6500</v>
      </c>
      <c r="S448" s="14" t="s">
        <v>754</v>
      </c>
      <c r="T448" s="14" t="s">
        <v>755</v>
      </c>
      <c r="U448" s="14">
        <v>2.6</v>
      </c>
      <c r="V448" s="14">
        <v>2.86666666666666</v>
      </c>
      <c r="W448" s="14">
        <v>1932</v>
      </c>
      <c r="X448" s="14">
        <v>50</v>
      </c>
      <c r="Y448" s="14">
        <v>1882</v>
      </c>
      <c r="Z448" s="14">
        <v>877</v>
      </c>
      <c r="AA448" s="14">
        <v>404</v>
      </c>
      <c r="AB448" s="14">
        <v>279</v>
      </c>
      <c r="AC448" s="14">
        <v>100</v>
      </c>
      <c r="AD448" s="14">
        <v>94</v>
      </c>
      <c r="AE448" s="14">
        <v>2809</v>
      </c>
      <c r="AF448" s="14">
        <v>5000</v>
      </c>
      <c r="AG448" s="14">
        <v>6106</v>
      </c>
      <c r="AH448" s="14">
        <v>0</v>
      </c>
      <c r="AI448" s="14">
        <v>155</v>
      </c>
      <c r="AJ448" s="14">
        <v>230</v>
      </c>
      <c r="AK448" s="14" t="s">
        <v>750</v>
      </c>
      <c r="AL448" s="14" t="s">
        <v>756</v>
      </c>
      <c r="AM448" s="14">
        <v>651.22</v>
      </c>
      <c r="AN448" s="14">
        <v>624.6</v>
      </c>
      <c r="AO448" s="14">
        <v>103.63</v>
      </c>
      <c r="AP448" s="14">
        <v>22634</v>
      </c>
      <c r="AQ448" s="14">
        <v>22584</v>
      </c>
      <c r="AR448" s="14">
        <v>23000</v>
      </c>
      <c r="AS448" s="14">
        <v>19825</v>
      </c>
      <c r="AT448" s="14">
        <v>20702</v>
      </c>
      <c r="AU448" s="14">
        <v>-7</v>
      </c>
      <c r="AV448" s="14">
        <v>228.63</v>
      </c>
      <c r="AW448" s="14">
        <v>18.079999999999998</v>
      </c>
      <c r="AX448" s="14">
        <v>5</v>
      </c>
      <c r="AY448" s="14" t="b">
        <v>0</v>
      </c>
    </row>
    <row r="449" spans="1:51" hidden="1" x14ac:dyDescent="0.3">
      <c r="A449" t="str">
        <f>CONCATENATE(I449,E449,LEFT(G449,10))</f>
        <v>HFA701LLHA2026-02-22</v>
      </c>
      <c r="B449" s="14" t="s">
        <v>1082</v>
      </c>
      <c r="C449" s="14" t="s">
        <v>336</v>
      </c>
      <c r="D449" s="14" t="s">
        <v>337</v>
      </c>
      <c r="E449" s="14" t="s">
        <v>43</v>
      </c>
      <c r="F449" s="14" t="s">
        <v>48</v>
      </c>
      <c r="G449" s="14" t="s">
        <v>1083</v>
      </c>
      <c r="H449" s="14" t="s">
        <v>357</v>
      </c>
      <c r="I449" s="14" t="s">
        <v>53</v>
      </c>
      <c r="J449" s="14" t="s">
        <v>751</v>
      </c>
      <c r="K449" s="14" t="s">
        <v>349</v>
      </c>
      <c r="L449" s="14" t="s">
        <v>341</v>
      </c>
      <c r="M449" s="16" t="s">
        <v>1084</v>
      </c>
      <c r="N449" s="14" t="s">
        <v>359</v>
      </c>
      <c r="O449" s="14" t="s">
        <v>1038</v>
      </c>
      <c r="P449" s="14">
        <v>50</v>
      </c>
      <c r="Q449" s="14">
        <v>2</v>
      </c>
      <c r="R449" s="14">
        <v>4400</v>
      </c>
      <c r="S449" s="14" t="s">
        <v>1085</v>
      </c>
      <c r="T449" s="14" t="s">
        <v>1086</v>
      </c>
      <c r="U449" s="14">
        <v>2.70166666666666</v>
      </c>
      <c r="V449" s="14">
        <v>2.8422222222222202</v>
      </c>
      <c r="W449" s="14">
        <v>1961</v>
      </c>
      <c r="X449" s="14">
        <v>50</v>
      </c>
      <c r="Y449" s="14">
        <v>1911</v>
      </c>
      <c r="Z449" s="14">
        <v>957</v>
      </c>
      <c r="AA449" s="14">
        <v>402</v>
      </c>
      <c r="AB449" s="14">
        <v>260</v>
      </c>
      <c r="AC449" s="14">
        <v>200</v>
      </c>
      <c r="AD449" s="14">
        <v>96</v>
      </c>
      <c r="AE449" s="14">
        <v>2918</v>
      </c>
      <c r="AF449" s="14">
        <v>5000</v>
      </c>
      <c r="AG449" s="14">
        <v>6196</v>
      </c>
      <c r="AH449" s="14">
        <v>0</v>
      </c>
      <c r="AI449" s="14">
        <v>162</v>
      </c>
      <c r="AJ449" s="14">
        <v>246</v>
      </c>
      <c r="AK449" s="14" t="s">
        <v>1083</v>
      </c>
      <c r="AL449" s="14" t="s">
        <v>1087</v>
      </c>
      <c r="AM449" s="14">
        <v>662.64</v>
      </c>
      <c r="AN449" s="14">
        <v>624.6</v>
      </c>
      <c r="AO449" s="14">
        <v>103.63</v>
      </c>
      <c r="AP449" s="14">
        <v>20543</v>
      </c>
      <c r="AQ449" s="14">
        <v>20493</v>
      </c>
      <c r="AR449" s="14">
        <v>23000</v>
      </c>
      <c r="AS449" s="14">
        <v>17625</v>
      </c>
      <c r="AT449" s="14">
        <v>18582</v>
      </c>
      <c r="AU449" s="14">
        <v>-20</v>
      </c>
      <c r="AV449" s="14">
        <v>259.52999999999997</v>
      </c>
      <c r="AW449" s="14">
        <v>22.1</v>
      </c>
      <c r="AX449" s="14">
        <v>-1.84</v>
      </c>
      <c r="AY449" s="14" t="b">
        <v>0</v>
      </c>
    </row>
    <row r="450" spans="1:51" hidden="1" x14ac:dyDescent="0.3">
      <c r="A450" t="str">
        <f>CONCATENATE(I450,E450,LEFT(G450,10))</f>
        <v>HFA701LLHA2026-02-23</v>
      </c>
      <c r="B450" s="14" t="s">
        <v>3820</v>
      </c>
      <c r="C450" s="14" t="s">
        <v>336</v>
      </c>
      <c r="D450" s="14" t="s">
        <v>337</v>
      </c>
      <c r="E450" s="14" t="s">
        <v>43</v>
      </c>
      <c r="F450" s="14" t="s">
        <v>48</v>
      </c>
      <c r="G450" s="14" t="s">
        <v>3821</v>
      </c>
      <c r="H450" s="14" t="s">
        <v>393</v>
      </c>
      <c r="I450" s="14" t="s">
        <v>53</v>
      </c>
      <c r="J450" s="14" t="s">
        <v>751</v>
      </c>
      <c r="K450" s="14" t="s">
        <v>349</v>
      </c>
      <c r="L450" s="14" t="s">
        <v>341</v>
      </c>
      <c r="M450" s="16" t="s">
        <v>3810</v>
      </c>
      <c r="N450" s="14"/>
      <c r="O450" s="14" t="s">
        <v>1038</v>
      </c>
      <c r="P450" s="14">
        <v>50</v>
      </c>
      <c r="Q450" s="14">
        <v>2</v>
      </c>
      <c r="R450" s="14">
        <v>2400</v>
      </c>
      <c r="S450" s="14" t="s">
        <v>3822</v>
      </c>
      <c r="T450" s="14" t="s">
        <v>3823</v>
      </c>
      <c r="U450" s="14">
        <v>2.6783333333333301</v>
      </c>
      <c r="V450" s="14">
        <v>2.8574999999999999</v>
      </c>
      <c r="W450" s="14">
        <v>2072</v>
      </c>
      <c r="X450" s="14">
        <v>50</v>
      </c>
      <c r="Y450" s="14">
        <v>2022</v>
      </c>
      <c r="Z450" s="14">
        <v>851</v>
      </c>
      <c r="AA450" s="14">
        <v>406</v>
      </c>
      <c r="AB450" s="14">
        <v>244</v>
      </c>
      <c r="AC450" s="14">
        <v>100</v>
      </c>
      <c r="AD450" s="14">
        <v>101</v>
      </c>
      <c r="AE450" s="14">
        <v>2923</v>
      </c>
      <c r="AF450" s="14">
        <v>5000</v>
      </c>
      <c r="AG450" s="14">
        <v>6547</v>
      </c>
      <c r="AH450" s="14">
        <v>0</v>
      </c>
      <c r="AI450" s="14">
        <v>153</v>
      </c>
      <c r="AJ450" s="14">
        <v>230</v>
      </c>
      <c r="AK450" s="14" t="s">
        <v>3821</v>
      </c>
      <c r="AL450" s="14" t="s">
        <v>3824</v>
      </c>
      <c r="AM450" s="14">
        <v>662.64</v>
      </c>
      <c r="AN450" s="14">
        <v>624.6</v>
      </c>
      <c r="AO450" s="14">
        <v>103.63</v>
      </c>
      <c r="AP450" s="14">
        <v>18634</v>
      </c>
      <c r="AQ450" s="14">
        <v>18584</v>
      </c>
      <c r="AR450" s="14">
        <v>23000</v>
      </c>
      <c r="AS450" s="14">
        <v>15711</v>
      </c>
      <c r="AT450" s="14">
        <v>16562</v>
      </c>
      <c r="AU450" s="14">
        <v>-8</v>
      </c>
      <c r="AV450" s="14">
        <v>345.75</v>
      </c>
      <c r="AW450" s="14">
        <v>10.67</v>
      </c>
      <c r="AX450" s="14">
        <v>-3.06</v>
      </c>
      <c r="AY450" s="14" t="b">
        <v>0</v>
      </c>
    </row>
    <row r="451" spans="1:51" hidden="1" x14ac:dyDescent="0.3">
      <c r="A451" t="str">
        <f>CONCATENATE(I451,E451,LEFT(G451,10))</f>
        <v>HFA701LLHA2026-02-25</v>
      </c>
      <c r="B451" s="14" t="s">
        <v>3664</v>
      </c>
      <c r="C451" s="14" t="s">
        <v>336</v>
      </c>
      <c r="D451" s="14" t="s">
        <v>337</v>
      </c>
      <c r="E451" s="14" t="s">
        <v>43</v>
      </c>
      <c r="F451" s="14" t="s">
        <v>48</v>
      </c>
      <c r="G451" s="14" t="s">
        <v>3665</v>
      </c>
      <c r="H451" s="14" t="s">
        <v>393</v>
      </c>
      <c r="I451" s="14" t="s">
        <v>53</v>
      </c>
      <c r="J451" s="14" t="s">
        <v>401</v>
      </c>
      <c r="K451" s="14" t="s">
        <v>349</v>
      </c>
      <c r="L451" s="14" t="s">
        <v>341</v>
      </c>
      <c r="M451" s="16" t="s">
        <v>3666</v>
      </c>
      <c r="N451" s="14"/>
      <c r="O451" s="14" t="s">
        <v>1038</v>
      </c>
      <c r="P451" s="14">
        <v>50</v>
      </c>
      <c r="Q451" s="14">
        <v>2</v>
      </c>
      <c r="R451" s="14">
        <v>4700</v>
      </c>
      <c r="S451" s="14" t="s">
        <v>3667</v>
      </c>
      <c r="T451" s="14" t="s">
        <v>3668</v>
      </c>
      <c r="U451" s="14">
        <v>2.9636111111111099</v>
      </c>
      <c r="V451" s="14">
        <v>3.1213888888888799</v>
      </c>
      <c r="W451" s="14">
        <v>2285</v>
      </c>
      <c r="X451" s="14">
        <v>50</v>
      </c>
      <c r="Y451" s="14">
        <v>2235</v>
      </c>
      <c r="Z451" s="14">
        <v>1034</v>
      </c>
      <c r="AA451" s="14">
        <v>559</v>
      </c>
      <c r="AB451" s="14">
        <v>263</v>
      </c>
      <c r="AC451" s="14">
        <v>100</v>
      </c>
      <c r="AD451" s="14">
        <v>112</v>
      </c>
      <c r="AE451" s="14">
        <v>3319</v>
      </c>
      <c r="AF451" s="14">
        <v>5000</v>
      </c>
      <c r="AG451" s="14">
        <v>7222</v>
      </c>
      <c r="AH451" s="14">
        <v>0</v>
      </c>
      <c r="AI451" s="14">
        <v>174</v>
      </c>
      <c r="AJ451" s="14">
        <v>265</v>
      </c>
      <c r="AK451" s="14" t="s">
        <v>3665</v>
      </c>
      <c r="AL451" s="14" t="s">
        <v>3669</v>
      </c>
      <c r="AM451" s="14">
        <v>662.64</v>
      </c>
      <c r="AN451" s="14">
        <v>624.6</v>
      </c>
      <c r="AO451" s="14">
        <v>176.85</v>
      </c>
      <c r="AP451" s="14">
        <v>21330</v>
      </c>
      <c r="AQ451" s="14">
        <v>21280</v>
      </c>
      <c r="AR451" s="14">
        <v>23000</v>
      </c>
      <c r="AS451" s="14">
        <v>18011</v>
      </c>
      <c r="AT451" s="14">
        <v>19045</v>
      </c>
      <c r="AU451" s="14">
        <v>-36</v>
      </c>
      <c r="AV451" s="14">
        <v>285.79000000000002</v>
      </c>
      <c r="AW451" s="14">
        <v>42.26</v>
      </c>
      <c r="AX451" s="14">
        <v>2.31</v>
      </c>
      <c r="AY451" s="14" t="b">
        <v>0</v>
      </c>
    </row>
    <row r="452" spans="1:51" hidden="1" x14ac:dyDescent="0.3">
      <c r="A452" t="str">
        <f>CONCATENATE(I452,E452,LEFT(G452,10))</f>
        <v>HFA701LLHA2026-02-26</v>
      </c>
      <c r="B452" s="14" t="s">
        <v>3557</v>
      </c>
      <c r="C452" s="14" t="s">
        <v>336</v>
      </c>
      <c r="D452" s="14" t="s">
        <v>337</v>
      </c>
      <c r="E452" s="14" t="s">
        <v>43</v>
      </c>
      <c r="F452" s="14" t="s">
        <v>48</v>
      </c>
      <c r="G452" s="14" t="s">
        <v>3558</v>
      </c>
      <c r="H452" s="14" t="s">
        <v>393</v>
      </c>
      <c r="I452" s="14" t="s">
        <v>53</v>
      </c>
      <c r="J452" s="14" t="s">
        <v>401</v>
      </c>
      <c r="K452" s="14" t="s">
        <v>349</v>
      </c>
      <c r="L452" s="14" t="s">
        <v>341</v>
      </c>
      <c r="M452" s="16" t="s">
        <v>3559</v>
      </c>
      <c r="N452" s="14"/>
      <c r="O452" s="14" t="s">
        <v>3560</v>
      </c>
      <c r="P452" s="14">
        <v>50</v>
      </c>
      <c r="Q452" s="14">
        <v>2</v>
      </c>
      <c r="R452" s="14">
        <v>5100</v>
      </c>
      <c r="S452" s="14" t="s">
        <v>3561</v>
      </c>
      <c r="T452" s="14" t="s">
        <v>3562</v>
      </c>
      <c r="U452" s="14">
        <v>2.9694444444444401</v>
      </c>
      <c r="V452" s="14">
        <v>3.13</v>
      </c>
      <c r="W452" s="14">
        <v>2590</v>
      </c>
      <c r="X452" s="14">
        <v>50</v>
      </c>
      <c r="Y452" s="14">
        <v>2540</v>
      </c>
      <c r="Z452" s="14">
        <v>1110</v>
      </c>
      <c r="AA452" s="14">
        <v>550</v>
      </c>
      <c r="AB452" s="14">
        <v>268</v>
      </c>
      <c r="AC452" s="14">
        <v>165</v>
      </c>
      <c r="AD452" s="14">
        <v>127</v>
      </c>
      <c r="AE452" s="14">
        <v>3700</v>
      </c>
      <c r="AF452" s="14">
        <v>5000</v>
      </c>
      <c r="AG452" s="14">
        <v>8185</v>
      </c>
      <c r="AH452" s="14">
        <v>0</v>
      </c>
      <c r="AI452" s="14">
        <v>172</v>
      </c>
      <c r="AJ452" s="14">
        <v>267</v>
      </c>
      <c r="AK452" s="14" t="s">
        <v>3558</v>
      </c>
      <c r="AL452" s="14" t="s">
        <v>3563</v>
      </c>
      <c r="AM452" s="14">
        <v>662.64</v>
      </c>
      <c r="AN452" s="14">
        <v>624.6</v>
      </c>
      <c r="AO452" s="14">
        <v>176.85</v>
      </c>
      <c r="AP452" s="14">
        <v>22111</v>
      </c>
      <c r="AQ452" s="14">
        <v>22061</v>
      </c>
      <c r="AR452" s="14">
        <v>23000</v>
      </c>
      <c r="AS452" s="14">
        <v>18411</v>
      </c>
      <c r="AT452" s="14">
        <v>19521</v>
      </c>
      <c r="AU452" s="14">
        <v>-34</v>
      </c>
      <c r="AV452" s="14">
        <v>322.36</v>
      </c>
      <c r="AW452" s="14">
        <v>36.049999999999997</v>
      </c>
      <c r="AX452" s="14">
        <v>-2.2799999999999998</v>
      </c>
      <c r="AY452" s="14" t="b">
        <v>0</v>
      </c>
    </row>
    <row r="453" spans="1:51" hidden="1" x14ac:dyDescent="0.3">
      <c r="A453" t="str">
        <f>CONCATENATE(I453,E453,LEFT(G453,10))</f>
        <v>HFA701LLHA2026-02-27</v>
      </c>
      <c r="B453" s="14" t="s">
        <v>3440</v>
      </c>
      <c r="C453" s="14" t="s">
        <v>336</v>
      </c>
      <c r="D453" s="14" t="s">
        <v>337</v>
      </c>
      <c r="E453" s="14" t="s">
        <v>43</v>
      </c>
      <c r="F453" s="14" t="s">
        <v>48</v>
      </c>
      <c r="G453" s="14" t="s">
        <v>3441</v>
      </c>
      <c r="H453" s="14" t="s">
        <v>393</v>
      </c>
      <c r="I453" s="14" t="s">
        <v>53</v>
      </c>
      <c r="J453" s="14" t="s">
        <v>401</v>
      </c>
      <c r="K453" s="14" t="s">
        <v>349</v>
      </c>
      <c r="L453" s="14" t="s">
        <v>341</v>
      </c>
      <c r="M453" s="16" t="s">
        <v>3442</v>
      </c>
      <c r="N453" s="14"/>
      <c r="O453" s="14" t="s">
        <v>3443</v>
      </c>
      <c r="P453" s="14">
        <v>50</v>
      </c>
      <c r="Q453" s="14">
        <v>2</v>
      </c>
      <c r="R453" s="14">
        <v>3900</v>
      </c>
      <c r="S453" s="14" t="s">
        <v>3444</v>
      </c>
      <c r="T453" s="14" t="s">
        <v>3445</v>
      </c>
      <c r="U453" s="14">
        <v>2.81083333333333</v>
      </c>
      <c r="V453" s="14">
        <v>3.01722222222222</v>
      </c>
      <c r="W453" s="14">
        <v>2402</v>
      </c>
      <c r="X453" s="14">
        <v>50</v>
      </c>
      <c r="Y453" s="14">
        <v>2352</v>
      </c>
      <c r="Z453" s="14">
        <v>1033</v>
      </c>
      <c r="AA453" s="14">
        <v>558</v>
      </c>
      <c r="AB453" s="14">
        <v>257</v>
      </c>
      <c r="AC453" s="14">
        <v>100</v>
      </c>
      <c r="AD453" s="14">
        <v>118</v>
      </c>
      <c r="AE453" s="14">
        <v>3435</v>
      </c>
      <c r="AF453" s="14">
        <v>5000</v>
      </c>
      <c r="AG453" s="14">
        <v>7591</v>
      </c>
      <c r="AH453" s="14">
        <v>0</v>
      </c>
      <c r="AI453" s="14">
        <v>165</v>
      </c>
      <c r="AJ453" s="14">
        <v>256</v>
      </c>
      <c r="AK453" s="14" t="s">
        <v>3441</v>
      </c>
      <c r="AL453" s="14" t="s">
        <v>3446</v>
      </c>
      <c r="AM453" s="14">
        <v>662.64</v>
      </c>
      <c r="AN453" s="14">
        <v>624.6</v>
      </c>
      <c r="AO453" s="14">
        <v>176.85</v>
      </c>
      <c r="AP453" s="14">
        <v>20646</v>
      </c>
      <c r="AQ453" s="14">
        <v>20596</v>
      </c>
      <c r="AR453" s="14">
        <v>23000</v>
      </c>
      <c r="AS453" s="14">
        <v>17211</v>
      </c>
      <c r="AT453" s="14">
        <v>18244</v>
      </c>
      <c r="AU453" s="14">
        <v>-27</v>
      </c>
      <c r="AV453" s="14">
        <v>343.75</v>
      </c>
      <c r="AW453" s="14">
        <v>33.75</v>
      </c>
      <c r="AX453" s="14">
        <v>-1.48</v>
      </c>
      <c r="AY453" s="14" t="b">
        <v>0</v>
      </c>
    </row>
    <row r="454" spans="1:51" hidden="1" x14ac:dyDescent="0.3">
      <c r="A454" t="str">
        <f>CONCATENATE(I454,E454,LEFT(G454,10))</f>
        <v>HFA702LGAV2026-01-01</v>
      </c>
      <c r="B454" s="14" t="s">
        <v>4541</v>
      </c>
      <c r="C454" s="14" t="s">
        <v>336</v>
      </c>
      <c r="D454" s="14" t="s">
        <v>337</v>
      </c>
      <c r="E454" s="14" t="s">
        <v>48</v>
      </c>
      <c r="F454" s="14" t="s">
        <v>43</v>
      </c>
      <c r="G454" s="14" t="s">
        <v>4542</v>
      </c>
      <c r="H454" s="14" t="s">
        <v>339</v>
      </c>
      <c r="I454" s="14" t="s">
        <v>56</v>
      </c>
      <c r="J454" s="14" t="s">
        <v>83</v>
      </c>
      <c r="K454" s="14" t="s">
        <v>340</v>
      </c>
      <c r="L454" s="14" t="s">
        <v>341</v>
      </c>
      <c r="M454" s="16" t="s">
        <v>4543</v>
      </c>
      <c r="N454" s="14"/>
      <c r="O454" s="14" t="s">
        <v>4544</v>
      </c>
      <c r="P454" s="14">
        <v>190</v>
      </c>
      <c r="Q454" s="14">
        <v>2</v>
      </c>
      <c r="R454" s="14">
        <v>4700</v>
      </c>
      <c r="S454" s="14" t="s">
        <v>4545</v>
      </c>
      <c r="T454" s="14" t="s">
        <v>4546</v>
      </c>
      <c r="U454" s="14">
        <v>2.2219444444444401</v>
      </c>
      <c r="V454" s="14">
        <v>2.5049999999999999</v>
      </c>
      <c r="W454" s="14">
        <v>1593</v>
      </c>
      <c r="X454" s="14">
        <v>80</v>
      </c>
      <c r="Y454" s="14">
        <v>1513</v>
      </c>
      <c r="Z454" s="14">
        <v>1907</v>
      </c>
      <c r="AA454" s="14">
        <v>267</v>
      </c>
      <c r="AB454" s="14">
        <v>272</v>
      </c>
      <c r="AC454" s="14">
        <v>1291</v>
      </c>
      <c r="AD454" s="14">
        <v>76</v>
      </c>
      <c r="AE454" s="14">
        <v>3500</v>
      </c>
      <c r="AF454" s="14">
        <v>5000</v>
      </c>
      <c r="AG454" s="14">
        <v>5034</v>
      </c>
      <c r="AH454" s="14">
        <v>0</v>
      </c>
      <c r="AI454" s="14">
        <v>132</v>
      </c>
      <c r="AJ454" s="14">
        <v>309</v>
      </c>
      <c r="AK454" s="14" t="s">
        <v>4542</v>
      </c>
      <c r="AL454" s="14" t="s">
        <v>4547</v>
      </c>
      <c r="AM454" s="14">
        <v>656.69</v>
      </c>
      <c r="AN454" s="14">
        <v>624.6</v>
      </c>
      <c r="AO454" s="14">
        <v>54.99</v>
      </c>
      <c r="AP454" s="14">
        <v>21525</v>
      </c>
      <c r="AQ454" s="14">
        <v>21445</v>
      </c>
      <c r="AR454" s="14">
        <v>23000</v>
      </c>
      <c r="AS454" s="14">
        <v>18025</v>
      </c>
      <c r="AT454" s="14">
        <v>19932</v>
      </c>
      <c r="AU454" s="14">
        <v>36</v>
      </c>
      <c r="AV454" s="14">
        <v>279.33</v>
      </c>
      <c r="AW454" s="14">
        <v>45.3</v>
      </c>
      <c r="AX454" s="14">
        <v>-3.25</v>
      </c>
      <c r="AY454" s="14" t="b">
        <v>0</v>
      </c>
    </row>
    <row r="455" spans="1:51" hidden="1" x14ac:dyDescent="0.3">
      <c r="A455" t="str">
        <f>CONCATENATE(I455,E455,LEFT(G455,10))</f>
        <v>HFA702LGAV2026-01-02</v>
      </c>
      <c r="B455" s="14" t="s">
        <v>6238</v>
      </c>
      <c r="C455" s="14" t="s">
        <v>336</v>
      </c>
      <c r="D455" s="14" t="s">
        <v>337</v>
      </c>
      <c r="E455" s="14" t="s">
        <v>48</v>
      </c>
      <c r="F455" s="14" t="s">
        <v>43</v>
      </c>
      <c r="G455" s="14" t="s">
        <v>6239</v>
      </c>
      <c r="H455" s="14" t="s">
        <v>357</v>
      </c>
      <c r="I455" s="14" t="s">
        <v>56</v>
      </c>
      <c r="J455" s="14" t="s">
        <v>83</v>
      </c>
      <c r="K455" s="14" t="s">
        <v>340</v>
      </c>
      <c r="L455" s="14" t="s">
        <v>341</v>
      </c>
      <c r="M455" s="16" t="s">
        <v>6217</v>
      </c>
      <c r="N455" s="14" t="s">
        <v>359</v>
      </c>
      <c r="O455" s="14" t="s">
        <v>6240</v>
      </c>
      <c r="P455" s="14">
        <v>150</v>
      </c>
      <c r="Q455" s="14">
        <v>2</v>
      </c>
      <c r="R455" s="14">
        <v>6100</v>
      </c>
      <c r="S455" s="14" t="s">
        <v>6241</v>
      </c>
      <c r="T455" s="14" t="s">
        <v>6242</v>
      </c>
      <c r="U455" s="14">
        <v>2.2983333333333298</v>
      </c>
      <c r="V455" s="14">
        <v>2.4947222222222201</v>
      </c>
      <c r="W455" s="14">
        <v>1723</v>
      </c>
      <c r="X455" s="14">
        <v>80</v>
      </c>
      <c r="Y455" s="14">
        <v>1643</v>
      </c>
      <c r="Z455" s="14">
        <v>1277</v>
      </c>
      <c r="AA455" s="14">
        <v>260</v>
      </c>
      <c r="AB455" s="14">
        <v>278</v>
      </c>
      <c r="AC455" s="14">
        <v>657</v>
      </c>
      <c r="AD455" s="14">
        <v>82</v>
      </c>
      <c r="AE455" s="14">
        <v>3000</v>
      </c>
      <c r="AF455" s="14">
        <v>5000</v>
      </c>
      <c r="AG455" s="14">
        <v>5444</v>
      </c>
      <c r="AH455" s="14">
        <v>0</v>
      </c>
      <c r="AI455" s="14">
        <v>136</v>
      </c>
      <c r="AJ455" s="14">
        <v>249</v>
      </c>
      <c r="AK455" s="14" t="s">
        <v>6239</v>
      </c>
      <c r="AL455" s="14" t="s">
        <v>6243</v>
      </c>
      <c r="AM455" s="14">
        <v>645.69000000000005</v>
      </c>
      <c r="AN455" s="14">
        <v>624.6</v>
      </c>
      <c r="AO455" s="14">
        <v>54.99</v>
      </c>
      <c r="AP455" s="14">
        <v>22325</v>
      </c>
      <c r="AQ455" s="14">
        <v>22245</v>
      </c>
      <c r="AR455" s="14">
        <v>23000</v>
      </c>
      <c r="AS455" s="14">
        <v>19325</v>
      </c>
      <c r="AT455" s="14">
        <v>20602</v>
      </c>
      <c r="AU455" s="14">
        <v>24</v>
      </c>
      <c r="AV455" s="14">
        <v>299.05</v>
      </c>
      <c r="AW455" s="14">
        <v>24.91</v>
      </c>
      <c r="AX455" s="14">
        <v>-1.64</v>
      </c>
      <c r="AY455" s="14" t="b">
        <v>0</v>
      </c>
    </row>
    <row r="456" spans="1:51" hidden="1" x14ac:dyDescent="0.3">
      <c r="A456" t="str">
        <f>CONCATENATE(I456,E456,LEFT(G456,10))</f>
        <v>HFA702LGAV2026-01-04</v>
      </c>
      <c r="B456" s="14" t="s">
        <v>5358</v>
      </c>
      <c r="C456" s="14" t="s">
        <v>336</v>
      </c>
      <c r="D456" s="14" t="s">
        <v>337</v>
      </c>
      <c r="E456" s="14" t="s">
        <v>48</v>
      </c>
      <c r="F456" s="14" t="s">
        <v>43</v>
      </c>
      <c r="G456" s="14" t="s">
        <v>5359</v>
      </c>
      <c r="H456" s="14" t="s">
        <v>357</v>
      </c>
      <c r="I456" s="14" t="s">
        <v>56</v>
      </c>
      <c r="J456" s="14" t="s">
        <v>83</v>
      </c>
      <c r="K456" s="14" t="s">
        <v>340</v>
      </c>
      <c r="L456" s="14" t="s">
        <v>341</v>
      </c>
      <c r="M456" s="16" t="s">
        <v>5360</v>
      </c>
      <c r="N456" s="14" t="s">
        <v>359</v>
      </c>
      <c r="O456" s="14" t="s">
        <v>5361</v>
      </c>
      <c r="P456" s="14">
        <v>150</v>
      </c>
      <c r="Q456" s="14">
        <v>2</v>
      </c>
      <c r="R456" s="14">
        <v>6300</v>
      </c>
      <c r="S456" s="14" t="s">
        <v>5362</v>
      </c>
      <c r="T456" s="14" t="s">
        <v>5363</v>
      </c>
      <c r="U456" s="14">
        <v>2.5302777777777701</v>
      </c>
      <c r="V456" s="14">
        <v>2.7591666666666601</v>
      </c>
      <c r="W456" s="14">
        <v>1762</v>
      </c>
      <c r="X456" s="14">
        <v>80</v>
      </c>
      <c r="Y456" s="14">
        <v>1682</v>
      </c>
      <c r="Z456" s="14">
        <v>1338</v>
      </c>
      <c r="AA456" s="14">
        <v>266</v>
      </c>
      <c r="AB456" s="14">
        <v>281</v>
      </c>
      <c r="AC456" s="14">
        <v>706</v>
      </c>
      <c r="AD456" s="14">
        <v>84</v>
      </c>
      <c r="AE456" s="14">
        <v>3100</v>
      </c>
      <c r="AF456" s="14">
        <v>5000</v>
      </c>
      <c r="AG456" s="14">
        <v>5569</v>
      </c>
      <c r="AH456" s="14">
        <v>0</v>
      </c>
      <c r="AI456" s="14">
        <v>146</v>
      </c>
      <c r="AJ456" s="14">
        <v>272</v>
      </c>
      <c r="AK456" s="14" t="s">
        <v>5359</v>
      </c>
      <c r="AL456" s="14" t="s">
        <v>5364</v>
      </c>
      <c r="AM456" s="14">
        <v>645.69000000000005</v>
      </c>
      <c r="AN456" s="14">
        <v>624.6</v>
      </c>
      <c r="AO456" s="14">
        <v>54.99</v>
      </c>
      <c r="AP456" s="14">
        <v>22625</v>
      </c>
      <c r="AQ456" s="14">
        <v>22545</v>
      </c>
      <c r="AR456" s="14">
        <v>23000</v>
      </c>
      <c r="AS456" s="14">
        <v>19525</v>
      </c>
      <c r="AT456" s="14">
        <v>20863</v>
      </c>
      <c r="AU456" s="14">
        <v>8</v>
      </c>
      <c r="AV456" s="14">
        <v>242.93</v>
      </c>
      <c r="AW456" s="14">
        <v>19.95</v>
      </c>
      <c r="AX456" s="14">
        <v>4.3099999999999996</v>
      </c>
      <c r="AY456" s="14" t="b">
        <v>0</v>
      </c>
    </row>
    <row r="457" spans="1:51" hidden="1" x14ac:dyDescent="0.3">
      <c r="A457" t="str">
        <f>CONCATENATE(I457,E457,LEFT(G457,10))</f>
        <v>HFA702LGAV2026-01-05</v>
      </c>
      <c r="B457" s="14" t="s">
        <v>1698</v>
      </c>
      <c r="C457" s="14" t="s">
        <v>336</v>
      </c>
      <c r="D457" s="14" t="s">
        <v>337</v>
      </c>
      <c r="E457" s="14" t="s">
        <v>48</v>
      </c>
      <c r="F457" s="14" t="s">
        <v>43</v>
      </c>
      <c r="G457" s="14" t="s">
        <v>1699</v>
      </c>
      <c r="H457" s="14" t="s">
        <v>393</v>
      </c>
      <c r="I457" s="14" t="s">
        <v>56</v>
      </c>
      <c r="J457" s="14" t="s">
        <v>83</v>
      </c>
      <c r="K457" s="14" t="s">
        <v>340</v>
      </c>
      <c r="L457" s="14" t="s">
        <v>341</v>
      </c>
      <c r="M457" s="16" t="s">
        <v>1700</v>
      </c>
      <c r="N457" s="14"/>
      <c r="O457" s="14" t="s">
        <v>1701</v>
      </c>
      <c r="P457" s="14">
        <v>170</v>
      </c>
      <c r="Q457" s="14">
        <v>2</v>
      </c>
      <c r="R457" s="14">
        <v>6000</v>
      </c>
      <c r="S457" s="14" t="s">
        <v>1702</v>
      </c>
      <c r="T457" s="14" t="s">
        <v>1703</v>
      </c>
      <c r="U457" s="14">
        <v>2.4497222222222201</v>
      </c>
      <c r="V457" s="14">
        <v>2.7108333333333299</v>
      </c>
      <c r="W457" s="14">
        <v>1912</v>
      </c>
      <c r="X457" s="14">
        <v>80</v>
      </c>
      <c r="Y457" s="14">
        <v>1832</v>
      </c>
      <c r="Z457" s="14">
        <v>1288</v>
      </c>
      <c r="AA457" s="14">
        <v>269</v>
      </c>
      <c r="AB457" s="14">
        <v>278</v>
      </c>
      <c r="AC457" s="14">
        <v>649</v>
      </c>
      <c r="AD457" s="14">
        <v>92</v>
      </c>
      <c r="AE457" s="14">
        <v>3200</v>
      </c>
      <c r="AF457" s="14">
        <v>5000</v>
      </c>
      <c r="AG457" s="14">
        <v>6042</v>
      </c>
      <c r="AH457" s="14">
        <v>0</v>
      </c>
      <c r="AI457" s="14">
        <v>148</v>
      </c>
      <c r="AJ457" s="14">
        <v>260</v>
      </c>
      <c r="AK457" s="14" t="s">
        <v>1699</v>
      </c>
      <c r="AL457" s="14" t="s">
        <v>1704</v>
      </c>
      <c r="AM457" s="14">
        <v>652</v>
      </c>
      <c r="AN457" s="14">
        <v>624.6</v>
      </c>
      <c r="AO457" s="14">
        <v>54.99</v>
      </c>
      <c r="AP457" s="14">
        <v>22511</v>
      </c>
      <c r="AQ457" s="14">
        <v>22431</v>
      </c>
      <c r="AR457" s="14">
        <v>23000</v>
      </c>
      <c r="AS457" s="14">
        <v>19311</v>
      </c>
      <c r="AT457" s="14">
        <v>20599</v>
      </c>
      <c r="AU457" s="14">
        <v>7</v>
      </c>
      <c r="AV457" s="14">
        <v>230.23</v>
      </c>
      <c r="AW457" s="14">
        <v>28.01</v>
      </c>
      <c r="AX457" s="14">
        <v>5.23</v>
      </c>
      <c r="AY457" s="14" t="b">
        <v>0</v>
      </c>
    </row>
    <row r="458" spans="1:51" hidden="1" x14ac:dyDescent="0.3">
      <c r="A458" t="str">
        <f>CONCATENATE(I458,E458,LEFT(G458,10))</f>
        <v>HFA702LGAV2026-01-07</v>
      </c>
      <c r="B458" s="14" t="s">
        <v>1428</v>
      </c>
      <c r="C458" s="14" t="s">
        <v>336</v>
      </c>
      <c r="D458" s="14" t="s">
        <v>337</v>
      </c>
      <c r="E458" s="14" t="s">
        <v>48</v>
      </c>
      <c r="F458" s="14" t="s">
        <v>43</v>
      </c>
      <c r="G458" s="14" t="s">
        <v>1429</v>
      </c>
      <c r="H458" s="14" t="s">
        <v>436</v>
      </c>
      <c r="I458" s="14" t="s">
        <v>56</v>
      </c>
      <c r="J458" s="14" t="s">
        <v>83</v>
      </c>
      <c r="K458" s="14" t="s">
        <v>340</v>
      </c>
      <c r="L458" s="14" t="s">
        <v>341</v>
      </c>
      <c r="M458" s="16" t="s">
        <v>543</v>
      </c>
      <c r="N458" s="14" t="s">
        <v>359</v>
      </c>
      <c r="O458" s="14" t="s">
        <v>1430</v>
      </c>
      <c r="P458" s="14">
        <v>190</v>
      </c>
      <c r="Q458" s="14">
        <v>2</v>
      </c>
      <c r="R458" s="14">
        <v>3300</v>
      </c>
      <c r="S458" s="14" t="s">
        <v>1431</v>
      </c>
      <c r="T458" s="14" t="s">
        <v>1432</v>
      </c>
      <c r="U458" s="14">
        <v>2.3075000000000001</v>
      </c>
      <c r="V458" s="14">
        <v>2.5049999999999999</v>
      </c>
      <c r="W458" s="14">
        <v>1563</v>
      </c>
      <c r="X458" s="14">
        <v>80</v>
      </c>
      <c r="Y458" s="14">
        <v>1483</v>
      </c>
      <c r="Z458" s="14">
        <v>1637</v>
      </c>
      <c r="AA458" s="14">
        <v>242</v>
      </c>
      <c r="AB458" s="14">
        <v>257</v>
      </c>
      <c r="AC458" s="14">
        <v>1064</v>
      </c>
      <c r="AD458" s="14">
        <v>74</v>
      </c>
      <c r="AE458" s="14">
        <v>3200</v>
      </c>
      <c r="AF458" s="14">
        <v>5000</v>
      </c>
      <c r="AG458" s="14">
        <v>4939</v>
      </c>
      <c r="AH458" s="14">
        <v>0</v>
      </c>
      <c r="AI458" s="14">
        <v>135</v>
      </c>
      <c r="AJ458" s="14">
        <v>292</v>
      </c>
      <c r="AK458" s="14" t="s">
        <v>1429</v>
      </c>
      <c r="AL458" s="14" t="s">
        <v>1433</v>
      </c>
      <c r="AM458" s="14">
        <v>659.16</v>
      </c>
      <c r="AN458" s="14">
        <v>624.6</v>
      </c>
      <c r="AO458" s="14">
        <v>54.99</v>
      </c>
      <c r="AP458" s="14">
        <v>19705</v>
      </c>
      <c r="AQ458" s="14">
        <v>19625</v>
      </c>
      <c r="AR458" s="14">
        <v>23000</v>
      </c>
      <c r="AS458" s="14">
        <v>16505</v>
      </c>
      <c r="AT458" s="14">
        <v>18142</v>
      </c>
      <c r="AU458" s="14">
        <v>32</v>
      </c>
      <c r="AV458" s="14">
        <v>258.82</v>
      </c>
      <c r="AW458" s="14">
        <v>56.18</v>
      </c>
      <c r="AX458" s="14">
        <v>5.09</v>
      </c>
      <c r="AY458" s="14" t="b">
        <v>0</v>
      </c>
    </row>
    <row r="459" spans="1:51" hidden="1" x14ac:dyDescent="0.3">
      <c r="A459" t="str">
        <f>CONCATENATE(I459,E459,LEFT(G459,10))</f>
        <v>HFA702LGAV2026-01-08</v>
      </c>
      <c r="B459" s="14" t="s">
        <v>2895</v>
      </c>
      <c r="C459" s="14" t="s">
        <v>336</v>
      </c>
      <c r="D459" s="14" t="s">
        <v>337</v>
      </c>
      <c r="E459" s="14" t="s">
        <v>48</v>
      </c>
      <c r="F459" s="14" t="s">
        <v>43</v>
      </c>
      <c r="G459" s="14" t="s">
        <v>2896</v>
      </c>
      <c r="H459" s="14" t="s">
        <v>357</v>
      </c>
      <c r="I459" s="14" t="s">
        <v>56</v>
      </c>
      <c r="J459" s="14" t="s">
        <v>83</v>
      </c>
      <c r="K459" s="14" t="s">
        <v>340</v>
      </c>
      <c r="L459" s="14" t="s">
        <v>341</v>
      </c>
      <c r="M459" s="16" t="s">
        <v>2897</v>
      </c>
      <c r="N459" s="14" t="s">
        <v>359</v>
      </c>
      <c r="O459" s="14" t="s">
        <v>2898</v>
      </c>
      <c r="P459" s="14">
        <v>150</v>
      </c>
      <c r="Q459" s="14">
        <v>2</v>
      </c>
      <c r="R459" s="14">
        <v>4600</v>
      </c>
      <c r="S459" s="14" t="s">
        <v>2899</v>
      </c>
      <c r="T459" s="14" t="s">
        <v>2900</v>
      </c>
      <c r="U459" s="14">
        <v>2.4163888888888798</v>
      </c>
      <c r="V459" s="14">
        <v>2.5944444444444401</v>
      </c>
      <c r="W459" s="14">
        <v>1745</v>
      </c>
      <c r="X459" s="14">
        <v>80</v>
      </c>
      <c r="Y459" s="14">
        <v>1665</v>
      </c>
      <c r="Z459" s="14">
        <v>1555</v>
      </c>
      <c r="AA459" s="14">
        <v>264</v>
      </c>
      <c r="AB459" s="14">
        <v>267</v>
      </c>
      <c r="AC459" s="14">
        <v>940</v>
      </c>
      <c r="AD459" s="14">
        <v>83</v>
      </c>
      <c r="AE459" s="14">
        <v>3300</v>
      </c>
      <c r="AF459" s="14">
        <v>5000</v>
      </c>
      <c r="AG459" s="14">
        <v>5515</v>
      </c>
      <c r="AH459" s="14">
        <v>0</v>
      </c>
      <c r="AI459" s="14">
        <v>142</v>
      </c>
      <c r="AJ459" s="14">
        <v>287</v>
      </c>
      <c r="AK459" s="14" t="s">
        <v>2896</v>
      </c>
      <c r="AL459" s="14" t="s">
        <v>2901</v>
      </c>
      <c r="AM459" s="14">
        <v>645.69000000000005</v>
      </c>
      <c r="AN459" s="14">
        <v>624.6</v>
      </c>
      <c r="AO459" s="14">
        <v>54.99</v>
      </c>
      <c r="AP459" s="14">
        <v>21125</v>
      </c>
      <c r="AQ459" s="14">
        <v>21045</v>
      </c>
      <c r="AR459" s="14">
        <v>23000</v>
      </c>
      <c r="AS459" s="14">
        <v>17825</v>
      </c>
      <c r="AT459" s="14">
        <v>19380</v>
      </c>
      <c r="AU459" s="14">
        <v>10</v>
      </c>
      <c r="AV459" s="14">
        <v>225.38</v>
      </c>
      <c r="AW459" s="14">
        <v>65.5</v>
      </c>
      <c r="AX459" s="14">
        <v>4</v>
      </c>
      <c r="AY459" s="14" t="b">
        <v>0</v>
      </c>
    </row>
    <row r="460" spans="1:51" hidden="1" x14ac:dyDescent="0.3">
      <c r="A460" t="str">
        <f>CONCATENATE(I460,E460,LEFT(G460,10))</f>
        <v>HFA702LGAV2026-01-09</v>
      </c>
      <c r="B460" s="14" t="s">
        <v>2295</v>
      </c>
      <c r="C460" s="14" t="s">
        <v>336</v>
      </c>
      <c r="D460" s="14" t="s">
        <v>337</v>
      </c>
      <c r="E460" s="14" t="s">
        <v>48</v>
      </c>
      <c r="F460" s="14" t="s">
        <v>43</v>
      </c>
      <c r="G460" s="14" t="s">
        <v>2296</v>
      </c>
      <c r="H460" s="14" t="s">
        <v>436</v>
      </c>
      <c r="I460" s="14" t="s">
        <v>56</v>
      </c>
      <c r="J460" s="14" t="s">
        <v>83</v>
      </c>
      <c r="K460" s="14" t="s">
        <v>340</v>
      </c>
      <c r="L460" s="14" t="s">
        <v>341</v>
      </c>
      <c r="M460" s="16" t="s">
        <v>1090</v>
      </c>
      <c r="N460" s="14" t="s">
        <v>359</v>
      </c>
      <c r="O460" s="14" t="s">
        <v>2297</v>
      </c>
      <c r="P460" s="14">
        <v>190</v>
      </c>
      <c r="Q460" s="14">
        <v>2</v>
      </c>
      <c r="R460" s="14">
        <v>5600</v>
      </c>
      <c r="S460" s="14" t="s">
        <v>2298</v>
      </c>
      <c r="T460" s="14" t="s">
        <v>2299</v>
      </c>
      <c r="U460" s="14">
        <v>2.1527777777777701</v>
      </c>
      <c r="V460" s="14">
        <v>2.3591666666666602</v>
      </c>
      <c r="W460" s="14">
        <v>1497</v>
      </c>
      <c r="X460" s="14">
        <v>80</v>
      </c>
      <c r="Y460" s="14">
        <v>1417</v>
      </c>
      <c r="Z460" s="14">
        <v>2003</v>
      </c>
      <c r="AA460" s="14">
        <v>268</v>
      </c>
      <c r="AB460" s="14">
        <v>280</v>
      </c>
      <c r="AC460" s="14">
        <v>1384</v>
      </c>
      <c r="AD460" s="14">
        <v>71</v>
      </c>
      <c r="AE460" s="14">
        <v>3500</v>
      </c>
      <c r="AF460" s="14">
        <v>5000</v>
      </c>
      <c r="AG460" s="14">
        <v>4730</v>
      </c>
      <c r="AH460" s="14">
        <v>0</v>
      </c>
      <c r="AI460" s="14">
        <v>125</v>
      </c>
      <c r="AJ460" s="14">
        <v>306</v>
      </c>
      <c r="AK460" s="14" t="s">
        <v>2296</v>
      </c>
      <c r="AL460" s="14" t="s">
        <v>2300</v>
      </c>
      <c r="AM460" s="14">
        <v>659.16</v>
      </c>
      <c r="AN460" s="14">
        <v>624.6</v>
      </c>
      <c r="AO460" s="14">
        <v>54.99</v>
      </c>
      <c r="AP460" s="14">
        <v>22305</v>
      </c>
      <c r="AQ460" s="14">
        <v>22225</v>
      </c>
      <c r="AR460" s="14">
        <v>23000</v>
      </c>
      <c r="AS460" s="14">
        <v>18805</v>
      </c>
      <c r="AT460" s="14">
        <v>20808</v>
      </c>
      <c r="AU460" s="14">
        <v>61</v>
      </c>
      <c r="AV460" s="14">
        <v>312.83999999999997</v>
      </c>
      <c r="AW460" s="14">
        <v>73.599999999999994</v>
      </c>
      <c r="AX460" s="14">
        <v>-0.47</v>
      </c>
      <c r="AY460" s="14" t="b">
        <v>0</v>
      </c>
    </row>
    <row r="461" spans="1:51" hidden="1" x14ac:dyDescent="0.3">
      <c r="A461" t="str">
        <f>CONCATENATE(I461,E461,LEFT(G461,10))</f>
        <v>HFA702LGAV2026-01-11</v>
      </c>
      <c r="B461" s="14" t="s">
        <v>2227</v>
      </c>
      <c r="C461" s="14" t="s">
        <v>336</v>
      </c>
      <c r="D461" s="14" t="s">
        <v>337</v>
      </c>
      <c r="E461" s="14" t="s">
        <v>48</v>
      </c>
      <c r="F461" s="14" t="s">
        <v>43</v>
      </c>
      <c r="G461" s="14" t="s">
        <v>2228</v>
      </c>
      <c r="H461" s="14" t="s">
        <v>436</v>
      </c>
      <c r="I461" s="14" t="s">
        <v>56</v>
      </c>
      <c r="J461" s="14" t="s">
        <v>83</v>
      </c>
      <c r="K461" s="14" t="s">
        <v>340</v>
      </c>
      <c r="L461" s="14" t="s">
        <v>341</v>
      </c>
      <c r="M461" s="16" t="s">
        <v>2229</v>
      </c>
      <c r="N461" s="14" t="s">
        <v>359</v>
      </c>
      <c r="O461" s="14" t="s">
        <v>2230</v>
      </c>
      <c r="P461" s="14">
        <v>190</v>
      </c>
      <c r="Q461" s="14">
        <v>2</v>
      </c>
      <c r="R461" s="14">
        <v>6300</v>
      </c>
      <c r="S461" s="14" t="s">
        <v>2231</v>
      </c>
      <c r="T461" s="14" t="s">
        <v>2232</v>
      </c>
      <c r="U461" s="14">
        <v>2.34944444444444</v>
      </c>
      <c r="V461" s="14">
        <v>2.4725000000000001</v>
      </c>
      <c r="W461" s="14">
        <v>1652</v>
      </c>
      <c r="X461" s="14">
        <v>80</v>
      </c>
      <c r="Y461" s="14">
        <v>1572</v>
      </c>
      <c r="Z461" s="14">
        <v>1248</v>
      </c>
      <c r="AA461" s="14">
        <v>269</v>
      </c>
      <c r="AB461" s="14">
        <v>280</v>
      </c>
      <c r="AC461" s="14">
        <v>620</v>
      </c>
      <c r="AD461" s="14">
        <v>79</v>
      </c>
      <c r="AE461" s="14">
        <v>2900</v>
      </c>
      <c r="AF461" s="14">
        <v>5000</v>
      </c>
      <c r="AG461" s="14">
        <v>5220</v>
      </c>
      <c r="AH461" s="14">
        <v>0</v>
      </c>
      <c r="AI461" s="14">
        <v>142</v>
      </c>
      <c r="AJ461" s="14">
        <v>262</v>
      </c>
      <c r="AK461" s="14" t="s">
        <v>2228</v>
      </c>
      <c r="AL461" s="14" t="s">
        <v>2233</v>
      </c>
      <c r="AM461" s="14">
        <v>656.69</v>
      </c>
      <c r="AN461" s="14">
        <v>624.6</v>
      </c>
      <c r="AO461" s="14">
        <v>54.99</v>
      </c>
      <c r="AP461" s="14">
        <v>22405</v>
      </c>
      <c r="AQ461" s="14">
        <v>22325</v>
      </c>
      <c r="AR461" s="14">
        <v>23000</v>
      </c>
      <c r="AS461" s="14">
        <v>19505</v>
      </c>
      <c r="AT461" s="14">
        <v>20753</v>
      </c>
      <c r="AU461" s="14">
        <v>21</v>
      </c>
      <c r="AV461" s="14">
        <v>238.62</v>
      </c>
      <c r="AW461" s="14">
        <v>56.28</v>
      </c>
      <c r="AX461" s="14">
        <v>-1.52</v>
      </c>
      <c r="AY461" s="14" t="b">
        <v>0</v>
      </c>
    </row>
    <row r="462" spans="1:51" hidden="1" x14ac:dyDescent="0.3">
      <c r="A462" t="str">
        <f>CONCATENATE(I462,E462,LEFT(G462,10))</f>
        <v>HFA702LGAV2026-01-12</v>
      </c>
      <c r="B462" s="14" t="s">
        <v>6057</v>
      </c>
      <c r="C462" s="14" t="s">
        <v>336</v>
      </c>
      <c r="D462" s="14" t="s">
        <v>337</v>
      </c>
      <c r="E462" s="14" t="s">
        <v>48</v>
      </c>
      <c r="F462" s="14" t="s">
        <v>43</v>
      </c>
      <c r="G462" s="14" t="s">
        <v>6058</v>
      </c>
      <c r="H462" s="14" t="s">
        <v>393</v>
      </c>
      <c r="I462" s="14" t="s">
        <v>56</v>
      </c>
      <c r="J462" s="14" t="s">
        <v>83</v>
      </c>
      <c r="K462" s="14" t="s">
        <v>340</v>
      </c>
      <c r="L462" s="14" t="s">
        <v>341</v>
      </c>
      <c r="M462" s="16" t="s">
        <v>6059</v>
      </c>
      <c r="N462" s="14"/>
      <c r="O462" s="14" t="s">
        <v>6060</v>
      </c>
      <c r="P462" s="14">
        <v>150</v>
      </c>
      <c r="Q462" s="14">
        <v>2</v>
      </c>
      <c r="R462" s="14">
        <v>3800</v>
      </c>
      <c r="S462" s="14" t="s">
        <v>6061</v>
      </c>
      <c r="T462" s="14" t="s">
        <v>6062</v>
      </c>
      <c r="U462" s="14">
        <v>3.2580555555555502</v>
      </c>
      <c r="V462" s="14">
        <v>3.4849999999999999</v>
      </c>
      <c r="W462" s="14">
        <v>1915</v>
      </c>
      <c r="X462" s="14">
        <v>80</v>
      </c>
      <c r="Y462" s="14">
        <v>1835</v>
      </c>
      <c r="Z462" s="14">
        <v>1685</v>
      </c>
      <c r="AA462" s="14">
        <v>285</v>
      </c>
      <c r="AB462" s="14">
        <v>262</v>
      </c>
      <c r="AC462" s="14">
        <v>1046</v>
      </c>
      <c r="AD462" s="14">
        <v>92</v>
      </c>
      <c r="AE462" s="14">
        <v>3600</v>
      </c>
      <c r="AF462" s="14">
        <v>5000</v>
      </c>
      <c r="AG462" s="14">
        <v>6052</v>
      </c>
      <c r="AH462" s="14">
        <v>0</v>
      </c>
      <c r="AI462" s="14">
        <v>136</v>
      </c>
      <c r="AJ462" s="14">
        <v>285</v>
      </c>
      <c r="AK462" s="14" t="s">
        <v>6058</v>
      </c>
      <c r="AL462" s="14" t="s">
        <v>6063</v>
      </c>
      <c r="AM462" s="14">
        <v>656.69</v>
      </c>
      <c r="AN462" s="14">
        <v>624.6</v>
      </c>
      <c r="AO462" s="14">
        <v>54.99</v>
      </c>
      <c r="AP462" s="14">
        <v>20711</v>
      </c>
      <c r="AQ462" s="14">
        <v>20631</v>
      </c>
      <c r="AR462" s="14">
        <v>23000</v>
      </c>
      <c r="AS462" s="14">
        <v>17111</v>
      </c>
      <c r="AT462" s="14">
        <v>18796</v>
      </c>
      <c r="AU462" s="14">
        <v>21</v>
      </c>
      <c r="AV462" s="14">
        <v>255.99</v>
      </c>
      <c r="AW462" s="14">
        <v>31.21</v>
      </c>
      <c r="AX462" s="14">
        <v>-5.61</v>
      </c>
      <c r="AY462" s="14" t="b">
        <v>0</v>
      </c>
    </row>
    <row r="463" spans="1:51" hidden="1" x14ac:dyDescent="0.3">
      <c r="A463" t="str">
        <f>CONCATENATE(I463,E463,LEFT(G463,10))</f>
        <v>HFA702LGAV2026-01-13</v>
      </c>
      <c r="B463" s="14" t="s">
        <v>2353</v>
      </c>
      <c r="C463" s="14" t="s">
        <v>336</v>
      </c>
      <c r="D463" s="14" t="s">
        <v>337</v>
      </c>
      <c r="E463" s="14" t="s">
        <v>48</v>
      </c>
      <c r="F463" s="14" t="s">
        <v>43</v>
      </c>
      <c r="G463" s="14" t="s">
        <v>2354</v>
      </c>
      <c r="H463" s="14" t="s">
        <v>357</v>
      </c>
      <c r="I463" s="14" t="s">
        <v>56</v>
      </c>
      <c r="J463" s="14" t="s">
        <v>83</v>
      </c>
      <c r="K463" s="14" t="s">
        <v>340</v>
      </c>
      <c r="L463" s="14" t="s">
        <v>341</v>
      </c>
      <c r="M463" s="16" t="s">
        <v>2355</v>
      </c>
      <c r="N463" s="14" t="s">
        <v>359</v>
      </c>
      <c r="O463" s="14" t="s">
        <v>2356</v>
      </c>
      <c r="P463" s="14">
        <v>150</v>
      </c>
      <c r="Q463" s="14">
        <v>2</v>
      </c>
      <c r="R463" s="14">
        <v>6500</v>
      </c>
      <c r="S463" s="14" t="s">
        <v>2357</v>
      </c>
      <c r="T463" s="14" t="s">
        <v>2358</v>
      </c>
      <c r="U463" s="14">
        <v>2.8586111111111099</v>
      </c>
      <c r="V463" s="14">
        <v>3.0063888888888801</v>
      </c>
      <c r="W463" s="14">
        <v>1552</v>
      </c>
      <c r="X463" s="14">
        <v>80</v>
      </c>
      <c r="Y463" s="14">
        <v>1472</v>
      </c>
      <c r="Z463" s="14">
        <v>1548</v>
      </c>
      <c r="AA463" s="14">
        <v>699</v>
      </c>
      <c r="AB463" s="14">
        <v>285</v>
      </c>
      <c r="AC463" s="14">
        <v>490</v>
      </c>
      <c r="AD463" s="14">
        <v>74</v>
      </c>
      <c r="AE463" s="14">
        <v>3100</v>
      </c>
      <c r="AF463" s="14">
        <v>5000</v>
      </c>
      <c r="AG463" s="14">
        <v>4905</v>
      </c>
      <c r="AH463" s="14">
        <v>0</v>
      </c>
      <c r="AI463" s="14">
        <v>125</v>
      </c>
      <c r="AJ463" s="14">
        <v>254</v>
      </c>
      <c r="AK463" s="14" t="s">
        <v>2354</v>
      </c>
      <c r="AL463" s="14" t="s">
        <v>2359</v>
      </c>
      <c r="AM463" s="14">
        <v>642.29999999999995</v>
      </c>
      <c r="AN463" s="14">
        <v>624.6</v>
      </c>
      <c r="AO463" s="14">
        <v>54.99</v>
      </c>
      <c r="AP463" s="14">
        <v>22825</v>
      </c>
      <c r="AQ463" s="14">
        <v>22745</v>
      </c>
      <c r="AR463" s="14">
        <v>23000</v>
      </c>
      <c r="AS463" s="14">
        <v>19725</v>
      </c>
      <c r="AT463" s="14">
        <v>21273</v>
      </c>
      <c r="AU463" s="14">
        <v>51</v>
      </c>
      <c r="AV463" s="14">
        <v>329.09</v>
      </c>
      <c r="AW463" s="14">
        <v>61.37</v>
      </c>
      <c r="AX463" s="14">
        <v>1.27</v>
      </c>
      <c r="AY463" s="14" t="b">
        <v>0</v>
      </c>
    </row>
    <row r="464" spans="1:51" hidden="1" x14ac:dyDescent="0.3">
      <c r="A464" t="str">
        <f>CONCATENATE(I464,E464,LEFT(G464,10))</f>
        <v>HFA702LGAV2026-01-14</v>
      </c>
      <c r="B464" s="14" t="s">
        <v>5744</v>
      </c>
      <c r="C464" s="14" t="s">
        <v>336</v>
      </c>
      <c r="D464" s="14" t="s">
        <v>337</v>
      </c>
      <c r="E464" s="14" t="s">
        <v>48</v>
      </c>
      <c r="F464" s="14" t="s">
        <v>43</v>
      </c>
      <c r="G464" s="14" t="s">
        <v>5745</v>
      </c>
      <c r="H464" s="14" t="s">
        <v>357</v>
      </c>
      <c r="I464" s="14" t="s">
        <v>56</v>
      </c>
      <c r="J464" s="14" t="s">
        <v>83</v>
      </c>
      <c r="K464" s="14" t="s">
        <v>340</v>
      </c>
      <c r="L464" s="14" t="s">
        <v>341</v>
      </c>
      <c r="M464" s="16" t="s">
        <v>5746</v>
      </c>
      <c r="N464" s="14" t="s">
        <v>359</v>
      </c>
      <c r="O464" s="14" t="s">
        <v>5747</v>
      </c>
      <c r="P464" s="14">
        <v>150</v>
      </c>
      <c r="Q464" s="14">
        <v>2</v>
      </c>
      <c r="R464" s="14">
        <v>3500</v>
      </c>
      <c r="S464" s="14" t="s">
        <v>5748</v>
      </c>
      <c r="T464" s="14" t="s">
        <v>5749</v>
      </c>
      <c r="U464" s="14">
        <v>2.1955555555555502</v>
      </c>
      <c r="V464" s="14">
        <v>2.3844444444444401</v>
      </c>
      <c r="W464" s="14">
        <v>1612</v>
      </c>
      <c r="X464" s="14">
        <v>80</v>
      </c>
      <c r="Y464" s="14">
        <v>1532</v>
      </c>
      <c r="Z464" s="14">
        <v>1888</v>
      </c>
      <c r="AA464" s="14">
        <v>247</v>
      </c>
      <c r="AB464" s="14">
        <v>261</v>
      </c>
      <c r="AC464" s="14">
        <v>1304</v>
      </c>
      <c r="AD464" s="14">
        <v>77</v>
      </c>
      <c r="AE464" s="14">
        <v>3500</v>
      </c>
      <c r="AF464" s="14">
        <v>5000</v>
      </c>
      <c r="AG464" s="14">
        <v>5094</v>
      </c>
      <c r="AH464" s="14">
        <v>0</v>
      </c>
      <c r="AI464" s="14">
        <v>131</v>
      </c>
      <c r="AJ464" s="14">
        <v>308</v>
      </c>
      <c r="AK464" s="14" t="s">
        <v>5745</v>
      </c>
      <c r="AL464" s="14" t="s">
        <v>5750</v>
      </c>
      <c r="AM464" s="14">
        <v>656.69</v>
      </c>
      <c r="AN464" s="14">
        <v>624.6</v>
      </c>
      <c r="AO464" s="14">
        <v>54.99</v>
      </c>
      <c r="AP464" s="14">
        <v>20225</v>
      </c>
      <c r="AQ464" s="14">
        <v>20145</v>
      </c>
      <c r="AR464" s="14">
        <v>23000</v>
      </c>
      <c r="AS464" s="14">
        <v>16725</v>
      </c>
      <c r="AT464" s="14">
        <v>18613</v>
      </c>
      <c r="AU464" s="14">
        <v>37</v>
      </c>
      <c r="AV464" s="14">
        <v>319.22000000000003</v>
      </c>
      <c r="AW464" s="14">
        <v>41.3</v>
      </c>
      <c r="AX464" s="14">
        <v>1.49</v>
      </c>
      <c r="AY464" s="14" t="b">
        <v>0</v>
      </c>
    </row>
    <row r="465" spans="1:51" hidden="1" x14ac:dyDescent="0.3">
      <c r="A465" t="str">
        <f>CONCATENATE(I465,E465,LEFT(G465,10))</f>
        <v>HFA702LGAV2026-01-15</v>
      </c>
      <c r="B465" s="14" t="s">
        <v>6172</v>
      </c>
      <c r="C465" s="14" t="s">
        <v>336</v>
      </c>
      <c r="D465" s="14" t="s">
        <v>337</v>
      </c>
      <c r="E465" s="14" t="s">
        <v>48</v>
      </c>
      <c r="F465" s="14" t="s">
        <v>43</v>
      </c>
      <c r="G465" s="14" t="s">
        <v>6173</v>
      </c>
      <c r="H465" s="14" t="s">
        <v>357</v>
      </c>
      <c r="I465" s="14" t="s">
        <v>56</v>
      </c>
      <c r="J465" s="14" t="s">
        <v>83</v>
      </c>
      <c r="K465" s="14" t="s">
        <v>340</v>
      </c>
      <c r="L465" s="14" t="s">
        <v>341</v>
      </c>
      <c r="M465" s="16" t="s">
        <v>731</v>
      </c>
      <c r="N465" s="14" t="s">
        <v>359</v>
      </c>
      <c r="O465" s="14" t="s">
        <v>6174</v>
      </c>
      <c r="P465" s="14">
        <v>190</v>
      </c>
      <c r="Q465" s="14">
        <v>2</v>
      </c>
      <c r="R465" s="14">
        <v>2000</v>
      </c>
      <c r="S465" s="14" t="s">
        <v>6175</v>
      </c>
      <c r="T465" s="14" t="s">
        <v>6176</v>
      </c>
      <c r="U465" s="14">
        <v>2.3113888888888798</v>
      </c>
      <c r="V465" s="14">
        <v>2.43472222222222</v>
      </c>
      <c r="W465" s="14">
        <v>1501</v>
      </c>
      <c r="X465" s="14">
        <v>80</v>
      </c>
      <c r="Y465" s="14">
        <v>1421</v>
      </c>
      <c r="Z465" s="14">
        <v>1799</v>
      </c>
      <c r="AA465" s="14">
        <v>244</v>
      </c>
      <c r="AB465" s="14">
        <v>248</v>
      </c>
      <c r="AC465" s="14">
        <v>1236</v>
      </c>
      <c r="AD465" s="14">
        <v>71</v>
      </c>
      <c r="AE465" s="14">
        <v>3300</v>
      </c>
      <c r="AF465" s="14">
        <v>5000</v>
      </c>
      <c r="AG465" s="14">
        <v>4744</v>
      </c>
      <c r="AH465" s="14">
        <v>0</v>
      </c>
      <c r="AI465" s="14">
        <v>133</v>
      </c>
      <c r="AJ465" s="14">
        <v>314</v>
      </c>
      <c r="AK465" s="14" t="s">
        <v>6173</v>
      </c>
      <c r="AL465" s="14" t="s">
        <v>6177</v>
      </c>
      <c r="AM465" s="14">
        <v>642.29999999999995</v>
      </c>
      <c r="AN465" s="14">
        <v>624.6</v>
      </c>
      <c r="AO465" s="14">
        <v>54.99</v>
      </c>
      <c r="AP465" s="14">
        <v>18525</v>
      </c>
      <c r="AQ465" s="14">
        <v>18445</v>
      </c>
      <c r="AR465" s="14">
        <v>23000</v>
      </c>
      <c r="AS465" s="14">
        <v>15225</v>
      </c>
      <c r="AT465" s="14">
        <v>17024</v>
      </c>
      <c r="AU465" s="14">
        <v>28</v>
      </c>
      <c r="AV465" s="14">
        <v>297.32</v>
      </c>
      <c r="AW465" s="14">
        <v>29.46</v>
      </c>
      <c r="AX465" s="14">
        <v>2.74</v>
      </c>
      <c r="AY465" s="14" t="b">
        <v>0</v>
      </c>
    </row>
    <row r="466" spans="1:51" hidden="1" x14ac:dyDescent="0.3">
      <c r="A466" t="str">
        <f>CONCATENATE(I466,E466,LEFT(G466,10))</f>
        <v>HFA702LGAV2026-01-16</v>
      </c>
      <c r="B466" s="14" t="s">
        <v>5037</v>
      </c>
      <c r="C466" s="14" t="s">
        <v>336</v>
      </c>
      <c r="D466" s="14" t="s">
        <v>337</v>
      </c>
      <c r="E466" s="14" t="s">
        <v>48</v>
      </c>
      <c r="F466" s="14" t="s">
        <v>43</v>
      </c>
      <c r="G466" s="14" t="s">
        <v>5038</v>
      </c>
      <c r="H466" s="14" t="s">
        <v>436</v>
      </c>
      <c r="I466" s="14" t="s">
        <v>56</v>
      </c>
      <c r="J466" s="14" t="s">
        <v>83</v>
      </c>
      <c r="K466" s="14" t="s">
        <v>340</v>
      </c>
      <c r="L466" s="14" t="s">
        <v>341</v>
      </c>
      <c r="M466" s="16" t="s">
        <v>5039</v>
      </c>
      <c r="N466" s="14" t="s">
        <v>359</v>
      </c>
      <c r="O466" s="14" t="s">
        <v>5040</v>
      </c>
      <c r="P466" s="14">
        <v>150</v>
      </c>
      <c r="Q466" s="14">
        <v>2</v>
      </c>
      <c r="R466" s="14">
        <v>2800</v>
      </c>
      <c r="S466" s="14" t="s">
        <v>5041</v>
      </c>
      <c r="T466" s="14" t="s">
        <v>5042</v>
      </c>
      <c r="U466" s="14">
        <v>2.22444444444444</v>
      </c>
      <c r="V466" s="14">
        <v>2.43166666666666</v>
      </c>
      <c r="W466" s="14">
        <v>1655</v>
      </c>
      <c r="X466" s="14">
        <v>80</v>
      </c>
      <c r="Y466" s="14">
        <v>1575</v>
      </c>
      <c r="Z466" s="14">
        <v>1745</v>
      </c>
      <c r="AA466" s="14">
        <v>250</v>
      </c>
      <c r="AB466" s="14">
        <v>254</v>
      </c>
      <c r="AC466" s="14">
        <v>1163</v>
      </c>
      <c r="AD466" s="14">
        <v>79</v>
      </c>
      <c r="AE466" s="14">
        <v>3400</v>
      </c>
      <c r="AF466" s="14">
        <v>5000</v>
      </c>
      <c r="AG466" s="14">
        <v>5229</v>
      </c>
      <c r="AH466" s="14">
        <v>0</v>
      </c>
      <c r="AI466" s="14">
        <v>137</v>
      </c>
      <c r="AJ466" s="14">
        <v>310</v>
      </c>
      <c r="AK466" s="14" t="s">
        <v>5038</v>
      </c>
      <c r="AL466" s="14" t="s">
        <v>5043</v>
      </c>
      <c r="AM466" s="14">
        <v>656.69</v>
      </c>
      <c r="AN466" s="14">
        <v>624.6</v>
      </c>
      <c r="AO466" s="14">
        <v>54.99</v>
      </c>
      <c r="AP466" s="14">
        <v>19405</v>
      </c>
      <c r="AQ466" s="14">
        <v>19325</v>
      </c>
      <c r="AR466" s="14">
        <v>23000</v>
      </c>
      <c r="AS466" s="14">
        <v>16005</v>
      </c>
      <c r="AT466" s="14">
        <v>17750</v>
      </c>
      <c r="AU466" s="14">
        <v>26</v>
      </c>
      <c r="AV466" s="14">
        <v>282.86</v>
      </c>
      <c r="AW466" s="14">
        <v>28.25</v>
      </c>
      <c r="AX466" s="14">
        <v>2.9</v>
      </c>
      <c r="AY466" s="14" t="b">
        <v>0</v>
      </c>
    </row>
    <row r="467" spans="1:51" hidden="1" x14ac:dyDescent="0.3">
      <c r="A467" t="str">
        <f>CONCATENATE(I467,E467,LEFT(G467,10))</f>
        <v>HFA702LGAV2026-01-18</v>
      </c>
      <c r="B467" s="14" t="s">
        <v>5567</v>
      </c>
      <c r="C467" s="14" t="s">
        <v>336</v>
      </c>
      <c r="D467" s="14" t="s">
        <v>337</v>
      </c>
      <c r="E467" s="14" t="s">
        <v>48</v>
      </c>
      <c r="F467" s="14" t="s">
        <v>43</v>
      </c>
      <c r="G467" s="14" t="s">
        <v>5568</v>
      </c>
      <c r="H467" s="14" t="s">
        <v>436</v>
      </c>
      <c r="I467" s="14" t="s">
        <v>56</v>
      </c>
      <c r="J467" s="14" t="s">
        <v>83</v>
      </c>
      <c r="K467" s="14" t="s">
        <v>340</v>
      </c>
      <c r="L467" s="14" t="s">
        <v>341</v>
      </c>
      <c r="M467" s="16" t="s">
        <v>5569</v>
      </c>
      <c r="N467" s="14" t="s">
        <v>359</v>
      </c>
      <c r="O467" s="14" t="s">
        <v>5570</v>
      </c>
      <c r="P467" s="14">
        <v>150</v>
      </c>
      <c r="Q467" s="14">
        <v>2</v>
      </c>
      <c r="R467" s="14">
        <v>6700</v>
      </c>
      <c r="S467" s="14" t="s">
        <v>5571</v>
      </c>
      <c r="T467" s="14" t="s">
        <v>5572</v>
      </c>
      <c r="U467" s="14">
        <v>2.23888888888888</v>
      </c>
      <c r="V467" s="14">
        <v>2.5758333333333301</v>
      </c>
      <c r="W467" s="14">
        <v>1704</v>
      </c>
      <c r="X467" s="14">
        <v>80</v>
      </c>
      <c r="Y467" s="14">
        <v>1624</v>
      </c>
      <c r="Z467" s="14">
        <v>1196</v>
      </c>
      <c r="AA467" s="14">
        <v>665</v>
      </c>
      <c r="AB467" s="14">
        <v>283</v>
      </c>
      <c r="AC467" s="14">
        <v>167</v>
      </c>
      <c r="AD467" s="14">
        <v>81</v>
      </c>
      <c r="AE467" s="14">
        <v>2900</v>
      </c>
      <c r="AF467" s="14">
        <v>5000</v>
      </c>
      <c r="AG467" s="14">
        <v>5385</v>
      </c>
      <c r="AH467" s="14">
        <v>0</v>
      </c>
      <c r="AI467" s="14">
        <v>134</v>
      </c>
      <c r="AJ467" s="14">
        <v>235</v>
      </c>
      <c r="AK467" s="14" t="s">
        <v>5568</v>
      </c>
      <c r="AL467" s="14" t="s">
        <v>5573</v>
      </c>
      <c r="AM467" s="14">
        <v>656.69</v>
      </c>
      <c r="AN467" s="14">
        <v>624.6</v>
      </c>
      <c r="AO467" s="14">
        <v>54.99</v>
      </c>
      <c r="AP467" s="14">
        <v>22805</v>
      </c>
      <c r="AQ467" s="14">
        <v>22725</v>
      </c>
      <c r="AR467" s="14">
        <v>23000</v>
      </c>
      <c r="AS467" s="14">
        <v>19905</v>
      </c>
      <c r="AT467" s="14">
        <v>21101</v>
      </c>
      <c r="AU467" s="14">
        <v>34</v>
      </c>
      <c r="AV467" s="14">
        <v>303.94</v>
      </c>
      <c r="AW467" s="14">
        <v>37.43</v>
      </c>
      <c r="AX467" s="14">
        <v>-2.2799999999999998</v>
      </c>
      <c r="AY467" s="14" t="b">
        <v>0</v>
      </c>
    </row>
    <row r="468" spans="1:51" hidden="1" x14ac:dyDescent="0.3">
      <c r="A468" t="str">
        <f>CONCATENATE(I468,E468,LEFT(G468,10))</f>
        <v>HFA702LGAV2026-01-19</v>
      </c>
      <c r="B468" s="14" t="s">
        <v>5960</v>
      </c>
      <c r="C468" s="14" t="s">
        <v>336</v>
      </c>
      <c r="D468" s="14" t="s">
        <v>337</v>
      </c>
      <c r="E468" s="14" t="s">
        <v>48</v>
      </c>
      <c r="F468" s="14" t="s">
        <v>43</v>
      </c>
      <c r="G468" s="14" t="s">
        <v>5961</v>
      </c>
      <c r="H468" s="14" t="s">
        <v>393</v>
      </c>
      <c r="I468" s="14" t="s">
        <v>56</v>
      </c>
      <c r="J468" s="14" t="s">
        <v>83</v>
      </c>
      <c r="K468" s="14" t="s">
        <v>340</v>
      </c>
      <c r="L468" s="14" t="s">
        <v>341</v>
      </c>
      <c r="M468" s="16" t="s">
        <v>731</v>
      </c>
      <c r="N468" s="14"/>
      <c r="O468" s="14" t="s">
        <v>5962</v>
      </c>
      <c r="P468" s="14">
        <v>190</v>
      </c>
      <c r="Q468" s="14">
        <v>2</v>
      </c>
      <c r="R468" s="14">
        <v>3600</v>
      </c>
      <c r="S468" s="14" t="s">
        <v>5963</v>
      </c>
      <c r="T468" s="14" t="s">
        <v>5964</v>
      </c>
      <c r="U468" s="14">
        <v>2.1836111111111101</v>
      </c>
      <c r="V468" s="14">
        <v>2.47694444444444</v>
      </c>
      <c r="W468" s="14">
        <v>1621</v>
      </c>
      <c r="X468" s="14">
        <v>80</v>
      </c>
      <c r="Y468" s="14">
        <v>1541</v>
      </c>
      <c r="Z468" s="14">
        <v>1679</v>
      </c>
      <c r="AA468" s="14">
        <v>254</v>
      </c>
      <c r="AB468" s="14">
        <v>261</v>
      </c>
      <c r="AC468" s="14">
        <v>1087</v>
      </c>
      <c r="AD468" s="14">
        <v>77</v>
      </c>
      <c r="AE468" s="14">
        <v>3300</v>
      </c>
      <c r="AF468" s="14">
        <v>5000</v>
      </c>
      <c r="AG468" s="14">
        <v>5122</v>
      </c>
      <c r="AH468" s="14">
        <v>0</v>
      </c>
      <c r="AI468" s="14">
        <v>127</v>
      </c>
      <c r="AJ468" s="14">
        <v>282</v>
      </c>
      <c r="AK468" s="14" t="s">
        <v>5961</v>
      </c>
      <c r="AL468" s="14" t="s">
        <v>5965</v>
      </c>
      <c r="AM468" s="14">
        <v>659.16</v>
      </c>
      <c r="AN468" s="14">
        <v>624.6</v>
      </c>
      <c r="AO468" s="14">
        <v>54.99</v>
      </c>
      <c r="AP468" s="14">
        <v>20211</v>
      </c>
      <c r="AQ468" s="14">
        <v>20131</v>
      </c>
      <c r="AR468" s="14">
        <v>23000</v>
      </c>
      <c r="AS468" s="14">
        <v>16911</v>
      </c>
      <c r="AT468" s="14">
        <v>18590</v>
      </c>
      <c r="AU468" s="14">
        <v>50</v>
      </c>
      <c r="AV468" s="14">
        <v>286.58</v>
      </c>
      <c r="AW468" s="14">
        <v>59.72</v>
      </c>
      <c r="AX468" s="14">
        <v>-0.34</v>
      </c>
      <c r="AY468" s="14" t="b">
        <v>0</v>
      </c>
    </row>
    <row r="469" spans="1:51" hidden="1" x14ac:dyDescent="0.3">
      <c r="A469" t="str">
        <f>CONCATENATE(I469,E469,LEFT(G469,10))</f>
        <v>HFA702LGAV2026-01-21</v>
      </c>
      <c r="B469" s="14" t="s">
        <v>1577</v>
      </c>
      <c r="C469" s="14" t="s">
        <v>336</v>
      </c>
      <c r="D469" s="14" t="s">
        <v>337</v>
      </c>
      <c r="E469" s="14" t="s">
        <v>48</v>
      </c>
      <c r="F469" s="14" t="s">
        <v>43</v>
      </c>
      <c r="G469" s="14" t="s">
        <v>1573</v>
      </c>
      <c r="H469" s="14" t="s">
        <v>436</v>
      </c>
      <c r="I469" s="14" t="s">
        <v>56</v>
      </c>
      <c r="J469" s="14" t="s">
        <v>83</v>
      </c>
      <c r="K469" s="14" t="s">
        <v>340</v>
      </c>
      <c r="L469" s="14" t="s">
        <v>341</v>
      </c>
      <c r="M469" s="16" t="s">
        <v>1578</v>
      </c>
      <c r="N469" s="14" t="s">
        <v>359</v>
      </c>
      <c r="O469" s="14" t="s">
        <v>1579</v>
      </c>
      <c r="P469" s="14">
        <v>170</v>
      </c>
      <c r="Q469" s="14">
        <v>2</v>
      </c>
      <c r="R469" s="14">
        <v>2000</v>
      </c>
      <c r="S469" s="14" t="s">
        <v>1580</v>
      </c>
      <c r="T469" s="14" t="s">
        <v>1581</v>
      </c>
      <c r="U469" s="14">
        <v>2.2875000000000001</v>
      </c>
      <c r="V469" s="14">
        <v>2.4622222222222199</v>
      </c>
      <c r="W469" s="14">
        <v>1696</v>
      </c>
      <c r="X469" s="14">
        <v>80</v>
      </c>
      <c r="Y469" s="14">
        <v>1616</v>
      </c>
      <c r="Z469" s="14">
        <v>2804</v>
      </c>
      <c r="AA469" s="14">
        <v>252</v>
      </c>
      <c r="AB469" s="14">
        <v>256</v>
      </c>
      <c r="AC469" s="14">
        <v>2216</v>
      </c>
      <c r="AD469" s="14">
        <v>81</v>
      </c>
      <c r="AE469" s="14">
        <v>4500</v>
      </c>
      <c r="AF469" s="14">
        <v>5000</v>
      </c>
      <c r="AG469" s="14">
        <v>5358</v>
      </c>
      <c r="AH469" s="14">
        <v>0</v>
      </c>
      <c r="AI469" s="14">
        <v>139</v>
      </c>
      <c r="AJ469" s="14">
        <v>393</v>
      </c>
      <c r="AK469" s="14" t="s">
        <v>1573</v>
      </c>
      <c r="AL469" s="14" t="s">
        <v>1582</v>
      </c>
      <c r="AM469" s="14">
        <v>659.16</v>
      </c>
      <c r="AN469" s="14">
        <v>624.6</v>
      </c>
      <c r="AO469" s="14">
        <v>54.99</v>
      </c>
      <c r="AP469" s="14">
        <v>19705</v>
      </c>
      <c r="AQ469" s="14">
        <v>19625</v>
      </c>
      <c r="AR469" s="14">
        <v>23000</v>
      </c>
      <c r="AS469" s="14">
        <v>15205</v>
      </c>
      <c r="AT469" s="14">
        <v>18009</v>
      </c>
      <c r="AU469" s="14">
        <v>20</v>
      </c>
      <c r="AV469" s="14">
        <v>245.99</v>
      </c>
      <c r="AW469" s="14">
        <v>48.31</v>
      </c>
      <c r="AX469" s="14">
        <v>2.63</v>
      </c>
      <c r="AY469" s="14" t="b">
        <v>0</v>
      </c>
    </row>
    <row r="470" spans="1:51" hidden="1" x14ac:dyDescent="0.3">
      <c r="A470" t="str">
        <f>CONCATENATE(I470,E470,LEFT(G470,10))</f>
        <v>HFA702LGAV2026-01-22</v>
      </c>
      <c r="B470" s="14" t="s">
        <v>2128</v>
      </c>
      <c r="C470" s="14" t="s">
        <v>336</v>
      </c>
      <c r="D470" s="14" t="s">
        <v>337</v>
      </c>
      <c r="E470" s="14" t="s">
        <v>48</v>
      </c>
      <c r="F470" s="14" t="s">
        <v>43</v>
      </c>
      <c r="G470" s="14" t="s">
        <v>2129</v>
      </c>
      <c r="H470" s="14" t="s">
        <v>357</v>
      </c>
      <c r="I470" s="14" t="s">
        <v>56</v>
      </c>
      <c r="J470" s="14" t="s">
        <v>83</v>
      </c>
      <c r="K470" s="14" t="s">
        <v>340</v>
      </c>
      <c r="L470" s="14" t="s">
        <v>341</v>
      </c>
      <c r="M470" s="16" t="s">
        <v>2130</v>
      </c>
      <c r="N470" s="14" t="s">
        <v>359</v>
      </c>
      <c r="O470" s="14" t="s">
        <v>2131</v>
      </c>
      <c r="P470" s="14">
        <v>150</v>
      </c>
      <c r="Q470" s="14">
        <v>2</v>
      </c>
      <c r="R470" s="14">
        <v>2400</v>
      </c>
      <c r="S470" s="14" t="s">
        <v>2132</v>
      </c>
      <c r="T470" s="14" t="s">
        <v>2133</v>
      </c>
      <c r="U470" s="14">
        <v>4.3347222222222204</v>
      </c>
      <c r="V470" s="14">
        <v>2.5416666666666599</v>
      </c>
      <c r="W470" s="14">
        <v>1702</v>
      </c>
      <c r="X470" s="14">
        <v>80</v>
      </c>
      <c r="Y470" s="14">
        <v>1622</v>
      </c>
      <c r="Z470" s="14">
        <v>1898</v>
      </c>
      <c r="AA470" s="14">
        <v>585</v>
      </c>
      <c r="AB470" s="14">
        <v>252</v>
      </c>
      <c r="AC470" s="14">
        <v>980</v>
      </c>
      <c r="AD470" s="14">
        <v>81</v>
      </c>
      <c r="AE470" s="14">
        <v>3600</v>
      </c>
      <c r="AF470" s="14">
        <v>5000</v>
      </c>
      <c r="AG470" s="14">
        <v>5378</v>
      </c>
      <c r="AH470" s="14">
        <v>0</v>
      </c>
      <c r="AI470" s="14">
        <v>138</v>
      </c>
      <c r="AJ470" s="14">
        <v>311</v>
      </c>
      <c r="AK470" s="14" t="s">
        <v>2129</v>
      </c>
      <c r="AL470" s="14" t="s">
        <v>2134</v>
      </c>
      <c r="AM470" s="14">
        <v>645.69000000000005</v>
      </c>
      <c r="AN470" s="14">
        <v>624.6</v>
      </c>
      <c r="AO470" s="14">
        <v>54.99</v>
      </c>
      <c r="AP470" s="14">
        <v>19225</v>
      </c>
      <c r="AQ470" s="14">
        <v>19145</v>
      </c>
      <c r="AR470" s="14">
        <v>23000</v>
      </c>
      <c r="AS470" s="14">
        <v>15625</v>
      </c>
      <c r="AT470" s="14">
        <v>17523</v>
      </c>
      <c r="AU470" s="14">
        <v>14</v>
      </c>
      <c r="AV470" s="14">
        <v>234.18</v>
      </c>
      <c r="AW470" s="14">
        <v>41.54</v>
      </c>
      <c r="AX470" s="14">
        <v>1.28</v>
      </c>
      <c r="AY470" s="14" t="b">
        <v>0</v>
      </c>
    </row>
    <row r="471" spans="1:51" hidden="1" x14ac:dyDescent="0.3">
      <c r="A471" t="str">
        <f>CONCATENATE(I471,E471,LEFT(G471,10))</f>
        <v>HFA702LGAV2026-01-23</v>
      </c>
      <c r="B471" s="14" t="s">
        <v>5106</v>
      </c>
      <c r="C471" s="14" t="s">
        <v>336</v>
      </c>
      <c r="D471" s="14" t="s">
        <v>337</v>
      </c>
      <c r="E471" s="14" t="s">
        <v>48</v>
      </c>
      <c r="F471" s="14" t="s">
        <v>43</v>
      </c>
      <c r="G471" s="14" t="s">
        <v>5107</v>
      </c>
      <c r="H471" s="14" t="s">
        <v>436</v>
      </c>
      <c r="I471" s="14" t="s">
        <v>56</v>
      </c>
      <c r="J471" s="14" t="s">
        <v>83</v>
      </c>
      <c r="K471" s="14" t="s">
        <v>340</v>
      </c>
      <c r="L471" s="14" t="s">
        <v>341</v>
      </c>
      <c r="M471" s="16" t="s">
        <v>5088</v>
      </c>
      <c r="N471" s="14" t="s">
        <v>359</v>
      </c>
      <c r="O471" s="14" t="s">
        <v>5108</v>
      </c>
      <c r="P471" s="14">
        <v>190</v>
      </c>
      <c r="Q471" s="14">
        <v>2</v>
      </c>
      <c r="R471" s="14">
        <v>3200</v>
      </c>
      <c r="S471" s="14" t="s">
        <v>5109</v>
      </c>
      <c r="T471" s="14" t="s">
        <v>5110</v>
      </c>
      <c r="U471" s="14">
        <v>2.3516666666666599</v>
      </c>
      <c r="V471" s="14">
        <v>2.4852777777777701</v>
      </c>
      <c r="W471" s="14">
        <v>1623</v>
      </c>
      <c r="X471" s="14">
        <v>80</v>
      </c>
      <c r="Y471" s="14">
        <v>1543</v>
      </c>
      <c r="Z471" s="14">
        <v>1577</v>
      </c>
      <c r="AA471" s="14">
        <v>255</v>
      </c>
      <c r="AB471" s="14">
        <v>256</v>
      </c>
      <c r="AC471" s="14">
        <v>989</v>
      </c>
      <c r="AD471" s="14">
        <v>77</v>
      </c>
      <c r="AE471" s="14">
        <v>3200</v>
      </c>
      <c r="AF471" s="14">
        <v>5000</v>
      </c>
      <c r="AG471" s="14">
        <v>5129</v>
      </c>
      <c r="AH471" s="14">
        <v>0</v>
      </c>
      <c r="AI471" s="14">
        <v>138</v>
      </c>
      <c r="AJ471" s="14">
        <v>287</v>
      </c>
      <c r="AK471" s="14" t="s">
        <v>5107</v>
      </c>
      <c r="AL471" s="14" t="s">
        <v>5111</v>
      </c>
      <c r="AM471" s="14">
        <v>656.69</v>
      </c>
      <c r="AN471" s="14">
        <v>624.6</v>
      </c>
      <c r="AO471" s="14">
        <v>54.99</v>
      </c>
      <c r="AP471" s="14">
        <v>19605</v>
      </c>
      <c r="AQ471" s="14">
        <v>19525</v>
      </c>
      <c r="AR471" s="14">
        <v>23000</v>
      </c>
      <c r="AS471" s="14">
        <v>16405</v>
      </c>
      <c r="AT471" s="14">
        <v>17982</v>
      </c>
      <c r="AU471" s="14">
        <v>22</v>
      </c>
      <c r="AV471" s="14">
        <v>257.18</v>
      </c>
      <c r="AW471" s="14">
        <v>33.42</v>
      </c>
      <c r="AX471" s="14">
        <v>1.32</v>
      </c>
      <c r="AY471" s="14" t="b">
        <v>0</v>
      </c>
    </row>
    <row r="472" spans="1:51" hidden="1" x14ac:dyDescent="0.3">
      <c r="A472" t="str">
        <f>CONCATENATE(I472,E472,LEFT(G472,10))</f>
        <v>HFA702LGAV2026-01-25</v>
      </c>
      <c r="B472" s="14" t="s">
        <v>5229</v>
      </c>
      <c r="C472" s="14" t="s">
        <v>336</v>
      </c>
      <c r="D472" s="14" t="s">
        <v>337</v>
      </c>
      <c r="E472" s="14" t="s">
        <v>48</v>
      </c>
      <c r="F472" s="14" t="s">
        <v>43</v>
      </c>
      <c r="G472" s="14" t="s">
        <v>5230</v>
      </c>
      <c r="H472" s="14" t="s">
        <v>357</v>
      </c>
      <c r="I472" s="14" t="s">
        <v>56</v>
      </c>
      <c r="J472" s="14" t="s">
        <v>83</v>
      </c>
      <c r="K472" s="14" t="s">
        <v>340</v>
      </c>
      <c r="L472" s="14" t="s">
        <v>341</v>
      </c>
      <c r="M472" s="16" t="s">
        <v>1352</v>
      </c>
      <c r="N472" s="14" t="s">
        <v>359</v>
      </c>
      <c r="O472" s="14" t="s">
        <v>5165</v>
      </c>
      <c r="P472" s="14">
        <v>190</v>
      </c>
      <c r="Q472" s="14">
        <v>2</v>
      </c>
      <c r="R472" s="14">
        <v>5200</v>
      </c>
      <c r="S472" s="14" t="s">
        <v>5231</v>
      </c>
      <c r="T472" s="14" t="s">
        <v>5232</v>
      </c>
      <c r="U472" s="14">
        <v>2.39055555555555</v>
      </c>
      <c r="V472" s="14">
        <v>2.5924999999999998</v>
      </c>
      <c r="W472" s="14">
        <v>1585</v>
      </c>
      <c r="X472" s="14">
        <v>80</v>
      </c>
      <c r="Y472" s="14">
        <v>1505</v>
      </c>
      <c r="Z472" s="14">
        <v>1715</v>
      </c>
      <c r="AA472" s="14">
        <v>256</v>
      </c>
      <c r="AB472" s="14">
        <v>274</v>
      </c>
      <c r="AC472" s="14">
        <v>1110</v>
      </c>
      <c r="AD472" s="14">
        <v>75</v>
      </c>
      <c r="AE472" s="14">
        <v>3300</v>
      </c>
      <c r="AF472" s="14">
        <v>5000</v>
      </c>
      <c r="AG472" s="14">
        <v>5008</v>
      </c>
      <c r="AH472" s="14">
        <v>0</v>
      </c>
      <c r="AI472" s="14">
        <v>141</v>
      </c>
      <c r="AJ472" s="14">
        <v>307</v>
      </c>
      <c r="AK472" s="14" t="s">
        <v>5230</v>
      </c>
      <c r="AL472" s="14" t="s">
        <v>5233</v>
      </c>
      <c r="AM472" s="14">
        <v>645.69000000000005</v>
      </c>
      <c r="AN472" s="14">
        <v>624.6</v>
      </c>
      <c r="AO472" s="14">
        <v>54.99</v>
      </c>
      <c r="AP472" s="14">
        <v>21725</v>
      </c>
      <c r="AQ472" s="14">
        <v>21645</v>
      </c>
      <c r="AR472" s="14">
        <v>23000</v>
      </c>
      <c r="AS472" s="14">
        <v>18425</v>
      </c>
      <c r="AT472" s="14">
        <v>20140</v>
      </c>
      <c r="AU472" s="14">
        <v>20</v>
      </c>
      <c r="AV472" s="14">
        <v>260.83</v>
      </c>
      <c r="AW472" s="14">
        <v>29.01</v>
      </c>
      <c r="AX472" s="14">
        <v>6.33</v>
      </c>
      <c r="AY472" s="14" t="b">
        <v>0</v>
      </c>
    </row>
    <row r="473" spans="1:51" hidden="1" x14ac:dyDescent="0.3">
      <c r="A473" t="str">
        <f>CONCATENATE(I473,E473,LEFT(G473,10))</f>
        <v>HFA702LGAV2026-01-28</v>
      </c>
      <c r="B473" s="14" t="s">
        <v>1325</v>
      </c>
      <c r="C473" s="14" t="s">
        <v>336</v>
      </c>
      <c r="D473" s="14" t="s">
        <v>337</v>
      </c>
      <c r="E473" s="14" t="s">
        <v>48</v>
      </c>
      <c r="F473" s="14" t="s">
        <v>43</v>
      </c>
      <c r="G473" s="14" t="s">
        <v>1319</v>
      </c>
      <c r="H473" s="14" t="s">
        <v>436</v>
      </c>
      <c r="I473" s="14" t="s">
        <v>56</v>
      </c>
      <c r="J473" s="14" t="s">
        <v>83</v>
      </c>
      <c r="K473" s="14" t="s">
        <v>340</v>
      </c>
      <c r="L473" s="14" t="s">
        <v>341</v>
      </c>
      <c r="M473" s="16" t="s">
        <v>1326</v>
      </c>
      <c r="N473" s="14" t="s">
        <v>359</v>
      </c>
      <c r="O473" s="14" t="s">
        <v>1327</v>
      </c>
      <c r="P473" s="14">
        <v>190</v>
      </c>
      <c r="Q473" s="14">
        <v>2</v>
      </c>
      <c r="R473" s="14">
        <v>3500</v>
      </c>
      <c r="S473" s="14" t="s">
        <v>1328</v>
      </c>
      <c r="T473" s="14" t="s">
        <v>1329</v>
      </c>
      <c r="U473" s="14">
        <v>2.2297222222222199</v>
      </c>
      <c r="V473" s="14">
        <v>2.42638888888888</v>
      </c>
      <c r="W473" s="14">
        <v>1594</v>
      </c>
      <c r="X473" s="14">
        <v>80</v>
      </c>
      <c r="Y473" s="14">
        <v>1514</v>
      </c>
      <c r="Z473" s="14">
        <v>1606</v>
      </c>
      <c r="AA473" s="14">
        <v>255</v>
      </c>
      <c r="AB473" s="14">
        <v>258</v>
      </c>
      <c r="AC473" s="14">
        <v>1017</v>
      </c>
      <c r="AD473" s="14">
        <v>76</v>
      </c>
      <c r="AE473" s="14">
        <v>3200</v>
      </c>
      <c r="AF473" s="14">
        <v>5000</v>
      </c>
      <c r="AG473" s="14">
        <v>5036</v>
      </c>
      <c r="AH473" s="14">
        <v>0</v>
      </c>
      <c r="AI473" s="14">
        <v>133</v>
      </c>
      <c r="AJ473" s="14">
        <v>281</v>
      </c>
      <c r="AK473" s="14" t="s">
        <v>1319</v>
      </c>
      <c r="AL473" s="14" t="s">
        <v>1330</v>
      </c>
      <c r="AM473" s="14">
        <v>645.69000000000005</v>
      </c>
      <c r="AN473" s="14">
        <v>624.6</v>
      </c>
      <c r="AO473" s="14">
        <v>54.99</v>
      </c>
      <c r="AP473" s="14">
        <v>19905</v>
      </c>
      <c r="AQ473" s="14">
        <v>19825</v>
      </c>
      <c r="AR473" s="14">
        <v>23000</v>
      </c>
      <c r="AS473" s="14">
        <v>16705</v>
      </c>
      <c r="AT473" s="14">
        <v>18311</v>
      </c>
      <c r="AU473" s="14">
        <v>31</v>
      </c>
      <c r="AV473" s="14">
        <v>298.44</v>
      </c>
      <c r="AW473" s="14">
        <v>33.26</v>
      </c>
      <c r="AX473" s="14">
        <v>1.36</v>
      </c>
      <c r="AY473" s="14" t="b">
        <v>0</v>
      </c>
    </row>
    <row r="474" spans="1:51" hidden="1" x14ac:dyDescent="0.3">
      <c r="A474" t="str">
        <f>CONCATENATE(I474,E474,LEFT(G474,10))</f>
        <v>HFA702LGAV2026-01-29</v>
      </c>
      <c r="B474" s="14" t="s">
        <v>6299</v>
      </c>
      <c r="C474" s="14" t="s">
        <v>336</v>
      </c>
      <c r="D474" s="14" t="s">
        <v>337</v>
      </c>
      <c r="E474" s="14" t="s">
        <v>48</v>
      </c>
      <c r="F474" s="14" t="s">
        <v>43</v>
      </c>
      <c r="G474" s="14" t="s">
        <v>6300</v>
      </c>
      <c r="H474" s="14" t="s">
        <v>357</v>
      </c>
      <c r="I474" s="14" t="s">
        <v>56</v>
      </c>
      <c r="J474" s="14" t="s">
        <v>83</v>
      </c>
      <c r="K474" s="14" t="s">
        <v>340</v>
      </c>
      <c r="L474" s="14" t="s">
        <v>341</v>
      </c>
      <c r="M474" s="16" t="s">
        <v>731</v>
      </c>
      <c r="N474" s="14" t="s">
        <v>359</v>
      </c>
      <c r="O474" s="14" t="s">
        <v>6301</v>
      </c>
      <c r="P474" s="14">
        <v>190</v>
      </c>
      <c r="Q474" s="14">
        <v>2</v>
      </c>
      <c r="R474" s="14">
        <v>1500</v>
      </c>
      <c r="S474" s="14" t="s">
        <v>6302</v>
      </c>
      <c r="T474" s="14" t="s">
        <v>6303</v>
      </c>
      <c r="U474" s="14">
        <v>2.2275</v>
      </c>
      <c r="V474" s="14">
        <v>2.35361111111111</v>
      </c>
      <c r="W474" s="14">
        <v>1491</v>
      </c>
      <c r="X474" s="14">
        <v>80</v>
      </c>
      <c r="Y474" s="14">
        <v>1411</v>
      </c>
      <c r="Z474" s="14">
        <v>1809</v>
      </c>
      <c r="AA474" s="14">
        <v>253</v>
      </c>
      <c r="AB474" s="14">
        <v>245</v>
      </c>
      <c r="AC474" s="14">
        <v>1242</v>
      </c>
      <c r="AD474" s="14">
        <v>71</v>
      </c>
      <c r="AE474" s="14">
        <v>3300</v>
      </c>
      <c r="AF474" s="14">
        <v>5000</v>
      </c>
      <c r="AG474" s="14">
        <v>4711</v>
      </c>
      <c r="AH474" s="14">
        <v>0</v>
      </c>
      <c r="AI474" s="14">
        <v>133</v>
      </c>
      <c r="AJ474" s="14">
        <v>318</v>
      </c>
      <c r="AK474" s="14" t="s">
        <v>6300</v>
      </c>
      <c r="AL474" s="14" t="s">
        <v>6304</v>
      </c>
      <c r="AM474" s="14">
        <v>645.69000000000005</v>
      </c>
      <c r="AN474" s="14">
        <v>624.6</v>
      </c>
      <c r="AO474" s="14">
        <v>54.99</v>
      </c>
      <c r="AP474" s="14">
        <v>18025</v>
      </c>
      <c r="AQ474" s="14">
        <v>17945</v>
      </c>
      <c r="AR474" s="14">
        <v>23000</v>
      </c>
      <c r="AS474" s="14">
        <v>14725</v>
      </c>
      <c r="AT474" s="14">
        <v>16534</v>
      </c>
      <c r="AU474" s="14">
        <v>29</v>
      </c>
      <c r="AV474" s="14">
        <v>246.61</v>
      </c>
      <c r="AW474" s="14">
        <v>55.83</v>
      </c>
      <c r="AX474" s="14">
        <v>2.34</v>
      </c>
      <c r="AY474" s="14" t="b">
        <v>0</v>
      </c>
    </row>
    <row r="475" spans="1:51" hidden="1" x14ac:dyDescent="0.3">
      <c r="A475" t="str">
        <f>CONCATENATE(I475,E475,LEFT(G475,10))</f>
        <v>HFA702LGAV2026-01-30</v>
      </c>
      <c r="B475" s="15" t="s">
        <v>1167</v>
      </c>
      <c r="C475" s="14" t="s">
        <v>336</v>
      </c>
      <c r="D475" s="14" t="s">
        <v>337</v>
      </c>
      <c r="E475" s="14" t="s">
        <v>48</v>
      </c>
      <c r="F475" s="14" t="s">
        <v>43</v>
      </c>
      <c r="G475" s="14" t="s">
        <v>1168</v>
      </c>
      <c r="H475" s="14" t="s">
        <v>436</v>
      </c>
      <c r="I475" s="14" t="s">
        <v>56</v>
      </c>
      <c r="J475" s="14" t="s">
        <v>83</v>
      </c>
      <c r="K475" s="14" t="s">
        <v>340</v>
      </c>
      <c r="L475" s="14" t="s">
        <v>341</v>
      </c>
      <c r="M475" s="16" t="s">
        <v>1090</v>
      </c>
      <c r="N475" s="14" t="s">
        <v>359</v>
      </c>
      <c r="O475" s="14" t="s">
        <v>1169</v>
      </c>
      <c r="P475" s="14">
        <v>150</v>
      </c>
      <c r="Q475" s="14">
        <v>2</v>
      </c>
      <c r="R475" s="14">
        <v>2900</v>
      </c>
      <c r="S475" s="14" t="s">
        <v>1170</v>
      </c>
      <c r="T475" s="14" t="s">
        <v>1171</v>
      </c>
      <c r="U475" s="14">
        <v>2.1305555555555502</v>
      </c>
      <c r="V475" s="14">
        <v>2.3224999999999998</v>
      </c>
      <c r="W475" s="14">
        <v>1580</v>
      </c>
      <c r="X475" s="14">
        <v>80</v>
      </c>
      <c r="Y475" s="14">
        <v>1500</v>
      </c>
      <c r="Z475" s="14">
        <v>1920</v>
      </c>
      <c r="AA475" s="14">
        <v>266</v>
      </c>
      <c r="AB475" s="14">
        <v>256</v>
      </c>
      <c r="AC475" s="14">
        <v>1322</v>
      </c>
      <c r="AD475" s="14">
        <v>75</v>
      </c>
      <c r="AE475" s="14">
        <v>3500</v>
      </c>
      <c r="AF475" s="14">
        <v>5000</v>
      </c>
      <c r="AG475" s="14">
        <v>4993</v>
      </c>
      <c r="AH475" s="14">
        <v>0</v>
      </c>
      <c r="AI475" s="14">
        <v>129</v>
      </c>
      <c r="AJ475" s="14">
        <v>312</v>
      </c>
      <c r="AK475" s="14" t="s">
        <v>1168</v>
      </c>
      <c r="AL475" s="14" t="s">
        <v>1172</v>
      </c>
      <c r="AM475" s="14">
        <v>656.69</v>
      </c>
      <c r="AN475" s="14">
        <v>624.6</v>
      </c>
      <c r="AO475" s="14">
        <v>54.99</v>
      </c>
      <c r="AP475" s="14">
        <v>19605</v>
      </c>
      <c r="AQ475" s="14">
        <v>19525</v>
      </c>
      <c r="AR475" s="14">
        <v>23000</v>
      </c>
      <c r="AS475" s="14">
        <v>16105</v>
      </c>
      <c r="AT475" s="14">
        <v>18025</v>
      </c>
      <c r="AU475" s="14">
        <v>43</v>
      </c>
      <c r="AV475" s="14">
        <v>272.49</v>
      </c>
      <c r="AW475" s="14">
        <v>54.67</v>
      </c>
      <c r="AX475" s="14">
        <v>4.5599999999999996</v>
      </c>
      <c r="AY475" s="14" t="b">
        <v>0</v>
      </c>
    </row>
    <row r="476" spans="1:51" hidden="1" x14ac:dyDescent="0.3">
      <c r="A476" t="str">
        <f>CONCATENATE(I476,E476,LEFT(G476,10))</f>
        <v>HFA702LGAV2026-02-05</v>
      </c>
      <c r="B476" s="14" t="s">
        <v>4678</v>
      </c>
      <c r="C476" s="14" t="s">
        <v>336</v>
      </c>
      <c r="D476" s="14" t="s">
        <v>337</v>
      </c>
      <c r="E476" s="14" t="s">
        <v>48</v>
      </c>
      <c r="F476" s="14" t="s">
        <v>43</v>
      </c>
      <c r="G476" s="14" t="s">
        <v>4679</v>
      </c>
      <c r="H476" s="14" t="s">
        <v>436</v>
      </c>
      <c r="I476" s="14" t="s">
        <v>56</v>
      </c>
      <c r="J476" s="14" t="s">
        <v>83</v>
      </c>
      <c r="K476" s="14" t="s">
        <v>340</v>
      </c>
      <c r="L476" s="14" t="s">
        <v>341</v>
      </c>
      <c r="M476" s="16" t="s">
        <v>4680</v>
      </c>
      <c r="N476" s="14" t="s">
        <v>359</v>
      </c>
      <c r="O476" s="14" t="s">
        <v>4681</v>
      </c>
      <c r="P476" s="14">
        <v>170</v>
      </c>
      <c r="Q476" s="14">
        <v>2</v>
      </c>
      <c r="R476" s="14">
        <v>1400</v>
      </c>
      <c r="S476" s="14" t="s">
        <v>4682</v>
      </c>
      <c r="T476" s="14" t="s">
        <v>4683</v>
      </c>
      <c r="U476" s="14">
        <v>2.4833333333333298</v>
      </c>
      <c r="V476" s="14">
        <v>2.5486111111111098</v>
      </c>
      <c r="W476" s="14">
        <v>1660</v>
      </c>
      <c r="X476" s="14">
        <v>80</v>
      </c>
      <c r="Y476" s="14">
        <v>1580</v>
      </c>
      <c r="Z476" s="14">
        <v>1540</v>
      </c>
      <c r="AA476" s="14">
        <v>248</v>
      </c>
      <c r="AB476" s="14">
        <v>242</v>
      </c>
      <c r="AC476" s="14">
        <v>970</v>
      </c>
      <c r="AD476" s="14">
        <v>79</v>
      </c>
      <c r="AE476" s="14">
        <v>3200</v>
      </c>
      <c r="AF476" s="14">
        <v>5000</v>
      </c>
      <c r="AG476" s="14">
        <v>5247</v>
      </c>
      <c r="AH476" s="14">
        <v>0</v>
      </c>
      <c r="AI476" s="14">
        <v>137</v>
      </c>
      <c r="AJ476" s="14">
        <v>281</v>
      </c>
      <c r="AK476" s="14" t="s">
        <v>4679</v>
      </c>
      <c r="AL476" s="14" t="s">
        <v>4684</v>
      </c>
      <c r="AM476" s="14">
        <v>645.69000000000005</v>
      </c>
      <c r="AN476" s="14">
        <v>624.6</v>
      </c>
      <c r="AO476" s="14">
        <v>54.99</v>
      </c>
      <c r="AP476" s="14">
        <v>17805</v>
      </c>
      <c r="AQ476" s="14">
        <v>17725</v>
      </c>
      <c r="AR476" s="14">
        <v>23000</v>
      </c>
      <c r="AS476" s="14">
        <v>14605</v>
      </c>
      <c r="AT476" s="14">
        <v>16145</v>
      </c>
      <c r="AU476" s="14">
        <v>16</v>
      </c>
      <c r="AV476" s="14">
        <v>240.16</v>
      </c>
      <c r="AW476" s="14">
        <v>41.48</v>
      </c>
      <c r="AX476" s="14">
        <v>3.25</v>
      </c>
      <c r="AY476" s="14" t="b">
        <v>0</v>
      </c>
    </row>
    <row r="477" spans="1:51" hidden="1" x14ac:dyDescent="0.3">
      <c r="A477" t="str">
        <f>CONCATENATE(I477,E477,LEFT(G477,10))</f>
        <v>HFA702LGAV2026-02-06</v>
      </c>
      <c r="B477" s="14" t="s">
        <v>5451</v>
      </c>
      <c r="C477" s="14" t="s">
        <v>336</v>
      </c>
      <c r="D477" s="14" t="s">
        <v>337</v>
      </c>
      <c r="E477" s="14" t="s">
        <v>48</v>
      </c>
      <c r="F477" s="14" t="s">
        <v>43</v>
      </c>
      <c r="G477" s="14" t="s">
        <v>5452</v>
      </c>
      <c r="H477" s="14" t="s">
        <v>436</v>
      </c>
      <c r="I477" s="14" t="s">
        <v>56</v>
      </c>
      <c r="J477" s="14" t="s">
        <v>83</v>
      </c>
      <c r="K477" s="14" t="s">
        <v>340</v>
      </c>
      <c r="L477" s="14" t="s">
        <v>341</v>
      </c>
      <c r="M477" s="16" t="s">
        <v>5453</v>
      </c>
      <c r="N477" s="14" t="s">
        <v>359</v>
      </c>
      <c r="O477" s="14" t="s">
        <v>5454</v>
      </c>
      <c r="P477" s="14">
        <v>150</v>
      </c>
      <c r="Q477" s="14">
        <v>2</v>
      </c>
      <c r="R477" s="14">
        <v>2600</v>
      </c>
      <c r="S477" s="14" t="s">
        <v>5455</v>
      </c>
      <c r="T477" s="14" t="s">
        <v>5456</v>
      </c>
      <c r="U477" s="14">
        <v>2.1880555555555499</v>
      </c>
      <c r="V477" s="14">
        <v>2.37</v>
      </c>
      <c r="W477" s="14">
        <v>1593</v>
      </c>
      <c r="X477" s="14">
        <v>80</v>
      </c>
      <c r="Y477" s="14">
        <v>1513</v>
      </c>
      <c r="Z477" s="14">
        <v>2407</v>
      </c>
      <c r="AA477" s="14">
        <v>260</v>
      </c>
      <c r="AB477" s="14">
        <v>258</v>
      </c>
      <c r="AC477" s="14">
        <v>1814</v>
      </c>
      <c r="AD477" s="14">
        <v>76</v>
      </c>
      <c r="AE477" s="14">
        <v>4000</v>
      </c>
      <c r="AF477" s="14">
        <v>5000</v>
      </c>
      <c r="AG477" s="14">
        <v>5034</v>
      </c>
      <c r="AH477" s="14">
        <v>0</v>
      </c>
      <c r="AI477" s="14">
        <v>130</v>
      </c>
      <c r="AJ477" s="14">
        <v>357</v>
      </c>
      <c r="AK477" s="14" t="s">
        <v>5452</v>
      </c>
      <c r="AL477" s="14" t="s">
        <v>5457</v>
      </c>
      <c r="AM477" s="14">
        <v>648.15</v>
      </c>
      <c r="AN477" s="14">
        <v>624.6</v>
      </c>
      <c r="AO477" s="14">
        <v>54.99</v>
      </c>
      <c r="AP477" s="14">
        <v>19805</v>
      </c>
      <c r="AQ477" s="14">
        <v>19725</v>
      </c>
      <c r="AR477" s="14">
        <v>23000</v>
      </c>
      <c r="AS477" s="14">
        <v>15805</v>
      </c>
      <c r="AT477" s="14">
        <v>18212</v>
      </c>
      <c r="AU477" s="14">
        <v>36</v>
      </c>
      <c r="AV477" s="14">
        <v>284.14</v>
      </c>
      <c r="AW477" s="14">
        <v>41.68</v>
      </c>
      <c r="AX477" s="14">
        <v>3.97</v>
      </c>
      <c r="AY477" s="14" t="b">
        <v>0</v>
      </c>
    </row>
    <row r="478" spans="1:51" hidden="1" x14ac:dyDescent="0.3">
      <c r="A478" t="str">
        <f>CONCATENATE(I478,E478,LEFT(G478,10))</f>
        <v>HFA702LGAV2026-02-08</v>
      </c>
      <c r="B478" s="14" t="s">
        <v>434</v>
      </c>
      <c r="C478" s="14" t="s">
        <v>336</v>
      </c>
      <c r="D478" s="14" t="s">
        <v>337</v>
      </c>
      <c r="E478" s="14" t="s">
        <v>48</v>
      </c>
      <c r="F478" s="14" t="s">
        <v>43</v>
      </c>
      <c r="G478" s="14" t="s">
        <v>435</v>
      </c>
      <c r="H478" s="14" t="s">
        <v>436</v>
      </c>
      <c r="I478" s="14" t="s">
        <v>56</v>
      </c>
      <c r="J478" s="14" t="s">
        <v>83</v>
      </c>
      <c r="K478" s="14" t="s">
        <v>340</v>
      </c>
      <c r="L478" s="14" t="s">
        <v>341</v>
      </c>
      <c r="M478" s="16" t="s">
        <v>437</v>
      </c>
      <c r="N478" s="14" t="s">
        <v>359</v>
      </c>
      <c r="O478" s="14" t="s">
        <v>438</v>
      </c>
      <c r="P478" s="14">
        <v>150</v>
      </c>
      <c r="Q478" s="14">
        <v>2</v>
      </c>
      <c r="R478" s="14">
        <v>6000</v>
      </c>
      <c r="S478" s="14" t="s">
        <v>439</v>
      </c>
      <c r="T478" s="14" t="s">
        <v>440</v>
      </c>
      <c r="U478" s="14">
        <v>2.1719444444444398</v>
      </c>
      <c r="V478" s="14">
        <v>2.28277777777777</v>
      </c>
      <c r="W478" s="14">
        <v>1588</v>
      </c>
      <c r="X478" s="14">
        <v>80</v>
      </c>
      <c r="Y478" s="14">
        <v>1508</v>
      </c>
      <c r="Z478" s="14">
        <v>1712</v>
      </c>
      <c r="AA478" s="14">
        <v>265</v>
      </c>
      <c r="AB478" s="14">
        <v>281</v>
      </c>
      <c r="AC478" s="14">
        <v>1090</v>
      </c>
      <c r="AD478" s="14">
        <v>75</v>
      </c>
      <c r="AE478" s="14">
        <v>3300</v>
      </c>
      <c r="AF478" s="14">
        <v>5000</v>
      </c>
      <c r="AG478" s="14">
        <v>5019</v>
      </c>
      <c r="AH478" s="14">
        <v>0</v>
      </c>
      <c r="AI478" s="14">
        <v>127</v>
      </c>
      <c r="AJ478" s="14">
        <v>277</v>
      </c>
      <c r="AK478" s="14" t="s">
        <v>435</v>
      </c>
      <c r="AL478" s="14" t="s">
        <v>441</v>
      </c>
      <c r="AM478" s="14">
        <v>645.69000000000005</v>
      </c>
      <c r="AN478" s="14">
        <v>624.6</v>
      </c>
      <c r="AO478" s="14">
        <v>54.99</v>
      </c>
      <c r="AP478" s="14">
        <v>22505</v>
      </c>
      <c r="AQ478" s="14">
        <v>22425</v>
      </c>
      <c r="AR478" s="14">
        <v>23000</v>
      </c>
      <c r="AS478" s="14">
        <v>19205</v>
      </c>
      <c r="AT478" s="14">
        <v>20917</v>
      </c>
      <c r="AU478" s="14">
        <v>49</v>
      </c>
      <c r="AV478" s="14">
        <v>275.22000000000003</v>
      </c>
      <c r="AW478" s="14">
        <v>61.7</v>
      </c>
      <c r="AX478" s="14">
        <v>5.72</v>
      </c>
      <c r="AY478" s="14" t="b">
        <v>0</v>
      </c>
    </row>
    <row r="479" spans="1:51" hidden="1" x14ac:dyDescent="0.3">
      <c r="A479" t="str">
        <f>CONCATENATE(I479,E479,LEFT(G479,10))</f>
        <v>HFA702LGAV2026-02-11</v>
      </c>
      <c r="B479" s="14" t="s">
        <v>2716</v>
      </c>
      <c r="C479" s="14" t="s">
        <v>336</v>
      </c>
      <c r="D479" s="14" t="s">
        <v>337</v>
      </c>
      <c r="E479" s="14" t="s">
        <v>48</v>
      </c>
      <c r="F479" s="14" t="s">
        <v>43</v>
      </c>
      <c r="G479" s="14" t="s">
        <v>2717</v>
      </c>
      <c r="H479" s="14" t="s">
        <v>393</v>
      </c>
      <c r="I479" s="14" t="s">
        <v>56</v>
      </c>
      <c r="J479" s="14" t="s">
        <v>83</v>
      </c>
      <c r="K479" s="14" t="s">
        <v>340</v>
      </c>
      <c r="L479" s="14" t="s">
        <v>341</v>
      </c>
      <c r="M479" s="16" t="s">
        <v>2718</v>
      </c>
      <c r="N479" s="14"/>
      <c r="O479" s="14" t="s">
        <v>2719</v>
      </c>
      <c r="P479" s="14">
        <v>190</v>
      </c>
      <c r="Q479" s="14">
        <v>2</v>
      </c>
      <c r="R479" s="14">
        <v>1850</v>
      </c>
      <c r="S479" s="14" t="s">
        <v>2720</v>
      </c>
      <c r="T479" s="14" t="s">
        <v>2721</v>
      </c>
      <c r="U479" s="14">
        <v>2.3272222222222201</v>
      </c>
      <c r="V479" s="14"/>
      <c r="W479" s="14">
        <v>1725</v>
      </c>
      <c r="X479" s="14">
        <v>80</v>
      </c>
      <c r="Y479" s="14">
        <v>1645</v>
      </c>
      <c r="Z479" s="14">
        <v>1475</v>
      </c>
      <c r="AA479" s="14">
        <v>267</v>
      </c>
      <c r="AB479" s="14">
        <v>245</v>
      </c>
      <c r="AC479" s="14">
        <v>880</v>
      </c>
      <c r="AD479" s="14">
        <v>82</v>
      </c>
      <c r="AE479" s="14">
        <v>3200</v>
      </c>
      <c r="AF479" s="14">
        <v>5000</v>
      </c>
      <c r="AG479" s="14">
        <v>5452</v>
      </c>
      <c r="AH479" s="14">
        <v>0</v>
      </c>
      <c r="AI479" s="14">
        <v>134</v>
      </c>
      <c r="AJ479" s="14">
        <v>267</v>
      </c>
      <c r="AK479" s="14" t="s">
        <v>2717</v>
      </c>
      <c r="AL479" s="14" t="s">
        <v>2722</v>
      </c>
      <c r="AM479" s="14">
        <v>645.69000000000005</v>
      </c>
      <c r="AN479" s="14">
        <v>624.6</v>
      </c>
      <c r="AO479" s="14">
        <v>54.99</v>
      </c>
      <c r="AP479" s="14">
        <v>18361</v>
      </c>
      <c r="AQ479" s="14">
        <v>18281</v>
      </c>
      <c r="AR479" s="14">
        <v>23000</v>
      </c>
      <c r="AS479" s="14">
        <v>15161</v>
      </c>
      <c r="AT479" s="14">
        <v>16636</v>
      </c>
      <c r="AU479" s="14">
        <v>23</v>
      </c>
      <c r="AV479" s="14">
        <v>262.24</v>
      </c>
      <c r="AW479" s="14">
        <v>32.11</v>
      </c>
      <c r="AX479" s="14">
        <v>-1.21</v>
      </c>
      <c r="AY479" s="14" t="b">
        <v>0</v>
      </c>
    </row>
    <row r="480" spans="1:51" hidden="1" x14ac:dyDescent="0.3">
      <c r="A480" t="str">
        <f>CONCATENATE(I480,E480,LEFT(G480,10))</f>
        <v>HFA702LGAV2026-02-13</v>
      </c>
      <c r="B480" s="14" t="s">
        <v>4349</v>
      </c>
      <c r="C480" s="14" t="s">
        <v>336</v>
      </c>
      <c r="D480" s="14" t="s">
        <v>337</v>
      </c>
      <c r="E480" s="14" t="s">
        <v>48</v>
      </c>
      <c r="F480" s="14" t="s">
        <v>43</v>
      </c>
      <c r="G480" s="14" t="s">
        <v>4350</v>
      </c>
      <c r="H480" s="14" t="s">
        <v>357</v>
      </c>
      <c r="I480" s="14" t="s">
        <v>56</v>
      </c>
      <c r="J480" s="14" t="s">
        <v>83</v>
      </c>
      <c r="K480" s="14" t="s">
        <v>340</v>
      </c>
      <c r="L480" s="14" t="s">
        <v>341</v>
      </c>
      <c r="M480" s="16" t="s">
        <v>4351</v>
      </c>
      <c r="N480" s="14" t="s">
        <v>359</v>
      </c>
      <c r="O480" s="14" t="s">
        <v>4352</v>
      </c>
      <c r="P480" s="14">
        <v>130</v>
      </c>
      <c r="Q480" s="14">
        <v>2</v>
      </c>
      <c r="R480" s="14">
        <v>5200</v>
      </c>
      <c r="S480" s="14" t="s">
        <v>4353</v>
      </c>
      <c r="T480" s="14" t="s">
        <v>4354</v>
      </c>
      <c r="U480" s="14">
        <v>2.3177777777777702</v>
      </c>
      <c r="V480" s="14">
        <v>2.4644444444444402</v>
      </c>
      <c r="W480" s="14">
        <v>1814</v>
      </c>
      <c r="X480" s="14">
        <v>80</v>
      </c>
      <c r="Y480" s="14">
        <v>1734</v>
      </c>
      <c r="Z480" s="14">
        <v>1886</v>
      </c>
      <c r="AA480" s="14">
        <v>815</v>
      </c>
      <c r="AB480" s="14">
        <v>276</v>
      </c>
      <c r="AC480" s="14">
        <v>708</v>
      </c>
      <c r="AD480" s="14">
        <v>87</v>
      </c>
      <c r="AE480" s="14">
        <v>3700</v>
      </c>
      <c r="AF480" s="14">
        <v>5000</v>
      </c>
      <c r="AG480" s="14">
        <v>5734</v>
      </c>
      <c r="AH480" s="14">
        <v>0</v>
      </c>
      <c r="AI480" s="14">
        <v>139</v>
      </c>
      <c r="AJ480" s="14">
        <v>299</v>
      </c>
      <c r="AK480" s="14" t="s">
        <v>4350</v>
      </c>
      <c r="AL480" s="14" t="s">
        <v>4355</v>
      </c>
      <c r="AM480" s="14">
        <v>645.69000000000005</v>
      </c>
      <c r="AN480" s="14">
        <v>624.6</v>
      </c>
      <c r="AO480" s="14">
        <v>54.99</v>
      </c>
      <c r="AP480" s="14">
        <v>22125</v>
      </c>
      <c r="AQ480" s="14">
        <v>22045</v>
      </c>
      <c r="AR480" s="14">
        <v>23000</v>
      </c>
      <c r="AS480" s="14">
        <v>18425</v>
      </c>
      <c r="AT480" s="14">
        <v>20311</v>
      </c>
      <c r="AU480" s="14">
        <v>15</v>
      </c>
      <c r="AV480" s="14">
        <v>238.85</v>
      </c>
      <c r="AW480" s="14">
        <v>34.74</v>
      </c>
      <c r="AX480" s="14">
        <v>0.67</v>
      </c>
      <c r="AY480" s="14" t="b">
        <v>0</v>
      </c>
    </row>
    <row r="481" spans="1:51" hidden="1" x14ac:dyDescent="0.3">
      <c r="A481" t="str">
        <f>CONCATENATE(I481,E481,LEFT(G481,10))</f>
        <v>HFA702LGAV2026-02-15</v>
      </c>
      <c r="B481" s="14" t="s">
        <v>4238</v>
      </c>
      <c r="C481" s="14" t="s">
        <v>336</v>
      </c>
      <c r="D481" s="14" t="s">
        <v>337</v>
      </c>
      <c r="E481" s="14" t="s">
        <v>48</v>
      </c>
      <c r="F481" s="14" t="s">
        <v>43</v>
      </c>
      <c r="G481" s="14" t="s">
        <v>4239</v>
      </c>
      <c r="H481" s="14" t="s">
        <v>436</v>
      </c>
      <c r="I481" s="14" t="s">
        <v>56</v>
      </c>
      <c r="J481" s="14" t="s">
        <v>83</v>
      </c>
      <c r="K481" s="14" t="s">
        <v>340</v>
      </c>
      <c r="L481" s="14" t="s">
        <v>341</v>
      </c>
      <c r="M481" s="16" t="s">
        <v>731</v>
      </c>
      <c r="N481" s="14" t="s">
        <v>359</v>
      </c>
      <c r="O481" s="14" t="s">
        <v>4240</v>
      </c>
      <c r="P481" s="14">
        <v>190</v>
      </c>
      <c r="Q481" s="14">
        <v>2</v>
      </c>
      <c r="R481" s="14">
        <v>4300</v>
      </c>
      <c r="S481" s="14" t="s">
        <v>4241</v>
      </c>
      <c r="T481" s="14" t="s">
        <v>4242</v>
      </c>
      <c r="U481" s="14">
        <v>2.4550000000000001</v>
      </c>
      <c r="V481" s="14">
        <v>2.6288888888888802</v>
      </c>
      <c r="W481" s="14">
        <v>1633</v>
      </c>
      <c r="X481" s="14">
        <v>80</v>
      </c>
      <c r="Y481" s="14">
        <v>1553</v>
      </c>
      <c r="Z481" s="14">
        <v>1667</v>
      </c>
      <c r="AA481" s="14">
        <v>254</v>
      </c>
      <c r="AB481" s="14">
        <v>266</v>
      </c>
      <c r="AC481" s="14">
        <v>1070</v>
      </c>
      <c r="AD481" s="14">
        <v>78</v>
      </c>
      <c r="AE481" s="14">
        <v>3300</v>
      </c>
      <c r="AF481" s="14">
        <v>5000</v>
      </c>
      <c r="AG481" s="14">
        <v>5160</v>
      </c>
      <c r="AH481" s="14">
        <v>0</v>
      </c>
      <c r="AI481" s="14">
        <v>143</v>
      </c>
      <c r="AJ481" s="14">
        <v>304</v>
      </c>
      <c r="AK481" s="14" t="s">
        <v>4239</v>
      </c>
      <c r="AL481" s="14" t="s">
        <v>4243</v>
      </c>
      <c r="AM481" s="14">
        <v>648.15</v>
      </c>
      <c r="AN481" s="14">
        <v>624.6</v>
      </c>
      <c r="AO481" s="14">
        <v>54.99</v>
      </c>
      <c r="AP481" s="14">
        <v>20805</v>
      </c>
      <c r="AQ481" s="14">
        <v>20725</v>
      </c>
      <c r="AR481" s="14">
        <v>23000</v>
      </c>
      <c r="AS481" s="14">
        <v>17505</v>
      </c>
      <c r="AT481" s="14">
        <v>19172</v>
      </c>
      <c r="AU481" s="14">
        <v>14</v>
      </c>
      <c r="AV481" s="14">
        <v>233.14</v>
      </c>
      <c r="AW481" s="14">
        <v>56.87</v>
      </c>
      <c r="AX481" s="14">
        <v>7.43</v>
      </c>
      <c r="AY481" s="14" t="b">
        <v>0</v>
      </c>
    </row>
    <row r="482" spans="1:51" hidden="1" x14ac:dyDescent="0.3">
      <c r="A482" t="str">
        <f>CONCATENATE(I482,E482,LEFT(G482,10))</f>
        <v>HFA702LGAV2026-02-18</v>
      </c>
      <c r="B482" s="14" t="s">
        <v>1936</v>
      </c>
      <c r="C482" s="14" t="s">
        <v>336</v>
      </c>
      <c r="D482" s="14" t="s">
        <v>337</v>
      </c>
      <c r="E482" s="14" t="s">
        <v>48</v>
      </c>
      <c r="F482" s="14" t="s">
        <v>43</v>
      </c>
      <c r="G482" s="14" t="s">
        <v>1937</v>
      </c>
      <c r="H482" s="14" t="s">
        <v>393</v>
      </c>
      <c r="I482" s="14" t="s">
        <v>56</v>
      </c>
      <c r="J482" s="14" t="s">
        <v>83</v>
      </c>
      <c r="K482" s="14" t="s">
        <v>340</v>
      </c>
      <c r="L482" s="14" t="s">
        <v>341</v>
      </c>
      <c r="M482" s="16" t="s">
        <v>1938</v>
      </c>
      <c r="N482" s="14"/>
      <c r="O482" s="14" t="s">
        <v>1939</v>
      </c>
      <c r="P482" s="14">
        <v>150</v>
      </c>
      <c r="Q482" s="14">
        <v>2</v>
      </c>
      <c r="R482" s="14">
        <v>2300</v>
      </c>
      <c r="S482" s="14" t="s">
        <v>1940</v>
      </c>
      <c r="T482" s="14" t="s">
        <v>1941</v>
      </c>
      <c r="U482" s="14">
        <v>2.2580555555555502</v>
      </c>
      <c r="V482" s="14">
        <v>2.4377777777777698</v>
      </c>
      <c r="W482" s="14">
        <v>1740</v>
      </c>
      <c r="X482" s="14">
        <v>80</v>
      </c>
      <c r="Y482" s="14">
        <v>1660</v>
      </c>
      <c r="Z482" s="14">
        <v>1560</v>
      </c>
      <c r="AA482" s="14">
        <v>276</v>
      </c>
      <c r="AB482" s="14">
        <v>249</v>
      </c>
      <c r="AC482" s="14">
        <v>951</v>
      </c>
      <c r="AD482" s="14">
        <v>83</v>
      </c>
      <c r="AE482" s="14">
        <v>3300</v>
      </c>
      <c r="AF482" s="14">
        <v>5000</v>
      </c>
      <c r="AG482" s="14">
        <v>5500</v>
      </c>
      <c r="AH482" s="14">
        <v>0</v>
      </c>
      <c r="AI482" s="14">
        <v>126</v>
      </c>
      <c r="AJ482" s="14">
        <v>264</v>
      </c>
      <c r="AK482" s="14" t="s">
        <v>1937</v>
      </c>
      <c r="AL482" s="14" t="s">
        <v>1942</v>
      </c>
      <c r="AM482" s="14">
        <v>645.69000000000005</v>
      </c>
      <c r="AN482" s="14">
        <v>624.6</v>
      </c>
      <c r="AO482" s="14">
        <v>54.99</v>
      </c>
      <c r="AP482" s="14">
        <v>18911</v>
      </c>
      <c r="AQ482" s="14">
        <v>18831</v>
      </c>
      <c r="AR482" s="14">
        <v>23000</v>
      </c>
      <c r="AS482" s="14">
        <v>15611</v>
      </c>
      <c r="AT482" s="14">
        <v>17171</v>
      </c>
      <c r="AU482" s="14">
        <v>41</v>
      </c>
      <c r="AV482" s="14">
        <v>276.60000000000002</v>
      </c>
      <c r="AW482" s="14">
        <v>46.59</v>
      </c>
      <c r="AX482" s="14">
        <v>0.42</v>
      </c>
      <c r="AY482" s="14" t="b">
        <v>0</v>
      </c>
    </row>
    <row r="483" spans="1:51" hidden="1" x14ac:dyDescent="0.3">
      <c r="A483" t="str">
        <f>CONCATENATE(I483,E483,LEFT(G483,10))</f>
        <v>HFA702LGAV2026-02-19</v>
      </c>
      <c r="B483" s="14" t="s">
        <v>3968</v>
      </c>
      <c r="C483" s="14" t="s">
        <v>336</v>
      </c>
      <c r="D483" s="14" t="s">
        <v>337</v>
      </c>
      <c r="E483" s="14" t="s">
        <v>48</v>
      </c>
      <c r="F483" s="14" t="s">
        <v>43</v>
      </c>
      <c r="G483" s="14" t="s">
        <v>3969</v>
      </c>
      <c r="H483" s="14" t="s">
        <v>357</v>
      </c>
      <c r="I483" s="14" t="s">
        <v>56</v>
      </c>
      <c r="J483" s="14" t="s">
        <v>83</v>
      </c>
      <c r="K483" s="14" t="s">
        <v>340</v>
      </c>
      <c r="L483" s="14" t="s">
        <v>341</v>
      </c>
      <c r="M483" s="16" t="s">
        <v>437</v>
      </c>
      <c r="N483" s="14" t="s">
        <v>359</v>
      </c>
      <c r="O483" s="14" t="s">
        <v>3970</v>
      </c>
      <c r="P483" s="14">
        <v>190</v>
      </c>
      <c r="Q483" s="14">
        <v>2</v>
      </c>
      <c r="R483" s="14">
        <v>3300</v>
      </c>
      <c r="S483" s="14" t="s">
        <v>3971</v>
      </c>
      <c r="T483" s="14" t="s">
        <v>3972</v>
      </c>
      <c r="U483" s="14">
        <v>4.3355555555555503</v>
      </c>
      <c r="V483" s="14">
        <v>4.4911111111111097</v>
      </c>
      <c r="W483" s="14">
        <v>1576</v>
      </c>
      <c r="X483" s="14">
        <v>80</v>
      </c>
      <c r="Y483" s="14">
        <v>1496</v>
      </c>
      <c r="Z483" s="14">
        <v>1424</v>
      </c>
      <c r="AA483" s="14">
        <v>246</v>
      </c>
      <c r="AB483" s="14">
        <v>256</v>
      </c>
      <c r="AC483" s="14">
        <v>847</v>
      </c>
      <c r="AD483" s="14">
        <v>75</v>
      </c>
      <c r="AE483" s="14">
        <v>3000</v>
      </c>
      <c r="AF483" s="14">
        <v>5000</v>
      </c>
      <c r="AG483" s="14">
        <v>4980</v>
      </c>
      <c r="AH483" s="14">
        <v>0</v>
      </c>
      <c r="AI483" s="14">
        <v>139</v>
      </c>
      <c r="AJ483" s="14">
        <v>277</v>
      </c>
      <c r="AK483" s="14" t="s">
        <v>3969</v>
      </c>
      <c r="AL483" s="14" t="s">
        <v>3973</v>
      </c>
      <c r="AM483" s="14">
        <v>656.69</v>
      </c>
      <c r="AN483" s="14">
        <v>624.6</v>
      </c>
      <c r="AO483" s="14">
        <v>54.99</v>
      </c>
      <c r="AP483" s="14">
        <v>19525</v>
      </c>
      <c r="AQ483" s="14">
        <v>19445</v>
      </c>
      <c r="AR483" s="14">
        <v>23000</v>
      </c>
      <c r="AS483" s="14">
        <v>16525</v>
      </c>
      <c r="AT483" s="14">
        <v>17949</v>
      </c>
      <c r="AU483" s="14">
        <v>22</v>
      </c>
      <c r="AV483" s="14">
        <v>290.12</v>
      </c>
      <c r="AW483" s="14">
        <v>24.07</v>
      </c>
      <c r="AX483" s="14">
        <v>3.9</v>
      </c>
      <c r="AY483" s="14" t="b">
        <v>0</v>
      </c>
    </row>
    <row r="484" spans="1:51" hidden="1" x14ac:dyDescent="0.3">
      <c r="A484" t="str">
        <f>CONCATENATE(I484,E484,LEFT(G484,10))</f>
        <v>HFA702LGAV2026-02-20</v>
      </c>
      <c r="B484" s="14" t="s">
        <v>716</v>
      </c>
      <c r="C484" s="14" t="s">
        <v>336</v>
      </c>
      <c r="D484" s="14" t="s">
        <v>337</v>
      </c>
      <c r="E484" s="14" t="s">
        <v>48</v>
      </c>
      <c r="F484" s="14" t="s">
        <v>43</v>
      </c>
      <c r="G484" s="14" t="s">
        <v>717</v>
      </c>
      <c r="H484" s="14" t="s">
        <v>339</v>
      </c>
      <c r="I484" s="14" t="s">
        <v>56</v>
      </c>
      <c r="J484" s="14" t="s">
        <v>83</v>
      </c>
      <c r="K484" s="14" t="s">
        <v>340</v>
      </c>
      <c r="L484" s="14" t="s">
        <v>341</v>
      </c>
      <c r="M484" s="16" t="s">
        <v>718</v>
      </c>
      <c r="N484" s="14"/>
      <c r="O484" s="14" t="s">
        <v>719</v>
      </c>
      <c r="P484" s="14">
        <v>150</v>
      </c>
      <c r="Q484" s="14">
        <v>2</v>
      </c>
      <c r="R484" s="14">
        <v>3600</v>
      </c>
      <c r="S484" s="14" t="s">
        <v>720</v>
      </c>
      <c r="T484" s="14" t="s">
        <v>721</v>
      </c>
      <c r="U484" s="14">
        <v>2.3191666666666602</v>
      </c>
      <c r="V484" s="14">
        <v>2.5136111111111101</v>
      </c>
      <c r="W484" s="14">
        <v>1692</v>
      </c>
      <c r="X484" s="14">
        <v>80</v>
      </c>
      <c r="Y484" s="14">
        <v>1612</v>
      </c>
      <c r="Z484" s="14">
        <v>1508</v>
      </c>
      <c r="AA484" s="14">
        <v>254</v>
      </c>
      <c r="AB484" s="14">
        <v>259</v>
      </c>
      <c r="AC484" s="14">
        <v>914</v>
      </c>
      <c r="AD484" s="14">
        <v>81</v>
      </c>
      <c r="AE484" s="14">
        <v>3200</v>
      </c>
      <c r="AF484" s="14">
        <v>5000</v>
      </c>
      <c r="AG484" s="14">
        <v>5347</v>
      </c>
      <c r="AH484" s="14">
        <v>0</v>
      </c>
      <c r="AI484" s="14">
        <v>141</v>
      </c>
      <c r="AJ484" s="14">
        <v>286</v>
      </c>
      <c r="AK484" s="14" t="s">
        <v>717</v>
      </c>
      <c r="AL484" s="14" t="s">
        <v>722</v>
      </c>
      <c r="AM484" s="14">
        <v>645.69000000000005</v>
      </c>
      <c r="AN484" s="14">
        <v>624.6</v>
      </c>
      <c r="AO484" s="14">
        <v>54.99</v>
      </c>
      <c r="AP484" s="14">
        <v>20125</v>
      </c>
      <c r="AQ484" s="14">
        <v>20045</v>
      </c>
      <c r="AR484" s="14">
        <v>23000</v>
      </c>
      <c r="AS484" s="14">
        <v>16925</v>
      </c>
      <c r="AT484" s="14">
        <v>18433</v>
      </c>
      <c r="AU484" s="14">
        <v>13</v>
      </c>
      <c r="AV484" s="14">
        <v>240.25</v>
      </c>
      <c r="AW484" s="14">
        <v>28.79</v>
      </c>
      <c r="AX484" s="14">
        <v>5.8</v>
      </c>
      <c r="AY484" s="14" t="b">
        <v>0</v>
      </c>
    </row>
    <row r="485" spans="1:51" hidden="1" x14ac:dyDescent="0.3">
      <c r="A485" t="str">
        <f>CONCATENATE(I485,E485,LEFT(G485,10))</f>
        <v>HFA702LGAV2026-02-22</v>
      </c>
      <c r="B485" s="14" t="s">
        <v>1058</v>
      </c>
      <c r="C485" s="14" t="s">
        <v>336</v>
      </c>
      <c r="D485" s="14" t="s">
        <v>337</v>
      </c>
      <c r="E485" s="14" t="s">
        <v>48</v>
      </c>
      <c r="F485" s="14" t="s">
        <v>43</v>
      </c>
      <c r="G485" s="14" t="s">
        <v>1059</v>
      </c>
      <c r="H485" s="14" t="s">
        <v>357</v>
      </c>
      <c r="I485" s="14" t="s">
        <v>56</v>
      </c>
      <c r="J485" s="14" t="s">
        <v>83</v>
      </c>
      <c r="K485" s="14" t="s">
        <v>340</v>
      </c>
      <c r="L485" s="14" t="s">
        <v>341</v>
      </c>
      <c r="M485" s="16" t="s">
        <v>1060</v>
      </c>
      <c r="N485" s="14" t="s">
        <v>359</v>
      </c>
      <c r="O485" s="14" t="s">
        <v>1061</v>
      </c>
      <c r="P485" s="14">
        <v>190</v>
      </c>
      <c r="Q485" s="14">
        <v>2</v>
      </c>
      <c r="R485" s="14">
        <v>6200</v>
      </c>
      <c r="S485" s="14" t="s">
        <v>1062</v>
      </c>
      <c r="T485" s="14" t="s">
        <v>1063</v>
      </c>
      <c r="U485" s="14">
        <v>2.4224999999999999</v>
      </c>
      <c r="V485" s="14">
        <v>2.6119444444444402</v>
      </c>
      <c r="W485" s="14">
        <v>1694</v>
      </c>
      <c r="X485" s="14">
        <v>80</v>
      </c>
      <c r="Y485" s="14">
        <v>1614</v>
      </c>
      <c r="Z485" s="14">
        <v>1306</v>
      </c>
      <c r="AA485" s="14">
        <v>257</v>
      </c>
      <c r="AB485" s="14">
        <v>280</v>
      </c>
      <c r="AC485" s="14">
        <v>688</v>
      </c>
      <c r="AD485" s="14">
        <v>81</v>
      </c>
      <c r="AE485" s="14">
        <v>3000</v>
      </c>
      <c r="AF485" s="14">
        <v>5000</v>
      </c>
      <c r="AG485" s="14">
        <v>5354</v>
      </c>
      <c r="AH485" s="14">
        <v>0</v>
      </c>
      <c r="AI485" s="14">
        <v>141</v>
      </c>
      <c r="AJ485" s="14">
        <v>263</v>
      </c>
      <c r="AK485" s="14" t="s">
        <v>1059</v>
      </c>
      <c r="AL485" s="14" t="s">
        <v>1064</v>
      </c>
      <c r="AM485" s="14">
        <v>645.69000000000005</v>
      </c>
      <c r="AN485" s="14">
        <v>624.6</v>
      </c>
      <c r="AO485" s="14">
        <v>54.99</v>
      </c>
      <c r="AP485" s="14">
        <v>22425</v>
      </c>
      <c r="AQ485" s="14">
        <v>22345</v>
      </c>
      <c r="AR485" s="14">
        <v>23000</v>
      </c>
      <c r="AS485" s="14">
        <v>19425</v>
      </c>
      <c r="AT485" s="14">
        <v>20731</v>
      </c>
      <c r="AU485" s="14">
        <v>16</v>
      </c>
      <c r="AV485" s="14">
        <v>251.61</v>
      </c>
      <c r="AW485" s="14">
        <v>24.76</v>
      </c>
      <c r="AX485" s="14">
        <v>-2.12</v>
      </c>
      <c r="AY485" s="14" t="b">
        <v>0</v>
      </c>
    </row>
    <row r="486" spans="1:51" hidden="1" x14ac:dyDescent="0.3">
      <c r="A486" t="str">
        <f>CONCATENATE(I486,E486,LEFT(G486,10))</f>
        <v>HFA702LGAV2026-02-23</v>
      </c>
      <c r="B486" s="14" t="s">
        <v>3792</v>
      </c>
      <c r="C486" s="14" t="s">
        <v>336</v>
      </c>
      <c r="D486" s="14" t="s">
        <v>337</v>
      </c>
      <c r="E486" s="14" t="s">
        <v>48</v>
      </c>
      <c r="F486" s="14" t="s">
        <v>43</v>
      </c>
      <c r="G486" s="14" t="s">
        <v>3793</v>
      </c>
      <c r="H486" s="14" t="s">
        <v>393</v>
      </c>
      <c r="I486" s="14" t="s">
        <v>56</v>
      </c>
      <c r="J486" s="14" t="s">
        <v>83</v>
      </c>
      <c r="K486" s="14" t="s">
        <v>340</v>
      </c>
      <c r="L486" s="14" t="s">
        <v>341</v>
      </c>
      <c r="M486" s="16" t="s">
        <v>731</v>
      </c>
      <c r="N486" s="14"/>
      <c r="O486" s="14" t="s">
        <v>3794</v>
      </c>
      <c r="P486" s="14">
        <v>190</v>
      </c>
      <c r="Q486" s="14">
        <v>2</v>
      </c>
      <c r="R486" s="14">
        <v>3700</v>
      </c>
      <c r="S486" s="14" t="s">
        <v>3795</v>
      </c>
      <c r="T486" s="14" t="s">
        <v>3796</v>
      </c>
      <c r="U486" s="14">
        <v>2.5458333333333298</v>
      </c>
      <c r="V486" s="14">
        <v>2.7380555555555501</v>
      </c>
      <c r="W486" s="14">
        <v>1875</v>
      </c>
      <c r="X486" s="14">
        <v>80</v>
      </c>
      <c r="Y486" s="14">
        <v>1795</v>
      </c>
      <c r="Z486" s="14">
        <v>1925</v>
      </c>
      <c r="AA486" s="14">
        <v>268</v>
      </c>
      <c r="AB486" s="14">
        <v>263</v>
      </c>
      <c r="AC486" s="14">
        <v>1304</v>
      </c>
      <c r="AD486" s="14">
        <v>90</v>
      </c>
      <c r="AE486" s="14">
        <v>3800</v>
      </c>
      <c r="AF486" s="14">
        <v>5000</v>
      </c>
      <c r="AG486" s="14">
        <v>5926</v>
      </c>
      <c r="AH486" s="14">
        <v>0</v>
      </c>
      <c r="AI486" s="14">
        <v>145</v>
      </c>
      <c r="AJ486" s="14">
        <v>312</v>
      </c>
      <c r="AK486" s="14" t="s">
        <v>3793</v>
      </c>
      <c r="AL486" s="14" t="s">
        <v>3797</v>
      </c>
      <c r="AM486" s="14">
        <v>656.69</v>
      </c>
      <c r="AN486" s="14">
        <v>624.6</v>
      </c>
      <c r="AO486" s="14">
        <v>54.99</v>
      </c>
      <c r="AP486" s="14">
        <v>20811</v>
      </c>
      <c r="AQ486" s="14">
        <v>20731</v>
      </c>
      <c r="AR486" s="14">
        <v>23000</v>
      </c>
      <c r="AS486" s="14">
        <v>17011</v>
      </c>
      <c r="AT486" s="14">
        <v>18936</v>
      </c>
      <c r="AU486" s="14">
        <v>8</v>
      </c>
      <c r="AV486" s="14">
        <v>351.87</v>
      </c>
      <c r="AW486" s="14">
        <v>14.56</v>
      </c>
      <c r="AX486" s="14">
        <v>-2.95</v>
      </c>
      <c r="AY486" s="14" t="b">
        <v>0</v>
      </c>
    </row>
    <row r="487" spans="1:51" hidden="1" x14ac:dyDescent="0.3">
      <c r="A487" t="str">
        <f>CONCATENATE(I487,E487,LEFT(G487,10))</f>
        <v>HFA702LGAV2026-02-25</v>
      </c>
      <c r="B487" s="14" t="s">
        <v>3639</v>
      </c>
      <c r="C487" s="14" t="s">
        <v>336</v>
      </c>
      <c r="D487" s="14" t="s">
        <v>337</v>
      </c>
      <c r="E487" s="14" t="s">
        <v>48</v>
      </c>
      <c r="F487" s="14" t="s">
        <v>43</v>
      </c>
      <c r="G487" s="14" t="s">
        <v>3640</v>
      </c>
      <c r="H487" s="14" t="s">
        <v>393</v>
      </c>
      <c r="I487" s="14" t="s">
        <v>56</v>
      </c>
      <c r="J487" s="14" t="s">
        <v>83</v>
      </c>
      <c r="K487" s="14" t="s">
        <v>340</v>
      </c>
      <c r="L487" s="14" t="s">
        <v>341</v>
      </c>
      <c r="M487" s="16" t="s">
        <v>3641</v>
      </c>
      <c r="N487" s="14"/>
      <c r="O487" s="14" t="s">
        <v>3642</v>
      </c>
      <c r="P487" s="14">
        <v>190</v>
      </c>
      <c r="Q487" s="14">
        <v>2</v>
      </c>
      <c r="R487" s="14">
        <v>3000</v>
      </c>
      <c r="S487" s="14" t="s">
        <v>3643</v>
      </c>
      <c r="T487" s="14" t="s">
        <v>3644</v>
      </c>
      <c r="U487" s="14">
        <v>2.23888888888888</v>
      </c>
      <c r="V487" s="14">
        <v>2.3441666666666601</v>
      </c>
      <c r="W487" s="14">
        <v>1634</v>
      </c>
      <c r="X487" s="14">
        <v>80</v>
      </c>
      <c r="Y487" s="14">
        <v>1554</v>
      </c>
      <c r="Z487" s="14">
        <v>1966</v>
      </c>
      <c r="AA487" s="14">
        <v>269</v>
      </c>
      <c r="AB487" s="14">
        <v>258</v>
      </c>
      <c r="AC487" s="14">
        <v>1361</v>
      </c>
      <c r="AD487" s="14">
        <v>78</v>
      </c>
      <c r="AE487" s="14">
        <v>3600</v>
      </c>
      <c r="AF487" s="14">
        <v>5000</v>
      </c>
      <c r="AG487" s="14">
        <v>5164</v>
      </c>
      <c r="AH487" s="14">
        <v>0</v>
      </c>
      <c r="AI487" s="14">
        <v>128</v>
      </c>
      <c r="AJ487" s="14">
        <v>303</v>
      </c>
      <c r="AK487" s="14" t="s">
        <v>3640</v>
      </c>
      <c r="AL487" s="14" t="s">
        <v>3645</v>
      </c>
      <c r="AM487" s="14">
        <v>645.69000000000005</v>
      </c>
      <c r="AN487" s="14">
        <v>624.6</v>
      </c>
      <c r="AO487" s="14">
        <v>54.99</v>
      </c>
      <c r="AP487" s="14">
        <v>19911</v>
      </c>
      <c r="AQ487" s="14">
        <v>19831</v>
      </c>
      <c r="AR487" s="14">
        <v>23000</v>
      </c>
      <c r="AS487" s="14">
        <v>16311</v>
      </c>
      <c r="AT487" s="14">
        <v>18277</v>
      </c>
      <c r="AU487" s="14">
        <v>41</v>
      </c>
      <c r="AV487" s="14">
        <v>291.37</v>
      </c>
      <c r="AW487" s="14">
        <v>49.47</v>
      </c>
      <c r="AX487" s="14">
        <v>2.12</v>
      </c>
      <c r="AY487" s="14" t="b">
        <v>0</v>
      </c>
    </row>
    <row r="488" spans="1:51" hidden="1" x14ac:dyDescent="0.3">
      <c r="A488" t="str">
        <f>CONCATENATE(I488,E488,LEFT(G488,10))</f>
        <v>HFA702LGAV2026-02-26</v>
      </c>
      <c r="B488" s="14" t="s">
        <v>3521</v>
      </c>
      <c r="C488" s="14" t="s">
        <v>336</v>
      </c>
      <c r="D488" s="14" t="s">
        <v>337</v>
      </c>
      <c r="E488" s="14" t="s">
        <v>48</v>
      </c>
      <c r="F488" s="14" t="s">
        <v>43</v>
      </c>
      <c r="G488" s="14" t="s">
        <v>3522</v>
      </c>
      <c r="H488" s="14" t="s">
        <v>393</v>
      </c>
      <c r="I488" s="14" t="s">
        <v>56</v>
      </c>
      <c r="J488" s="14" t="s">
        <v>83</v>
      </c>
      <c r="K488" s="14" t="s">
        <v>340</v>
      </c>
      <c r="L488" s="14" t="s">
        <v>341</v>
      </c>
      <c r="M488" s="16" t="s">
        <v>543</v>
      </c>
      <c r="N488" s="14"/>
      <c r="O488" s="14" t="s">
        <v>3523</v>
      </c>
      <c r="P488" s="14">
        <v>150</v>
      </c>
      <c r="Q488" s="14">
        <v>2</v>
      </c>
      <c r="R488" s="14">
        <v>2800</v>
      </c>
      <c r="S488" s="14" t="s">
        <v>3524</v>
      </c>
      <c r="T488" s="14" t="s">
        <v>3525</v>
      </c>
      <c r="U488" s="14">
        <v>2.1738888888888801</v>
      </c>
      <c r="V488" s="14">
        <v>2.31083333333333</v>
      </c>
      <c r="W488" s="14">
        <v>1708</v>
      </c>
      <c r="X488" s="14">
        <v>80</v>
      </c>
      <c r="Y488" s="14">
        <v>1628</v>
      </c>
      <c r="Z488" s="14">
        <v>1892</v>
      </c>
      <c r="AA488" s="14">
        <v>265</v>
      </c>
      <c r="AB488" s="14">
        <v>256</v>
      </c>
      <c r="AC488" s="14">
        <v>1289</v>
      </c>
      <c r="AD488" s="14">
        <v>81</v>
      </c>
      <c r="AE488" s="14">
        <v>3600</v>
      </c>
      <c r="AF488" s="14">
        <v>5000</v>
      </c>
      <c r="AG488" s="14">
        <v>5398</v>
      </c>
      <c r="AH488" s="14">
        <v>0</v>
      </c>
      <c r="AI488" s="14">
        <v>124</v>
      </c>
      <c r="AJ488" s="14">
        <v>280</v>
      </c>
      <c r="AK488" s="14" t="s">
        <v>3522</v>
      </c>
      <c r="AL488" s="14" t="s">
        <v>3526</v>
      </c>
      <c r="AM488" s="14">
        <v>656.69</v>
      </c>
      <c r="AN488" s="14">
        <v>624.6</v>
      </c>
      <c r="AO488" s="14">
        <v>54.99</v>
      </c>
      <c r="AP488" s="14">
        <v>19711</v>
      </c>
      <c r="AQ488" s="14">
        <v>19631</v>
      </c>
      <c r="AR488" s="14">
        <v>23000</v>
      </c>
      <c r="AS488" s="14">
        <v>16111</v>
      </c>
      <c r="AT488" s="14">
        <v>18003</v>
      </c>
      <c r="AU488" s="14">
        <v>54</v>
      </c>
      <c r="AV488" s="14">
        <v>312.83999999999997</v>
      </c>
      <c r="AW488" s="14">
        <v>61.93</v>
      </c>
      <c r="AX488" s="14">
        <v>3.57</v>
      </c>
      <c r="AY488" s="14" t="b">
        <v>0</v>
      </c>
    </row>
    <row r="489" spans="1:51" hidden="1" x14ac:dyDescent="0.3">
      <c r="A489" t="str">
        <f>CONCATENATE(I489,E489,LEFT(G489,10))</f>
        <v>HFA702LGAV2026-02-27</v>
      </c>
      <c r="B489" s="14" t="s">
        <v>3409</v>
      </c>
      <c r="C489" s="14" t="s">
        <v>336</v>
      </c>
      <c r="D489" s="14" t="s">
        <v>337</v>
      </c>
      <c r="E489" s="14" t="s">
        <v>48</v>
      </c>
      <c r="F489" s="14" t="s">
        <v>43</v>
      </c>
      <c r="G489" s="14" t="s">
        <v>3410</v>
      </c>
      <c r="H489" s="14" t="s">
        <v>393</v>
      </c>
      <c r="I489" s="14" t="s">
        <v>56</v>
      </c>
      <c r="J489" s="14" t="s">
        <v>83</v>
      </c>
      <c r="K489" s="14" t="s">
        <v>340</v>
      </c>
      <c r="L489" s="14" t="s">
        <v>341</v>
      </c>
      <c r="M489" s="16" t="s">
        <v>3411</v>
      </c>
      <c r="N489" s="14"/>
      <c r="O489" s="14" t="s">
        <v>3412</v>
      </c>
      <c r="P489" s="14">
        <v>190</v>
      </c>
      <c r="Q489" s="14">
        <v>2</v>
      </c>
      <c r="R489" s="14">
        <v>6200</v>
      </c>
      <c r="S489" s="14" t="s">
        <v>3413</v>
      </c>
      <c r="T489" s="14" t="s">
        <v>3414</v>
      </c>
      <c r="U489" s="14">
        <v>2.3144444444444399</v>
      </c>
      <c r="V489" s="14">
        <v>2.49833333333333</v>
      </c>
      <c r="W489" s="14">
        <v>1702</v>
      </c>
      <c r="X489" s="14">
        <v>80</v>
      </c>
      <c r="Y489" s="14">
        <v>1622</v>
      </c>
      <c r="Z489" s="14">
        <v>1398</v>
      </c>
      <c r="AA489" s="14">
        <v>264</v>
      </c>
      <c r="AB489" s="14">
        <v>281</v>
      </c>
      <c r="AC489" s="14">
        <v>772</v>
      </c>
      <c r="AD489" s="14">
        <v>81</v>
      </c>
      <c r="AE489" s="14">
        <v>3100</v>
      </c>
      <c r="AF489" s="14">
        <v>5000</v>
      </c>
      <c r="AG489" s="14">
        <v>5379</v>
      </c>
      <c r="AH489" s="14">
        <v>0</v>
      </c>
      <c r="AI489" s="14">
        <v>133</v>
      </c>
      <c r="AJ489" s="14">
        <v>254</v>
      </c>
      <c r="AK489" s="14" t="s">
        <v>3410</v>
      </c>
      <c r="AL489" s="14" t="s">
        <v>3415</v>
      </c>
      <c r="AM489" s="14">
        <v>656.69</v>
      </c>
      <c r="AN489" s="14">
        <v>624.6</v>
      </c>
      <c r="AO489" s="14">
        <v>54.99</v>
      </c>
      <c r="AP489" s="14">
        <v>22611</v>
      </c>
      <c r="AQ489" s="14">
        <v>22531</v>
      </c>
      <c r="AR489" s="14">
        <v>23000</v>
      </c>
      <c r="AS489" s="14">
        <v>19511</v>
      </c>
      <c r="AT489" s="14">
        <v>20909</v>
      </c>
      <c r="AU489" s="14">
        <v>40</v>
      </c>
      <c r="AV489" s="14">
        <v>326.64999999999998</v>
      </c>
      <c r="AW489" s="14">
        <v>49.26</v>
      </c>
      <c r="AX489" s="14">
        <v>0.98</v>
      </c>
      <c r="AY489" s="14" t="b">
        <v>0</v>
      </c>
    </row>
    <row r="490" spans="1:51" hidden="1" x14ac:dyDescent="0.3">
      <c r="A490" t="str">
        <f>CONCATENATE(I490,E490,LEFT(G490,10))</f>
        <v>HFA703LLHA2026-01-01</v>
      </c>
      <c r="B490" s="14" t="s">
        <v>4508</v>
      </c>
      <c r="C490" s="14" t="s">
        <v>336</v>
      </c>
      <c r="D490" s="14" t="s">
        <v>337</v>
      </c>
      <c r="E490" s="14" t="s">
        <v>43</v>
      </c>
      <c r="F490" s="14" t="s">
        <v>48</v>
      </c>
      <c r="G490" s="14" t="s">
        <v>4509</v>
      </c>
      <c r="H490" s="14" t="s">
        <v>357</v>
      </c>
      <c r="I490" s="14" t="s">
        <v>37</v>
      </c>
      <c r="J490" s="14" t="s">
        <v>401</v>
      </c>
      <c r="K490" s="14" t="s">
        <v>349</v>
      </c>
      <c r="L490" s="14" t="s">
        <v>341</v>
      </c>
      <c r="M490" s="16" t="s">
        <v>4510</v>
      </c>
      <c r="N490" s="14" t="s">
        <v>359</v>
      </c>
      <c r="O490" s="14" t="s">
        <v>4511</v>
      </c>
      <c r="P490" s="14">
        <v>50</v>
      </c>
      <c r="Q490" s="14">
        <v>2</v>
      </c>
      <c r="R490" s="14">
        <v>4800</v>
      </c>
      <c r="S490" s="14" t="s">
        <v>4512</v>
      </c>
      <c r="T490" s="14" t="s">
        <v>4513</v>
      </c>
      <c r="U490" s="14">
        <v>2.9019444444444402</v>
      </c>
      <c r="V490" s="14">
        <v>7.6666666666666605E-2</v>
      </c>
      <c r="W490" s="14">
        <v>2107</v>
      </c>
      <c r="X490" s="14">
        <v>50</v>
      </c>
      <c r="Y490" s="14">
        <v>2057</v>
      </c>
      <c r="Z490" s="14">
        <v>1127</v>
      </c>
      <c r="AA490" s="14">
        <v>559</v>
      </c>
      <c r="AB490" s="14">
        <v>264</v>
      </c>
      <c r="AC490" s="14">
        <v>200</v>
      </c>
      <c r="AD490" s="14">
        <v>103</v>
      </c>
      <c r="AE490" s="14">
        <v>3234</v>
      </c>
      <c r="AF490" s="14">
        <v>5000</v>
      </c>
      <c r="AG490" s="14">
        <v>6658</v>
      </c>
      <c r="AH490" s="14">
        <v>0</v>
      </c>
      <c r="AI490" s="14">
        <v>170</v>
      </c>
      <c r="AJ490" s="14">
        <v>268</v>
      </c>
      <c r="AK490" s="14" t="s">
        <v>4509</v>
      </c>
      <c r="AL490" s="14" t="s">
        <v>4514</v>
      </c>
      <c r="AM490" s="14">
        <v>662.64</v>
      </c>
      <c r="AN490" s="14">
        <v>624.6</v>
      </c>
      <c r="AO490" s="14">
        <v>176.85</v>
      </c>
      <c r="AP490" s="14">
        <v>21259</v>
      </c>
      <c r="AQ490" s="14">
        <v>21209</v>
      </c>
      <c r="AR490" s="14">
        <v>23000</v>
      </c>
      <c r="AS490" s="14">
        <v>18025</v>
      </c>
      <c r="AT490" s="14">
        <v>19152</v>
      </c>
      <c r="AU490" s="14">
        <v>-33</v>
      </c>
      <c r="AV490" s="14">
        <v>285.22000000000003</v>
      </c>
      <c r="AW490" s="14">
        <v>34.61</v>
      </c>
      <c r="AX490" s="14">
        <v>-3.05</v>
      </c>
      <c r="AY490" s="14" t="b">
        <v>0</v>
      </c>
    </row>
    <row r="491" spans="1:51" hidden="1" x14ac:dyDescent="0.3">
      <c r="A491" t="str">
        <f>CONCATENATE(I491,E491,LEFT(G491,10))</f>
        <v>HFA703LLHA2026-01-03</v>
      </c>
      <c r="B491" s="14" t="s">
        <v>4999</v>
      </c>
      <c r="C491" s="14" t="s">
        <v>336</v>
      </c>
      <c r="D491" s="14" t="s">
        <v>337</v>
      </c>
      <c r="E491" s="14" t="s">
        <v>43</v>
      </c>
      <c r="F491" s="14" t="s">
        <v>48</v>
      </c>
      <c r="G491" s="14" t="s">
        <v>5000</v>
      </c>
      <c r="H491" s="14" t="s">
        <v>357</v>
      </c>
      <c r="I491" s="14" t="s">
        <v>37</v>
      </c>
      <c r="J491" s="14" t="s">
        <v>401</v>
      </c>
      <c r="K491" s="14" t="s">
        <v>349</v>
      </c>
      <c r="L491" s="14" t="s">
        <v>341</v>
      </c>
      <c r="M491" s="16" t="s">
        <v>5001</v>
      </c>
      <c r="N491" s="14" t="s">
        <v>359</v>
      </c>
      <c r="O491" s="14" t="s">
        <v>5002</v>
      </c>
      <c r="P491" s="14">
        <v>50</v>
      </c>
      <c r="Q491" s="14">
        <v>2</v>
      </c>
      <c r="R491" s="14">
        <v>5000</v>
      </c>
      <c r="S491" s="14" t="s">
        <v>5003</v>
      </c>
      <c r="T491" s="14" t="s">
        <v>5004</v>
      </c>
      <c r="U491" s="14">
        <v>2.8125</v>
      </c>
      <c r="V491" s="14">
        <v>3.0308333333333302</v>
      </c>
      <c r="W491" s="14">
        <v>1964</v>
      </c>
      <c r="X491" s="14">
        <v>50</v>
      </c>
      <c r="Y491" s="14">
        <v>1914</v>
      </c>
      <c r="Z491" s="14">
        <v>1028</v>
      </c>
      <c r="AA491" s="14">
        <v>566</v>
      </c>
      <c r="AB491" s="14">
        <v>265</v>
      </c>
      <c r="AC491" s="14">
        <v>100</v>
      </c>
      <c r="AD491" s="14">
        <v>96</v>
      </c>
      <c r="AE491" s="14">
        <v>2991</v>
      </c>
      <c r="AF491" s="14">
        <v>5000</v>
      </c>
      <c r="AG491" s="14">
        <v>6206</v>
      </c>
      <c r="AH491" s="14">
        <v>0</v>
      </c>
      <c r="AI491" s="14">
        <v>164</v>
      </c>
      <c r="AJ491" s="14">
        <v>257</v>
      </c>
      <c r="AK491" s="14" t="s">
        <v>5000</v>
      </c>
      <c r="AL491" s="14" t="s">
        <v>5005</v>
      </c>
      <c r="AM491" s="14">
        <v>651.22</v>
      </c>
      <c r="AN491" s="14">
        <v>624.6</v>
      </c>
      <c r="AO491" s="14">
        <v>176.85</v>
      </c>
      <c r="AP491" s="14">
        <v>21216</v>
      </c>
      <c r="AQ491" s="14">
        <v>21166</v>
      </c>
      <c r="AR491" s="14">
        <v>23000</v>
      </c>
      <c r="AS491" s="14">
        <v>18225</v>
      </c>
      <c r="AT491" s="14">
        <v>19252</v>
      </c>
      <c r="AU491" s="14">
        <v>-25</v>
      </c>
      <c r="AV491" s="14">
        <v>277.47000000000003</v>
      </c>
      <c r="AW491" s="14">
        <v>29.55</v>
      </c>
      <c r="AX491" s="14">
        <v>3.48</v>
      </c>
      <c r="AY491" s="14" t="b">
        <v>0</v>
      </c>
    </row>
    <row r="492" spans="1:51" hidden="1" x14ac:dyDescent="0.3">
      <c r="A492" t="str">
        <f>CONCATENATE(I492,E492,LEFT(G492,10))</f>
        <v>HFA703LLHA2026-01-04</v>
      </c>
      <c r="B492" s="14" t="s">
        <v>5365</v>
      </c>
      <c r="C492" s="14" t="s">
        <v>336</v>
      </c>
      <c r="D492" s="14" t="s">
        <v>337</v>
      </c>
      <c r="E492" s="14" t="s">
        <v>43</v>
      </c>
      <c r="F492" s="14" t="s">
        <v>48</v>
      </c>
      <c r="G492" s="14" t="s">
        <v>5366</v>
      </c>
      <c r="H492" s="14" t="s">
        <v>436</v>
      </c>
      <c r="I492" s="14" t="s">
        <v>37</v>
      </c>
      <c r="J492" s="14" t="s">
        <v>401</v>
      </c>
      <c r="K492" s="14" t="s">
        <v>349</v>
      </c>
      <c r="L492" s="14" t="s">
        <v>341</v>
      </c>
      <c r="M492" s="16" t="s">
        <v>5367</v>
      </c>
      <c r="N492" s="14" t="s">
        <v>359</v>
      </c>
      <c r="O492" s="14" t="s">
        <v>5368</v>
      </c>
      <c r="P492" s="14">
        <v>50</v>
      </c>
      <c r="Q492" s="14">
        <v>2</v>
      </c>
      <c r="R492" s="14">
        <v>3550</v>
      </c>
      <c r="S492" s="14" t="s">
        <v>5369</v>
      </c>
      <c r="T492" s="14" t="s">
        <v>5370</v>
      </c>
      <c r="U492" s="14">
        <v>2.7602777777777701</v>
      </c>
      <c r="V492" s="14">
        <v>2.8813888888888801</v>
      </c>
      <c r="W492" s="14">
        <v>1784</v>
      </c>
      <c r="X492" s="14">
        <v>50</v>
      </c>
      <c r="Y492" s="14">
        <v>1734</v>
      </c>
      <c r="Z492" s="14">
        <v>1028</v>
      </c>
      <c r="AA492" s="14">
        <v>588</v>
      </c>
      <c r="AB492" s="14">
        <v>253</v>
      </c>
      <c r="AC492" s="14">
        <v>100</v>
      </c>
      <c r="AD492" s="14">
        <v>87</v>
      </c>
      <c r="AE492" s="14">
        <v>2811</v>
      </c>
      <c r="AF492" s="14">
        <v>5000</v>
      </c>
      <c r="AG492" s="14">
        <v>5636</v>
      </c>
      <c r="AH492" s="14">
        <v>0</v>
      </c>
      <c r="AI492" s="14">
        <v>154</v>
      </c>
      <c r="AJ492" s="14">
        <v>249</v>
      </c>
      <c r="AK492" s="14" t="s">
        <v>5366</v>
      </c>
      <c r="AL492" s="14" t="s">
        <v>5371</v>
      </c>
      <c r="AM492" s="14">
        <v>651.22</v>
      </c>
      <c r="AN492" s="14">
        <v>624.6</v>
      </c>
      <c r="AO492" s="14">
        <v>176.85</v>
      </c>
      <c r="AP492" s="14">
        <v>19566</v>
      </c>
      <c r="AQ492" s="14">
        <v>19516</v>
      </c>
      <c r="AR492" s="14">
        <v>23000</v>
      </c>
      <c r="AS492" s="14">
        <v>16755</v>
      </c>
      <c r="AT492" s="14">
        <v>17783</v>
      </c>
      <c r="AU492" s="14">
        <v>-9</v>
      </c>
      <c r="AV492" s="14">
        <v>234.89</v>
      </c>
      <c r="AW492" s="14">
        <v>20.62</v>
      </c>
      <c r="AX492" s="14">
        <v>3.72</v>
      </c>
      <c r="AY492" s="14" t="b">
        <v>0</v>
      </c>
    </row>
    <row r="493" spans="1:51" hidden="1" x14ac:dyDescent="0.3">
      <c r="A493" t="str">
        <f>CONCATENATE(I493,E493,LEFT(G493,10))</f>
        <v>HFA703LLHA2026-01-05</v>
      </c>
      <c r="B493" s="14" t="s">
        <v>1692</v>
      </c>
      <c r="C493" s="14" t="s">
        <v>336</v>
      </c>
      <c r="D493" s="14" t="s">
        <v>337</v>
      </c>
      <c r="E493" s="14" t="s">
        <v>43</v>
      </c>
      <c r="F493" s="14" t="s">
        <v>48</v>
      </c>
      <c r="G493" s="14" t="s">
        <v>1693</v>
      </c>
      <c r="H493" s="14" t="s">
        <v>357</v>
      </c>
      <c r="I493" s="14" t="s">
        <v>37</v>
      </c>
      <c r="J493" s="14" t="s">
        <v>401</v>
      </c>
      <c r="K493" s="14" t="s">
        <v>349</v>
      </c>
      <c r="L493" s="14" t="s">
        <v>341</v>
      </c>
      <c r="M493" s="16" t="s">
        <v>1694</v>
      </c>
      <c r="N493" s="14" t="s">
        <v>359</v>
      </c>
      <c r="O493" s="14" t="s">
        <v>1695</v>
      </c>
      <c r="P493" s="14">
        <v>50</v>
      </c>
      <c r="Q493" s="14">
        <v>2</v>
      </c>
      <c r="R493" s="14">
        <v>1800</v>
      </c>
      <c r="S493" s="14"/>
      <c r="T493" s="14" t="s">
        <v>1696</v>
      </c>
      <c r="U493" s="14"/>
      <c r="V493" s="14">
        <v>2.8424999999999998</v>
      </c>
      <c r="W493" s="14">
        <v>1775</v>
      </c>
      <c r="X493" s="14">
        <v>50</v>
      </c>
      <c r="Y493" s="14">
        <v>1725</v>
      </c>
      <c r="Z493" s="14">
        <v>1225</v>
      </c>
      <c r="AA493" s="14">
        <v>574</v>
      </c>
      <c r="AB493" s="14">
        <v>242</v>
      </c>
      <c r="AC493" s="14">
        <v>323</v>
      </c>
      <c r="AD493" s="14">
        <v>86</v>
      </c>
      <c r="AE493" s="14">
        <v>3000</v>
      </c>
      <c r="AF493" s="14">
        <v>5000</v>
      </c>
      <c r="AG493" s="14">
        <v>5609</v>
      </c>
      <c r="AH493" s="14">
        <v>0</v>
      </c>
      <c r="AI493" s="14">
        <v>156</v>
      </c>
      <c r="AJ493" s="14">
        <v>270</v>
      </c>
      <c r="AK493" s="14" t="s">
        <v>1693</v>
      </c>
      <c r="AL493" s="14" t="s">
        <v>1697</v>
      </c>
      <c r="AM493" s="14">
        <v>657.4</v>
      </c>
      <c r="AN493" s="14">
        <v>624.6</v>
      </c>
      <c r="AO493" s="14">
        <v>176.85</v>
      </c>
      <c r="AP493" s="14">
        <v>18025</v>
      </c>
      <c r="AQ493" s="14">
        <v>17975</v>
      </c>
      <c r="AR493" s="14">
        <v>23000</v>
      </c>
      <c r="AS493" s="14">
        <v>15025</v>
      </c>
      <c r="AT493" s="14">
        <v>16250</v>
      </c>
      <c r="AU493" s="14">
        <v>-11</v>
      </c>
      <c r="AV493" s="14">
        <v>232.87</v>
      </c>
      <c r="AW493" s="14">
        <v>27</v>
      </c>
      <c r="AX493" s="14">
        <v>4.59</v>
      </c>
      <c r="AY493" s="14" t="b">
        <v>0</v>
      </c>
    </row>
    <row r="494" spans="1:51" hidden="1" x14ac:dyDescent="0.3">
      <c r="A494" t="str">
        <f>CONCATENATE(I494,E494,LEFT(G494,10))</f>
        <v>HFA703LLHA2026-01-06</v>
      </c>
      <c r="B494" s="14" t="s">
        <v>4840</v>
      </c>
      <c r="C494" s="14" t="s">
        <v>336</v>
      </c>
      <c r="D494" s="14" t="s">
        <v>337</v>
      </c>
      <c r="E494" s="14" t="s">
        <v>43</v>
      </c>
      <c r="F494" s="14" t="s">
        <v>48</v>
      </c>
      <c r="G494" s="14" t="s">
        <v>4841</v>
      </c>
      <c r="H494" s="14" t="s">
        <v>357</v>
      </c>
      <c r="I494" s="14" t="s">
        <v>37</v>
      </c>
      <c r="J494" s="14" t="s">
        <v>401</v>
      </c>
      <c r="K494" s="14" t="s">
        <v>349</v>
      </c>
      <c r="L494" s="14" t="s">
        <v>341</v>
      </c>
      <c r="M494" s="16" t="s">
        <v>4842</v>
      </c>
      <c r="N494" s="14" t="s">
        <v>359</v>
      </c>
      <c r="O494" s="14" t="s">
        <v>4843</v>
      </c>
      <c r="P494" s="14">
        <v>50</v>
      </c>
      <c r="Q494" s="14">
        <v>2</v>
      </c>
      <c r="R494" s="14">
        <v>4300</v>
      </c>
      <c r="S494" s="14" t="s">
        <v>4844</v>
      </c>
      <c r="T494" s="14" t="s">
        <v>4845</v>
      </c>
      <c r="U494" s="14">
        <v>2.6463888888888798</v>
      </c>
      <c r="V494" s="14">
        <v>2.8186111111111098</v>
      </c>
      <c r="W494" s="14">
        <v>1999</v>
      </c>
      <c r="X494" s="14">
        <v>50</v>
      </c>
      <c r="Y494" s="14">
        <v>1949</v>
      </c>
      <c r="Z494" s="14">
        <v>1045</v>
      </c>
      <c r="AA494" s="14">
        <v>588</v>
      </c>
      <c r="AB494" s="14">
        <v>260</v>
      </c>
      <c r="AC494" s="14">
        <v>100</v>
      </c>
      <c r="AD494" s="14">
        <v>97</v>
      </c>
      <c r="AE494" s="14">
        <v>3044</v>
      </c>
      <c r="AF494" s="14">
        <v>5000</v>
      </c>
      <c r="AG494" s="14">
        <v>6318</v>
      </c>
      <c r="AH494" s="14">
        <v>0</v>
      </c>
      <c r="AI494" s="14">
        <v>162</v>
      </c>
      <c r="AJ494" s="14">
        <v>256</v>
      </c>
      <c r="AK494" s="14" t="s">
        <v>4841</v>
      </c>
      <c r="AL494" s="14" t="s">
        <v>4846</v>
      </c>
      <c r="AM494" s="14">
        <v>651.22</v>
      </c>
      <c r="AN494" s="14">
        <v>624.6</v>
      </c>
      <c r="AO494" s="14">
        <v>176.85</v>
      </c>
      <c r="AP494" s="14">
        <v>20569</v>
      </c>
      <c r="AQ494" s="14">
        <v>20519</v>
      </c>
      <c r="AR494" s="14">
        <v>23000</v>
      </c>
      <c r="AS494" s="14">
        <v>17525</v>
      </c>
      <c r="AT494" s="14">
        <v>18570</v>
      </c>
      <c r="AU494" s="14">
        <v>-22</v>
      </c>
      <c r="AV494" s="14">
        <v>256.18</v>
      </c>
      <c r="AW494" s="14">
        <v>29.54</v>
      </c>
      <c r="AX494" s="14">
        <v>4.68</v>
      </c>
      <c r="AY494" s="14" t="b">
        <v>0</v>
      </c>
    </row>
    <row r="495" spans="1:51" hidden="1" x14ac:dyDescent="0.3">
      <c r="A495" t="str">
        <f>CONCATENATE(I495,E495,LEFT(G495,10))</f>
        <v>HFA703LLHA2026-01-07</v>
      </c>
      <c r="B495" s="14" t="s">
        <v>1421</v>
      </c>
      <c r="C495" s="14" t="s">
        <v>336</v>
      </c>
      <c r="D495" s="14" t="s">
        <v>337</v>
      </c>
      <c r="E495" s="14" t="s">
        <v>43</v>
      </c>
      <c r="F495" s="14" t="s">
        <v>48</v>
      </c>
      <c r="G495" s="14" t="s">
        <v>1422</v>
      </c>
      <c r="H495" s="14" t="s">
        <v>393</v>
      </c>
      <c r="I495" s="14" t="s">
        <v>37</v>
      </c>
      <c r="J495" s="14" t="s">
        <v>401</v>
      </c>
      <c r="K495" s="14" t="s">
        <v>349</v>
      </c>
      <c r="L495" s="14" t="s">
        <v>341</v>
      </c>
      <c r="M495" s="16" t="s">
        <v>1423</v>
      </c>
      <c r="N495" s="14"/>
      <c r="O495" s="14" t="s">
        <v>1424</v>
      </c>
      <c r="P495" s="14">
        <v>50</v>
      </c>
      <c r="Q495" s="14">
        <v>2</v>
      </c>
      <c r="R495" s="14">
        <v>4600</v>
      </c>
      <c r="S495" s="14" t="s">
        <v>1425</v>
      </c>
      <c r="T495" s="14" t="s">
        <v>1426</v>
      </c>
      <c r="U495" s="14">
        <v>2.96</v>
      </c>
      <c r="V495" s="14">
        <v>3.1283333333333299</v>
      </c>
      <c r="W495" s="14">
        <v>2255</v>
      </c>
      <c r="X495" s="14">
        <v>50</v>
      </c>
      <c r="Y495" s="14">
        <v>2205</v>
      </c>
      <c r="Z495" s="14">
        <v>1245</v>
      </c>
      <c r="AA495" s="14">
        <v>631</v>
      </c>
      <c r="AB495" s="14">
        <v>264</v>
      </c>
      <c r="AC495" s="14">
        <v>239</v>
      </c>
      <c r="AD495" s="14">
        <v>110</v>
      </c>
      <c r="AE495" s="14">
        <v>3500</v>
      </c>
      <c r="AF495" s="14">
        <v>5000</v>
      </c>
      <c r="AG495" s="14">
        <v>7127</v>
      </c>
      <c r="AH495" s="14">
        <v>0</v>
      </c>
      <c r="AI495" s="14">
        <v>175</v>
      </c>
      <c r="AJ495" s="14">
        <v>283</v>
      </c>
      <c r="AK495" s="14" t="s">
        <v>1422</v>
      </c>
      <c r="AL495" s="14" t="s">
        <v>1427</v>
      </c>
      <c r="AM495" s="14">
        <v>657.4</v>
      </c>
      <c r="AN495" s="14">
        <v>624.6</v>
      </c>
      <c r="AO495" s="14">
        <v>176.85</v>
      </c>
      <c r="AP495" s="14">
        <v>21411</v>
      </c>
      <c r="AQ495" s="14">
        <v>21361</v>
      </c>
      <c r="AR495" s="14">
        <v>23000</v>
      </c>
      <c r="AS495" s="14">
        <v>17911</v>
      </c>
      <c r="AT495" s="14">
        <v>19156</v>
      </c>
      <c r="AU495" s="14">
        <v>-35</v>
      </c>
      <c r="AV495" s="14">
        <v>259.47000000000003</v>
      </c>
      <c r="AW495" s="14">
        <v>47.45</v>
      </c>
      <c r="AX495" s="14">
        <v>5.07</v>
      </c>
      <c r="AY495" s="14" t="b">
        <v>0</v>
      </c>
    </row>
    <row r="496" spans="1:51" hidden="1" x14ac:dyDescent="0.3">
      <c r="A496" t="str">
        <f>CONCATENATE(I496,E496,LEFT(G496,10))</f>
        <v>HFA703LLHA2026-01-08</v>
      </c>
      <c r="B496" s="14" t="s">
        <v>2866</v>
      </c>
      <c r="C496" s="14" t="s">
        <v>336</v>
      </c>
      <c r="D496" s="14" t="s">
        <v>337</v>
      </c>
      <c r="E496" s="14" t="s">
        <v>43</v>
      </c>
      <c r="F496" s="14" t="s">
        <v>48</v>
      </c>
      <c r="G496" s="14" t="s">
        <v>2867</v>
      </c>
      <c r="H496" s="14" t="s">
        <v>436</v>
      </c>
      <c r="I496" s="14" t="s">
        <v>37</v>
      </c>
      <c r="J496" s="14" t="s">
        <v>401</v>
      </c>
      <c r="K496" s="14" t="s">
        <v>349</v>
      </c>
      <c r="L496" s="14" t="s">
        <v>341</v>
      </c>
      <c r="M496" s="16" t="s">
        <v>2868</v>
      </c>
      <c r="N496" s="14" t="s">
        <v>359</v>
      </c>
      <c r="O496" s="14" t="s">
        <v>2869</v>
      </c>
      <c r="P496" s="14">
        <v>50</v>
      </c>
      <c r="Q496" s="14">
        <v>2</v>
      </c>
      <c r="R496" s="14">
        <v>6500</v>
      </c>
      <c r="S496" s="14" t="s">
        <v>2870</v>
      </c>
      <c r="T496" s="14" t="s">
        <v>2871</v>
      </c>
      <c r="U496" s="14">
        <v>2.8655555555555501</v>
      </c>
      <c r="V496" s="14">
        <v>3.0902777777777701</v>
      </c>
      <c r="W496" s="14">
        <v>2014</v>
      </c>
      <c r="X496" s="14">
        <v>50</v>
      </c>
      <c r="Y496" s="14">
        <v>1964</v>
      </c>
      <c r="Z496" s="14">
        <v>1062</v>
      </c>
      <c r="AA496" s="14">
        <v>584</v>
      </c>
      <c r="AB496" s="14">
        <v>279</v>
      </c>
      <c r="AC496" s="14">
        <v>100</v>
      </c>
      <c r="AD496" s="14">
        <v>98</v>
      </c>
      <c r="AE496" s="14">
        <v>3076</v>
      </c>
      <c r="AF496" s="14">
        <v>5000</v>
      </c>
      <c r="AG496" s="14">
        <v>6366</v>
      </c>
      <c r="AH496" s="14">
        <v>0</v>
      </c>
      <c r="AI496" s="14">
        <v>166</v>
      </c>
      <c r="AJ496" s="14">
        <v>256</v>
      </c>
      <c r="AK496" s="14" t="s">
        <v>2867</v>
      </c>
      <c r="AL496" s="14" t="s">
        <v>2872</v>
      </c>
      <c r="AM496" s="14">
        <v>651.22</v>
      </c>
      <c r="AN496" s="14">
        <v>624.6</v>
      </c>
      <c r="AO496" s="14">
        <v>176.85</v>
      </c>
      <c r="AP496" s="14">
        <v>22781</v>
      </c>
      <c r="AQ496" s="14">
        <v>22731</v>
      </c>
      <c r="AR496" s="14">
        <v>23000</v>
      </c>
      <c r="AS496" s="14">
        <v>19705</v>
      </c>
      <c r="AT496" s="14">
        <v>20767</v>
      </c>
      <c r="AU496" s="14">
        <v>-25</v>
      </c>
      <c r="AV496" s="14">
        <v>235.15</v>
      </c>
      <c r="AW496" s="14">
        <v>60.54</v>
      </c>
      <c r="AX496" s="14">
        <v>2.2400000000000002</v>
      </c>
      <c r="AY496" s="14" t="b">
        <v>0</v>
      </c>
    </row>
    <row r="497" spans="1:51" hidden="1" x14ac:dyDescent="0.3">
      <c r="A497" t="str">
        <f>CONCATENATE(I497,E497,LEFT(G497,10))</f>
        <v>HFA703LLHA2026-01-10</v>
      </c>
      <c r="B497" s="14" t="s">
        <v>1141</v>
      </c>
      <c r="C497" s="14" t="s">
        <v>336</v>
      </c>
      <c r="D497" s="14" t="s">
        <v>337</v>
      </c>
      <c r="E497" s="14" t="s">
        <v>43</v>
      </c>
      <c r="F497" s="14" t="s">
        <v>48</v>
      </c>
      <c r="G497" s="14" t="s">
        <v>1142</v>
      </c>
      <c r="H497" s="14" t="s">
        <v>436</v>
      </c>
      <c r="I497" s="14" t="s">
        <v>37</v>
      </c>
      <c r="J497" s="14" t="s">
        <v>401</v>
      </c>
      <c r="K497" s="14" t="s">
        <v>349</v>
      </c>
      <c r="L497" s="14" t="s">
        <v>341</v>
      </c>
      <c r="M497" s="16" t="s">
        <v>1143</v>
      </c>
      <c r="N497" s="14" t="s">
        <v>359</v>
      </c>
      <c r="O497" s="14" t="s">
        <v>1144</v>
      </c>
      <c r="P497" s="14">
        <v>50</v>
      </c>
      <c r="Q497" s="14">
        <v>2</v>
      </c>
      <c r="R497" s="14">
        <v>1500</v>
      </c>
      <c r="S497" s="14" t="s">
        <v>1145</v>
      </c>
      <c r="T497" s="14" t="s">
        <v>1146</v>
      </c>
      <c r="U497" s="14">
        <v>2.7524999999999999</v>
      </c>
      <c r="V497" s="14">
        <v>2.92638888888888</v>
      </c>
      <c r="W497" s="14">
        <v>2034</v>
      </c>
      <c r="X497" s="14">
        <v>50</v>
      </c>
      <c r="Y497" s="14">
        <v>1984</v>
      </c>
      <c r="Z497" s="14">
        <v>1000</v>
      </c>
      <c r="AA497" s="14">
        <v>563</v>
      </c>
      <c r="AB497" s="14">
        <v>238</v>
      </c>
      <c r="AC497" s="14">
        <v>100</v>
      </c>
      <c r="AD497" s="14">
        <v>99</v>
      </c>
      <c r="AE497" s="14">
        <v>3034</v>
      </c>
      <c r="AF497" s="14">
        <v>5000</v>
      </c>
      <c r="AG497" s="14">
        <v>6429</v>
      </c>
      <c r="AH497" s="14">
        <v>0</v>
      </c>
      <c r="AI497" s="14">
        <v>171</v>
      </c>
      <c r="AJ497" s="14">
        <v>265</v>
      </c>
      <c r="AK497" s="14" t="s">
        <v>1142</v>
      </c>
      <c r="AL497" s="14" t="s">
        <v>1147</v>
      </c>
      <c r="AM497" s="14">
        <v>662.64</v>
      </c>
      <c r="AN497" s="14">
        <v>624.6</v>
      </c>
      <c r="AO497" s="14">
        <v>176.85</v>
      </c>
      <c r="AP497" s="14">
        <v>17739</v>
      </c>
      <c r="AQ497" s="14">
        <v>17689</v>
      </c>
      <c r="AR497" s="14">
        <v>23000</v>
      </c>
      <c r="AS497" s="14">
        <v>14705</v>
      </c>
      <c r="AT497" s="14">
        <v>15705</v>
      </c>
      <c r="AU497" s="14">
        <v>-35</v>
      </c>
      <c r="AV497" s="14">
        <v>265.33</v>
      </c>
      <c r="AW497" s="14">
        <v>43.82</v>
      </c>
      <c r="AX497" s="14">
        <v>2.1800000000000002</v>
      </c>
      <c r="AY497" s="14" t="b">
        <v>0</v>
      </c>
    </row>
    <row r="498" spans="1:51" hidden="1" x14ac:dyDescent="0.3">
      <c r="A498" t="str">
        <f>CONCATENATE(I498,E498,LEFT(G498,10))</f>
        <v>HFA703LLHA2026-01-11</v>
      </c>
      <c r="B498" s="14" t="s">
        <v>2209</v>
      </c>
      <c r="C498" s="14" t="s">
        <v>336</v>
      </c>
      <c r="D498" s="14" t="s">
        <v>337</v>
      </c>
      <c r="E498" s="14" t="s">
        <v>43</v>
      </c>
      <c r="F498" s="14" t="s">
        <v>48</v>
      </c>
      <c r="G498" s="14" t="s">
        <v>2210</v>
      </c>
      <c r="H498" s="14" t="s">
        <v>357</v>
      </c>
      <c r="I498" s="14" t="s">
        <v>37</v>
      </c>
      <c r="J498" s="14" t="s">
        <v>401</v>
      </c>
      <c r="K498" s="14" t="s">
        <v>349</v>
      </c>
      <c r="L498" s="14" t="s">
        <v>341</v>
      </c>
      <c r="M498" s="16" t="s">
        <v>2211</v>
      </c>
      <c r="N498" s="14" t="s">
        <v>359</v>
      </c>
      <c r="O498" s="14" t="s">
        <v>2212</v>
      </c>
      <c r="P498" s="14">
        <v>50</v>
      </c>
      <c r="Q498" s="14">
        <v>2</v>
      </c>
      <c r="R498" s="14">
        <v>3100</v>
      </c>
      <c r="S498" s="14" t="s">
        <v>2213</v>
      </c>
      <c r="T498" s="14" t="s">
        <v>2214</v>
      </c>
      <c r="U498" s="14">
        <v>2.9252777777777701</v>
      </c>
      <c r="V498" s="14">
        <v>3.0833333333333299</v>
      </c>
      <c r="W498" s="14">
        <v>1930</v>
      </c>
      <c r="X498" s="14">
        <v>50</v>
      </c>
      <c r="Y498" s="14">
        <v>1880</v>
      </c>
      <c r="Z498" s="14">
        <v>1008</v>
      </c>
      <c r="AA498" s="14">
        <v>565</v>
      </c>
      <c r="AB498" s="14">
        <v>250</v>
      </c>
      <c r="AC498" s="14">
        <v>100</v>
      </c>
      <c r="AD498" s="14">
        <v>94</v>
      </c>
      <c r="AE498" s="14">
        <v>2938</v>
      </c>
      <c r="AF498" s="14">
        <v>5000</v>
      </c>
      <c r="AG498" s="14">
        <v>6099</v>
      </c>
      <c r="AH498" s="14">
        <v>0</v>
      </c>
      <c r="AI498" s="14">
        <v>165</v>
      </c>
      <c r="AJ498" s="14">
        <v>256</v>
      </c>
      <c r="AK498" s="14" t="s">
        <v>2210</v>
      </c>
      <c r="AL498" s="14" t="s">
        <v>2215</v>
      </c>
      <c r="AM498" s="14">
        <v>662.64</v>
      </c>
      <c r="AN498" s="14">
        <v>624.6</v>
      </c>
      <c r="AO498" s="14">
        <v>176.85</v>
      </c>
      <c r="AP498" s="14">
        <v>19263</v>
      </c>
      <c r="AQ498" s="14">
        <v>19213</v>
      </c>
      <c r="AR498" s="14">
        <v>23000</v>
      </c>
      <c r="AS498" s="14">
        <v>16325</v>
      </c>
      <c r="AT498" s="14">
        <v>17333</v>
      </c>
      <c r="AU498" s="14">
        <v>-25</v>
      </c>
      <c r="AV498" s="14">
        <v>242.85</v>
      </c>
      <c r="AW498" s="14">
        <v>44</v>
      </c>
      <c r="AX498" s="14">
        <v>-1.5</v>
      </c>
      <c r="AY498" s="14" t="b">
        <v>0</v>
      </c>
    </row>
    <row r="499" spans="1:51" hidden="1" x14ac:dyDescent="0.3">
      <c r="A499" t="str">
        <f>CONCATENATE(I499,E499,LEFT(G499,10))</f>
        <v>HFA703LLHA2026-01-12</v>
      </c>
      <c r="B499" s="14" t="s">
        <v>6028</v>
      </c>
      <c r="C499" s="14" t="s">
        <v>336</v>
      </c>
      <c r="D499" s="14" t="s">
        <v>337</v>
      </c>
      <c r="E499" s="14" t="s">
        <v>43</v>
      </c>
      <c r="F499" s="14" t="s">
        <v>48</v>
      </c>
      <c r="G499" s="14" t="s">
        <v>6029</v>
      </c>
      <c r="H499" s="14" t="s">
        <v>436</v>
      </c>
      <c r="I499" s="14" t="s">
        <v>37</v>
      </c>
      <c r="J499" s="14" t="s">
        <v>401</v>
      </c>
      <c r="K499" s="14" t="s">
        <v>349</v>
      </c>
      <c r="L499" s="14" t="s">
        <v>341</v>
      </c>
      <c r="M499" s="16" t="s">
        <v>6030</v>
      </c>
      <c r="N499" s="14" t="s">
        <v>359</v>
      </c>
      <c r="O499" s="14" t="s">
        <v>6031</v>
      </c>
      <c r="P499" s="14">
        <v>50</v>
      </c>
      <c r="Q499" s="14">
        <v>2</v>
      </c>
      <c r="R499" s="14">
        <v>2300</v>
      </c>
      <c r="S499" s="14" t="s">
        <v>6032</v>
      </c>
      <c r="T499" s="14" t="s">
        <v>6033</v>
      </c>
      <c r="U499" s="14">
        <v>3.2733333333333299</v>
      </c>
      <c r="V499" s="14">
        <v>3.4833333333333298</v>
      </c>
      <c r="W499" s="14">
        <v>2041</v>
      </c>
      <c r="X499" s="14">
        <v>50</v>
      </c>
      <c r="Y499" s="14">
        <v>1991</v>
      </c>
      <c r="Z499" s="14">
        <v>1259</v>
      </c>
      <c r="AA499" s="14">
        <v>540</v>
      </c>
      <c r="AB499" s="14">
        <v>245</v>
      </c>
      <c r="AC499" s="14">
        <v>374</v>
      </c>
      <c r="AD499" s="14">
        <v>100</v>
      </c>
      <c r="AE499" s="14">
        <v>3300</v>
      </c>
      <c r="AF499" s="14">
        <v>5000</v>
      </c>
      <c r="AG499" s="14">
        <v>6448</v>
      </c>
      <c r="AH499" s="14">
        <v>0</v>
      </c>
      <c r="AI499" s="14">
        <v>163</v>
      </c>
      <c r="AJ499" s="14">
        <v>276</v>
      </c>
      <c r="AK499" s="14" t="s">
        <v>6029</v>
      </c>
      <c r="AL499" s="14" t="s">
        <v>6034</v>
      </c>
      <c r="AM499" s="14">
        <v>662.64</v>
      </c>
      <c r="AN499" s="14">
        <v>624.6</v>
      </c>
      <c r="AO499" s="14">
        <v>176.85</v>
      </c>
      <c r="AP499" s="14">
        <v>18805</v>
      </c>
      <c r="AQ499" s="14">
        <v>18755</v>
      </c>
      <c r="AR499" s="14">
        <v>23000</v>
      </c>
      <c r="AS499" s="14">
        <v>15505</v>
      </c>
      <c r="AT499" s="14">
        <v>16764</v>
      </c>
      <c r="AU499" s="14">
        <v>-26</v>
      </c>
      <c r="AV499" s="14">
        <v>267.10000000000002</v>
      </c>
      <c r="AW499" s="14">
        <v>29.26</v>
      </c>
      <c r="AX499" s="14">
        <v>-6.1</v>
      </c>
      <c r="AY499" s="14" t="b">
        <v>0</v>
      </c>
    </row>
    <row r="500" spans="1:51" hidden="1" x14ac:dyDescent="0.3">
      <c r="A500" t="str">
        <f>CONCATENATE(I500,E500,LEFT(G500,10))</f>
        <v>HFA703LLHA2026-01-14</v>
      </c>
      <c r="B500" s="14" t="s">
        <v>5709</v>
      </c>
      <c r="C500" s="14" t="s">
        <v>336</v>
      </c>
      <c r="D500" s="14" t="s">
        <v>337</v>
      </c>
      <c r="E500" s="14" t="s">
        <v>43</v>
      </c>
      <c r="F500" s="14" t="s">
        <v>48</v>
      </c>
      <c r="G500" s="14" t="s">
        <v>5710</v>
      </c>
      <c r="H500" s="14" t="s">
        <v>357</v>
      </c>
      <c r="I500" s="14" t="s">
        <v>37</v>
      </c>
      <c r="J500" s="14" t="s">
        <v>401</v>
      </c>
      <c r="K500" s="14" t="s">
        <v>349</v>
      </c>
      <c r="L500" s="14" t="s">
        <v>341</v>
      </c>
      <c r="M500" s="16" t="s">
        <v>5711</v>
      </c>
      <c r="N500" s="14" t="s">
        <v>359</v>
      </c>
      <c r="O500" s="14" t="s">
        <v>2016</v>
      </c>
      <c r="P500" s="14">
        <v>50</v>
      </c>
      <c r="Q500" s="14">
        <v>2</v>
      </c>
      <c r="R500" s="14">
        <v>6000</v>
      </c>
      <c r="S500" s="14" t="s">
        <v>5712</v>
      </c>
      <c r="T500" s="14" t="s">
        <v>5713</v>
      </c>
      <c r="U500" s="14">
        <v>2.8980555555555498</v>
      </c>
      <c r="V500" s="14">
        <v>3.0791666666666599</v>
      </c>
      <c r="W500" s="14">
        <v>2135</v>
      </c>
      <c r="X500" s="14">
        <v>50</v>
      </c>
      <c r="Y500" s="14">
        <v>2085</v>
      </c>
      <c r="Z500" s="14">
        <v>1039</v>
      </c>
      <c r="AA500" s="14">
        <v>560</v>
      </c>
      <c r="AB500" s="14">
        <v>275</v>
      </c>
      <c r="AC500" s="14">
        <v>100</v>
      </c>
      <c r="AD500" s="14">
        <v>104</v>
      </c>
      <c r="AE500" s="14">
        <v>3174</v>
      </c>
      <c r="AF500" s="14">
        <v>5000</v>
      </c>
      <c r="AG500" s="14">
        <v>6747</v>
      </c>
      <c r="AH500" s="14">
        <v>0</v>
      </c>
      <c r="AI500" s="14">
        <v>171</v>
      </c>
      <c r="AJ500" s="14">
        <v>262</v>
      </c>
      <c r="AK500" s="14" t="s">
        <v>5710</v>
      </c>
      <c r="AL500" s="14" t="s">
        <v>5714</v>
      </c>
      <c r="AM500" s="14">
        <v>662.64</v>
      </c>
      <c r="AN500" s="14">
        <v>624.6</v>
      </c>
      <c r="AO500" s="14">
        <v>176.85</v>
      </c>
      <c r="AP500" s="14">
        <v>22399</v>
      </c>
      <c r="AQ500" s="14">
        <v>22349</v>
      </c>
      <c r="AR500" s="14">
        <v>23000</v>
      </c>
      <c r="AS500" s="14">
        <v>19225</v>
      </c>
      <c r="AT500" s="14">
        <v>20264</v>
      </c>
      <c r="AU500" s="14">
        <v>-31</v>
      </c>
      <c r="AV500" s="14">
        <v>320.16000000000003</v>
      </c>
      <c r="AW500" s="14">
        <v>32.03</v>
      </c>
      <c r="AX500" s="14">
        <v>2.06</v>
      </c>
      <c r="AY500" s="14" t="b">
        <v>0</v>
      </c>
    </row>
    <row r="501" spans="1:51" hidden="1" x14ac:dyDescent="0.3">
      <c r="A501" t="str">
        <f>CONCATENATE(I501,E501,LEFT(G501,10))</f>
        <v>HFA703LLHA2026-01-15</v>
      </c>
      <c r="B501" s="14" t="s">
        <v>6141</v>
      </c>
      <c r="C501" s="14" t="s">
        <v>336</v>
      </c>
      <c r="D501" s="14" t="s">
        <v>337</v>
      </c>
      <c r="E501" s="14" t="s">
        <v>43</v>
      </c>
      <c r="F501" s="14" t="s">
        <v>48</v>
      </c>
      <c r="G501" s="14" t="s">
        <v>6142</v>
      </c>
      <c r="H501" s="14" t="s">
        <v>436</v>
      </c>
      <c r="I501" s="14" t="s">
        <v>37</v>
      </c>
      <c r="J501" s="14" t="s">
        <v>401</v>
      </c>
      <c r="K501" s="14" t="s">
        <v>349</v>
      </c>
      <c r="L501" s="14" t="s">
        <v>341</v>
      </c>
      <c r="M501" s="16" t="s">
        <v>6143</v>
      </c>
      <c r="N501" s="14" t="s">
        <v>359</v>
      </c>
      <c r="O501" s="14" t="s">
        <v>6144</v>
      </c>
      <c r="P501" s="14">
        <v>50</v>
      </c>
      <c r="Q501" s="14">
        <v>2</v>
      </c>
      <c r="R501" s="14">
        <v>0</v>
      </c>
      <c r="S501" s="14" t="s">
        <v>6145</v>
      </c>
      <c r="T501" s="14" t="s">
        <v>6146</v>
      </c>
      <c r="U501" s="14">
        <v>2.8675000000000002</v>
      </c>
      <c r="V501" s="14">
        <v>3.0547222222222201</v>
      </c>
      <c r="W501" s="14">
        <v>1981</v>
      </c>
      <c r="X501" s="14">
        <v>50</v>
      </c>
      <c r="Y501" s="14">
        <v>1931</v>
      </c>
      <c r="Z501" s="14">
        <v>1051</v>
      </c>
      <c r="AA501" s="14">
        <v>578</v>
      </c>
      <c r="AB501" s="14">
        <v>276</v>
      </c>
      <c r="AC501" s="14">
        <v>100</v>
      </c>
      <c r="AD501" s="14">
        <v>97</v>
      </c>
      <c r="AE501" s="14">
        <v>3032</v>
      </c>
      <c r="AF501" s="14">
        <v>5000</v>
      </c>
      <c r="AG501" s="14">
        <v>6261</v>
      </c>
      <c r="AH501" s="14">
        <v>0</v>
      </c>
      <c r="AI501" s="14">
        <v>170</v>
      </c>
      <c r="AJ501" s="14">
        <v>263</v>
      </c>
      <c r="AK501" s="14" t="s">
        <v>6142</v>
      </c>
      <c r="AL501" s="14" t="s">
        <v>6147</v>
      </c>
      <c r="AM501" s="14">
        <v>662.64</v>
      </c>
      <c r="AN501" s="14">
        <v>624.6</v>
      </c>
      <c r="AO501" s="14">
        <v>176.85</v>
      </c>
      <c r="AP501" s="14">
        <v>22362</v>
      </c>
      <c r="AQ501" s="14">
        <v>22312</v>
      </c>
      <c r="AR501" s="14">
        <v>23000</v>
      </c>
      <c r="AS501" s="14">
        <v>19330</v>
      </c>
      <c r="AT501" s="14">
        <v>20381</v>
      </c>
      <c r="AU501" s="14">
        <v>-26</v>
      </c>
      <c r="AV501" s="14">
        <v>301.83</v>
      </c>
      <c r="AW501" s="14">
        <v>26.03</v>
      </c>
      <c r="AX501" s="14">
        <v>2.57</v>
      </c>
      <c r="AY501" s="14" t="b">
        <v>0</v>
      </c>
    </row>
    <row r="502" spans="1:51" hidden="1" x14ac:dyDescent="0.3">
      <c r="A502" t="str">
        <f>CONCATENATE(I502,E502,LEFT(G502,10))</f>
        <v>HFA703LLHA2026-01-17</v>
      </c>
      <c r="B502" s="14" t="s">
        <v>6453</v>
      </c>
      <c r="C502" s="14" t="s">
        <v>336</v>
      </c>
      <c r="D502" s="14" t="s">
        <v>337</v>
      </c>
      <c r="E502" s="14" t="s">
        <v>43</v>
      </c>
      <c r="F502" s="14" t="s">
        <v>48</v>
      </c>
      <c r="G502" s="14" t="s">
        <v>6454</v>
      </c>
      <c r="H502" s="14" t="s">
        <v>357</v>
      </c>
      <c r="I502" s="14" t="s">
        <v>37</v>
      </c>
      <c r="J502" s="14" t="s">
        <v>401</v>
      </c>
      <c r="K502" s="14" t="s">
        <v>349</v>
      </c>
      <c r="L502" s="14" t="s">
        <v>341</v>
      </c>
      <c r="M502" s="16" t="s">
        <v>6455</v>
      </c>
      <c r="N502" s="14" t="s">
        <v>359</v>
      </c>
      <c r="O502" s="14" t="s">
        <v>6456</v>
      </c>
      <c r="P502" s="14">
        <v>50</v>
      </c>
      <c r="Q502" s="14">
        <v>2</v>
      </c>
      <c r="R502" s="14">
        <v>1700</v>
      </c>
      <c r="S502" s="14" t="s">
        <v>6457</v>
      </c>
      <c r="T502" s="14" t="s">
        <v>6458</v>
      </c>
      <c r="U502" s="14">
        <v>2.8247222222222201</v>
      </c>
      <c r="V502" s="14">
        <v>2.9477777777777701</v>
      </c>
      <c r="W502" s="14">
        <v>1985</v>
      </c>
      <c r="X502" s="14">
        <v>50</v>
      </c>
      <c r="Y502" s="14">
        <v>1935</v>
      </c>
      <c r="Z502" s="14">
        <v>988</v>
      </c>
      <c r="AA502" s="14">
        <v>552</v>
      </c>
      <c r="AB502" s="14">
        <v>239</v>
      </c>
      <c r="AC502" s="14">
        <v>100</v>
      </c>
      <c r="AD502" s="14">
        <v>97</v>
      </c>
      <c r="AE502" s="14">
        <v>2973</v>
      </c>
      <c r="AF502" s="14">
        <v>5000</v>
      </c>
      <c r="AG502" s="14">
        <v>6273</v>
      </c>
      <c r="AH502" s="14">
        <v>0</v>
      </c>
      <c r="AI502" s="14">
        <v>165</v>
      </c>
      <c r="AJ502" s="14">
        <v>257</v>
      </c>
      <c r="AK502" s="14" t="s">
        <v>6454</v>
      </c>
      <c r="AL502" s="14" t="s">
        <v>6459</v>
      </c>
      <c r="AM502" s="14">
        <v>662.64</v>
      </c>
      <c r="AN502" s="14">
        <v>624.6</v>
      </c>
      <c r="AO502" s="14">
        <v>176.85</v>
      </c>
      <c r="AP502" s="14">
        <v>17898</v>
      </c>
      <c r="AQ502" s="14">
        <v>17848</v>
      </c>
      <c r="AR502" s="14">
        <v>23000</v>
      </c>
      <c r="AS502" s="14">
        <v>14925</v>
      </c>
      <c r="AT502" s="14">
        <v>15913</v>
      </c>
      <c r="AU502" s="14">
        <v>-28</v>
      </c>
      <c r="AV502" s="14">
        <v>283.97000000000003</v>
      </c>
      <c r="AW502" s="14">
        <v>26.97</v>
      </c>
      <c r="AX502" s="14">
        <v>-1.08</v>
      </c>
      <c r="AY502" s="14" t="b">
        <v>0</v>
      </c>
    </row>
    <row r="503" spans="1:51" hidden="1" x14ac:dyDescent="0.3">
      <c r="A503" t="str">
        <f>CONCATENATE(I503,E503,LEFT(G503,10))</f>
        <v>HFA703LLHA2026-01-18</v>
      </c>
      <c r="B503" s="14" t="s">
        <v>5541</v>
      </c>
      <c r="C503" s="14" t="s">
        <v>336</v>
      </c>
      <c r="D503" s="14" t="s">
        <v>337</v>
      </c>
      <c r="E503" s="14" t="s">
        <v>43</v>
      </c>
      <c r="F503" s="14" t="s">
        <v>48</v>
      </c>
      <c r="G503" s="14" t="s">
        <v>5542</v>
      </c>
      <c r="H503" s="14" t="s">
        <v>357</v>
      </c>
      <c r="I503" s="14" t="s">
        <v>37</v>
      </c>
      <c r="J503" s="14" t="s">
        <v>401</v>
      </c>
      <c r="K503" s="14" t="s">
        <v>349</v>
      </c>
      <c r="L503" s="14" t="s">
        <v>341</v>
      </c>
      <c r="M503" s="16" t="s">
        <v>5543</v>
      </c>
      <c r="N503" s="14" t="s">
        <v>359</v>
      </c>
      <c r="O503" s="14" t="s">
        <v>5544</v>
      </c>
      <c r="P503" s="14">
        <v>50</v>
      </c>
      <c r="Q503" s="14">
        <v>4</v>
      </c>
      <c r="R503" s="14">
        <v>1600</v>
      </c>
      <c r="S503" s="14" t="s">
        <v>5545</v>
      </c>
      <c r="T503" s="14" t="s">
        <v>5546</v>
      </c>
      <c r="U503" s="14">
        <v>2.7983333333333298</v>
      </c>
      <c r="V503" s="14">
        <v>2.9430555555555502</v>
      </c>
      <c r="W503" s="14">
        <v>2100</v>
      </c>
      <c r="X503" s="14">
        <v>50</v>
      </c>
      <c r="Y503" s="14">
        <v>2050</v>
      </c>
      <c r="Z503" s="14">
        <v>1000</v>
      </c>
      <c r="AA503" s="14">
        <v>527</v>
      </c>
      <c r="AB503" s="14">
        <v>239</v>
      </c>
      <c r="AC503" s="14">
        <v>132</v>
      </c>
      <c r="AD503" s="14">
        <v>102</v>
      </c>
      <c r="AE503" s="14">
        <v>3100</v>
      </c>
      <c r="AF503" s="14">
        <v>5000</v>
      </c>
      <c r="AG503" s="14">
        <v>6636</v>
      </c>
      <c r="AH503" s="14">
        <v>0</v>
      </c>
      <c r="AI503" s="14">
        <v>166</v>
      </c>
      <c r="AJ503" s="14">
        <v>259</v>
      </c>
      <c r="AK503" s="14" t="s">
        <v>5542</v>
      </c>
      <c r="AL503" s="14" t="s">
        <v>5547</v>
      </c>
      <c r="AM503" s="14">
        <v>662.64</v>
      </c>
      <c r="AN503" s="14">
        <v>624.6</v>
      </c>
      <c r="AO503" s="14">
        <v>176.85</v>
      </c>
      <c r="AP503" s="14">
        <v>17925</v>
      </c>
      <c r="AQ503" s="14">
        <v>17875</v>
      </c>
      <c r="AR503" s="14">
        <v>23000</v>
      </c>
      <c r="AS503" s="14">
        <v>14825</v>
      </c>
      <c r="AT503" s="14">
        <v>15825</v>
      </c>
      <c r="AU503" s="14">
        <v>-32</v>
      </c>
      <c r="AV503" s="14">
        <v>302.67</v>
      </c>
      <c r="AW503" s="14">
        <v>31.56</v>
      </c>
      <c r="AX503" s="14">
        <v>-1.97</v>
      </c>
      <c r="AY503" s="14" t="b">
        <v>0</v>
      </c>
    </row>
    <row r="504" spans="1:51" hidden="1" x14ac:dyDescent="0.3">
      <c r="A504" t="str">
        <f>CONCATENATE(I504,E504,LEFT(G504,10))</f>
        <v>HFA703LLHA2026-01-19</v>
      </c>
      <c r="B504" s="14" t="s">
        <v>5927</v>
      </c>
      <c r="C504" s="14" t="s">
        <v>336</v>
      </c>
      <c r="D504" s="14" t="s">
        <v>337</v>
      </c>
      <c r="E504" s="14" t="s">
        <v>43</v>
      </c>
      <c r="F504" s="14" t="s">
        <v>48</v>
      </c>
      <c r="G504" s="14" t="s">
        <v>5928</v>
      </c>
      <c r="H504" s="14" t="s">
        <v>393</v>
      </c>
      <c r="I504" s="14" t="s">
        <v>37</v>
      </c>
      <c r="J504" s="14" t="s">
        <v>666</v>
      </c>
      <c r="K504" s="14" t="s">
        <v>349</v>
      </c>
      <c r="L504" s="14" t="s">
        <v>341</v>
      </c>
      <c r="M504" s="16" t="s">
        <v>5929</v>
      </c>
      <c r="N504" s="14"/>
      <c r="O504" s="14" t="s">
        <v>5930</v>
      </c>
      <c r="P504" s="14">
        <v>50</v>
      </c>
      <c r="Q504" s="14">
        <v>2</v>
      </c>
      <c r="R504" s="14">
        <v>1150</v>
      </c>
      <c r="S504" s="14" t="s">
        <v>5931</v>
      </c>
      <c r="T504" s="14" t="s">
        <v>5932</v>
      </c>
      <c r="U504" s="14">
        <v>2.9180555555555499</v>
      </c>
      <c r="V504" s="14">
        <v>3.1369444444444401</v>
      </c>
      <c r="W504" s="14">
        <v>2470</v>
      </c>
      <c r="X504" s="14">
        <v>50</v>
      </c>
      <c r="Y504" s="14">
        <v>2420</v>
      </c>
      <c r="Z504" s="14">
        <v>1155</v>
      </c>
      <c r="AA504" s="14">
        <v>697</v>
      </c>
      <c r="AB504" s="14">
        <v>237</v>
      </c>
      <c r="AC504" s="14">
        <v>100</v>
      </c>
      <c r="AD504" s="14">
        <v>121</v>
      </c>
      <c r="AE504" s="14">
        <v>3626</v>
      </c>
      <c r="AF504" s="14">
        <v>5000</v>
      </c>
      <c r="AG504" s="14">
        <v>7806</v>
      </c>
      <c r="AH504" s="14">
        <v>0</v>
      </c>
      <c r="AI504" s="14">
        <v>163</v>
      </c>
      <c r="AJ504" s="14">
        <v>266</v>
      </c>
      <c r="AK504" s="14" t="s">
        <v>5928</v>
      </c>
      <c r="AL504" s="14" t="s">
        <v>5933</v>
      </c>
      <c r="AM504" s="14">
        <v>662.64</v>
      </c>
      <c r="AN504" s="14">
        <v>624.6</v>
      </c>
      <c r="AO504" s="14">
        <v>196.83</v>
      </c>
      <c r="AP504" s="14">
        <v>18087</v>
      </c>
      <c r="AQ504" s="14">
        <v>18037</v>
      </c>
      <c r="AR504" s="14">
        <v>23000</v>
      </c>
      <c r="AS504" s="14">
        <v>14461</v>
      </c>
      <c r="AT504" s="14">
        <v>15616</v>
      </c>
      <c r="AU504" s="14">
        <v>-25</v>
      </c>
      <c r="AV504" s="14">
        <v>311.68</v>
      </c>
      <c r="AW504" s="14">
        <v>22.86</v>
      </c>
      <c r="AX504" s="14">
        <v>-3.76</v>
      </c>
      <c r="AY504" s="14" t="b">
        <v>0</v>
      </c>
    </row>
    <row r="505" spans="1:51" hidden="1" x14ac:dyDescent="0.3">
      <c r="A505" t="str">
        <f>CONCATENATE(I505,E505,LEFT(G505,10))</f>
        <v>HFA703LLHA2026-01-20</v>
      </c>
      <c r="B505" s="14" t="s">
        <v>4750</v>
      </c>
      <c r="C505" s="14" t="s">
        <v>336</v>
      </c>
      <c r="D505" s="14" t="s">
        <v>337</v>
      </c>
      <c r="E505" s="14" t="s">
        <v>43</v>
      </c>
      <c r="F505" s="14" t="s">
        <v>48</v>
      </c>
      <c r="G505" s="14" t="s">
        <v>4751</v>
      </c>
      <c r="H505" s="14" t="s">
        <v>357</v>
      </c>
      <c r="I505" s="14" t="s">
        <v>37</v>
      </c>
      <c r="J505" s="14" t="s">
        <v>666</v>
      </c>
      <c r="K505" s="14" t="s">
        <v>349</v>
      </c>
      <c r="L505" s="14" t="s">
        <v>341</v>
      </c>
      <c r="M505" s="16" t="s">
        <v>4752</v>
      </c>
      <c r="N505" s="14" t="s">
        <v>359</v>
      </c>
      <c r="O505" s="14" t="s">
        <v>4753</v>
      </c>
      <c r="P505" s="14">
        <v>50</v>
      </c>
      <c r="Q505" s="14">
        <v>2</v>
      </c>
      <c r="R505" s="14">
        <v>2700</v>
      </c>
      <c r="S505" s="14" t="s">
        <v>4754</v>
      </c>
      <c r="T505" s="14" t="s">
        <v>4755</v>
      </c>
      <c r="U505" s="14">
        <v>2.9855555555555502</v>
      </c>
      <c r="V505" s="14">
        <v>3.1397222222222201</v>
      </c>
      <c r="W505" s="14">
        <v>2118</v>
      </c>
      <c r="X505" s="14">
        <v>50</v>
      </c>
      <c r="Y505" s="14">
        <v>2068</v>
      </c>
      <c r="Z505" s="14">
        <v>1023</v>
      </c>
      <c r="AA505" s="14">
        <v>573</v>
      </c>
      <c r="AB505" s="14">
        <v>246</v>
      </c>
      <c r="AC505" s="14">
        <v>100</v>
      </c>
      <c r="AD505" s="14">
        <v>103</v>
      </c>
      <c r="AE505" s="14">
        <v>3141</v>
      </c>
      <c r="AF505" s="14">
        <v>5000</v>
      </c>
      <c r="AG505" s="14">
        <v>6693</v>
      </c>
      <c r="AH505" s="14">
        <v>0</v>
      </c>
      <c r="AI505" s="14">
        <v>155</v>
      </c>
      <c r="AJ505" s="14">
        <v>246</v>
      </c>
      <c r="AK505" s="14" t="s">
        <v>4751</v>
      </c>
      <c r="AL505" s="14" t="s">
        <v>4756</v>
      </c>
      <c r="AM505" s="14">
        <v>662.64</v>
      </c>
      <c r="AN505" s="14">
        <v>624.6</v>
      </c>
      <c r="AO505" s="14">
        <v>180.49</v>
      </c>
      <c r="AP505" s="14">
        <v>19066</v>
      </c>
      <c r="AQ505" s="14">
        <v>19016</v>
      </c>
      <c r="AR505" s="14">
        <v>23000</v>
      </c>
      <c r="AS505" s="14">
        <v>15925</v>
      </c>
      <c r="AT505" s="14">
        <v>16948</v>
      </c>
      <c r="AU505" s="14">
        <v>-13</v>
      </c>
      <c r="AV505" s="14">
        <v>348.8</v>
      </c>
      <c r="AW505" s="14">
        <v>7.28</v>
      </c>
      <c r="AX505" s="14">
        <v>-2.16</v>
      </c>
      <c r="AY505" s="14" t="b">
        <v>0</v>
      </c>
    </row>
    <row r="506" spans="1:51" hidden="1" x14ac:dyDescent="0.3">
      <c r="A506" t="str">
        <f>CONCATENATE(I506,E506,LEFT(G506,10))</f>
        <v>HFA703LLHA2026-01-21</v>
      </c>
      <c r="B506" s="14" t="s">
        <v>1545</v>
      </c>
      <c r="C506" s="14" t="s">
        <v>336</v>
      </c>
      <c r="D506" s="14" t="s">
        <v>337</v>
      </c>
      <c r="E506" s="14" t="s">
        <v>43</v>
      </c>
      <c r="F506" s="14" t="s">
        <v>48</v>
      </c>
      <c r="G506" s="14" t="s">
        <v>1546</v>
      </c>
      <c r="H506" s="14" t="s">
        <v>436</v>
      </c>
      <c r="I506" s="14" t="s">
        <v>37</v>
      </c>
      <c r="J506" s="14" t="s">
        <v>666</v>
      </c>
      <c r="K506" s="14" t="s">
        <v>349</v>
      </c>
      <c r="L506" s="14" t="s">
        <v>341</v>
      </c>
      <c r="M506" s="16" t="s">
        <v>1547</v>
      </c>
      <c r="N506" s="14" t="s">
        <v>359</v>
      </c>
      <c r="O506" s="14" t="s">
        <v>1548</v>
      </c>
      <c r="P506" s="14">
        <v>50</v>
      </c>
      <c r="Q506" s="14">
        <v>2</v>
      </c>
      <c r="R506" s="14">
        <v>3900</v>
      </c>
      <c r="S506" s="14" t="s">
        <v>1549</v>
      </c>
      <c r="T506" s="14" t="s">
        <v>1550</v>
      </c>
      <c r="U506" s="14">
        <v>2.7916666666666599</v>
      </c>
      <c r="V506" s="14">
        <v>3.0480555555555502</v>
      </c>
      <c r="W506" s="14">
        <v>2124</v>
      </c>
      <c r="X506" s="14">
        <v>50</v>
      </c>
      <c r="Y506" s="14">
        <v>2074</v>
      </c>
      <c r="Z506" s="14">
        <v>1576</v>
      </c>
      <c r="AA506" s="14">
        <v>550</v>
      </c>
      <c r="AB506" s="14">
        <v>260</v>
      </c>
      <c r="AC506" s="14">
        <v>662</v>
      </c>
      <c r="AD506" s="14">
        <v>104</v>
      </c>
      <c r="AE506" s="14">
        <v>3700</v>
      </c>
      <c r="AF506" s="14">
        <v>5000</v>
      </c>
      <c r="AG506" s="14">
        <v>6713</v>
      </c>
      <c r="AH506" s="14">
        <v>0</v>
      </c>
      <c r="AI506" s="14">
        <v>156</v>
      </c>
      <c r="AJ506" s="14">
        <v>287</v>
      </c>
      <c r="AK506" s="14" t="s">
        <v>1546</v>
      </c>
      <c r="AL506" s="14" t="s">
        <v>1551</v>
      </c>
      <c r="AM506" s="14">
        <v>662.64</v>
      </c>
      <c r="AN506" s="14">
        <v>624.6</v>
      </c>
      <c r="AO506" s="14">
        <v>182.07</v>
      </c>
      <c r="AP506" s="14">
        <v>20805</v>
      </c>
      <c r="AQ506" s="14">
        <v>20755</v>
      </c>
      <c r="AR506" s="14">
        <v>23000</v>
      </c>
      <c r="AS506" s="14">
        <v>17105</v>
      </c>
      <c r="AT506" s="14">
        <v>18681</v>
      </c>
      <c r="AU506" s="14">
        <v>-9</v>
      </c>
      <c r="AV506" s="14">
        <v>215.1</v>
      </c>
      <c r="AW506" s="14">
        <v>27.06</v>
      </c>
      <c r="AX506" s="14">
        <v>2.77</v>
      </c>
      <c r="AY506" s="14" t="b">
        <v>0</v>
      </c>
    </row>
    <row r="507" spans="1:51" hidden="1" x14ac:dyDescent="0.3">
      <c r="A507" t="str">
        <f>CONCATENATE(I507,E507,LEFT(G507,10))</f>
        <v>HFA703LLHA2026-01-22</v>
      </c>
      <c r="B507" s="14" t="s">
        <v>2103</v>
      </c>
      <c r="C507" s="14" t="s">
        <v>336</v>
      </c>
      <c r="D507" s="14" t="s">
        <v>337</v>
      </c>
      <c r="E507" s="14" t="s">
        <v>43</v>
      </c>
      <c r="F507" s="14" t="s">
        <v>48</v>
      </c>
      <c r="G507" s="14" t="s">
        <v>2104</v>
      </c>
      <c r="H507" s="14" t="s">
        <v>436</v>
      </c>
      <c r="I507" s="14" t="s">
        <v>37</v>
      </c>
      <c r="J507" s="14" t="s">
        <v>666</v>
      </c>
      <c r="K507" s="14" t="s">
        <v>349</v>
      </c>
      <c r="L507" s="14" t="s">
        <v>341</v>
      </c>
      <c r="M507" s="16" t="s">
        <v>2105</v>
      </c>
      <c r="N507" s="14" t="s">
        <v>359</v>
      </c>
      <c r="O507" s="14" t="s">
        <v>2106</v>
      </c>
      <c r="P507" s="14">
        <v>50</v>
      </c>
      <c r="Q507" s="14">
        <v>2</v>
      </c>
      <c r="R507" s="14">
        <v>3700</v>
      </c>
      <c r="S507" s="14" t="s">
        <v>2107</v>
      </c>
      <c r="T507" s="14" t="s">
        <v>2108</v>
      </c>
      <c r="U507" s="14">
        <v>2.7780555555555502</v>
      </c>
      <c r="V507" s="14">
        <v>2.9869444444444402</v>
      </c>
      <c r="W507" s="14">
        <v>1946</v>
      </c>
      <c r="X507" s="14">
        <v>50</v>
      </c>
      <c r="Y507" s="14">
        <v>1896</v>
      </c>
      <c r="Z507" s="14">
        <v>1254</v>
      </c>
      <c r="AA507" s="14">
        <v>600</v>
      </c>
      <c r="AB507" s="14">
        <v>256</v>
      </c>
      <c r="AC507" s="14">
        <v>303</v>
      </c>
      <c r="AD507" s="14">
        <v>95</v>
      </c>
      <c r="AE507" s="14">
        <v>3200</v>
      </c>
      <c r="AF507" s="14">
        <v>5000</v>
      </c>
      <c r="AG507" s="14">
        <v>6149</v>
      </c>
      <c r="AH507" s="14">
        <v>0</v>
      </c>
      <c r="AI507" s="14">
        <v>158</v>
      </c>
      <c r="AJ507" s="14">
        <v>268</v>
      </c>
      <c r="AK507" s="14" t="s">
        <v>2104</v>
      </c>
      <c r="AL507" s="14" t="s">
        <v>2109</v>
      </c>
      <c r="AM507" s="14">
        <v>662.64</v>
      </c>
      <c r="AN507" s="14">
        <v>624.6</v>
      </c>
      <c r="AO507" s="14">
        <v>182.07</v>
      </c>
      <c r="AP507" s="14">
        <v>20105</v>
      </c>
      <c r="AQ507" s="14">
        <v>20055</v>
      </c>
      <c r="AR507" s="14">
        <v>23000</v>
      </c>
      <c r="AS507" s="14">
        <v>16905</v>
      </c>
      <c r="AT507" s="14">
        <v>18159</v>
      </c>
      <c r="AU507" s="14">
        <v>-15</v>
      </c>
      <c r="AV507" s="14">
        <v>230.77</v>
      </c>
      <c r="AW507" s="14">
        <v>35.29</v>
      </c>
      <c r="AX507" s="14">
        <v>0.68</v>
      </c>
      <c r="AY507" s="14" t="b">
        <v>0</v>
      </c>
    </row>
    <row r="508" spans="1:51" hidden="1" x14ac:dyDescent="0.3">
      <c r="A508" t="str">
        <f>CONCATENATE(I508,E508,LEFT(G508,10))</f>
        <v>HFA703LLHA2026-01-24</v>
      </c>
      <c r="B508" s="14" t="s">
        <v>664</v>
      </c>
      <c r="C508" s="14" t="s">
        <v>336</v>
      </c>
      <c r="D508" s="14" t="s">
        <v>337</v>
      </c>
      <c r="E508" s="14" t="s">
        <v>43</v>
      </c>
      <c r="F508" s="14" t="s">
        <v>48</v>
      </c>
      <c r="G508" s="14" t="s">
        <v>665</v>
      </c>
      <c r="H508" s="14" t="s">
        <v>436</v>
      </c>
      <c r="I508" s="14" t="s">
        <v>37</v>
      </c>
      <c r="J508" s="14" t="s">
        <v>666</v>
      </c>
      <c r="K508" s="14" t="s">
        <v>349</v>
      </c>
      <c r="L508" s="14" t="s">
        <v>341</v>
      </c>
      <c r="M508" s="16" t="s">
        <v>667</v>
      </c>
      <c r="N508" s="14" t="s">
        <v>359</v>
      </c>
      <c r="O508" s="14" t="s">
        <v>668</v>
      </c>
      <c r="P508" s="14">
        <v>50</v>
      </c>
      <c r="Q508" s="14">
        <v>2</v>
      </c>
      <c r="R508" s="14">
        <v>1000</v>
      </c>
      <c r="S508" s="14" t="s">
        <v>669</v>
      </c>
      <c r="T508" s="14" t="s">
        <v>670</v>
      </c>
      <c r="U508" s="14">
        <v>2.6341666666666601</v>
      </c>
      <c r="V508" s="14">
        <v>2.80833333333333</v>
      </c>
      <c r="W508" s="14">
        <v>1989</v>
      </c>
      <c r="X508" s="14">
        <v>50</v>
      </c>
      <c r="Y508" s="14">
        <v>1939</v>
      </c>
      <c r="Z508" s="14">
        <v>1411</v>
      </c>
      <c r="AA508" s="14">
        <v>971</v>
      </c>
      <c r="AB508" s="14">
        <v>237</v>
      </c>
      <c r="AC508" s="14">
        <v>106</v>
      </c>
      <c r="AD508" s="14">
        <v>97</v>
      </c>
      <c r="AE508" s="14">
        <v>3400</v>
      </c>
      <c r="AF508" s="14">
        <v>5000</v>
      </c>
      <c r="AG508" s="14">
        <v>6285</v>
      </c>
      <c r="AH508" s="14">
        <v>0</v>
      </c>
      <c r="AI508" s="14">
        <v>156</v>
      </c>
      <c r="AJ508" s="14">
        <v>284</v>
      </c>
      <c r="AK508" s="14" t="s">
        <v>665</v>
      </c>
      <c r="AL508" s="14" t="s">
        <v>671</v>
      </c>
      <c r="AM508" s="14">
        <v>657.4</v>
      </c>
      <c r="AN508" s="14">
        <v>624.6</v>
      </c>
      <c r="AO508" s="14">
        <v>323.89</v>
      </c>
      <c r="AP508" s="14">
        <v>17605</v>
      </c>
      <c r="AQ508" s="14">
        <v>17555</v>
      </c>
      <c r="AR508" s="14">
        <v>23000</v>
      </c>
      <c r="AS508" s="14">
        <v>14205</v>
      </c>
      <c r="AT508" s="14">
        <v>15616</v>
      </c>
      <c r="AU508" s="14">
        <v>-18</v>
      </c>
      <c r="AV508" s="14">
        <v>289.89</v>
      </c>
      <c r="AW508" s="14">
        <v>19.809999999999999</v>
      </c>
      <c r="AX508" s="14">
        <v>1.8</v>
      </c>
      <c r="AY508" s="14" t="b">
        <v>0</v>
      </c>
    </row>
    <row r="509" spans="1:51" hidden="1" x14ac:dyDescent="0.3">
      <c r="A509" t="str">
        <f>CONCATENATE(I509,E509,LEFT(G509,10))</f>
        <v>HFA703LLHA2026-01-25</v>
      </c>
      <c r="B509" s="14" t="s">
        <v>5198</v>
      </c>
      <c r="C509" s="14" t="s">
        <v>336</v>
      </c>
      <c r="D509" s="14" t="s">
        <v>337</v>
      </c>
      <c r="E509" s="14" t="s">
        <v>43</v>
      </c>
      <c r="F509" s="14" t="s">
        <v>48</v>
      </c>
      <c r="G509" s="14" t="s">
        <v>5199</v>
      </c>
      <c r="H509" s="14" t="s">
        <v>436</v>
      </c>
      <c r="I509" s="14" t="s">
        <v>37</v>
      </c>
      <c r="J509" s="14" t="s">
        <v>666</v>
      </c>
      <c r="K509" s="14" t="s">
        <v>349</v>
      </c>
      <c r="L509" s="14" t="s">
        <v>341</v>
      </c>
      <c r="M509" s="16" t="s">
        <v>5200</v>
      </c>
      <c r="N509" s="14" t="s">
        <v>359</v>
      </c>
      <c r="O509" s="14" t="s">
        <v>5201</v>
      </c>
      <c r="P509" s="14">
        <v>50</v>
      </c>
      <c r="Q509" s="14">
        <v>2</v>
      </c>
      <c r="R509" s="14">
        <v>1700</v>
      </c>
      <c r="S509" s="14" t="s">
        <v>5202</v>
      </c>
      <c r="T509" s="14" t="s">
        <v>5203</v>
      </c>
      <c r="U509" s="14">
        <v>2.6386111111111101</v>
      </c>
      <c r="V509" s="14">
        <v>2.81083333333333</v>
      </c>
      <c r="W509" s="14">
        <v>1872</v>
      </c>
      <c r="X509" s="14">
        <v>50</v>
      </c>
      <c r="Y509" s="14">
        <v>1822</v>
      </c>
      <c r="Z509" s="14">
        <v>999</v>
      </c>
      <c r="AA509" s="14">
        <v>569</v>
      </c>
      <c r="AB509" s="14">
        <v>239</v>
      </c>
      <c r="AC509" s="14">
        <v>100</v>
      </c>
      <c r="AD509" s="14">
        <v>91</v>
      </c>
      <c r="AE509" s="14">
        <v>2871</v>
      </c>
      <c r="AF509" s="14">
        <v>5000</v>
      </c>
      <c r="AG509" s="14">
        <v>5914</v>
      </c>
      <c r="AH509" s="14">
        <v>0</v>
      </c>
      <c r="AI509" s="14">
        <v>158</v>
      </c>
      <c r="AJ509" s="14">
        <v>250</v>
      </c>
      <c r="AK509" s="14" t="s">
        <v>5199</v>
      </c>
      <c r="AL509" s="14" t="s">
        <v>5204</v>
      </c>
      <c r="AM509" s="14">
        <v>657.4</v>
      </c>
      <c r="AN509" s="14">
        <v>624.6</v>
      </c>
      <c r="AO509" s="14">
        <v>180.49</v>
      </c>
      <c r="AP509" s="14">
        <v>17776</v>
      </c>
      <c r="AQ509" s="14">
        <v>17726</v>
      </c>
      <c r="AR509" s="14">
        <v>23000</v>
      </c>
      <c r="AS509" s="14">
        <v>14905</v>
      </c>
      <c r="AT509" s="14">
        <v>15904</v>
      </c>
      <c r="AU509" s="14">
        <v>-15</v>
      </c>
      <c r="AV509" s="14">
        <v>249.82</v>
      </c>
      <c r="AW509" s="14">
        <v>21.67</v>
      </c>
      <c r="AX509" s="14">
        <v>5.88</v>
      </c>
      <c r="AY509" s="14" t="b">
        <v>0</v>
      </c>
    </row>
    <row r="510" spans="1:51" hidden="1" x14ac:dyDescent="0.3">
      <c r="A510" t="str">
        <f>CONCATENATE(I510,E510,LEFT(G510,10))</f>
        <v>HFA703LLHA2026-01-26</v>
      </c>
      <c r="B510" s="14" t="s">
        <v>2980</v>
      </c>
      <c r="C510" s="14" t="s">
        <v>336</v>
      </c>
      <c r="D510" s="14" t="s">
        <v>337</v>
      </c>
      <c r="E510" s="14" t="s">
        <v>43</v>
      </c>
      <c r="F510" s="14" t="s">
        <v>48</v>
      </c>
      <c r="G510" s="14" t="s">
        <v>2981</v>
      </c>
      <c r="H510" s="14" t="s">
        <v>436</v>
      </c>
      <c r="I510" s="14" t="s">
        <v>37</v>
      </c>
      <c r="J510" s="14" t="s">
        <v>401</v>
      </c>
      <c r="K510" s="14" t="s">
        <v>349</v>
      </c>
      <c r="L510" s="14" t="s">
        <v>341</v>
      </c>
      <c r="M510" s="16" t="s">
        <v>2982</v>
      </c>
      <c r="N510" s="14" t="s">
        <v>359</v>
      </c>
      <c r="O510" s="14" t="s">
        <v>2983</v>
      </c>
      <c r="P510" s="14">
        <v>50</v>
      </c>
      <c r="Q510" s="14">
        <v>4</v>
      </c>
      <c r="R510" s="14">
        <v>2000</v>
      </c>
      <c r="S510" s="14" t="s">
        <v>2984</v>
      </c>
      <c r="T510" s="14" t="s">
        <v>2985</v>
      </c>
      <c r="U510" s="14">
        <v>2.4994444444444399</v>
      </c>
      <c r="V510" s="14">
        <v>2.62333333333333</v>
      </c>
      <c r="W510" s="14">
        <v>1849</v>
      </c>
      <c r="X510" s="14">
        <v>50</v>
      </c>
      <c r="Y510" s="14">
        <v>1799</v>
      </c>
      <c r="Z510" s="14">
        <v>1351</v>
      </c>
      <c r="AA510" s="14">
        <v>580</v>
      </c>
      <c r="AB510" s="14">
        <v>244</v>
      </c>
      <c r="AC510" s="14">
        <v>438</v>
      </c>
      <c r="AD510" s="14">
        <v>90</v>
      </c>
      <c r="AE510" s="14">
        <v>3200</v>
      </c>
      <c r="AF510" s="14">
        <v>5000</v>
      </c>
      <c r="AG510" s="14">
        <v>5842</v>
      </c>
      <c r="AH510" s="14">
        <v>0</v>
      </c>
      <c r="AI510" s="14">
        <v>151</v>
      </c>
      <c r="AJ510" s="14">
        <v>271</v>
      </c>
      <c r="AK510" s="14" t="s">
        <v>2981</v>
      </c>
      <c r="AL510" s="14" t="s">
        <v>2986</v>
      </c>
      <c r="AM510" s="14">
        <v>662.64</v>
      </c>
      <c r="AN510" s="14">
        <v>624.6</v>
      </c>
      <c r="AO510" s="14">
        <v>176.85</v>
      </c>
      <c r="AP510" s="14">
        <v>18405</v>
      </c>
      <c r="AQ510" s="14">
        <v>18355</v>
      </c>
      <c r="AR510" s="14">
        <v>23000</v>
      </c>
      <c r="AS510" s="14">
        <v>15205</v>
      </c>
      <c r="AT510" s="14">
        <v>16556</v>
      </c>
      <c r="AU510" s="14">
        <v>-3</v>
      </c>
      <c r="AV510" s="14">
        <v>206.77</v>
      </c>
      <c r="AW510" s="14">
        <v>41.78</v>
      </c>
      <c r="AX510" s="14">
        <v>0.21</v>
      </c>
      <c r="AY510" s="14" t="b">
        <v>0</v>
      </c>
    </row>
    <row r="511" spans="1:51" hidden="1" x14ac:dyDescent="0.3">
      <c r="A511" t="str">
        <f>CONCATENATE(I511,E511,LEFT(G511,10))</f>
        <v>HFA703LLHA2026-01-27</v>
      </c>
      <c r="B511" s="14" t="s">
        <v>963</v>
      </c>
      <c r="C511" s="14" t="s">
        <v>336</v>
      </c>
      <c r="D511" s="14" t="s">
        <v>337</v>
      </c>
      <c r="E511" s="14" t="s">
        <v>43</v>
      </c>
      <c r="F511" s="14" t="s">
        <v>48</v>
      </c>
      <c r="G511" s="14" t="s">
        <v>964</v>
      </c>
      <c r="H511" s="14" t="s">
        <v>357</v>
      </c>
      <c r="I511" s="14" t="s">
        <v>37</v>
      </c>
      <c r="J511" s="14" t="s">
        <v>401</v>
      </c>
      <c r="K511" s="14" t="s">
        <v>349</v>
      </c>
      <c r="L511" s="14" t="s">
        <v>341</v>
      </c>
      <c r="M511" s="16" t="s">
        <v>965</v>
      </c>
      <c r="N511" s="14" t="s">
        <v>359</v>
      </c>
      <c r="O511" s="14" t="s">
        <v>966</v>
      </c>
      <c r="P511" s="14">
        <v>50</v>
      </c>
      <c r="Q511" s="14">
        <v>2</v>
      </c>
      <c r="R511" s="14">
        <v>3100</v>
      </c>
      <c r="S511" s="14" t="s">
        <v>967</v>
      </c>
      <c r="T511" s="14" t="s">
        <v>968</v>
      </c>
      <c r="U511" s="14">
        <v>2.7438888888888799</v>
      </c>
      <c r="V511" s="14">
        <v>2.95583333333333</v>
      </c>
      <c r="W511" s="14">
        <v>1880</v>
      </c>
      <c r="X511" s="14">
        <v>50</v>
      </c>
      <c r="Y511" s="14">
        <v>1830</v>
      </c>
      <c r="Z511" s="14">
        <v>1320</v>
      </c>
      <c r="AA511" s="14">
        <v>555</v>
      </c>
      <c r="AB511" s="14">
        <v>252</v>
      </c>
      <c r="AC511" s="14">
        <v>421</v>
      </c>
      <c r="AD511" s="14">
        <v>92</v>
      </c>
      <c r="AE511" s="14">
        <v>3200</v>
      </c>
      <c r="AF511" s="14">
        <v>5000</v>
      </c>
      <c r="AG511" s="14">
        <v>5941</v>
      </c>
      <c r="AH511" s="14">
        <v>0</v>
      </c>
      <c r="AI511" s="14">
        <v>154</v>
      </c>
      <c r="AJ511" s="14">
        <v>272</v>
      </c>
      <c r="AK511" s="14" t="s">
        <v>964</v>
      </c>
      <c r="AL511" s="14" t="s">
        <v>969</v>
      </c>
      <c r="AM511" s="14">
        <v>662.64</v>
      </c>
      <c r="AN511" s="14">
        <v>624.6</v>
      </c>
      <c r="AO511" s="14">
        <v>176.85</v>
      </c>
      <c r="AP511" s="14">
        <v>19525</v>
      </c>
      <c r="AQ511" s="14">
        <v>19475</v>
      </c>
      <c r="AR511" s="14">
        <v>23000</v>
      </c>
      <c r="AS511" s="14">
        <v>16325</v>
      </c>
      <c r="AT511" s="14">
        <v>17645</v>
      </c>
      <c r="AU511" s="14">
        <v>-9</v>
      </c>
      <c r="AV511" s="14">
        <v>232.1</v>
      </c>
      <c r="AW511" s="14">
        <v>20.66</v>
      </c>
      <c r="AX511" s="14">
        <v>-2.54</v>
      </c>
      <c r="AY511" s="14" t="b">
        <v>0</v>
      </c>
    </row>
    <row r="512" spans="1:51" hidden="1" x14ac:dyDescent="0.3">
      <c r="A512" t="str">
        <f>CONCATENATE(I512,E512,LEFT(G512,10))</f>
        <v>HFA703LLHA2026-01-31</v>
      </c>
      <c r="B512" s="14" t="s">
        <v>2405</v>
      </c>
      <c r="C512" s="14" t="s">
        <v>336</v>
      </c>
      <c r="D512" s="14" t="s">
        <v>337</v>
      </c>
      <c r="E512" s="14" t="s">
        <v>43</v>
      </c>
      <c r="F512" s="14" t="s">
        <v>48</v>
      </c>
      <c r="G512" s="14" t="s">
        <v>2406</v>
      </c>
      <c r="H512" s="14" t="s">
        <v>436</v>
      </c>
      <c r="I512" s="14" t="s">
        <v>37</v>
      </c>
      <c r="J512" s="14" t="s">
        <v>401</v>
      </c>
      <c r="K512" s="14" t="s">
        <v>349</v>
      </c>
      <c r="L512" s="14" t="s">
        <v>341</v>
      </c>
      <c r="M512" s="16" t="s">
        <v>2407</v>
      </c>
      <c r="N512" s="14" t="s">
        <v>359</v>
      </c>
      <c r="O512" s="14" t="s">
        <v>2016</v>
      </c>
      <c r="P512" s="14">
        <v>50</v>
      </c>
      <c r="Q512" s="14">
        <v>2</v>
      </c>
      <c r="R512" s="14">
        <v>1700</v>
      </c>
      <c r="S512" s="14" t="s">
        <v>2408</v>
      </c>
      <c r="T512" s="14" t="s">
        <v>2409</v>
      </c>
      <c r="U512" s="14">
        <v>2.72861111111111</v>
      </c>
      <c r="V512" s="14">
        <v>2.9613888888888802</v>
      </c>
      <c r="W512" s="14">
        <v>2099</v>
      </c>
      <c r="X512" s="14">
        <v>50</v>
      </c>
      <c r="Y512" s="14">
        <v>2049</v>
      </c>
      <c r="Z512" s="14">
        <v>1101</v>
      </c>
      <c r="AA512" s="14">
        <v>559</v>
      </c>
      <c r="AB512" s="14">
        <v>240</v>
      </c>
      <c r="AC512" s="14">
        <v>199</v>
      </c>
      <c r="AD512" s="14">
        <v>102</v>
      </c>
      <c r="AE512" s="14">
        <v>3200</v>
      </c>
      <c r="AF512" s="14">
        <v>5000</v>
      </c>
      <c r="AG512" s="14">
        <v>6634</v>
      </c>
      <c r="AH512" s="14">
        <v>0</v>
      </c>
      <c r="AI512" s="14">
        <v>166</v>
      </c>
      <c r="AJ512" s="14">
        <v>267</v>
      </c>
      <c r="AK512" s="14" t="s">
        <v>2406</v>
      </c>
      <c r="AL512" s="14" t="s">
        <v>2410</v>
      </c>
      <c r="AM512" s="14">
        <v>662.64</v>
      </c>
      <c r="AN512" s="14">
        <v>624.6</v>
      </c>
      <c r="AO512" s="14">
        <v>176.85</v>
      </c>
      <c r="AP512" s="14">
        <v>18105</v>
      </c>
      <c r="AQ512" s="14">
        <v>18055</v>
      </c>
      <c r="AR512" s="14">
        <v>23000</v>
      </c>
      <c r="AS512" s="14">
        <v>14905</v>
      </c>
      <c r="AT512" s="14">
        <v>16006</v>
      </c>
      <c r="AU512" s="14">
        <v>-29</v>
      </c>
      <c r="AV512" s="14">
        <v>257.41000000000003</v>
      </c>
      <c r="AW512" s="14">
        <v>40.119999999999997</v>
      </c>
      <c r="AX512" s="14">
        <v>2.21</v>
      </c>
      <c r="AY512" s="14" t="b">
        <v>0</v>
      </c>
    </row>
    <row r="513" spans="1:51" hidden="1" x14ac:dyDescent="0.3">
      <c r="A513" t="str">
        <f>CONCATENATE(I513,E513,LEFT(G513,10))</f>
        <v>HFA703LLHA2026-02-01</v>
      </c>
      <c r="B513" s="14" t="s">
        <v>2013</v>
      </c>
      <c r="C513" s="14" t="s">
        <v>336</v>
      </c>
      <c r="D513" s="14" t="s">
        <v>337</v>
      </c>
      <c r="E513" s="14" t="s">
        <v>43</v>
      </c>
      <c r="F513" s="14" t="s">
        <v>48</v>
      </c>
      <c r="G513" s="14" t="s">
        <v>2014</v>
      </c>
      <c r="H513" s="14" t="s">
        <v>371</v>
      </c>
      <c r="I513" s="14" t="s">
        <v>37</v>
      </c>
      <c r="J513" s="14" t="s">
        <v>401</v>
      </c>
      <c r="K513" s="14" t="s">
        <v>349</v>
      </c>
      <c r="L513" s="14" t="s">
        <v>341</v>
      </c>
      <c r="M513" s="16" t="s">
        <v>2015</v>
      </c>
      <c r="N513" s="14"/>
      <c r="O513" s="14" t="s">
        <v>2016</v>
      </c>
      <c r="P513" s="14">
        <v>50</v>
      </c>
      <c r="Q513" s="14">
        <v>2</v>
      </c>
      <c r="R513" s="14">
        <v>0</v>
      </c>
      <c r="S513" s="14" t="s">
        <v>2017</v>
      </c>
      <c r="T513" s="14" t="s">
        <v>2018</v>
      </c>
      <c r="U513" s="14">
        <v>2.6669444444444399</v>
      </c>
      <c r="V513" s="14">
        <v>2.80972222222222</v>
      </c>
      <c r="W513" s="14">
        <v>1983</v>
      </c>
      <c r="X513" s="14">
        <v>50</v>
      </c>
      <c r="Y513" s="14">
        <v>1933</v>
      </c>
      <c r="Z513" s="14">
        <v>1166</v>
      </c>
      <c r="AA513" s="14">
        <v>620</v>
      </c>
      <c r="AB513" s="14">
        <v>250</v>
      </c>
      <c r="AC513" s="14">
        <v>200</v>
      </c>
      <c r="AD513" s="14">
        <v>97</v>
      </c>
      <c r="AE513" s="14">
        <v>3149</v>
      </c>
      <c r="AF513" s="14">
        <v>5000</v>
      </c>
      <c r="AG513" s="14">
        <v>6267</v>
      </c>
      <c r="AH513" s="14">
        <v>0</v>
      </c>
      <c r="AI513" s="14">
        <v>154</v>
      </c>
      <c r="AJ513" s="14">
        <v>258</v>
      </c>
      <c r="AK513" s="14" t="s">
        <v>2014</v>
      </c>
      <c r="AL513" s="14" t="s">
        <v>2019</v>
      </c>
      <c r="AM513" s="14">
        <v>662.64</v>
      </c>
      <c r="AN513" s="14">
        <v>624.6</v>
      </c>
      <c r="AO513" s="14">
        <v>176.85</v>
      </c>
      <c r="AP513" s="14">
        <v>19317</v>
      </c>
      <c r="AQ513" s="14">
        <v>19267</v>
      </c>
      <c r="AR513" s="14">
        <v>23000</v>
      </c>
      <c r="AS513" s="14">
        <v>16168</v>
      </c>
      <c r="AT513" s="14">
        <v>17334</v>
      </c>
      <c r="AU513" s="14">
        <v>-8</v>
      </c>
      <c r="AV513" s="14">
        <v>214.45</v>
      </c>
      <c r="AW513" s="14">
        <v>43.3</v>
      </c>
      <c r="AX513" s="14">
        <v>2.9</v>
      </c>
      <c r="AY513" s="14" t="b">
        <v>0</v>
      </c>
    </row>
    <row r="514" spans="1:51" hidden="1" x14ac:dyDescent="0.3">
      <c r="A514" t="str">
        <f>CONCATENATE(I514,E514,LEFT(G514,10))</f>
        <v>HFA703LLHA2026-02-02</v>
      </c>
      <c r="B514" s="14" t="s">
        <v>883</v>
      </c>
      <c r="C514" s="14" t="s">
        <v>336</v>
      </c>
      <c r="D514" s="14" t="s">
        <v>337</v>
      </c>
      <c r="E514" s="14" t="s">
        <v>43</v>
      </c>
      <c r="F514" s="14" t="s">
        <v>48</v>
      </c>
      <c r="G514" s="14" t="s">
        <v>884</v>
      </c>
      <c r="H514" s="14" t="s">
        <v>436</v>
      </c>
      <c r="I514" s="14" t="s">
        <v>37</v>
      </c>
      <c r="J514" s="14" t="s">
        <v>751</v>
      </c>
      <c r="K514" s="14" t="s">
        <v>349</v>
      </c>
      <c r="L514" s="14" t="s">
        <v>341</v>
      </c>
      <c r="M514" s="16" t="s">
        <v>885</v>
      </c>
      <c r="N514" s="14" t="s">
        <v>359</v>
      </c>
      <c r="O514" s="14" t="s">
        <v>886</v>
      </c>
      <c r="P514" s="14">
        <v>50</v>
      </c>
      <c r="Q514" s="14">
        <v>2</v>
      </c>
      <c r="R514" s="14">
        <v>1800</v>
      </c>
      <c r="S514" s="14" t="s">
        <v>887</v>
      </c>
      <c r="T514" s="14" t="s">
        <v>888</v>
      </c>
      <c r="U514" s="14">
        <v>2.7319444444444398</v>
      </c>
      <c r="V514" s="14">
        <v>2.9108333333333301</v>
      </c>
      <c r="W514" s="14">
        <v>1932</v>
      </c>
      <c r="X514" s="14">
        <v>50</v>
      </c>
      <c r="Y514" s="14">
        <v>1882</v>
      </c>
      <c r="Z514" s="14">
        <v>761</v>
      </c>
      <c r="AA514" s="14">
        <v>329</v>
      </c>
      <c r="AB514" s="14">
        <v>238</v>
      </c>
      <c r="AC514" s="14">
        <v>100</v>
      </c>
      <c r="AD514" s="14">
        <v>94</v>
      </c>
      <c r="AE514" s="14">
        <v>2694</v>
      </c>
      <c r="AF514" s="14">
        <v>5000</v>
      </c>
      <c r="AG514" s="14">
        <v>6107</v>
      </c>
      <c r="AH514" s="14">
        <v>0</v>
      </c>
      <c r="AI514" s="14">
        <v>165</v>
      </c>
      <c r="AJ514" s="14">
        <v>238</v>
      </c>
      <c r="AK514" s="14" t="s">
        <v>884</v>
      </c>
      <c r="AL514" s="14" t="s">
        <v>889</v>
      </c>
      <c r="AM514" s="14">
        <v>662.64</v>
      </c>
      <c r="AN514" s="14">
        <v>624.6</v>
      </c>
      <c r="AO514" s="14">
        <v>85.95</v>
      </c>
      <c r="AP514" s="14">
        <v>17699</v>
      </c>
      <c r="AQ514" s="14">
        <v>17649</v>
      </c>
      <c r="AR514" s="14">
        <v>23000</v>
      </c>
      <c r="AS514" s="14">
        <v>15005</v>
      </c>
      <c r="AT514" s="14">
        <v>15766</v>
      </c>
      <c r="AU514" s="14">
        <v>-27</v>
      </c>
      <c r="AV514" s="14">
        <v>249.25</v>
      </c>
      <c r="AW514" s="14">
        <v>39.950000000000003</v>
      </c>
      <c r="AX514" s="14">
        <v>-0.84</v>
      </c>
      <c r="AY514" s="14" t="b">
        <v>0</v>
      </c>
    </row>
    <row r="515" spans="1:51" hidden="1" x14ac:dyDescent="0.3">
      <c r="A515" t="str">
        <f>CONCATENATE(I515,E515,LEFT(G515,10))</f>
        <v>HFA703LLHA2026-02-03</v>
      </c>
      <c r="B515" s="14" t="s">
        <v>2446</v>
      </c>
      <c r="C515" s="14" t="s">
        <v>336</v>
      </c>
      <c r="D515" s="14" t="s">
        <v>337</v>
      </c>
      <c r="E515" s="14" t="s">
        <v>43</v>
      </c>
      <c r="F515" s="14" t="s">
        <v>48</v>
      </c>
      <c r="G515" s="14" t="s">
        <v>2447</v>
      </c>
      <c r="H515" s="14" t="s">
        <v>357</v>
      </c>
      <c r="I515" s="14" t="s">
        <v>37</v>
      </c>
      <c r="J515" s="14" t="s">
        <v>401</v>
      </c>
      <c r="K515" s="14" t="s">
        <v>349</v>
      </c>
      <c r="L515" s="14" t="s">
        <v>341</v>
      </c>
      <c r="M515" s="16" t="s">
        <v>2448</v>
      </c>
      <c r="N515" s="14" t="s">
        <v>359</v>
      </c>
      <c r="O515" s="14" t="s">
        <v>465</v>
      </c>
      <c r="P515" s="14">
        <v>50</v>
      </c>
      <c r="Q515" s="14">
        <v>2</v>
      </c>
      <c r="R515" s="14">
        <v>2700</v>
      </c>
      <c r="S515" s="14"/>
      <c r="T515" s="14"/>
      <c r="U515" s="14"/>
      <c r="V515" s="14"/>
      <c r="W515" s="14">
        <v>2159</v>
      </c>
      <c r="X515" s="14">
        <v>50</v>
      </c>
      <c r="Y515" s="14">
        <v>2109</v>
      </c>
      <c r="Z515" s="14">
        <v>1041</v>
      </c>
      <c r="AA515" s="14">
        <v>552</v>
      </c>
      <c r="AB515" s="14">
        <v>247</v>
      </c>
      <c r="AC515" s="14">
        <v>136</v>
      </c>
      <c r="AD515" s="14">
        <v>105</v>
      </c>
      <c r="AE515" s="14">
        <v>3200</v>
      </c>
      <c r="AF515" s="14">
        <v>5000</v>
      </c>
      <c r="AG515" s="14">
        <v>6824</v>
      </c>
      <c r="AH515" s="14">
        <v>0</v>
      </c>
      <c r="AI515" s="14">
        <v>169</v>
      </c>
      <c r="AJ515" s="14">
        <v>267</v>
      </c>
      <c r="AK515" s="14" t="s">
        <v>2447</v>
      </c>
      <c r="AL515" s="14" t="s">
        <v>2449</v>
      </c>
      <c r="AM515" s="14">
        <v>662.64</v>
      </c>
      <c r="AN515" s="14">
        <v>624.6</v>
      </c>
      <c r="AO515" s="14">
        <v>196.25</v>
      </c>
      <c r="AP515" s="14">
        <v>19125</v>
      </c>
      <c r="AQ515" s="14">
        <v>19075</v>
      </c>
      <c r="AR515" s="14">
        <v>23000</v>
      </c>
      <c r="AS515" s="14">
        <v>15925</v>
      </c>
      <c r="AT515" s="14">
        <v>16966</v>
      </c>
      <c r="AU515" s="14">
        <v>-32</v>
      </c>
      <c r="AV515" s="14">
        <v>307.98</v>
      </c>
      <c r="AW515" s="14">
        <v>31.87</v>
      </c>
      <c r="AX515" s="14">
        <v>2.5299999999999998</v>
      </c>
      <c r="AY515" s="14" t="b">
        <v>0</v>
      </c>
    </row>
    <row r="516" spans="1:51" hidden="1" x14ac:dyDescent="0.3">
      <c r="A516" t="str">
        <f>CONCATENATE(I516,E516,LEFT(G516,10))</f>
        <v>HFA703LLHA2026-02-04</v>
      </c>
      <c r="B516" s="14" t="s">
        <v>5863</v>
      </c>
      <c r="C516" s="14" t="s">
        <v>336</v>
      </c>
      <c r="D516" s="14" t="s">
        <v>337</v>
      </c>
      <c r="E516" s="14" t="s">
        <v>43</v>
      </c>
      <c r="F516" s="14" t="s">
        <v>48</v>
      </c>
      <c r="G516" s="14" t="s">
        <v>5864</v>
      </c>
      <c r="H516" s="14" t="s">
        <v>436</v>
      </c>
      <c r="I516" s="14" t="s">
        <v>37</v>
      </c>
      <c r="J516" s="14" t="s">
        <v>666</v>
      </c>
      <c r="K516" s="14" t="s">
        <v>349</v>
      </c>
      <c r="L516" s="14" t="s">
        <v>341</v>
      </c>
      <c r="M516" s="16" t="s">
        <v>5865</v>
      </c>
      <c r="N516" s="14" t="s">
        <v>359</v>
      </c>
      <c r="O516" s="14" t="s">
        <v>1466</v>
      </c>
      <c r="P516" s="14">
        <v>160</v>
      </c>
      <c r="Q516" s="14">
        <v>2</v>
      </c>
      <c r="R516" s="14">
        <v>6150</v>
      </c>
      <c r="S516" s="14" t="s">
        <v>5866</v>
      </c>
      <c r="T516" s="14" t="s">
        <v>5867</v>
      </c>
      <c r="U516" s="14">
        <v>2.7177777777777701</v>
      </c>
      <c r="V516" s="14">
        <v>2.9752777777777699</v>
      </c>
      <c r="W516" s="14">
        <v>1943</v>
      </c>
      <c r="X516" s="14">
        <v>50</v>
      </c>
      <c r="Y516" s="14">
        <v>1893</v>
      </c>
      <c r="Z516" s="14">
        <v>1065</v>
      </c>
      <c r="AA516" s="14">
        <v>595</v>
      </c>
      <c r="AB516" s="14">
        <v>276</v>
      </c>
      <c r="AC516" s="14">
        <v>100</v>
      </c>
      <c r="AD516" s="14">
        <v>95</v>
      </c>
      <c r="AE516" s="14">
        <v>3008</v>
      </c>
      <c r="AF516" s="14">
        <v>5000</v>
      </c>
      <c r="AG516" s="14">
        <v>6140</v>
      </c>
      <c r="AH516" s="14">
        <v>0</v>
      </c>
      <c r="AI516" s="14">
        <v>162</v>
      </c>
      <c r="AJ516" s="14">
        <v>255</v>
      </c>
      <c r="AK516" s="14" t="s">
        <v>5864</v>
      </c>
      <c r="AL516" s="14" t="s">
        <v>5868</v>
      </c>
      <c r="AM516" s="14">
        <v>671.81</v>
      </c>
      <c r="AN516" s="14">
        <v>624.6</v>
      </c>
      <c r="AO516" s="14">
        <v>180.49</v>
      </c>
      <c r="AP516" s="14">
        <v>22363</v>
      </c>
      <c r="AQ516" s="14">
        <v>22313</v>
      </c>
      <c r="AR516" s="14">
        <v>23000</v>
      </c>
      <c r="AS516" s="14">
        <v>19355</v>
      </c>
      <c r="AT516" s="14">
        <v>20420</v>
      </c>
      <c r="AU516" s="14">
        <v>-11</v>
      </c>
      <c r="AV516" s="14">
        <v>240.54</v>
      </c>
      <c r="AW516" s="14">
        <v>21.56</v>
      </c>
      <c r="AX516" s="14">
        <v>4.17</v>
      </c>
      <c r="AY516" s="14" t="b">
        <v>0</v>
      </c>
    </row>
    <row r="517" spans="1:51" hidden="1" x14ac:dyDescent="0.3">
      <c r="A517" t="str">
        <f>CONCATENATE(I517,E517,LEFT(G517,10))</f>
        <v>HFA703LLHA2026-02-05</v>
      </c>
      <c r="B517" s="14" t="s">
        <v>4646</v>
      </c>
      <c r="C517" s="14" t="s">
        <v>336</v>
      </c>
      <c r="D517" s="14" t="s">
        <v>337</v>
      </c>
      <c r="E517" s="14" t="s">
        <v>43</v>
      </c>
      <c r="F517" s="14" t="s">
        <v>48</v>
      </c>
      <c r="G517" s="14" t="s">
        <v>4647</v>
      </c>
      <c r="H517" s="14" t="s">
        <v>357</v>
      </c>
      <c r="I517" s="14" t="s">
        <v>37</v>
      </c>
      <c r="J517" s="14" t="s">
        <v>401</v>
      </c>
      <c r="K517" s="14" t="s">
        <v>349</v>
      </c>
      <c r="L517" s="14" t="s">
        <v>341</v>
      </c>
      <c r="M517" s="16" t="s">
        <v>4648</v>
      </c>
      <c r="N517" s="14" t="s">
        <v>359</v>
      </c>
      <c r="O517" s="14" t="s">
        <v>4649</v>
      </c>
      <c r="P517" s="14">
        <v>140</v>
      </c>
      <c r="Q517" s="14">
        <v>3</v>
      </c>
      <c r="R517" s="14">
        <v>3300</v>
      </c>
      <c r="S517" s="14" t="s">
        <v>4650</v>
      </c>
      <c r="T517" s="14" t="s">
        <v>4651</v>
      </c>
      <c r="U517" s="14">
        <v>2.72694444444444</v>
      </c>
      <c r="V517" s="14">
        <v>2.86666666666666</v>
      </c>
      <c r="W517" s="14">
        <v>1976</v>
      </c>
      <c r="X517" s="14">
        <v>50</v>
      </c>
      <c r="Y517" s="14">
        <v>1926</v>
      </c>
      <c r="Z517" s="14">
        <v>1068</v>
      </c>
      <c r="AA517" s="14">
        <v>620</v>
      </c>
      <c r="AB517" s="14">
        <v>252</v>
      </c>
      <c r="AC517" s="14">
        <v>100</v>
      </c>
      <c r="AD517" s="14">
        <v>96</v>
      </c>
      <c r="AE517" s="14">
        <v>3044</v>
      </c>
      <c r="AF517" s="14">
        <v>5000</v>
      </c>
      <c r="AG517" s="14">
        <v>6245</v>
      </c>
      <c r="AH517" s="14">
        <v>0</v>
      </c>
      <c r="AI517" s="14">
        <v>161</v>
      </c>
      <c r="AJ517" s="14">
        <v>261</v>
      </c>
      <c r="AK517" s="14" t="s">
        <v>4647</v>
      </c>
      <c r="AL517" s="14" t="s">
        <v>4652</v>
      </c>
      <c r="AM517" s="14">
        <v>665.63</v>
      </c>
      <c r="AN517" s="14">
        <v>624.6</v>
      </c>
      <c r="AO517" s="14">
        <v>196.25</v>
      </c>
      <c r="AP517" s="14">
        <v>19569</v>
      </c>
      <c r="AQ517" s="14">
        <v>19519</v>
      </c>
      <c r="AR517" s="14">
        <v>23000</v>
      </c>
      <c r="AS517" s="14">
        <v>16525</v>
      </c>
      <c r="AT517" s="14">
        <v>17593</v>
      </c>
      <c r="AU517" s="14">
        <v>-18</v>
      </c>
      <c r="AV517" s="14">
        <v>240.72</v>
      </c>
      <c r="AW517" s="14">
        <v>34.799999999999997</v>
      </c>
      <c r="AX517" s="14">
        <v>3.04</v>
      </c>
      <c r="AY517" s="14" t="b">
        <v>0</v>
      </c>
    </row>
    <row r="518" spans="1:51" hidden="1" x14ac:dyDescent="0.3">
      <c r="A518" t="str">
        <f>CONCATENATE(I518,E518,LEFT(G518,10))</f>
        <v>HFA703LLHA2026-02-07</v>
      </c>
      <c r="B518" s="15" t="s">
        <v>4942</v>
      </c>
      <c r="C518" s="14" t="s">
        <v>336</v>
      </c>
      <c r="D518" s="14" t="s">
        <v>337</v>
      </c>
      <c r="E518" s="14" t="s">
        <v>43</v>
      </c>
      <c r="F518" s="14" t="s">
        <v>48</v>
      </c>
      <c r="G518" s="14" t="s">
        <v>4943</v>
      </c>
      <c r="H518" s="14" t="s">
        <v>436</v>
      </c>
      <c r="I518" s="14" t="s">
        <v>37</v>
      </c>
      <c r="J518" s="14" t="s">
        <v>401</v>
      </c>
      <c r="K518" s="14" t="s">
        <v>349</v>
      </c>
      <c r="L518" s="14" t="s">
        <v>341</v>
      </c>
      <c r="M518" s="16" t="s">
        <v>4944</v>
      </c>
      <c r="N518" s="14" t="s">
        <v>359</v>
      </c>
      <c r="O518" s="14" t="s">
        <v>4945</v>
      </c>
      <c r="P518" s="14">
        <v>50</v>
      </c>
      <c r="Q518" s="14">
        <v>2</v>
      </c>
      <c r="R518" s="14">
        <v>1600</v>
      </c>
      <c r="S518" s="14" t="s">
        <v>4946</v>
      </c>
      <c r="T518" s="14" t="s">
        <v>4947</v>
      </c>
      <c r="U518" s="14">
        <v>3.06083333333333</v>
      </c>
      <c r="V518" s="14">
        <v>3.1836111111111101</v>
      </c>
      <c r="W518" s="14">
        <v>2256</v>
      </c>
      <c r="X518" s="14">
        <v>50</v>
      </c>
      <c r="Y518" s="14">
        <v>2206</v>
      </c>
      <c r="Z518" s="14">
        <v>1044</v>
      </c>
      <c r="AA518" s="14">
        <v>523</v>
      </c>
      <c r="AB518" s="14">
        <v>239</v>
      </c>
      <c r="AC518" s="14">
        <v>171</v>
      </c>
      <c r="AD518" s="14">
        <v>110</v>
      </c>
      <c r="AE518" s="14">
        <v>3300</v>
      </c>
      <c r="AF518" s="14">
        <v>5000</v>
      </c>
      <c r="AG518" s="14">
        <v>7130</v>
      </c>
      <c r="AH518" s="14">
        <v>0</v>
      </c>
      <c r="AI518" s="14">
        <v>177</v>
      </c>
      <c r="AJ518" s="14">
        <v>275</v>
      </c>
      <c r="AK518" s="14" t="s">
        <v>4943</v>
      </c>
      <c r="AL518" s="14" t="s">
        <v>4948</v>
      </c>
      <c r="AM518" s="14">
        <v>657.4</v>
      </c>
      <c r="AN518" s="14">
        <v>624.6</v>
      </c>
      <c r="AO518" s="14">
        <v>176.85</v>
      </c>
      <c r="AP518" s="14">
        <v>18105</v>
      </c>
      <c r="AQ518" s="14">
        <v>18055</v>
      </c>
      <c r="AR518" s="14">
        <v>23000</v>
      </c>
      <c r="AS518" s="14">
        <v>14805</v>
      </c>
      <c r="AT518" s="14">
        <v>15849</v>
      </c>
      <c r="AU518" s="14">
        <v>-43</v>
      </c>
      <c r="AV518" s="14">
        <v>279.51</v>
      </c>
      <c r="AW518" s="14">
        <v>47.16</v>
      </c>
      <c r="AX518" s="14">
        <v>6.49</v>
      </c>
      <c r="AY518" s="14" t="b">
        <v>0</v>
      </c>
    </row>
    <row r="519" spans="1:51" hidden="1" x14ac:dyDescent="0.3">
      <c r="A519" t="str">
        <f>CONCATENATE(I519,E519,LEFT(G519,10))</f>
        <v>HFA703LLHA2026-02-08</v>
      </c>
      <c r="B519" s="14" t="s">
        <v>399</v>
      </c>
      <c r="C519" s="14" t="s">
        <v>336</v>
      </c>
      <c r="D519" s="14" t="s">
        <v>337</v>
      </c>
      <c r="E519" s="14" t="s">
        <v>43</v>
      </c>
      <c r="F519" s="14" t="s">
        <v>48</v>
      </c>
      <c r="G519" s="14" t="s">
        <v>400</v>
      </c>
      <c r="H519" s="14" t="s">
        <v>357</v>
      </c>
      <c r="I519" s="14" t="s">
        <v>37</v>
      </c>
      <c r="J519" s="14" t="s">
        <v>401</v>
      </c>
      <c r="K519" s="14" t="s">
        <v>349</v>
      </c>
      <c r="L519" s="14" t="s">
        <v>341</v>
      </c>
      <c r="M519" s="16" t="s">
        <v>402</v>
      </c>
      <c r="N519" s="14" t="s">
        <v>359</v>
      </c>
      <c r="O519" s="14" t="s">
        <v>403</v>
      </c>
      <c r="P519" s="14">
        <v>50</v>
      </c>
      <c r="Q519" s="14">
        <v>2</v>
      </c>
      <c r="R519" s="14">
        <v>3200</v>
      </c>
      <c r="S519" s="14" t="s">
        <v>404</v>
      </c>
      <c r="T519" s="14" t="s">
        <v>405</v>
      </c>
      <c r="U519" s="14">
        <v>2.92777777777777</v>
      </c>
      <c r="V519" s="14">
        <v>3.3483333333333301</v>
      </c>
      <c r="W519" s="14">
        <v>2168</v>
      </c>
      <c r="X519" s="14">
        <v>50</v>
      </c>
      <c r="Y519" s="14">
        <v>2118</v>
      </c>
      <c r="Z519" s="14">
        <v>998</v>
      </c>
      <c r="AA519" s="14">
        <v>542</v>
      </c>
      <c r="AB519" s="14">
        <v>250</v>
      </c>
      <c r="AC519" s="14">
        <v>100</v>
      </c>
      <c r="AD519" s="14">
        <v>106</v>
      </c>
      <c r="AE519" s="14">
        <v>3165</v>
      </c>
      <c r="AF519" s="14">
        <v>5000</v>
      </c>
      <c r="AG519" s="14">
        <v>6849</v>
      </c>
      <c r="AH519" s="14">
        <v>0</v>
      </c>
      <c r="AI519" s="14">
        <v>173</v>
      </c>
      <c r="AJ519" s="14">
        <v>265</v>
      </c>
      <c r="AK519" s="14" t="s">
        <v>400</v>
      </c>
      <c r="AL519" s="14" t="s">
        <v>406</v>
      </c>
      <c r="AM519" s="14">
        <v>651.22</v>
      </c>
      <c r="AN519" s="14">
        <v>624.6</v>
      </c>
      <c r="AO519" s="14">
        <v>176.85</v>
      </c>
      <c r="AP519" s="14">
        <v>19590</v>
      </c>
      <c r="AQ519" s="14">
        <v>19540</v>
      </c>
      <c r="AR519" s="14">
        <v>23000</v>
      </c>
      <c r="AS519" s="14">
        <v>16425</v>
      </c>
      <c r="AT519" s="14">
        <v>17423</v>
      </c>
      <c r="AU519" s="14">
        <v>-39</v>
      </c>
      <c r="AV519" s="14">
        <v>273.67</v>
      </c>
      <c r="AW519" s="14">
        <v>44.42</v>
      </c>
      <c r="AX519" s="14">
        <v>5.65</v>
      </c>
      <c r="AY519" s="14" t="b">
        <v>0</v>
      </c>
    </row>
    <row r="520" spans="1:51" hidden="1" x14ac:dyDescent="0.3">
      <c r="A520" t="str">
        <f>CONCATENATE(I520,E520,LEFT(G520,10))</f>
        <v>HFA703LLHA2026-02-09</v>
      </c>
      <c r="B520" s="14" t="s">
        <v>1249</v>
      </c>
      <c r="C520" s="14" t="s">
        <v>336</v>
      </c>
      <c r="D520" s="14" t="s">
        <v>337</v>
      </c>
      <c r="E520" s="14" t="s">
        <v>43</v>
      </c>
      <c r="F520" s="14" t="s">
        <v>48</v>
      </c>
      <c r="G520" s="14" t="s">
        <v>1250</v>
      </c>
      <c r="H520" s="14" t="s">
        <v>436</v>
      </c>
      <c r="I520" s="14" t="s">
        <v>37</v>
      </c>
      <c r="J520" s="14" t="s">
        <v>751</v>
      </c>
      <c r="K520" s="14" t="s">
        <v>349</v>
      </c>
      <c r="L520" s="14" t="s">
        <v>341</v>
      </c>
      <c r="M520" s="16" t="s">
        <v>1251</v>
      </c>
      <c r="N520" s="14" t="s">
        <v>359</v>
      </c>
      <c r="O520" s="14" t="s">
        <v>1252</v>
      </c>
      <c r="P520" s="14">
        <v>50</v>
      </c>
      <c r="Q520" s="14">
        <v>2</v>
      </c>
      <c r="R520" s="14">
        <v>3000</v>
      </c>
      <c r="S520" s="14" t="s">
        <v>1253</v>
      </c>
      <c r="T520" s="14" t="s">
        <v>1254</v>
      </c>
      <c r="U520" s="14">
        <v>2.74861111111111</v>
      </c>
      <c r="V520" s="14">
        <v>2.9555555555555499</v>
      </c>
      <c r="W520" s="14">
        <v>2080</v>
      </c>
      <c r="X520" s="14">
        <v>50</v>
      </c>
      <c r="Y520" s="14">
        <v>2030</v>
      </c>
      <c r="Z520" s="14">
        <v>835</v>
      </c>
      <c r="AA520" s="14">
        <v>386</v>
      </c>
      <c r="AB520" s="14">
        <v>247</v>
      </c>
      <c r="AC520" s="14">
        <v>100</v>
      </c>
      <c r="AD520" s="14">
        <v>101</v>
      </c>
      <c r="AE520" s="14">
        <v>2915</v>
      </c>
      <c r="AF520" s="14">
        <v>5000</v>
      </c>
      <c r="AG520" s="14">
        <v>6571</v>
      </c>
      <c r="AH520" s="14">
        <v>0</v>
      </c>
      <c r="AI520" s="14">
        <v>166</v>
      </c>
      <c r="AJ520" s="14">
        <v>242</v>
      </c>
      <c r="AK520" s="14" t="s">
        <v>1250</v>
      </c>
      <c r="AL520" s="14" t="s">
        <v>1255</v>
      </c>
      <c r="AM520" s="14">
        <v>651.22</v>
      </c>
      <c r="AN520" s="14">
        <v>624.6</v>
      </c>
      <c r="AO520" s="14">
        <v>103.63</v>
      </c>
      <c r="AP520" s="14">
        <v>19120</v>
      </c>
      <c r="AQ520" s="14">
        <v>19070</v>
      </c>
      <c r="AR520" s="14">
        <v>23000</v>
      </c>
      <c r="AS520" s="14">
        <v>16205</v>
      </c>
      <c r="AT520" s="14">
        <v>17040</v>
      </c>
      <c r="AU520" s="14">
        <v>-31</v>
      </c>
      <c r="AV520" s="14">
        <v>255.62</v>
      </c>
      <c r="AW520" s="14">
        <v>42.1</v>
      </c>
      <c r="AX520" s="14">
        <v>3.16</v>
      </c>
      <c r="AY520" s="14" t="b">
        <v>0</v>
      </c>
    </row>
    <row r="521" spans="1:51" hidden="1" x14ac:dyDescent="0.3">
      <c r="A521" t="str">
        <f>CONCATENATE(I521,E521,LEFT(G521,10))</f>
        <v>HFA703LLHA2026-02-10</v>
      </c>
      <c r="B521" s="14" t="s">
        <v>4432</v>
      </c>
      <c r="C521" s="14" t="s">
        <v>336</v>
      </c>
      <c r="D521" s="14" t="s">
        <v>337</v>
      </c>
      <c r="E521" s="14" t="s">
        <v>43</v>
      </c>
      <c r="F521" s="14" t="s">
        <v>48</v>
      </c>
      <c r="G521" s="14" t="s">
        <v>4427</v>
      </c>
      <c r="H521" s="14" t="s">
        <v>357</v>
      </c>
      <c r="I521" s="14" t="s">
        <v>37</v>
      </c>
      <c r="J521" s="14" t="s">
        <v>401</v>
      </c>
      <c r="K521" s="14" t="s">
        <v>349</v>
      </c>
      <c r="L521" s="14" t="s">
        <v>341</v>
      </c>
      <c r="M521" s="16" t="s">
        <v>4433</v>
      </c>
      <c r="N521" s="14" t="s">
        <v>359</v>
      </c>
      <c r="O521" s="14" t="s">
        <v>4434</v>
      </c>
      <c r="P521" s="14">
        <v>50</v>
      </c>
      <c r="Q521" s="14">
        <v>2</v>
      </c>
      <c r="R521" s="14">
        <v>2800</v>
      </c>
      <c r="S521" s="14" t="s">
        <v>4435</v>
      </c>
      <c r="T521" s="14" t="s">
        <v>4436</v>
      </c>
      <c r="U521" s="14">
        <v>-0.16</v>
      </c>
      <c r="V521" s="14">
        <v>2.9441666666666602</v>
      </c>
      <c r="W521" s="14">
        <v>2042</v>
      </c>
      <c r="X521" s="14">
        <v>50</v>
      </c>
      <c r="Y521" s="14">
        <v>1992</v>
      </c>
      <c r="Z521" s="14">
        <v>995</v>
      </c>
      <c r="AA521" s="14">
        <v>548</v>
      </c>
      <c r="AB521" s="14">
        <v>247</v>
      </c>
      <c r="AC521" s="14">
        <v>100</v>
      </c>
      <c r="AD521" s="14">
        <v>100</v>
      </c>
      <c r="AE521" s="14">
        <v>3037</v>
      </c>
      <c r="AF521" s="14">
        <v>5000</v>
      </c>
      <c r="AG521" s="14">
        <v>6454</v>
      </c>
      <c r="AH521" s="14">
        <v>0</v>
      </c>
      <c r="AI521" s="14">
        <v>164</v>
      </c>
      <c r="AJ521" s="14">
        <v>255</v>
      </c>
      <c r="AK521" s="14" t="s">
        <v>4427</v>
      </c>
      <c r="AL521" s="14" t="s">
        <v>4437</v>
      </c>
      <c r="AM521" s="14">
        <v>662.64</v>
      </c>
      <c r="AN521" s="14">
        <v>624.6</v>
      </c>
      <c r="AO521" s="14">
        <v>176.85</v>
      </c>
      <c r="AP521" s="14">
        <v>19062</v>
      </c>
      <c r="AQ521" s="14">
        <v>19012</v>
      </c>
      <c r="AR521" s="14">
        <v>23000</v>
      </c>
      <c r="AS521" s="14">
        <v>16025</v>
      </c>
      <c r="AT521" s="14">
        <v>17020</v>
      </c>
      <c r="AU521" s="14">
        <v>-25</v>
      </c>
      <c r="AV521" s="14">
        <v>265.10000000000002</v>
      </c>
      <c r="AW521" s="14">
        <v>29.34</v>
      </c>
      <c r="AX521" s="14">
        <v>0.51</v>
      </c>
      <c r="AY521" s="14" t="b">
        <v>0</v>
      </c>
    </row>
    <row r="522" spans="1:51" hidden="1" x14ac:dyDescent="0.3">
      <c r="A522" t="str">
        <f>CONCATENATE(I522,E522,LEFT(G522,10))</f>
        <v>HFA703LLHA2026-02-11</v>
      </c>
      <c r="B522" s="14" t="s">
        <v>2700</v>
      </c>
      <c r="C522" s="14" t="s">
        <v>336</v>
      </c>
      <c r="D522" s="14" t="s">
        <v>337</v>
      </c>
      <c r="E522" s="14" t="s">
        <v>43</v>
      </c>
      <c r="F522" s="14" t="s">
        <v>48</v>
      </c>
      <c r="G522" s="14" t="s">
        <v>2701</v>
      </c>
      <c r="H522" s="14" t="s">
        <v>436</v>
      </c>
      <c r="I522" s="14" t="s">
        <v>37</v>
      </c>
      <c r="J522" s="14" t="s">
        <v>401</v>
      </c>
      <c r="K522" s="14" t="s">
        <v>349</v>
      </c>
      <c r="L522" s="14" t="s">
        <v>341</v>
      </c>
      <c r="M522" s="16" t="s">
        <v>2702</v>
      </c>
      <c r="N522" s="14" t="s">
        <v>359</v>
      </c>
      <c r="O522" s="14" t="s">
        <v>2703</v>
      </c>
      <c r="P522" s="14">
        <v>50</v>
      </c>
      <c r="Q522" s="14">
        <v>2</v>
      </c>
      <c r="R522" s="14">
        <v>4100</v>
      </c>
      <c r="S522" s="14" t="s">
        <v>2704</v>
      </c>
      <c r="T522" s="14" t="s">
        <v>2705</v>
      </c>
      <c r="U522" s="14">
        <v>2.82638888888888</v>
      </c>
      <c r="V522" s="14">
        <v>3.1041666666666599</v>
      </c>
      <c r="W522" s="14">
        <v>2024</v>
      </c>
      <c r="X522" s="14">
        <v>50</v>
      </c>
      <c r="Y522" s="14">
        <v>1974</v>
      </c>
      <c r="Z522" s="14">
        <v>1025</v>
      </c>
      <c r="AA522" s="14">
        <v>568</v>
      </c>
      <c r="AB522" s="14">
        <v>258</v>
      </c>
      <c r="AC522" s="14">
        <v>100</v>
      </c>
      <c r="AD522" s="14">
        <v>99</v>
      </c>
      <c r="AE522" s="14">
        <v>3049</v>
      </c>
      <c r="AF522" s="14">
        <v>5000</v>
      </c>
      <c r="AG522" s="14">
        <v>6396</v>
      </c>
      <c r="AH522" s="14">
        <v>0</v>
      </c>
      <c r="AI522" s="14">
        <v>164</v>
      </c>
      <c r="AJ522" s="14">
        <v>256</v>
      </c>
      <c r="AK522" s="14" t="s">
        <v>2701</v>
      </c>
      <c r="AL522" s="14" t="s">
        <v>2706</v>
      </c>
      <c r="AM522" s="14">
        <v>657.4</v>
      </c>
      <c r="AN522" s="14">
        <v>624.6</v>
      </c>
      <c r="AO522" s="14">
        <v>176.85</v>
      </c>
      <c r="AP522" s="14">
        <v>20354</v>
      </c>
      <c r="AQ522" s="14">
        <v>20304</v>
      </c>
      <c r="AR522" s="14">
        <v>23000</v>
      </c>
      <c r="AS522" s="14">
        <v>17305</v>
      </c>
      <c r="AT522" s="14">
        <v>18330</v>
      </c>
      <c r="AU522" s="14">
        <v>-25</v>
      </c>
      <c r="AV522" s="14">
        <v>267.91000000000003</v>
      </c>
      <c r="AW522" s="14">
        <v>31.08</v>
      </c>
      <c r="AX522" s="14">
        <v>-0.35</v>
      </c>
      <c r="AY522" s="14" t="b">
        <v>0</v>
      </c>
    </row>
    <row r="523" spans="1:51" hidden="1" x14ac:dyDescent="0.3">
      <c r="A523" t="str">
        <f>CONCATENATE(I523,E523,LEFT(G523,10))</f>
        <v>HFA703LLHA2026-02-12</v>
      </c>
      <c r="B523" s="14" t="s">
        <v>573</v>
      </c>
      <c r="C523" s="14" t="s">
        <v>336</v>
      </c>
      <c r="D523" s="14" t="s">
        <v>337</v>
      </c>
      <c r="E523" s="14" t="s">
        <v>43</v>
      </c>
      <c r="F523" s="14" t="s">
        <v>48</v>
      </c>
      <c r="G523" s="14" t="s">
        <v>574</v>
      </c>
      <c r="H523" s="14" t="s">
        <v>357</v>
      </c>
      <c r="I523" s="14" t="s">
        <v>37</v>
      </c>
      <c r="J523" s="14"/>
      <c r="K523" s="14" t="s">
        <v>349</v>
      </c>
      <c r="L523" s="14" t="s">
        <v>341</v>
      </c>
      <c r="M523" s="16" t="s">
        <v>575</v>
      </c>
      <c r="N523" s="14" t="s">
        <v>359</v>
      </c>
      <c r="O523" s="14" t="s">
        <v>576</v>
      </c>
      <c r="P523" s="14">
        <v>50</v>
      </c>
      <c r="Q523" s="14">
        <v>2</v>
      </c>
      <c r="R523" s="14">
        <v>6100</v>
      </c>
      <c r="S523" s="14" t="s">
        <v>577</v>
      </c>
      <c r="T523" s="14" t="s">
        <v>578</v>
      </c>
      <c r="U523" s="14">
        <v>2.7541666666666602</v>
      </c>
      <c r="V523" s="14">
        <v>2.9266666666666601</v>
      </c>
      <c r="W523" s="14">
        <v>2005</v>
      </c>
      <c r="X523" s="14">
        <v>50</v>
      </c>
      <c r="Y523" s="14">
        <v>1955</v>
      </c>
      <c r="Z523" s="14">
        <v>1095</v>
      </c>
      <c r="AA523" s="14">
        <v>138</v>
      </c>
      <c r="AB523" s="14">
        <v>276</v>
      </c>
      <c r="AC523" s="14">
        <v>583</v>
      </c>
      <c r="AD523" s="14">
        <v>98</v>
      </c>
      <c r="AE523" s="14">
        <v>3100</v>
      </c>
      <c r="AF523" s="14">
        <v>5000</v>
      </c>
      <c r="AG523" s="14">
        <v>6336</v>
      </c>
      <c r="AH523" s="14">
        <v>0</v>
      </c>
      <c r="AI523" s="14">
        <v>168</v>
      </c>
      <c r="AJ523" s="14">
        <v>275</v>
      </c>
      <c r="AK523" s="14" t="s">
        <v>574</v>
      </c>
      <c r="AL523" s="14" t="s">
        <v>579</v>
      </c>
      <c r="AM523" s="14">
        <v>657.4</v>
      </c>
      <c r="AN523" s="14">
        <v>624.6</v>
      </c>
      <c r="AO523" s="14">
        <v>0</v>
      </c>
      <c r="AP523" s="14">
        <v>22425</v>
      </c>
      <c r="AQ523" s="14">
        <v>22375</v>
      </c>
      <c r="AR523" s="14">
        <v>23000</v>
      </c>
      <c r="AS523" s="14">
        <v>19325</v>
      </c>
      <c r="AT523" s="14">
        <v>20420</v>
      </c>
      <c r="AU523" s="14">
        <v>-26</v>
      </c>
      <c r="AV523" s="14">
        <v>252.83</v>
      </c>
      <c r="AW523" s="14">
        <v>40.200000000000003</v>
      </c>
      <c r="AX523" s="14">
        <v>1.38</v>
      </c>
      <c r="AY523" s="14" t="b">
        <v>0</v>
      </c>
    </row>
    <row r="524" spans="1:51" hidden="1" x14ac:dyDescent="0.3">
      <c r="A524" t="str">
        <f>CONCATENATE(I524,E524,LEFT(G524,10))</f>
        <v>HFA703LLHA2026-02-14</v>
      </c>
      <c r="B524" s="14" t="s">
        <v>4309</v>
      </c>
      <c r="C524" s="14" t="s">
        <v>336</v>
      </c>
      <c r="D524" s="14" t="s">
        <v>337</v>
      </c>
      <c r="E524" s="14" t="s">
        <v>43</v>
      </c>
      <c r="F524" s="14" t="s">
        <v>48</v>
      </c>
      <c r="G524" s="14" t="s">
        <v>4310</v>
      </c>
      <c r="H524" s="14" t="s">
        <v>436</v>
      </c>
      <c r="I524" s="14" t="s">
        <v>37</v>
      </c>
      <c r="J524" s="14" t="s">
        <v>401</v>
      </c>
      <c r="K524" s="14" t="s">
        <v>349</v>
      </c>
      <c r="L524" s="14" t="s">
        <v>341</v>
      </c>
      <c r="M524" s="16" t="s">
        <v>4311</v>
      </c>
      <c r="N524" s="14" t="s">
        <v>359</v>
      </c>
      <c r="O524" s="14" t="s">
        <v>4312</v>
      </c>
      <c r="P524" s="14">
        <v>50</v>
      </c>
      <c r="Q524" s="14">
        <v>2</v>
      </c>
      <c r="R524" s="14">
        <v>5900</v>
      </c>
      <c r="S524" s="14" t="s">
        <v>4313</v>
      </c>
      <c r="T524" s="14" t="s">
        <v>4314</v>
      </c>
      <c r="U524" s="14">
        <v>2.95333333333333</v>
      </c>
      <c r="V524" s="14">
        <v>3.1944444444444402</v>
      </c>
      <c r="W524" s="14">
        <v>2092</v>
      </c>
      <c r="X524" s="14">
        <v>50</v>
      </c>
      <c r="Y524" s="14">
        <v>2042</v>
      </c>
      <c r="Z524" s="14">
        <v>1078</v>
      </c>
      <c r="AA524" s="14">
        <v>602</v>
      </c>
      <c r="AB524" s="14">
        <v>274</v>
      </c>
      <c r="AC524" s="14">
        <v>100</v>
      </c>
      <c r="AD524" s="14">
        <v>102</v>
      </c>
      <c r="AE524" s="14">
        <v>3170</v>
      </c>
      <c r="AF524" s="14">
        <v>5000</v>
      </c>
      <c r="AG524" s="14">
        <v>6611</v>
      </c>
      <c r="AH524" s="14">
        <v>0</v>
      </c>
      <c r="AI524" s="14">
        <v>176</v>
      </c>
      <c r="AJ524" s="14">
        <v>271</v>
      </c>
      <c r="AK524" s="14" t="s">
        <v>4310</v>
      </c>
      <c r="AL524" s="14" t="s">
        <v>4315</v>
      </c>
      <c r="AM524" s="14">
        <v>657.4</v>
      </c>
      <c r="AN524" s="14">
        <v>624.6</v>
      </c>
      <c r="AO524" s="14">
        <v>176.85</v>
      </c>
      <c r="AP524" s="14">
        <v>22275</v>
      </c>
      <c r="AQ524" s="14">
        <v>22225</v>
      </c>
      <c r="AR524" s="14">
        <v>23000</v>
      </c>
      <c r="AS524" s="14">
        <v>19105</v>
      </c>
      <c r="AT524" s="14">
        <v>20183</v>
      </c>
      <c r="AU524" s="14">
        <v>-35</v>
      </c>
      <c r="AV524" s="14">
        <v>278.12</v>
      </c>
      <c r="AW524" s="14">
        <v>36.9</v>
      </c>
      <c r="AX524" s="14">
        <v>5.62</v>
      </c>
      <c r="AY524" s="14" t="b">
        <v>0</v>
      </c>
    </row>
    <row r="525" spans="1:51" hidden="1" x14ac:dyDescent="0.3">
      <c r="A525" t="str">
        <f>CONCATENATE(I525,E525,LEFT(G525,10))</f>
        <v>HFA703LLHA2026-02-15</v>
      </c>
      <c r="B525" s="14" t="s">
        <v>4209</v>
      </c>
      <c r="C525" s="14" t="s">
        <v>336</v>
      </c>
      <c r="D525" s="14" t="s">
        <v>337</v>
      </c>
      <c r="E525" s="14" t="s">
        <v>43</v>
      </c>
      <c r="F525" s="14" t="s">
        <v>48</v>
      </c>
      <c r="G525" s="14" t="s">
        <v>4210</v>
      </c>
      <c r="H525" s="14" t="s">
        <v>357</v>
      </c>
      <c r="I525" s="14" t="s">
        <v>37</v>
      </c>
      <c r="J525" s="14" t="s">
        <v>751</v>
      </c>
      <c r="K525" s="14" t="s">
        <v>349</v>
      </c>
      <c r="L525" s="14" t="s">
        <v>341</v>
      </c>
      <c r="M525" s="16" t="s">
        <v>4211</v>
      </c>
      <c r="N525" s="14" t="s">
        <v>359</v>
      </c>
      <c r="O525" s="14" t="s">
        <v>4212</v>
      </c>
      <c r="P525" s="14">
        <v>50</v>
      </c>
      <c r="Q525" s="14">
        <v>2</v>
      </c>
      <c r="R525" s="14">
        <v>4900</v>
      </c>
      <c r="S525" s="14" t="s">
        <v>4213</v>
      </c>
      <c r="T525" s="14" t="s">
        <v>4214</v>
      </c>
      <c r="U525" s="14">
        <v>2.6694444444444398</v>
      </c>
      <c r="V525" s="14">
        <v>-0.13416666666666599</v>
      </c>
      <c r="W525" s="14">
        <v>1866</v>
      </c>
      <c r="X525" s="14">
        <v>50</v>
      </c>
      <c r="Y525" s="14">
        <v>1816</v>
      </c>
      <c r="Z525" s="14">
        <v>847</v>
      </c>
      <c r="AA525" s="14">
        <v>394</v>
      </c>
      <c r="AB525" s="14">
        <v>263</v>
      </c>
      <c r="AC525" s="14">
        <v>100</v>
      </c>
      <c r="AD525" s="14">
        <v>91</v>
      </c>
      <c r="AE525" s="14">
        <v>2713</v>
      </c>
      <c r="AF525" s="14">
        <v>5000</v>
      </c>
      <c r="AG525" s="14">
        <v>5896</v>
      </c>
      <c r="AH525" s="14">
        <v>0</v>
      </c>
      <c r="AI525" s="14">
        <v>156</v>
      </c>
      <c r="AJ525" s="14">
        <v>232</v>
      </c>
      <c r="AK525" s="14" t="s">
        <v>4210</v>
      </c>
      <c r="AL525" s="14" t="s">
        <v>4215</v>
      </c>
      <c r="AM525" s="14">
        <v>651.22</v>
      </c>
      <c r="AN525" s="14">
        <v>624.6</v>
      </c>
      <c r="AO525" s="14">
        <v>103.63</v>
      </c>
      <c r="AP525" s="14">
        <v>20838</v>
      </c>
      <c r="AQ525" s="14">
        <v>20788</v>
      </c>
      <c r="AR525" s="14">
        <v>23000</v>
      </c>
      <c r="AS525" s="14">
        <v>18125</v>
      </c>
      <c r="AT525" s="14">
        <v>18972</v>
      </c>
      <c r="AU525" s="14">
        <v>-9</v>
      </c>
      <c r="AV525" s="14">
        <v>216.42</v>
      </c>
      <c r="AW525" s="14">
        <v>46.02</v>
      </c>
      <c r="AX525" s="14">
        <v>7.53</v>
      </c>
      <c r="AY525" s="14" t="b">
        <v>0</v>
      </c>
    </row>
    <row r="526" spans="1:51" hidden="1" x14ac:dyDescent="0.3">
      <c r="A526" t="str">
        <f>CONCATENATE(I526,E526,LEFT(G526,10))</f>
        <v>HFA703LLHA2026-02-16</v>
      </c>
      <c r="B526" s="14" t="s">
        <v>4106</v>
      </c>
      <c r="C526" s="14" t="s">
        <v>336</v>
      </c>
      <c r="D526" s="14" t="s">
        <v>337</v>
      </c>
      <c r="E526" s="14" t="s">
        <v>43</v>
      </c>
      <c r="F526" s="14" t="s">
        <v>48</v>
      </c>
      <c r="G526" s="14" t="s">
        <v>4107</v>
      </c>
      <c r="H526" s="14" t="s">
        <v>393</v>
      </c>
      <c r="I526" s="14" t="s">
        <v>37</v>
      </c>
      <c r="J526" s="14" t="s">
        <v>401</v>
      </c>
      <c r="K526" s="14" t="s">
        <v>349</v>
      </c>
      <c r="L526" s="14" t="s">
        <v>341</v>
      </c>
      <c r="M526" s="16" t="s">
        <v>4108</v>
      </c>
      <c r="N526" s="14"/>
      <c r="O526" s="14" t="s">
        <v>4109</v>
      </c>
      <c r="P526" s="14">
        <v>50</v>
      </c>
      <c r="Q526" s="14">
        <v>2</v>
      </c>
      <c r="R526" s="14">
        <v>5000</v>
      </c>
      <c r="S526" s="14" t="s">
        <v>4110</v>
      </c>
      <c r="T526" s="14" t="s">
        <v>4111</v>
      </c>
      <c r="U526" s="14">
        <v>2.76555555555555</v>
      </c>
      <c r="V526" s="14">
        <v>2.9869444444444402</v>
      </c>
      <c r="W526" s="14">
        <v>2012</v>
      </c>
      <c r="X526" s="14">
        <v>50</v>
      </c>
      <c r="Y526" s="14">
        <v>1962</v>
      </c>
      <c r="Z526" s="14">
        <v>1111</v>
      </c>
      <c r="AA526" s="14">
        <v>646</v>
      </c>
      <c r="AB526" s="14">
        <v>267</v>
      </c>
      <c r="AC526" s="14">
        <v>100</v>
      </c>
      <c r="AD526" s="14">
        <v>98</v>
      </c>
      <c r="AE526" s="14">
        <v>3123</v>
      </c>
      <c r="AF526" s="14">
        <v>5000</v>
      </c>
      <c r="AG526" s="14">
        <v>6359</v>
      </c>
      <c r="AH526" s="14">
        <v>0</v>
      </c>
      <c r="AI526" s="14">
        <v>154</v>
      </c>
      <c r="AJ526" s="14">
        <v>252</v>
      </c>
      <c r="AK526" s="14" t="s">
        <v>4107</v>
      </c>
      <c r="AL526" s="14" t="s">
        <v>4112</v>
      </c>
      <c r="AM526" s="14">
        <v>651.22</v>
      </c>
      <c r="AN526" s="14">
        <v>624.6</v>
      </c>
      <c r="AO526" s="14">
        <v>196.25</v>
      </c>
      <c r="AP526" s="14">
        <v>21434</v>
      </c>
      <c r="AQ526" s="14">
        <v>21384</v>
      </c>
      <c r="AR526" s="14">
        <v>23000</v>
      </c>
      <c r="AS526" s="14">
        <v>18311</v>
      </c>
      <c r="AT526" s="14">
        <v>19422</v>
      </c>
      <c r="AU526" s="14">
        <v>-8</v>
      </c>
      <c r="AV526" s="14">
        <v>218.1</v>
      </c>
      <c r="AW526" s="14">
        <v>46.63</v>
      </c>
      <c r="AX526" s="14">
        <v>3.92</v>
      </c>
      <c r="AY526" s="14" t="b">
        <v>0</v>
      </c>
    </row>
    <row r="527" spans="1:51" hidden="1" x14ac:dyDescent="0.3">
      <c r="A527" t="str">
        <f>CONCATENATE(I527,E527,LEFT(G527,10))</f>
        <v>HFA703LLHA2026-02-17</v>
      </c>
      <c r="B527" s="14" t="s">
        <v>4039</v>
      </c>
      <c r="C527" s="14" t="s">
        <v>336</v>
      </c>
      <c r="D527" s="14" t="s">
        <v>337</v>
      </c>
      <c r="E527" s="14" t="s">
        <v>43</v>
      </c>
      <c r="F527" s="14" t="s">
        <v>48</v>
      </c>
      <c r="G527" s="14" t="s">
        <v>4040</v>
      </c>
      <c r="H527" s="14" t="s">
        <v>357</v>
      </c>
      <c r="I527" s="14" t="s">
        <v>37</v>
      </c>
      <c r="J527" s="14" t="s">
        <v>401</v>
      </c>
      <c r="K527" s="14" t="s">
        <v>349</v>
      </c>
      <c r="L527" s="14" t="s">
        <v>341</v>
      </c>
      <c r="M527" s="16" t="s">
        <v>4041</v>
      </c>
      <c r="N527" s="14" t="s">
        <v>359</v>
      </c>
      <c r="O527" s="14" t="s">
        <v>966</v>
      </c>
      <c r="P527" s="14">
        <v>50</v>
      </c>
      <c r="Q527" s="14">
        <v>2</v>
      </c>
      <c r="R527" s="14">
        <v>4800</v>
      </c>
      <c r="S527" s="14" t="s">
        <v>4042</v>
      </c>
      <c r="T527" s="14" t="s">
        <v>4043</v>
      </c>
      <c r="U527" s="14">
        <v>2.8911111111111101</v>
      </c>
      <c r="V527" s="14">
        <v>3.0897222222222198</v>
      </c>
      <c r="W527" s="14">
        <v>1958</v>
      </c>
      <c r="X527" s="14">
        <v>50</v>
      </c>
      <c r="Y527" s="14">
        <v>1908</v>
      </c>
      <c r="Z527" s="14">
        <v>1142</v>
      </c>
      <c r="AA527" s="14">
        <v>605</v>
      </c>
      <c r="AB527" s="14">
        <v>265</v>
      </c>
      <c r="AC527" s="14">
        <v>178</v>
      </c>
      <c r="AD527" s="14">
        <v>95</v>
      </c>
      <c r="AE527" s="14">
        <v>3100</v>
      </c>
      <c r="AF527" s="14">
        <v>5000</v>
      </c>
      <c r="AG527" s="14">
        <v>6187</v>
      </c>
      <c r="AH527" s="14">
        <v>0</v>
      </c>
      <c r="AI527" s="14">
        <v>163</v>
      </c>
      <c r="AJ527" s="14">
        <v>264</v>
      </c>
      <c r="AK527" s="14" t="s">
        <v>4040</v>
      </c>
      <c r="AL527" s="14" t="s">
        <v>4044</v>
      </c>
      <c r="AM527" s="14">
        <v>662.64</v>
      </c>
      <c r="AN527" s="14">
        <v>624.6</v>
      </c>
      <c r="AO527" s="14">
        <v>176.85</v>
      </c>
      <c r="AP527" s="14">
        <v>21125</v>
      </c>
      <c r="AQ527" s="14">
        <v>21075</v>
      </c>
      <c r="AR527" s="14">
        <v>23000</v>
      </c>
      <c r="AS527" s="14">
        <v>18025</v>
      </c>
      <c r="AT527" s="14">
        <v>19167</v>
      </c>
      <c r="AU527" s="14">
        <v>-21</v>
      </c>
      <c r="AV527" s="14">
        <v>234.34</v>
      </c>
      <c r="AW527" s="14">
        <v>43.68</v>
      </c>
      <c r="AX527" s="14">
        <v>0.91</v>
      </c>
      <c r="AY527" s="14" t="b">
        <v>0</v>
      </c>
    </row>
    <row r="528" spans="1:51" hidden="1" x14ac:dyDescent="0.3">
      <c r="A528" t="str">
        <f>CONCATENATE(I528,E528,LEFT(G528,10))</f>
        <v>HFA703LLHA2026-02-18</v>
      </c>
      <c r="B528" s="14" t="s">
        <v>1922</v>
      </c>
      <c r="C528" s="14" t="s">
        <v>336</v>
      </c>
      <c r="D528" s="14" t="s">
        <v>337</v>
      </c>
      <c r="E528" s="14" t="s">
        <v>43</v>
      </c>
      <c r="F528" s="14" t="s">
        <v>48</v>
      </c>
      <c r="G528" s="14" t="s">
        <v>1923</v>
      </c>
      <c r="H528" s="14" t="s">
        <v>371</v>
      </c>
      <c r="I528" s="14" t="s">
        <v>37</v>
      </c>
      <c r="J528" s="14" t="s">
        <v>401</v>
      </c>
      <c r="K528" s="14" t="s">
        <v>349</v>
      </c>
      <c r="L528" s="14" t="s">
        <v>341</v>
      </c>
      <c r="M528" s="16" t="s">
        <v>1924</v>
      </c>
      <c r="N528" s="14"/>
      <c r="O528" s="14" t="s">
        <v>1925</v>
      </c>
      <c r="P528" s="14">
        <v>50</v>
      </c>
      <c r="Q528" s="14">
        <v>2</v>
      </c>
      <c r="R528" s="14">
        <v>5300</v>
      </c>
      <c r="S528" s="14" t="s">
        <v>1926</v>
      </c>
      <c r="T528" s="14" t="s">
        <v>1927</v>
      </c>
      <c r="U528" s="14">
        <v>3.2825000000000002</v>
      </c>
      <c r="V528" s="14">
        <v>3.37472222222222</v>
      </c>
      <c r="W528" s="14">
        <v>2352</v>
      </c>
      <c r="X528" s="14">
        <v>50</v>
      </c>
      <c r="Y528" s="14">
        <v>2302</v>
      </c>
      <c r="Z528" s="14">
        <v>1024</v>
      </c>
      <c r="AA528" s="14">
        <v>539</v>
      </c>
      <c r="AB528" s="14">
        <v>271</v>
      </c>
      <c r="AC528" s="14">
        <v>100</v>
      </c>
      <c r="AD528" s="14">
        <v>115</v>
      </c>
      <c r="AE528" s="14">
        <v>3376</v>
      </c>
      <c r="AF528" s="14">
        <v>5000</v>
      </c>
      <c r="AG528" s="14">
        <v>7433</v>
      </c>
      <c r="AH528" s="14">
        <v>0</v>
      </c>
      <c r="AI528" s="14">
        <v>174</v>
      </c>
      <c r="AJ528" s="14">
        <v>262</v>
      </c>
      <c r="AK528" s="14" t="s">
        <v>1923</v>
      </c>
      <c r="AL528" s="14" t="s">
        <v>1928</v>
      </c>
      <c r="AM528" s="14">
        <v>662.64</v>
      </c>
      <c r="AN528" s="14">
        <v>624.6</v>
      </c>
      <c r="AO528" s="14">
        <v>176.85</v>
      </c>
      <c r="AP528" s="14">
        <v>22176</v>
      </c>
      <c r="AQ528" s="14">
        <v>22126</v>
      </c>
      <c r="AR528" s="14">
        <v>23000</v>
      </c>
      <c r="AS528" s="14">
        <v>18800</v>
      </c>
      <c r="AT528" s="14">
        <v>19824</v>
      </c>
      <c r="AU528" s="14">
        <v>-37</v>
      </c>
      <c r="AV528" s="14">
        <v>284.52999999999997</v>
      </c>
      <c r="AW528" s="14">
        <v>39.76</v>
      </c>
      <c r="AX528" s="14">
        <v>-0.56999999999999995</v>
      </c>
      <c r="AY528" s="14" t="b">
        <v>0</v>
      </c>
    </row>
    <row r="529" spans="1:51" hidden="1" x14ac:dyDescent="0.3">
      <c r="A529" t="str">
        <f>CONCATENATE(I529,E529,LEFT(G529,10))</f>
        <v>HFA703LLHA2026-02-19</v>
      </c>
      <c r="B529" s="14" t="s">
        <v>3934</v>
      </c>
      <c r="C529" s="14" t="s">
        <v>336</v>
      </c>
      <c r="D529" s="14" t="s">
        <v>337</v>
      </c>
      <c r="E529" s="14" t="s">
        <v>43</v>
      </c>
      <c r="F529" s="14" t="s">
        <v>48</v>
      </c>
      <c r="G529" s="14" t="s">
        <v>3935</v>
      </c>
      <c r="H529" s="14" t="s">
        <v>393</v>
      </c>
      <c r="I529" s="14" t="s">
        <v>37</v>
      </c>
      <c r="J529" s="14" t="s">
        <v>401</v>
      </c>
      <c r="K529" s="14" t="s">
        <v>349</v>
      </c>
      <c r="L529" s="14" t="s">
        <v>341</v>
      </c>
      <c r="M529" s="16" t="s">
        <v>3936</v>
      </c>
      <c r="N529" s="14"/>
      <c r="O529" s="14" t="s">
        <v>3937</v>
      </c>
      <c r="P529" s="14">
        <v>50</v>
      </c>
      <c r="Q529" s="14">
        <v>2</v>
      </c>
      <c r="R529" s="14">
        <v>5800</v>
      </c>
      <c r="S529" s="14" t="s">
        <v>3938</v>
      </c>
      <c r="T529" s="14" t="s">
        <v>3939</v>
      </c>
      <c r="U529" s="14">
        <v>2.7111111111111099</v>
      </c>
      <c r="V529" s="14">
        <v>2.9</v>
      </c>
      <c r="W529" s="14">
        <v>2147</v>
      </c>
      <c r="X529" s="14">
        <v>50</v>
      </c>
      <c r="Y529" s="14">
        <v>2097</v>
      </c>
      <c r="Z529" s="14">
        <v>1080</v>
      </c>
      <c r="AA529" s="14">
        <v>601</v>
      </c>
      <c r="AB529" s="14">
        <v>274</v>
      </c>
      <c r="AC529" s="14">
        <v>100</v>
      </c>
      <c r="AD529" s="14">
        <v>105</v>
      </c>
      <c r="AE529" s="14">
        <v>3227</v>
      </c>
      <c r="AF529" s="14">
        <v>5000</v>
      </c>
      <c r="AG529" s="14">
        <v>6784</v>
      </c>
      <c r="AH529" s="14">
        <v>0</v>
      </c>
      <c r="AI529" s="14">
        <v>158</v>
      </c>
      <c r="AJ529" s="14">
        <v>251</v>
      </c>
      <c r="AK529" s="14" t="s">
        <v>3935</v>
      </c>
      <c r="AL529" s="14" t="s">
        <v>3940</v>
      </c>
      <c r="AM529" s="14">
        <v>651.22</v>
      </c>
      <c r="AN529" s="14">
        <v>624.6</v>
      </c>
      <c r="AO529" s="14">
        <v>176.85</v>
      </c>
      <c r="AP529" s="14">
        <v>22338</v>
      </c>
      <c r="AQ529" s="14">
        <v>22288</v>
      </c>
      <c r="AR529" s="14">
        <v>23000</v>
      </c>
      <c r="AS529" s="14">
        <v>19111</v>
      </c>
      <c r="AT529" s="14">
        <v>20191</v>
      </c>
      <c r="AU529" s="14">
        <v>-15</v>
      </c>
      <c r="AV529" s="14">
        <v>275.63</v>
      </c>
      <c r="AW529" s="14">
        <v>17.77</v>
      </c>
      <c r="AX529" s="14">
        <v>4.67</v>
      </c>
      <c r="AY529" s="14" t="b">
        <v>0</v>
      </c>
    </row>
    <row r="530" spans="1:51" hidden="1" x14ac:dyDescent="0.3">
      <c r="A530" t="str">
        <f>CONCATENATE(I530,E530,LEFT(G530,10))</f>
        <v>HFA703LLHA2026-02-21</v>
      </c>
      <c r="B530" s="14" t="s">
        <v>3881</v>
      </c>
      <c r="C530" s="14" t="s">
        <v>336</v>
      </c>
      <c r="D530" s="14" t="s">
        <v>337</v>
      </c>
      <c r="E530" s="14" t="s">
        <v>43</v>
      </c>
      <c r="F530" s="14" t="s">
        <v>48</v>
      </c>
      <c r="G530" s="14" t="s">
        <v>3882</v>
      </c>
      <c r="H530" s="14" t="s">
        <v>357</v>
      </c>
      <c r="I530" s="14" t="s">
        <v>37</v>
      </c>
      <c r="J530" s="14" t="s">
        <v>401</v>
      </c>
      <c r="K530" s="14" t="s">
        <v>349</v>
      </c>
      <c r="L530" s="14" t="s">
        <v>341</v>
      </c>
      <c r="M530" s="16" t="s">
        <v>3883</v>
      </c>
      <c r="N530" s="14" t="s">
        <v>359</v>
      </c>
      <c r="O530" s="14" t="s">
        <v>3884</v>
      </c>
      <c r="P530" s="14">
        <v>50</v>
      </c>
      <c r="Q530" s="14">
        <v>2</v>
      </c>
      <c r="R530" s="14">
        <v>5500</v>
      </c>
      <c r="S530" s="14" t="s">
        <v>3885</v>
      </c>
      <c r="T530" s="14" t="s">
        <v>3886</v>
      </c>
      <c r="U530" s="14">
        <v>2.87361111111111</v>
      </c>
      <c r="V530" s="14">
        <v>3.0125000000000002</v>
      </c>
      <c r="W530" s="14">
        <v>1842</v>
      </c>
      <c r="X530" s="14">
        <v>50</v>
      </c>
      <c r="Y530" s="14">
        <v>1792</v>
      </c>
      <c r="Z530" s="14">
        <v>1158</v>
      </c>
      <c r="AA530" s="14">
        <v>589</v>
      </c>
      <c r="AB530" s="14">
        <v>271</v>
      </c>
      <c r="AC530" s="14">
        <v>209</v>
      </c>
      <c r="AD530" s="14">
        <v>90</v>
      </c>
      <c r="AE530" s="14">
        <v>3000</v>
      </c>
      <c r="AF530" s="14">
        <v>5000</v>
      </c>
      <c r="AG530" s="14">
        <v>5820</v>
      </c>
      <c r="AH530" s="14">
        <v>0</v>
      </c>
      <c r="AI530" s="14">
        <v>153</v>
      </c>
      <c r="AJ530" s="14">
        <v>253</v>
      </c>
      <c r="AK530" s="14" t="s">
        <v>3882</v>
      </c>
      <c r="AL530" s="14" t="s">
        <v>3887</v>
      </c>
      <c r="AM530" s="14">
        <v>651.22</v>
      </c>
      <c r="AN530" s="14">
        <v>624.6</v>
      </c>
      <c r="AO530" s="14">
        <v>176.85</v>
      </c>
      <c r="AP530" s="14">
        <v>21725</v>
      </c>
      <c r="AQ530" s="14">
        <v>21675</v>
      </c>
      <c r="AR530" s="14">
        <v>23000</v>
      </c>
      <c r="AS530" s="14">
        <v>18725</v>
      </c>
      <c r="AT530" s="14">
        <v>19883</v>
      </c>
      <c r="AU530" s="14">
        <v>-7</v>
      </c>
      <c r="AV530" s="14">
        <v>221.25</v>
      </c>
      <c r="AW530" s="14">
        <v>27.6</v>
      </c>
      <c r="AX530" s="14">
        <v>0.34</v>
      </c>
      <c r="AY530" s="14" t="b">
        <v>0</v>
      </c>
    </row>
    <row r="531" spans="1:51" hidden="1" x14ac:dyDescent="0.3">
      <c r="A531" t="str">
        <f>CONCATENATE(I531,E531,LEFT(G531,10))</f>
        <v>HFA703LLHA2026-02-22</v>
      </c>
      <c r="B531" s="14" t="s">
        <v>1035</v>
      </c>
      <c r="C531" s="14" t="s">
        <v>336</v>
      </c>
      <c r="D531" s="14" t="s">
        <v>337</v>
      </c>
      <c r="E531" s="14" t="s">
        <v>43</v>
      </c>
      <c r="F531" s="14" t="s">
        <v>48</v>
      </c>
      <c r="G531" s="14" t="s">
        <v>1036</v>
      </c>
      <c r="H531" s="14" t="s">
        <v>393</v>
      </c>
      <c r="I531" s="14" t="s">
        <v>37</v>
      </c>
      <c r="J531" s="14" t="s">
        <v>751</v>
      </c>
      <c r="K531" s="14" t="s">
        <v>349</v>
      </c>
      <c r="L531" s="14" t="s">
        <v>341</v>
      </c>
      <c r="M531" s="16" t="s">
        <v>1037</v>
      </c>
      <c r="N531" s="14"/>
      <c r="O531" s="14" t="s">
        <v>1038</v>
      </c>
      <c r="P531" s="14">
        <v>50</v>
      </c>
      <c r="Q531" s="14">
        <v>2</v>
      </c>
      <c r="R531" s="14">
        <v>4000</v>
      </c>
      <c r="S531" s="14" t="s">
        <v>1039</v>
      </c>
      <c r="T531" s="14" t="s">
        <v>1040</v>
      </c>
      <c r="U531" s="14">
        <v>2.6583333333333301</v>
      </c>
      <c r="V531" s="14">
        <v>2.7647222222222201</v>
      </c>
      <c r="W531" s="14">
        <v>2134</v>
      </c>
      <c r="X531" s="14">
        <v>50</v>
      </c>
      <c r="Y531" s="14">
        <v>2084</v>
      </c>
      <c r="Z531" s="14">
        <v>874</v>
      </c>
      <c r="AA531" s="14">
        <v>413</v>
      </c>
      <c r="AB531" s="14">
        <v>256</v>
      </c>
      <c r="AC531" s="14">
        <v>100</v>
      </c>
      <c r="AD531" s="14">
        <v>104</v>
      </c>
      <c r="AE531" s="14">
        <v>3007</v>
      </c>
      <c r="AF531" s="14">
        <v>5000</v>
      </c>
      <c r="AG531" s="14">
        <v>6742</v>
      </c>
      <c r="AH531" s="14">
        <v>0</v>
      </c>
      <c r="AI531" s="14">
        <v>158</v>
      </c>
      <c r="AJ531" s="14">
        <v>234</v>
      </c>
      <c r="AK531" s="14" t="s">
        <v>1036</v>
      </c>
      <c r="AL531" s="14" t="s">
        <v>1041</v>
      </c>
      <c r="AM531" s="14">
        <v>662.64</v>
      </c>
      <c r="AN531" s="14">
        <v>624.6</v>
      </c>
      <c r="AO531" s="14">
        <v>103.63</v>
      </c>
      <c r="AP531" s="14">
        <v>20318</v>
      </c>
      <c r="AQ531" s="14">
        <v>20268</v>
      </c>
      <c r="AR531" s="14">
        <v>23000</v>
      </c>
      <c r="AS531" s="14">
        <v>17311</v>
      </c>
      <c r="AT531" s="14">
        <v>18185</v>
      </c>
      <c r="AU531" s="14">
        <v>-15</v>
      </c>
      <c r="AV531" s="14">
        <v>258.02999999999997</v>
      </c>
      <c r="AW531" s="14">
        <v>17.89</v>
      </c>
      <c r="AX531" s="14">
        <v>-2.06</v>
      </c>
      <c r="AY531" s="14" t="b">
        <v>0</v>
      </c>
    </row>
    <row r="532" spans="1:51" hidden="1" x14ac:dyDescent="0.3">
      <c r="A532" t="str">
        <f>CONCATENATE(I532,E532,LEFT(G532,10))</f>
        <v>HFA703LLHA2026-02-23</v>
      </c>
      <c r="B532" s="14" t="s">
        <v>3767</v>
      </c>
      <c r="C532" s="14" t="s">
        <v>336</v>
      </c>
      <c r="D532" s="14" t="s">
        <v>337</v>
      </c>
      <c r="E532" s="14" t="s">
        <v>43</v>
      </c>
      <c r="F532" s="14" t="s">
        <v>48</v>
      </c>
      <c r="G532" s="14" t="s">
        <v>3768</v>
      </c>
      <c r="H532" s="14" t="s">
        <v>339</v>
      </c>
      <c r="I532" s="14" t="s">
        <v>37</v>
      </c>
      <c r="J532" s="14" t="s">
        <v>751</v>
      </c>
      <c r="K532" s="14" t="s">
        <v>349</v>
      </c>
      <c r="L532" s="14" t="s">
        <v>341</v>
      </c>
      <c r="M532" s="16" t="s">
        <v>3769</v>
      </c>
      <c r="N532" s="14"/>
      <c r="O532" s="14" t="s">
        <v>1038</v>
      </c>
      <c r="P532" s="14">
        <v>50</v>
      </c>
      <c r="Q532" s="14">
        <v>2</v>
      </c>
      <c r="R532" s="14">
        <v>4600</v>
      </c>
      <c r="S532" s="14" t="s">
        <v>3770</v>
      </c>
      <c r="T532" s="14" t="s">
        <v>3771</v>
      </c>
      <c r="U532" s="14">
        <v>2.6197222222222201</v>
      </c>
      <c r="V532" s="14">
        <v>2.9866666666666601</v>
      </c>
      <c r="W532" s="14">
        <v>1918</v>
      </c>
      <c r="X532" s="14">
        <v>50</v>
      </c>
      <c r="Y532" s="14">
        <v>1868</v>
      </c>
      <c r="Z532" s="14">
        <v>955</v>
      </c>
      <c r="AA532" s="14">
        <v>399</v>
      </c>
      <c r="AB532" s="14">
        <v>262</v>
      </c>
      <c r="AC532" s="14">
        <v>200</v>
      </c>
      <c r="AD532" s="14">
        <v>93</v>
      </c>
      <c r="AE532" s="14">
        <v>2873</v>
      </c>
      <c r="AF532" s="14">
        <v>5000</v>
      </c>
      <c r="AG532" s="14">
        <v>6060</v>
      </c>
      <c r="AH532" s="14">
        <v>0</v>
      </c>
      <c r="AI532" s="14">
        <v>154</v>
      </c>
      <c r="AJ532" s="14">
        <v>239</v>
      </c>
      <c r="AK532" s="14" t="s">
        <v>3768</v>
      </c>
      <c r="AL532" s="14" t="s">
        <v>3772</v>
      </c>
      <c r="AM532" s="14">
        <v>662.64</v>
      </c>
      <c r="AN532" s="14">
        <v>624.6</v>
      </c>
      <c r="AO532" s="14">
        <v>103.63</v>
      </c>
      <c r="AP532" s="14">
        <v>20798</v>
      </c>
      <c r="AQ532" s="14">
        <v>20748</v>
      </c>
      <c r="AR532" s="14">
        <v>23000</v>
      </c>
      <c r="AS532" s="14">
        <v>17925</v>
      </c>
      <c r="AT532" s="14">
        <v>18880</v>
      </c>
      <c r="AU532" s="14">
        <v>-9</v>
      </c>
      <c r="AV532" s="14">
        <v>347.68</v>
      </c>
      <c r="AW532" s="14">
        <v>13.67</v>
      </c>
      <c r="AX532" s="14">
        <v>-2.0299999999999998</v>
      </c>
      <c r="AY532" s="14" t="b">
        <v>0</v>
      </c>
    </row>
    <row r="533" spans="1:51" hidden="1" x14ac:dyDescent="0.3">
      <c r="A533" t="str">
        <f>CONCATENATE(I533,E533,LEFT(G533,10))</f>
        <v>HFA703LLHA2026-02-24</v>
      </c>
      <c r="B533" s="14" t="s">
        <v>3700</v>
      </c>
      <c r="C533" s="14" t="s">
        <v>336</v>
      </c>
      <c r="D533" s="14" t="s">
        <v>337</v>
      </c>
      <c r="E533" s="14" t="s">
        <v>43</v>
      </c>
      <c r="F533" s="14" t="s">
        <v>48</v>
      </c>
      <c r="G533" s="14" t="s">
        <v>3701</v>
      </c>
      <c r="H533" s="14" t="s">
        <v>357</v>
      </c>
      <c r="I533" s="14" t="s">
        <v>37</v>
      </c>
      <c r="J533" s="14" t="s">
        <v>401</v>
      </c>
      <c r="K533" s="14" t="s">
        <v>349</v>
      </c>
      <c r="L533" s="14" t="s">
        <v>341</v>
      </c>
      <c r="M533" s="16" t="s">
        <v>3702</v>
      </c>
      <c r="N533" s="14" t="s">
        <v>359</v>
      </c>
      <c r="O533" s="14" t="s">
        <v>966</v>
      </c>
      <c r="P533" s="14">
        <v>50</v>
      </c>
      <c r="Q533" s="14">
        <v>2</v>
      </c>
      <c r="R533" s="14">
        <v>5300</v>
      </c>
      <c r="S533" s="14" t="s">
        <v>3703</v>
      </c>
      <c r="T533" s="14" t="s">
        <v>3704</v>
      </c>
      <c r="U533" s="14">
        <v>2.8163888888888802</v>
      </c>
      <c r="V533" s="14">
        <v>3.0919444444444402</v>
      </c>
      <c r="W533" s="14">
        <v>1990</v>
      </c>
      <c r="X533" s="14">
        <v>50</v>
      </c>
      <c r="Y533" s="14">
        <v>1940</v>
      </c>
      <c r="Z533" s="14">
        <v>1016</v>
      </c>
      <c r="AA533" s="14">
        <v>551</v>
      </c>
      <c r="AB533" s="14">
        <v>268</v>
      </c>
      <c r="AC533" s="14">
        <v>100</v>
      </c>
      <c r="AD533" s="14">
        <v>97</v>
      </c>
      <c r="AE533" s="14">
        <v>3007</v>
      </c>
      <c r="AF533" s="14">
        <v>5000</v>
      </c>
      <c r="AG533" s="14">
        <v>6290</v>
      </c>
      <c r="AH533" s="14">
        <v>0</v>
      </c>
      <c r="AI533" s="14">
        <v>167</v>
      </c>
      <c r="AJ533" s="14">
        <v>259</v>
      </c>
      <c r="AK533" s="14" t="s">
        <v>3701</v>
      </c>
      <c r="AL533" s="14" t="s">
        <v>3705</v>
      </c>
      <c r="AM533" s="14">
        <v>662.64</v>
      </c>
      <c r="AN533" s="14">
        <v>624.6</v>
      </c>
      <c r="AO533" s="14">
        <v>176.85</v>
      </c>
      <c r="AP533" s="14">
        <v>21532</v>
      </c>
      <c r="AQ533" s="14">
        <v>21482</v>
      </c>
      <c r="AR533" s="14">
        <v>23000</v>
      </c>
      <c r="AS533" s="14">
        <v>18525</v>
      </c>
      <c r="AT533" s="14">
        <v>19541</v>
      </c>
      <c r="AU533" s="14">
        <v>-26</v>
      </c>
      <c r="AV533" s="14">
        <v>300.07</v>
      </c>
      <c r="AW533" s="14">
        <v>28.62</v>
      </c>
      <c r="AX533" s="14">
        <v>2.34</v>
      </c>
      <c r="AY533" s="14" t="b">
        <v>0</v>
      </c>
    </row>
    <row r="534" spans="1:51" hidden="1" x14ac:dyDescent="0.3">
      <c r="A534" t="str">
        <f>CONCATENATE(I534,E534,LEFT(G534,10))</f>
        <v>HFA703LLHA2026-02-25</v>
      </c>
      <c r="B534" s="14" t="s">
        <v>3603</v>
      </c>
      <c r="C534" s="14" t="s">
        <v>336</v>
      </c>
      <c r="D534" s="14" t="s">
        <v>337</v>
      </c>
      <c r="E534" s="14" t="s">
        <v>43</v>
      </c>
      <c r="F534" s="14" t="s">
        <v>48</v>
      </c>
      <c r="G534" s="14" t="s">
        <v>3604</v>
      </c>
      <c r="H534" s="14" t="s">
        <v>393</v>
      </c>
      <c r="I534" s="14" t="s">
        <v>37</v>
      </c>
      <c r="J534" s="14" t="s">
        <v>401</v>
      </c>
      <c r="K534" s="14" t="s">
        <v>349</v>
      </c>
      <c r="L534" s="14" t="s">
        <v>341</v>
      </c>
      <c r="M534" s="16" t="s">
        <v>3605</v>
      </c>
      <c r="N534" s="14"/>
      <c r="O534" s="14" t="s">
        <v>2016</v>
      </c>
      <c r="P534" s="14">
        <v>50</v>
      </c>
      <c r="Q534" s="14">
        <v>2</v>
      </c>
      <c r="R534" s="14">
        <v>3700</v>
      </c>
      <c r="S534" s="14" t="s">
        <v>3606</v>
      </c>
      <c r="T534" s="14" t="s">
        <v>3607</v>
      </c>
      <c r="U534" s="14">
        <v>3.0466666666666602</v>
      </c>
      <c r="V534" s="14">
        <v>3.1524999999999999</v>
      </c>
      <c r="W534" s="14">
        <v>2360</v>
      </c>
      <c r="X534" s="14">
        <v>50</v>
      </c>
      <c r="Y534" s="14">
        <v>2310</v>
      </c>
      <c r="Z534" s="14">
        <v>1003</v>
      </c>
      <c r="AA534" s="14">
        <v>532</v>
      </c>
      <c r="AB534" s="14">
        <v>255</v>
      </c>
      <c r="AC534" s="14">
        <v>100</v>
      </c>
      <c r="AD534" s="14">
        <v>116</v>
      </c>
      <c r="AE534" s="14">
        <v>3363</v>
      </c>
      <c r="AF534" s="14">
        <v>5000</v>
      </c>
      <c r="AG534" s="14">
        <v>7459</v>
      </c>
      <c r="AH534" s="14">
        <v>0</v>
      </c>
      <c r="AI534" s="14">
        <v>171</v>
      </c>
      <c r="AJ534" s="14">
        <v>261</v>
      </c>
      <c r="AK534" s="14" t="s">
        <v>3604</v>
      </c>
      <c r="AL534" s="14" t="s">
        <v>3608</v>
      </c>
      <c r="AM534" s="14">
        <v>662.64</v>
      </c>
      <c r="AN534" s="14">
        <v>624.6</v>
      </c>
      <c r="AO534" s="14">
        <v>176.85</v>
      </c>
      <c r="AP534" s="14">
        <v>20374</v>
      </c>
      <c r="AQ534" s="14">
        <v>20324</v>
      </c>
      <c r="AR534" s="14">
        <v>23000</v>
      </c>
      <c r="AS534" s="14">
        <v>17011</v>
      </c>
      <c r="AT534" s="14">
        <v>18014</v>
      </c>
      <c r="AU534" s="14">
        <v>-35</v>
      </c>
      <c r="AV534" s="14">
        <v>297.22000000000003</v>
      </c>
      <c r="AW534" s="14">
        <v>38.33</v>
      </c>
      <c r="AX534" s="14">
        <v>1.31</v>
      </c>
      <c r="AY534" s="14" t="b">
        <v>0</v>
      </c>
    </row>
    <row r="535" spans="1:51" hidden="1" x14ac:dyDescent="0.3">
      <c r="A535" t="str">
        <f>CONCATENATE(I535,E535,LEFT(G535,10))</f>
        <v>HFA703LLHA2026-02-26</v>
      </c>
      <c r="B535" s="14" t="s">
        <v>3492</v>
      </c>
      <c r="C535" s="14" t="s">
        <v>336</v>
      </c>
      <c r="D535" s="14" t="s">
        <v>337</v>
      </c>
      <c r="E535" s="14" t="s">
        <v>43</v>
      </c>
      <c r="F535" s="14" t="s">
        <v>48</v>
      </c>
      <c r="G535" s="14" t="s">
        <v>3493</v>
      </c>
      <c r="H535" s="14" t="s">
        <v>357</v>
      </c>
      <c r="I535" s="14" t="s">
        <v>37</v>
      </c>
      <c r="J535" s="14" t="s">
        <v>401</v>
      </c>
      <c r="K535" s="14" t="s">
        <v>349</v>
      </c>
      <c r="L535" s="14" t="s">
        <v>341</v>
      </c>
      <c r="M535" s="16" t="s">
        <v>3494</v>
      </c>
      <c r="N535" s="14" t="s">
        <v>359</v>
      </c>
      <c r="O535" s="14" t="s">
        <v>3495</v>
      </c>
      <c r="P535" s="14">
        <v>50</v>
      </c>
      <c r="Q535" s="14">
        <v>2</v>
      </c>
      <c r="R535" s="14">
        <v>4100</v>
      </c>
      <c r="S535" s="14" t="s">
        <v>3496</v>
      </c>
      <c r="T535" s="14" t="s">
        <v>3497</v>
      </c>
      <c r="U535" s="14">
        <v>2.9877777777777701</v>
      </c>
      <c r="V535" s="14">
        <v>3.1780555555555501</v>
      </c>
      <c r="W535" s="14">
        <v>2275</v>
      </c>
      <c r="X535" s="14">
        <v>50</v>
      </c>
      <c r="Y535" s="14">
        <v>2225</v>
      </c>
      <c r="Z535" s="14">
        <v>998</v>
      </c>
      <c r="AA535" s="14">
        <v>529</v>
      </c>
      <c r="AB535" s="14">
        <v>258</v>
      </c>
      <c r="AC535" s="14">
        <v>100</v>
      </c>
      <c r="AD535" s="14">
        <v>111</v>
      </c>
      <c r="AE535" s="14">
        <v>3273</v>
      </c>
      <c r="AF535" s="14">
        <v>5000</v>
      </c>
      <c r="AG535" s="14">
        <v>7188</v>
      </c>
      <c r="AH535" s="14">
        <v>0</v>
      </c>
      <c r="AI535" s="14">
        <v>167</v>
      </c>
      <c r="AJ535" s="14">
        <v>258</v>
      </c>
      <c r="AK535" s="14" t="s">
        <v>3493</v>
      </c>
      <c r="AL535" s="14" t="s">
        <v>3498</v>
      </c>
      <c r="AM535" s="14">
        <v>662.64</v>
      </c>
      <c r="AN535" s="14">
        <v>624.6</v>
      </c>
      <c r="AO535" s="14">
        <v>176.85</v>
      </c>
      <c r="AP535" s="14">
        <v>20598</v>
      </c>
      <c r="AQ535" s="14">
        <v>20548</v>
      </c>
      <c r="AR535" s="14">
        <v>23000</v>
      </c>
      <c r="AS535" s="14">
        <v>17325</v>
      </c>
      <c r="AT535" s="14">
        <v>18323</v>
      </c>
      <c r="AU535" s="14">
        <v>-29</v>
      </c>
      <c r="AV535" s="14">
        <v>330.35</v>
      </c>
      <c r="AW535" s="14">
        <v>31.99</v>
      </c>
      <c r="AX535" s="14">
        <v>-2.82</v>
      </c>
      <c r="AY535" s="14" t="b">
        <v>0</v>
      </c>
    </row>
    <row r="536" spans="1:51" hidden="1" x14ac:dyDescent="0.3">
      <c r="A536" t="str">
        <f>CONCATENATE(I536,E536,LEFT(G536,10))</f>
        <v>HFA703LLHA2026-03-22</v>
      </c>
      <c r="B536" s="14" t="s">
        <v>5308</v>
      </c>
      <c r="C536" s="14" t="s">
        <v>336</v>
      </c>
      <c r="D536" s="14" t="s">
        <v>688</v>
      </c>
      <c r="E536" s="14" t="s">
        <v>43</v>
      </c>
      <c r="F536" s="14" t="s">
        <v>48</v>
      </c>
      <c r="G536" s="14" t="s">
        <v>5309</v>
      </c>
      <c r="H536" s="14" t="s">
        <v>357</v>
      </c>
      <c r="I536" s="14" t="s">
        <v>37</v>
      </c>
      <c r="J536" s="14" t="s">
        <v>401</v>
      </c>
      <c r="K536" s="14" t="s">
        <v>349</v>
      </c>
      <c r="L536" s="14" t="s">
        <v>542</v>
      </c>
      <c r="M536" s="16" t="s">
        <v>5310</v>
      </c>
      <c r="N536" s="14" t="s">
        <v>359</v>
      </c>
      <c r="O536" s="14" t="s">
        <v>5311</v>
      </c>
      <c r="P536" s="14">
        <v>50</v>
      </c>
      <c r="Q536" s="14">
        <v>1</v>
      </c>
      <c r="R536" s="14">
        <v>6000</v>
      </c>
      <c r="S536" s="14"/>
      <c r="T536" s="14"/>
      <c r="U536" s="14"/>
      <c r="V536" s="14"/>
      <c r="W536" s="14">
        <v>1878</v>
      </c>
      <c r="X536" s="14">
        <v>50</v>
      </c>
      <c r="Y536" s="14">
        <v>1828</v>
      </c>
      <c r="Z536" s="14">
        <v>1047</v>
      </c>
      <c r="AA536" s="14">
        <v>581</v>
      </c>
      <c r="AB536" s="14">
        <v>275</v>
      </c>
      <c r="AC536" s="14">
        <v>100</v>
      </c>
      <c r="AD536" s="14">
        <v>91</v>
      </c>
      <c r="AE536" s="14">
        <v>2926</v>
      </c>
      <c r="AF536" s="14">
        <v>5000</v>
      </c>
      <c r="AG536" s="14">
        <v>5936</v>
      </c>
      <c r="AH536" s="14">
        <v>0</v>
      </c>
      <c r="AI536" s="14">
        <v>161</v>
      </c>
      <c r="AJ536" s="14">
        <v>253</v>
      </c>
      <c r="AK536" s="14" t="s">
        <v>5309</v>
      </c>
      <c r="AL536" s="14" t="s">
        <v>5312</v>
      </c>
      <c r="AM536" s="14">
        <v>662.64</v>
      </c>
      <c r="AN536" s="14">
        <v>624.6</v>
      </c>
      <c r="AO536" s="14">
        <v>176.85</v>
      </c>
      <c r="AP536" s="14">
        <v>22151</v>
      </c>
      <c r="AQ536" s="14">
        <v>22101</v>
      </c>
      <c r="AR536" s="14">
        <v>23000</v>
      </c>
      <c r="AS536" s="14">
        <v>19225</v>
      </c>
      <c r="AT536" s="14">
        <v>20272</v>
      </c>
      <c r="AU536" s="14">
        <v>-14</v>
      </c>
      <c r="AV536" s="14">
        <v>288.13</v>
      </c>
      <c r="AW536" s="14">
        <v>14.24</v>
      </c>
      <c r="AX536" s="14">
        <v>-1.54</v>
      </c>
      <c r="AY536" s="14" t="b">
        <v>0</v>
      </c>
    </row>
    <row r="537" spans="1:51" hidden="1" x14ac:dyDescent="0.3">
      <c r="A537" t="str">
        <f>CONCATENATE(I537,E537,LEFT(G537,10))</f>
        <v>HFA704LGAV2026-01-01</v>
      </c>
      <c r="B537" s="14" t="s">
        <v>4468</v>
      </c>
      <c r="C537" s="14" t="s">
        <v>336</v>
      </c>
      <c r="D537" s="14" t="s">
        <v>337</v>
      </c>
      <c r="E537" s="14" t="s">
        <v>48</v>
      </c>
      <c r="F537" s="14" t="s">
        <v>43</v>
      </c>
      <c r="G537" s="14" t="s">
        <v>4469</v>
      </c>
      <c r="H537" s="14" t="s">
        <v>357</v>
      </c>
      <c r="I537" s="14" t="s">
        <v>52</v>
      </c>
      <c r="J537" s="14" t="s">
        <v>83</v>
      </c>
      <c r="K537" s="14" t="s">
        <v>340</v>
      </c>
      <c r="L537" s="14" t="s">
        <v>341</v>
      </c>
      <c r="M537" s="16" t="s">
        <v>4470</v>
      </c>
      <c r="N537" s="14" t="s">
        <v>359</v>
      </c>
      <c r="O537" s="14" t="s">
        <v>4471</v>
      </c>
      <c r="P537" s="14">
        <v>190</v>
      </c>
      <c r="Q537" s="14">
        <v>2</v>
      </c>
      <c r="R537" s="14">
        <v>6050</v>
      </c>
      <c r="S537" s="14" t="s">
        <v>4472</v>
      </c>
      <c r="T537" s="14" t="s">
        <v>4473</v>
      </c>
      <c r="U537" s="14">
        <v>2.3561111111111099</v>
      </c>
      <c r="V537" s="14">
        <v>2.65916666666666</v>
      </c>
      <c r="W537" s="14">
        <v>1637</v>
      </c>
      <c r="X537" s="14">
        <v>80</v>
      </c>
      <c r="Y537" s="14">
        <v>1557</v>
      </c>
      <c r="Z537" s="14">
        <v>1463</v>
      </c>
      <c r="AA537" s="14">
        <v>262</v>
      </c>
      <c r="AB537" s="14">
        <v>280</v>
      </c>
      <c r="AC537" s="14">
        <v>844</v>
      </c>
      <c r="AD537" s="14">
        <v>78</v>
      </c>
      <c r="AE537" s="14">
        <v>3100</v>
      </c>
      <c r="AF537" s="14">
        <v>5000</v>
      </c>
      <c r="AG537" s="14">
        <v>5172</v>
      </c>
      <c r="AH537" s="14">
        <v>0</v>
      </c>
      <c r="AI537" s="14">
        <v>136</v>
      </c>
      <c r="AJ537" s="14">
        <v>270</v>
      </c>
      <c r="AK537" s="14" t="s">
        <v>4469</v>
      </c>
      <c r="AL537" s="14" t="s">
        <v>4474</v>
      </c>
      <c r="AM537" s="14">
        <v>656.69</v>
      </c>
      <c r="AN537" s="14">
        <v>624.6</v>
      </c>
      <c r="AO537" s="14">
        <v>54.99</v>
      </c>
      <c r="AP537" s="14">
        <v>22375</v>
      </c>
      <c r="AQ537" s="14">
        <v>22295</v>
      </c>
      <c r="AR537" s="14">
        <v>23000</v>
      </c>
      <c r="AS537" s="14">
        <v>19275</v>
      </c>
      <c r="AT537" s="14">
        <v>20738</v>
      </c>
      <c r="AU537" s="14">
        <v>29</v>
      </c>
      <c r="AV537" s="14">
        <v>295.45999999999998</v>
      </c>
      <c r="AW537" s="14">
        <v>32.78</v>
      </c>
      <c r="AX537" s="14">
        <v>-3.08</v>
      </c>
      <c r="AY537" s="14" t="b">
        <v>0</v>
      </c>
    </row>
    <row r="538" spans="1:51" hidden="1" x14ac:dyDescent="0.3">
      <c r="A538" t="str">
        <f>CONCATENATE(I538,E538,LEFT(G538,10))</f>
        <v>HFA704LGAV2026-01-03</v>
      </c>
      <c r="B538" s="14" t="s">
        <v>4965</v>
      </c>
      <c r="C538" s="14" t="s">
        <v>336</v>
      </c>
      <c r="D538" s="14" t="s">
        <v>337</v>
      </c>
      <c r="E538" s="14" t="s">
        <v>48</v>
      </c>
      <c r="F538" s="14" t="s">
        <v>43</v>
      </c>
      <c r="G538" s="14" t="s">
        <v>4966</v>
      </c>
      <c r="H538" s="14" t="s">
        <v>357</v>
      </c>
      <c r="I538" s="14" t="s">
        <v>52</v>
      </c>
      <c r="J538" s="14" t="s">
        <v>83</v>
      </c>
      <c r="K538" s="14" t="s">
        <v>340</v>
      </c>
      <c r="L538" s="14" t="s">
        <v>341</v>
      </c>
      <c r="M538" s="16" t="s">
        <v>1688</v>
      </c>
      <c r="N538" s="14" t="s">
        <v>359</v>
      </c>
      <c r="O538" s="14" t="s">
        <v>4967</v>
      </c>
      <c r="P538" s="14">
        <v>170</v>
      </c>
      <c r="Q538" s="14">
        <v>2</v>
      </c>
      <c r="R538" s="14">
        <v>6100</v>
      </c>
      <c r="S538" s="14" t="s">
        <v>4968</v>
      </c>
      <c r="T538" s="14" t="s">
        <v>4969</v>
      </c>
      <c r="U538" s="14">
        <v>2.3447222222222202</v>
      </c>
      <c r="V538" s="14">
        <v>2.5422222222222199</v>
      </c>
      <c r="W538" s="14">
        <v>1672</v>
      </c>
      <c r="X538" s="14">
        <v>80</v>
      </c>
      <c r="Y538" s="14">
        <v>1592</v>
      </c>
      <c r="Z538" s="14">
        <v>1428</v>
      </c>
      <c r="AA538" s="14">
        <v>257</v>
      </c>
      <c r="AB538" s="14">
        <v>280</v>
      </c>
      <c r="AC538" s="14">
        <v>812</v>
      </c>
      <c r="AD538" s="14">
        <v>80</v>
      </c>
      <c r="AE538" s="14">
        <v>3100</v>
      </c>
      <c r="AF538" s="14">
        <v>5000</v>
      </c>
      <c r="AG538" s="14">
        <v>5283</v>
      </c>
      <c r="AH538" s="14">
        <v>0</v>
      </c>
      <c r="AI538" s="14">
        <v>140</v>
      </c>
      <c r="AJ538" s="14">
        <v>269</v>
      </c>
      <c r="AK538" s="14" t="s">
        <v>4966</v>
      </c>
      <c r="AL538" s="14" t="s">
        <v>4970</v>
      </c>
      <c r="AM538" s="14">
        <v>645.69000000000005</v>
      </c>
      <c r="AN538" s="14">
        <v>624.6</v>
      </c>
      <c r="AO538" s="14">
        <v>54.99</v>
      </c>
      <c r="AP538" s="14">
        <v>22425</v>
      </c>
      <c r="AQ538" s="14">
        <v>22345</v>
      </c>
      <c r="AR538" s="14">
        <v>23000</v>
      </c>
      <c r="AS538" s="14">
        <v>19325</v>
      </c>
      <c r="AT538" s="14">
        <v>20753</v>
      </c>
      <c r="AU538" s="14">
        <v>20</v>
      </c>
      <c r="AV538" s="14">
        <v>275.14</v>
      </c>
      <c r="AW538" s="14">
        <v>27.06</v>
      </c>
      <c r="AX538" s="14">
        <v>4.55</v>
      </c>
      <c r="AY538" s="14" t="b">
        <v>0</v>
      </c>
    </row>
    <row r="539" spans="1:51" hidden="1" x14ac:dyDescent="0.3">
      <c r="A539" t="str">
        <f>CONCATENATE(I539,E539,LEFT(G539,10))</f>
        <v>HFA704LGAV2026-01-04</v>
      </c>
      <c r="B539" s="14" t="s">
        <v>5320</v>
      </c>
      <c r="C539" s="14" t="s">
        <v>336</v>
      </c>
      <c r="D539" s="14" t="s">
        <v>337</v>
      </c>
      <c r="E539" s="14" t="s">
        <v>48</v>
      </c>
      <c r="F539" s="14" t="s">
        <v>43</v>
      </c>
      <c r="G539" s="14" t="s">
        <v>5321</v>
      </c>
      <c r="H539" s="14" t="s">
        <v>436</v>
      </c>
      <c r="I539" s="14" t="s">
        <v>52</v>
      </c>
      <c r="J539" s="14" t="s">
        <v>83</v>
      </c>
      <c r="K539" s="14" t="s">
        <v>340</v>
      </c>
      <c r="L539" s="14" t="s">
        <v>341</v>
      </c>
      <c r="M539" s="16" t="s">
        <v>5322</v>
      </c>
      <c r="N539" s="14" t="s">
        <v>359</v>
      </c>
      <c r="O539" s="14" t="s">
        <v>5323</v>
      </c>
      <c r="P539" s="14">
        <v>150</v>
      </c>
      <c r="Q539" s="14">
        <v>2</v>
      </c>
      <c r="R539" s="14">
        <v>0</v>
      </c>
      <c r="S539" s="14" t="s">
        <v>5324</v>
      </c>
      <c r="T539" s="14" t="s">
        <v>5325</v>
      </c>
      <c r="U539" s="14">
        <v>2.4775</v>
      </c>
      <c r="V539" s="14">
        <v>2.6722222222222198</v>
      </c>
      <c r="W539" s="14">
        <v>1814</v>
      </c>
      <c r="X539" s="14">
        <v>80</v>
      </c>
      <c r="Y539" s="14">
        <v>1734</v>
      </c>
      <c r="Z539" s="14">
        <v>1286</v>
      </c>
      <c r="AA539" s="14">
        <v>268</v>
      </c>
      <c r="AB539" s="14">
        <v>283</v>
      </c>
      <c r="AC539" s="14">
        <v>648</v>
      </c>
      <c r="AD539" s="14">
        <v>87</v>
      </c>
      <c r="AE539" s="14">
        <v>3100</v>
      </c>
      <c r="AF539" s="14">
        <v>5000</v>
      </c>
      <c r="AG539" s="14">
        <v>5732</v>
      </c>
      <c r="AH539" s="14">
        <v>0</v>
      </c>
      <c r="AI539" s="14">
        <v>147</v>
      </c>
      <c r="AJ539" s="14">
        <v>264</v>
      </c>
      <c r="AK539" s="14" t="s">
        <v>5321</v>
      </c>
      <c r="AL539" s="14" t="s">
        <v>5326</v>
      </c>
      <c r="AM539" s="14">
        <v>645.69000000000005</v>
      </c>
      <c r="AN539" s="14">
        <v>624.6</v>
      </c>
      <c r="AO539" s="14">
        <v>54.99</v>
      </c>
      <c r="AP539" s="14">
        <v>22873</v>
      </c>
      <c r="AQ539" s="14">
        <v>22793</v>
      </c>
      <c r="AR539" s="14">
        <v>23000</v>
      </c>
      <c r="AS539" s="14">
        <v>19773</v>
      </c>
      <c r="AT539" s="14">
        <v>21059</v>
      </c>
      <c r="AU539" s="14">
        <v>5</v>
      </c>
      <c r="AV539" s="14">
        <v>237.53</v>
      </c>
      <c r="AW539" s="14">
        <v>18.11</v>
      </c>
      <c r="AX539" s="14">
        <v>4.75</v>
      </c>
      <c r="AY539" s="14" t="b">
        <v>0</v>
      </c>
    </row>
    <row r="540" spans="1:51" hidden="1" x14ac:dyDescent="0.3">
      <c r="A540" t="str">
        <f>CONCATENATE(I540,E540,LEFT(G540,10))</f>
        <v>HFA704LGAV2026-01-05</v>
      </c>
      <c r="B540" s="14" t="s">
        <v>1667</v>
      </c>
      <c r="C540" s="14" t="s">
        <v>336</v>
      </c>
      <c r="D540" s="14" t="s">
        <v>337</v>
      </c>
      <c r="E540" s="14" t="s">
        <v>48</v>
      </c>
      <c r="F540" s="14" t="s">
        <v>43</v>
      </c>
      <c r="G540" s="14" t="s">
        <v>1668</v>
      </c>
      <c r="H540" s="14" t="s">
        <v>357</v>
      </c>
      <c r="I540" s="14" t="s">
        <v>52</v>
      </c>
      <c r="J540" s="14" t="s">
        <v>83</v>
      </c>
      <c r="K540" s="14" t="s">
        <v>340</v>
      </c>
      <c r="L540" s="14" t="s">
        <v>341</v>
      </c>
      <c r="M540" s="16" t="s">
        <v>1352</v>
      </c>
      <c r="N540" s="14" t="s">
        <v>359</v>
      </c>
      <c r="O540" s="14" t="s">
        <v>1669</v>
      </c>
      <c r="P540" s="14">
        <v>190</v>
      </c>
      <c r="Q540" s="14">
        <v>2</v>
      </c>
      <c r="R540" s="14">
        <v>5800</v>
      </c>
      <c r="S540" s="14" t="s">
        <v>1670</v>
      </c>
      <c r="T540" s="14" t="s">
        <v>1671</v>
      </c>
      <c r="U540" s="14">
        <v>2.4722222222222201</v>
      </c>
      <c r="V540" s="14">
        <v>2.8105555555555499</v>
      </c>
      <c r="W540" s="14">
        <v>1655</v>
      </c>
      <c r="X540" s="14">
        <v>80</v>
      </c>
      <c r="Y540" s="14">
        <v>1575</v>
      </c>
      <c r="Z540" s="14">
        <v>1745</v>
      </c>
      <c r="AA540" s="14">
        <v>259</v>
      </c>
      <c r="AB540" s="14">
        <v>280</v>
      </c>
      <c r="AC540" s="14">
        <v>1127</v>
      </c>
      <c r="AD540" s="14">
        <v>79</v>
      </c>
      <c r="AE540" s="14">
        <v>3400</v>
      </c>
      <c r="AF540" s="14">
        <v>5000</v>
      </c>
      <c r="AG540" s="14">
        <v>5229</v>
      </c>
      <c r="AH540" s="14">
        <v>0</v>
      </c>
      <c r="AI540" s="14">
        <v>144</v>
      </c>
      <c r="AJ540" s="14">
        <v>311</v>
      </c>
      <c r="AK540" s="14" t="s">
        <v>1668</v>
      </c>
      <c r="AL540" s="14" t="s">
        <v>1672</v>
      </c>
      <c r="AM540" s="14">
        <v>645.69000000000005</v>
      </c>
      <c r="AN540" s="14">
        <v>624.6</v>
      </c>
      <c r="AO540" s="14">
        <v>54.99</v>
      </c>
      <c r="AP540" s="14">
        <v>22425</v>
      </c>
      <c r="AQ540" s="14">
        <v>22345</v>
      </c>
      <c r="AR540" s="14">
        <v>23000</v>
      </c>
      <c r="AS540" s="14">
        <v>19025</v>
      </c>
      <c r="AT540" s="14">
        <v>20770</v>
      </c>
      <c r="AU540" s="14">
        <v>14</v>
      </c>
      <c r="AV540" s="14">
        <v>241.59</v>
      </c>
      <c r="AW540" s="14">
        <v>34.9</v>
      </c>
      <c r="AX540" s="14">
        <v>4.8</v>
      </c>
      <c r="AY540" s="14" t="b">
        <v>0</v>
      </c>
    </row>
    <row r="541" spans="1:51" hidden="1" x14ac:dyDescent="0.3">
      <c r="A541" t="str">
        <f>CONCATENATE(I541,E541,LEFT(G541,10))</f>
        <v>HFA704LGAV2026-01-06</v>
      </c>
      <c r="B541" s="14" t="s">
        <v>4823</v>
      </c>
      <c r="C541" s="14" t="s">
        <v>336</v>
      </c>
      <c r="D541" s="14" t="s">
        <v>337</v>
      </c>
      <c r="E541" s="14" t="s">
        <v>48</v>
      </c>
      <c r="F541" s="14" t="s">
        <v>43</v>
      </c>
      <c r="G541" s="14" t="s">
        <v>4824</v>
      </c>
      <c r="H541" s="14" t="s">
        <v>357</v>
      </c>
      <c r="I541" s="14" t="s">
        <v>52</v>
      </c>
      <c r="J541" s="14" t="s">
        <v>83</v>
      </c>
      <c r="K541" s="14" t="s">
        <v>340</v>
      </c>
      <c r="L541" s="14" t="s">
        <v>341</v>
      </c>
      <c r="M541" s="16" t="s">
        <v>1688</v>
      </c>
      <c r="N541" s="14" t="s">
        <v>359</v>
      </c>
      <c r="O541" s="14" t="s">
        <v>4825</v>
      </c>
      <c r="P541" s="14">
        <v>150</v>
      </c>
      <c r="Q541" s="14">
        <v>2</v>
      </c>
      <c r="R541" s="14">
        <v>6300</v>
      </c>
      <c r="S541" s="14" t="s">
        <v>4826</v>
      </c>
      <c r="T541" s="14" t="s">
        <v>4827</v>
      </c>
      <c r="U541" s="14">
        <v>2.2438888888888799</v>
      </c>
      <c r="V541" s="14">
        <v>2.55416666666666</v>
      </c>
      <c r="W541" s="14">
        <v>1681</v>
      </c>
      <c r="X541" s="14">
        <v>80</v>
      </c>
      <c r="Y541" s="14">
        <v>1601</v>
      </c>
      <c r="Z541" s="14">
        <v>1519</v>
      </c>
      <c r="AA541" s="14">
        <v>259</v>
      </c>
      <c r="AB541" s="14">
        <v>282</v>
      </c>
      <c r="AC541" s="14">
        <v>898</v>
      </c>
      <c r="AD541" s="14">
        <v>80</v>
      </c>
      <c r="AE541" s="14">
        <v>3200</v>
      </c>
      <c r="AF541" s="14">
        <v>5000</v>
      </c>
      <c r="AG541" s="14">
        <v>5312</v>
      </c>
      <c r="AH541" s="14">
        <v>0</v>
      </c>
      <c r="AI541" s="14">
        <v>138</v>
      </c>
      <c r="AJ541" s="14">
        <v>283</v>
      </c>
      <c r="AK541" s="14" t="s">
        <v>4824</v>
      </c>
      <c r="AL541" s="14" t="s">
        <v>4828</v>
      </c>
      <c r="AM541" s="14">
        <v>648.15</v>
      </c>
      <c r="AN541" s="14">
        <v>624.6</v>
      </c>
      <c r="AO541" s="14">
        <v>54.99</v>
      </c>
      <c r="AP541" s="14">
        <v>22725</v>
      </c>
      <c r="AQ541" s="14">
        <v>22645</v>
      </c>
      <c r="AR541" s="14">
        <v>23000</v>
      </c>
      <c r="AS541" s="14">
        <v>19525</v>
      </c>
      <c r="AT541" s="14">
        <v>21044</v>
      </c>
      <c r="AU541" s="14">
        <v>26</v>
      </c>
      <c r="AV541" s="14">
        <v>259.35000000000002</v>
      </c>
      <c r="AW541" s="14">
        <v>39.229999999999997</v>
      </c>
      <c r="AX541" s="14">
        <v>5.79</v>
      </c>
      <c r="AY541" s="14" t="b">
        <v>0</v>
      </c>
    </row>
    <row r="542" spans="1:51" hidden="1" x14ac:dyDescent="0.3">
      <c r="A542" t="str">
        <f>CONCATENATE(I542,E542,LEFT(G542,10))</f>
        <v>HFA704LGAV2026-01-07</v>
      </c>
      <c r="B542" s="14" t="s">
        <v>1388</v>
      </c>
      <c r="C542" s="14" t="s">
        <v>336</v>
      </c>
      <c r="D542" s="14" t="s">
        <v>337</v>
      </c>
      <c r="E542" s="14" t="s">
        <v>48</v>
      </c>
      <c r="F542" s="14" t="s">
        <v>43</v>
      </c>
      <c r="G542" s="14" t="s">
        <v>1389</v>
      </c>
      <c r="H542" s="14" t="s">
        <v>393</v>
      </c>
      <c r="I542" s="14" t="s">
        <v>52</v>
      </c>
      <c r="J542" s="14" t="s">
        <v>83</v>
      </c>
      <c r="K542" s="14" t="s">
        <v>340</v>
      </c>
      <c r="L542" s="14" t="s">
        <v>341</v>
      </c>
      <c r="M542" s="16" t="s">
        <v>1390</v>
      </c>
      <c r="N542" s="14"/>
      <c r="O542" s="14" t="s">
        <v>1391</v>
      </c>
      <c r="P542" s="14">
        <v>90</v>
      </c>
      <c r="Q542" s="14">
        <v>2</v>
      </c>
      <c r="R542" s="14">
        <v>4600</v>
      </c>
      <c r="S542" s="14" t="s">
        <v>1392</v>
      </c>
      <c r="T542" s="14" t="s">
        <v>1393</v>
      </c>
      <c r="U542" s="14">
        <v>2.4377777777777698</v>
      </c>
      <c r="V542" s="14">
        <v>2.6155555555555501</v>
      </c>
      <c r="W542" s="14">
        <v>2149</v>
      </c>
      <c r="X542" s="14">
        <v>80</v>
      </c>
      <c r="Y542" s="14">
        <v>2069</v>
      </c>
      <c r="Z542" s="14">
        <v>1351</v>
      </c>
      <c r="AA542" s="14">
        <v>256</v>
      </c>
      <c r="AB542" s="14">
        <v>266</v>
      </c>
      <c r="AC542" s="14">
        <v>725</v>
      </c>
      <c r="AD542" s="14">
        <v>103</v>
      </c>
      <c r="AE542" s="14">
        <v>3500</v>
      </c>
      <c r="AF542" s="14">
        <v>5000</v>
      </c>
      <c r="AG542" s="14">
        <v>6792</v>
      </c>
      <c r="AH542" s="14">
        <v>0</v>
      </c>
      <c r="AI542" s="14">
        <v>141</v>
      </c>
      <c r="AJ542" s="14">
        <v>250</v>
      </c>
      <c r="AK542" s="14" t="s">
        <v>1389</v>
      </c>
      <c r="AL542" s="14" t="s">
        <v>1394</v>
      </c>
      <c r="AM542" s="14">
        <v>648.15</v>
      </c>
      <c r="AN542" s="14">
        <v>624.6</v>
      </c>
      <c r="AO542" s="14">
        <v>54.99</v>
      </c>
      <c r="AP542" s="14">
        <v>21411</v>
      </c>
      <c r="AQ542" s="14">
        <v>21331</v>
      </c>
      <c r="AR542" s="14">
        <v>23000</v>
      </c>
      <c r="AS542" s="14">
        <v>17911</v>
      </c>
      <c r="AT542" s="14">
        <v>19262</v>
      </c>
      <c r="AU542" s="14">
        <v>13</v>
      </c>
      <c r="AV542" s="14">
        <v>244.58</v>
      </c>
      <c r="AW542" s="14">
        <v>30.02</v>
      </c>
      <c r="AX542" s="14">
        <v>5.46</v>
      </c>
      <c r="AY542" s="14" t="b">
        <v>0</v>
      </c>
    </row>
    <row r="543" spans="1:51" hidden="1" x14ac:dyDescent="0.3">
      <c r="A543" t="str">
        <f>CONCATENATE(I543,E543,LEFT(G543,10))</f>
        <v>HFA704LGAV2026-01-08</v>
      </c>
      <c r="B543" s="14" t="s">
        <v>2831</v>
      </c>
      <c r="C543" s="14" t="s">
        <v>336</v>
      </c>
      <c r="D543" s="14" t="s">
        <v>337</v>
      </c>
      <c r="E543" s="14" t="s">
        <v>48</v>
      </c>
      <c r="F543" s="14" t="s">
        <v>43</v>
      </c>
      <c r="G543" s="14" t="s">
        <v>2832</v>
      </c>
      <c r="H543" s="14" t="s">
        <v>436</v>
      </c>
      <c r="I543" s="14" t="s">
        <v>52</v>
      </c>
      <c r="J543" s="14" t="s">
        <v>83</v>
      </c>
      <c r="K543" s="14" t="s">
        <v>340</v>
      </c>
      <c r="L543" s="14" t="s">
        <v>341</v>
      </c>
      <c r="M543" s="16" t="s">
        <v>2833</v>
      </c>
      <c r="N543" s="14" t="s">
        <v>359</v>
      </c>
      <c r="O543" s="14" t="s">
        <v>2834</v>
      </c>
      <c r="P543" s="14">
        <v>150</v>
      </c>
      <c r="Q543" s="14">
        <v>2</v>
      </c>
      <c r="R543" s="14">
        <v>5850</v>
      </c>
      <c r="S543" s="14" t="s">
        <v>2835</v>
      </c>
      <c r="T543" s="14" t="s">
        <v>2836</v>
      </c>
      <c r="U543" s="14">
        <v>2.3577777777777702</v>
      </c>
      <c r="V543" s="14">
        <v>2.58222222222222</v>
      </c>
      <c r="W543" s="14">
        <v>1667</v>
      </c>
      <c r="X543" s="14">
        <v>80</v>
      </c>
      <c r="Y543" s="14">
        <v>1587</v>
      </c>
      <c r="Z543" s="14">
        <v>1633</v>
      </c>
      <c r="AA543" s="14">
        <v>269</v>
      </c>
      <c r="AB543" s="14">
        <v>279</v>
      </c>
      <c r="AC543" s="14">
        <v>1006</v>
      </c>
      <c r="AD543" s="14">
        <v>79</v>
      </c>
      <c r="AE543" s="14">
        <v>3300</v>
      </c>
      <c r="AF543" s="14">
        <v>5000</v>
      </c>
      <c r="AG543" s="14">
        <v>5267</v>
      </c>
      <c r="AH543" s="14">
        <v>0</v>
      </c>
      <c r="AI543" s="14">
        <v>134</v>
      </c>
      <c r="AJ543" s="14">
        <v>289</v>
      </c>
      <c r="AK543" s="14" t="s">
        <v>2832</v>
      </c>
      <c r="AL543" s="14" t="s">
        <v>2837</v>
      </c>
      <c r="AM543" s="14">
        <v>645.69000000000005</v>
      </c>
      <c r="AN543" s="14">
        <v>624.6</v>
      </c>
      <c r="AO543" s="14">
        <v>54.99</v>
      </c>
      <c r="AP543" s="14">
        <v>22355</v>
      </c>
      <c r="AQ543" s="14">
        <v>22275</v>
      </c>
      <c r="AR543" s="14">
        <v>23000</v>
      </c>
      <c r="AS543" s="14">
        <v>19055</v>
      </c>
      <c r="AT543" s="14">
        <v>20688</v>
      </c>
      <c r="AU543" s="14">
        <v>31</v>
      </c>
      <c r="AV543" s="14">
        <v>251.28</v>
      </c>
      <c r="AW543" s="14">
        <v>57.95</v>
      </c>
      <c r="AX543" s="14">
        <v>1.72</v>
      </c>
      <c r="AY543" s="14" t="b">
        <v>0</v>
      </c>
    </row>
    <row r="544" spans="1:51" hidden="1" x14ac:dyDescent="0.3">
      <c r="A544" t="str">
        <f>CONCATENATE(I544,E544,LEFT(G544,10))</f>
        <v>HFA704LGAV2026-01-10</v>
      </c>
      <c r="B544" s="15" t="s">
        <v>1112</v>
      </c>
      <c r="C544" s="14" t="s">
        <v>336</v>
      </c>
      <c r="D544" s="14" t="s">
        <v>337</v>
      </c>
      <c r="E544" s="14" t="s">
        <v>48</v>
      </c>
      <c r="F544" s="14" t="s">
        <v>43</v>
      </c>
      <c r="G544" s="14" t="s">
        <v>1113</v>
      </c>
      <c r="H544" s="14" t="s">
        <v>436</v>
      </c>
      <c r="I544" s="14" t="s">
        <v>52</v>
      </c>
      <c r="J544" s="14" t="s">
        <v>83</v>
      </c>
      <c r="K544" s="14" t="s">
        <v>340</v>
      </c>
      <c r="L544" s="14" t="s">
        <v>341</v>
      </c>
      <c r="M544" s="16" t="s">
        <v>1114</v>
      </c>
      <c r="N544" s="14" t="s">
        <v>359</v>
      </c>
      <c r="O544" s="14" t="s">
        <v>1115</v>
      </c>
      <c r="P544" s="14">
        <v>150</v>
      </c>
      <c r="Q544" s="14">
        <v>2</v>
      </c>
      <c r="R544" s="14">
        <v>0</v>
      </c>
      <c r="S544" s="14" t="s">
        <v>1116</v>
      </c>
      <c r="T544" s="14" t="s">
        <v>1117</v>
      </c>
      <c r="U544" s="14">
        <v>2.26388888888888</v>
      </c>
      <c r="V544" s="14">
        <v>2.3983333333333299</v>
      </c>
      <c r="W544" s="14">
        <v>1712</v>
      </c>
      <c r="X544" s="14">
        <v>80</v>
      </c>
      <c r="Y544" s="14">
        <v>1632</v>
      </c>
      <c r="Z544" s="14">
        <v>1188</v>
      </c>
      <c r="AA544" s="14">
        <v>268</v>
      </c>
      <c r="AB544" s="14">
        <v>284</v>
      </c>
      <c r="AC544" s="14">
        <v>555</v>
      </c>
      <c r="AD544" s="14">
        <v>82</v>
      </c>
      <c r="AE544" s="14">
        <v>2900</v>
      </c>
      <c r="AF544" s="14">
        <v>5000</v>
      </c>
      <c r="AG544" s="14">
        <v>5411</v>
      </c>
      <c r="AH544" s="14">
        <v>0</v>
      </c>
      <c r="AI544" s="14">
        <v>139</v>
      </c>
      <c r="AJ544" s="14">
        <v>247</v>
      </c>
      <c r="AK544" s="14" t="s">
        <v>1113</v>
      </c>
      <c r="AL544" s="14" t="s">
        <v>1118</v>
      </c>
      <c r="AM544" s="14">
        <v>656.69</v>
      </c>
      <c r="AN544" s="14">
        <v>624.6</v>
      </c>
      <c r="AO544" s="14">
        <v>54.99</v>
      </c>
      <c r="AP544" s="14">
        <v>22870</v>
      </c>
      <c r="AQ544" s="14">
        <v>22790</v>
      </c>
      <c r="AR544" s="14">
        <v>23000</v>
      </c>
      <c r="AS544" s="14">
        <v>19970</v>
      </c>
      <c r="AT544" s="14">
        <v>21158</v>
      </c>
      <c r="AU544" s="14">
        <v>27</v>
      </c>
      <c r="AV544" s="14">
        <v>254.96</v>
      </c>
      <c r="AW544" s="14">
        <v>46.55</v>
      </c>
      <c r="AX544" s="14">
        <v>2.15</v>
      </c>
      <c r="AY544" s="14" t="b">
        <v>0</v>
      </c>
    </row>
    <row r="545" spans="1:51" hidden="1" x14ac:dyDescent="0.3">
      <c r="A545" t="str">
        <f>CONCATENATE(I545,E545,LEFT(G545,10))</f>
        <v>HFA704LGAV2026-01-11</v>
      </c>
      <c r="B545" s="14" t="s">
        <v>2170</v>
      </c>
      <c r="C545" s="14" t="s">
        <v>336</v>
      </c>
      <c r="D545" s="14" t="s">
        <v>337</v>
      </c>
      <c r="E545" s="14" t="s">
        <v>48</v>
      </c>
      <c r="F545" s="14" t="s">
        <v>43</v>
      </c>
      <c r="G545" s="14" t="s">
        <v>2171</v>
      </c>
      <c r="H545" s="14" t="s">
        <v>357</v>
      </c>
      <c r="I545" s="14" t="s">
        <v>52</v>
      </c>
      <c r="J545" s="14" t="s">
        <v>83</v>
      </c>
      <c r="K545" s="14" t="s">
        <v>340</v>
      </c>
      <c r="L545" s="14" t="s">
        <v>341</v>
      </c>
      <c r="M545" s="16" t="s">
        <v>2172</v>
      </c>
      <c r="N545" s="14" t="s">
        <v>359</v>
      </c>
      <c r="O545" s="14" t="s">
        <v>2173</v>
      </c>
      <c r="P545" s="14">
        <v>170</v>
      </c>
      <c r="Q545" s="14">
        <v>2</v>
      </c>
      <c r="R545" s="14">
        <v>6600</v>
      </c>
      <c r="S545" s="14" t="s">
        <v>2174</v>
      </c>
      <c r="T545" s="14" t="s">
        <v>2175</v>
      </c>
      <c r="U545" s="14">
        <v>2.3125</v>
      </c>
      <c r="V545" s="14">
        <v>2.70611111111111</v>
      </c>
      <c r="W545" s="14">
        <v>1718</v>
      </c>
      <c r="X545" s="14">
        <v>80</v>
      </c>
      <c r="Y545" s="14">
        <v>1638</v>
      </c>
      <c r="Z545" s="14">
        <v>982</v>
      </c>
      <c r="AA545" s="14">
        <v>271</v>
      </c>
      <c r="AB545" s="14">
        <v>280</v>
      </c>
      <c r="AC545" s="14">
        <v>349</v>
      </c>
      <c r="AD545" s="14">
        <v>82</v>
      </c>
      <c r="AE545" s="14">
        <v>2700</v>
      </c>
      <c r="AF545" s="14">
        <v>5000</v>
      </c>
      <c r="AG545" s="14">
        <v>5429</v>
      </c>
      <c r="AH545" s="14">
        <v>0</v>
      </c>
      <c r="AI545" s="14">
        <v>139</v>
      </c>
      <c r="AJ545" s="14">
        <v>227</v>
      </c>
      <c r="AK545" s="14" t="s">
        <v>2171</v>
      </c>
      <c r="AL545" s="14" t="s">
        <v>2176</v>
      </c>
      <c r="AM545" s="14">
        <v>656.69</v>
      </c>
      <c r="AN545" s="14">
        <v>624.6</v>
      </c>
      <c r="AO545" s="14">
        <v>54.99</v>
      </c>
      <c r="AP545" s="14">
        <v>22525</v>
      </c>
      <c r="AQ545" s="14">
        <v>22445</v>
      </c>
      <c r="AR545" s="14">
        <v>23000</v>
      </c>
      <c r="AS545" s="14">
        <v>19825</v>
      </c>
      <c r="AT545" s="14">
        <v>20807</v>
      </c>
      <c r="AU545" s="14">
        <v>22</v>
      </c>
      <c r="AV545" s="14">
        <v>250.51</v>
      </c>
      <c r="AW545" s="14">
        <v>43.82</v>
      </c>
      <c r="AX545" s="14">
        <v>-1.93</v>
      </c>
      <c r="AY545" s="14" t="b">
        <v>0</v>
      </c>
    </row>
    <row r="546" spans="1:51" hidden="1" x14ac:dyDescent="0.3">
      <c r="A546" t="str">
        <f>CONCATENATE(I546,E546,LEFT(G546,10))</f>
        <v>HFA704LGAV2026-01-12</v>
      </c>
      <c r="B546" s="14" t="s">
        <v>5999</v>
      </c>
      <c r="C546" s="14" t="s">
        <v>336</v>
      </c>
      <c r="D546" s="14" t="s">
        <v>688</v>
      </c>
      <c r="E546" s="14" t="s">
        <v>48</v>
      </c>
      <c r="F546" s="14" t="s">
        <v>83</v>
      </c>
      <c r="G546" s="14" t="s">
        <v>6000</v>
      </c>
      <c r="H546" s="14" t="s">
        <v>436</v>
      </c>
      <c r="I546" s="14" t="s">
        <v>52</v>
      </c>
      <c r="J546" s="14" t="s">
        <v>87</v>
      </c>
      <c r="K546" s="14" t="s">
        <v>340</v>
      </c>
      <c r="L546" s="14" t="s">
        <v>341</v>
      </c>
      <c r="M546" s="16" t="s">
        <v>6001</v>
      </c>
      <c r="N546" s="14" t="s">
        <v>359</v>
      </c>
      <c r="O546" s="14" t="s">
        <v>6002</v>
      </c>
      <c r="P546" s="14">
        <v>190</v>
      </c>
      <c r="Q546" s="14">
        <v>2</v>
      </c>
      <c r="R546" s="14">
        <v>5900</v>
      </c>
      <c r="S546" s="14"/>
      <c r="T546" s="14"/>
      <c r="U546" s="14"/>
      <c r="V546" s="14"/>
      <c r="W546" s="14">
        <v>1683</v>
      </c>
      <c r="X546" s="14">
        <v>80</v>
      </c>
      <c r="Y546" s="14">
        <v>1603</v>
      </c>
      <c r="Z546" s="14">
        <v>1817</v>
      </c>
      <c r="AA546" s="14">
        <v>692</v>
      </c>
      <c r="AB546" s="14">
        <v>281</v>
      </c>
      <c r="AC546" s="14">
        <v>763</v>
      </c>
      <c r="AD546" s="14">
        <v>80</v>
      </c>
      <c r="AE546" s="14">
        <v>3500</v>
      </c>
      <c r="AF546" s="14">
        <v>5000</v>
      </c>
      <c r="AG546" s="14">
        <v>5319</v>
      </c>
      <c r="AH546" s="14">
        <v>0</v>
      </c>
      <c r="AI546" s="14">
        <v>137</v>
      </c>
      <c r="AJ546" s="14">
        <v>296</v>
      </c>
      <c r="AK546" s="14" t="s">
        <v>6000</v>
      </c>
      <c r="AL546" s="14" t="s">
        <v>6003</v>
      </c>
      <c r="AM546" s="14">
        <v>664.25</v>
      </c>
      <c r="AN546" s="14">
        <v>645.11</v>
      </c>
      <c r="AO546" s="14">
        <v>212.7</v>
      </c>
      <c r="AP546" s="14">
        <v>22605</v>
      </c>
      <c r="AQ546" s="14">
        <v>22525</v>
      </c>
      <c r="AR546" s="14">
        <v>23000</v>
      </c>
      <c r="AS546" s="14">
        <v>19105</v>
      </c>
      <c r="AT546" s="14">
        <v>20922</v>
      </c>
      <c r="AU546" s="14">
        <v>31</v>
      </c>
      <c r="AV546" s="14">
        <v>298.85000000000002</v>
      </c>
      <c r="AW546" s="14">
        <v>33.81</v>
      </c>
      <c r="AX546" s="14">
        <v>-6.89</v>
      </c>
      <c r="AY546" s="14" t="b">
        <v>0</v>
      </c>
    </row>
    <row r="547" spans="1:51" hidden="1" x14ac:dyDescent="0.3">
      <c r="A547" t="str">
        <f>CONCATENATE(I547,E547,LEFT(G547,10))</f>
        <v>HFA704LGAV2026-01-14</v>
      </c>
      <c r="B547" s="14" t="s">
        <v>5682</v>
      </c>
      <c r="C547" s="14" t="s">
        <v>336</v>
      </c>
      <c r="D547" s="14" t="s">
        <v>337</v>
      </c>
      <c r="E547" s="14" t="s">
        <v>48</v>
      </c>
      <c r="F547" s="14" t="s">
        <v>43</v>
      </c>
      <c r="G547" s="14" t="s">
        <v>5683</v>
      </c>
      <c r="H547" s="14" t="s">
        <v>357</v>
      </c>
      <c r="I547" s="14" t="s">
        <v>52</v>
      </c>
      <c r="J547" s="14" t="s">
        <v>83</v>
      </c>
      <c r="K547" s="14" t="s">
        <v>340</v>
      </c>
      <c r="L547" s="14" t="s">
        <v>341</v>
      </c>
      <c r="M547" s="16" t="s">
        <v>5684</v>
      </c>
      <c r="N547" s="14" t="s">
        <v>359</v>
      </c>
      <c r="O547" s="14" t="s">
        <v>5685</v>
      </c>
      <c r="P547" s="14">
        <v>150</v>
      </c>
      <c r="Q547" s="14">
        <v>2</v>
      </c>
      <c r="R547" s="14">
        <v>3700</v>
      </c>
      <c r="S547" s="14" t="s">
        <v>5686</v>
      </c>
      <c r="T547" s="14" t="s">
        <v>5687</v>
      </c>
      <c r="U547" s="14">
        <v>2.2116666666666598</v>
      </c>
      <c r="V547" s="14">
        <v>2.3633333333333302</v>
      </c>
      <c r="W547" s="14">
        <v>1689</v>
      </c>
      <c r="X547" s="14">
        <v>80</v>
      </c>
      <c r="Y547" s="14">
        <v>1609</v>
      </c>
      <c r="Z547" s="14">
        <v>1611</v>
      </c>
      <c r="AA547" s="14">
        <v>246</v>
      </c>
      <c r="AB547" s="14">
        <v>260</v>
      </c>
      <c r="AC547" s="14">
        <v>1024</v>
      </c>
      <c r="AD547" s="14">
        <v>80</v>
      </c>
      <c r="AE547" s="14">
        <v>3300</v>
      </c>
      <c r="AF547" s="14">
        <v>5000</v>
      </c>
      <c r="AG547" s="14">
        <v>5338</v>
      </c>
      <c r="AH547" s="14">
        <v>0</v>
      </c>
      <c r="AI547" s="14">
        <v>134</v>
      </c>
      <c r="AJ547" s="14">
        <v>276</v>
      </c>
      <c r="AK547" s="14" t="s">
        <v>5683</v>
      </c>
      <c r="AL547" s="14" t="s">
        <v>5688</v>
      </c>
      <c r="AM547" s="14">
        <v>656.69</v>
      </c>
      <c r="AN547" s="14">
        <v>624.6</v>
      </c>
      <c r="AO547" s="14">
        <v>54.99</v>
      </c>
      <c r="AP547" s="14">
        <v>20225</v>
      </c>
      <c r="AQ547" s="14">
        <v>20145</v>
      </c>
      <c r="AR547" s="14">
        <v>23000</v>
      </c>
      <c r="AS547" s="14">
        <v>16925</v>
      </c>
      <c r="AT547" s="14">
        <v>18536</v>
      </c>
      <c r="AU547" s="14">
        <v>28</v>
      </c>
      <c r="AV547" s="14">
        <v>320.44</v>
      </c>
      <c r="AW547" s="14">
        <v>32.479999999999997</v>
      </c>
      <c r="AX547" s="14">
        <v>2.63</v>
      </c>
      <c r="AY547" s="14" t="b">
        <v>0</v>
      </c>
    </row>
    <row r="548" spans="1:51" hidden="1" x14ac:dyDescent="0.3">
      <c r="A548" t="str">
        <f>CONCATENATE(I548,E548,LEFT(G548,10))</f>
        <v>HFA704LGAV2026-01-15</v>
      </c>
      <c r="B548" s="14" t="s">
        <v>6107</v>
      </c>
      <c r="C548" s="14" t="s">
        <v>336</v>
      </c>
      <c r="D548" s="14" t="s">
        <v>337</v>
      </c>
      <c r="E548" s="14" t="s">
        <v>48</v>
      </c>
      <c r="F548" s="14" t="s">
        <v>43</v>
      </c>
      <c r="G548" s="14" t="s">
        <v>6108</v>
      </c>
      <c r="H548" s="14" t="s">
        <v>436</v>
      </c>
      <c r="I548" s="14" t="s">
        <v>52</v>
      </c>
      <c r="J548" s="14" t="s">
        <v>83</v>
      </c>
      <c r="K548" s="14" t="s">
        <v>340</v>
      </c>
      <c r="L548" s="14" t="s">
        <v>341</v>
      </c>
      <c r="M548" s="16" t="s">
        <v>543</v>
      </c>
      <c r="N548" s="14" t="s">
        <v>359</v>
      </c>
      <c r="O548" s="14" t="s">
        <v>6109</v>
      </c>
      <c r="P548" s="14">
        <v>190</v>
      </c>
      <c r="Q548" s="14">
        <v>2</v>
      </c>
      <c r="R548" s="14">
        <v>4000</v>
      </c>
      <c r="S548" s="14" t="s">
        <v>6110</v>
      </c>
      <c r="T548" s="14" t="s">
        <v>6111</v>
      </c>
      <c r="U548" s="14">
        <v>2.3050000000000002</v>
      </c>
      <c r="V548" s="14">
        <v>2.5225</v>
      </c>
      <c r="W548" s="14">
        <v>1634</v>
      </c>
      <c r="X548" s="14">
        <v>80</v>
      </c>
      <c r="Y548" s="14">
        <v>1554</v>
      </c>
      <c r="Z548" s="14">
        <v>1866</v>
      </c>
      <c r="AA548" s="14">
        <v>251</v>
      </c>
      <c r="AB548" s="14">
        <v>265</v>
      </c>
      <c r="AC548" s="14">
        <v>1272</v>
      </c>
      <c r="AD548" s="14">
        <v>78</v>
      </c>
      <c r="AE548" s="14">
        <v>3500</v>
      </c>
      <c r="AF548" s="14">
        <v>5000</v>
      </c>
      <c r="AG548" s="14">
        <v>5164</v>
      </c>
      <c r="AH548" s="14">
        <v>0</v>
      </c>
      <c r="AI548" s="14">
        <v>139</v>
      </c>
      <c r="AJ548" s="14">
        <v>314</v>
      </c>
      <c r="AK548" s="14" t="s">
        <v>6108</v>
      </c>
      <c r="AL548" s="14" t="s">
        <v>6112</v>
      </c>
      <c r="AM548" s="14">
        <v>656.69</v>
      </c>
      <c r="AN548" s="14">
        <v>624.6</v>
      </c>
      <c r="AO548" s="14">
        <v>54.99</v>
      </c>
      <c r="AP548" s="14">
        <v>20705</v>
      </c>
      <c r="AQ548" s="14">
        <v>20625</v>
      </c>
      <c r="AR548" s="14">
        <v>23000</v>
      </c>
      <c r="AS548" s="14">
        <v>17205</v>
      </c>
      <c r="AT548" s="14">
        <v>19071</v>
      </c>
      <c r="AU548" s="14">
        <v>22</v>
      </c>
      <c r="AV548" s="14">
        <v>302.06</v>
      </c>
      <c r="AW548" s="14">
        <v>24.32</v>
      </c>
      <c r="AX548" s="14">
        <v>2.21</v>
      </c>
      <c r="AY548" s="14" t="b">
        <v>0</v>
      </c>
    </row>
    <row r="549" spans="1:51" hidden="1" x14ac:dyDescent="0.3">
      <c r="A549" t="str">
        <f>CONCATENATE(I549,E549,LEFT(G549,10))</f>
        <v>HFA704LGAV2026-01-17</v>
      </c>
      <c r="B549" s="14" t="s">
        <v>6424</v>
      </c>
      <c r="C549" s="14" t="s">
        <v>336</v>
      </c>
      <c r="D549" s="14" t="s">
        <v>337</v>
      </c>
      <c r="E549" s="14" t="s">
        <v>48</v>
      </c>
      <c r="F549" s="14" t="s">
        <v>43</v>
      </c>
      <c r="G549" s="14" t="s">
        <v>6425</v>
      </c>
      <c r="H549" s="14" t="s">
        <v>357</v>
      </c>
      <c r="I549" s="14" t="s">
        <v>52</v>
      </c>
      <c r="J549" s="14" t="s">
        <v>83</v>
      </c>
      <c r="K549" s="14" t="s">
        <v>340</v>
      </c>
      <c r="L549" s="14" t="s">
        <v>341</v>
      </c>
      <c r="M549" s="16" t="s">
        <v>6426</v>
      </c>
      <c r="N549" s="14" t="s">
        <v>359</v>
      </c>
      <c r="O549" s="14" t="s">
        <v>6427</v>
      </c>
      <c r="P549" s="14">
        <v>190</v>
      </c>
      <c r="Q549" s="14">
        <v>2</v>
      </c>
      <c r="R549" s="14">
        <v>6300</v>
      </c>
      <c r="S549" s="14" t="s">
        <v>6428</v>
      </c>
      <c r="T549" s="14" t="s">
        <v>6429</v>
      </c>
      <c r="U549" s="14">
        <v>2.35222222222222</v>
      </c>
      <c r="V549" s="14">
        <v>0.89083333333333303</v>
      </c>
      <c r="W549" s="14">
        <v>1599</v>
      </c>
      <c r="X549" s="14">
        <v>80</v>
      </c>
      <c r="Y549" s="14">
        <v>1519</v>
      </c>
      <c r="Z549" s="14">
        <v>1401</v>
      </c>
      <c r="AA549" s="14">
        <v>257</v>
      </c>
      <c r="AB549" s="14">
        <v>281</v>
      </c>
      <c r="AC549" s="14">
        <v>787</v>
      </c>
      <c r="AD549" s="14">
        <v>76</v>
      </c>
      <c r="AE549" s="14">
        <v>3000</v>
      </c>
      <c r="AF549" s="14">
        <v>5000</v>
      </c>
      <c r="AG549" s="14">
        <v>5052</v>
      </c>
      <c r="AH549" s="14">
        <v>0</v>
      </c>
      <c r="AI549" s="14">
        <v>139</v>
      </c>
      <c r="AJ549" s="14">
        <v>275</v>
      </c>
      <c r="AK549" s="14" t="s">
        <v>6425</v>
      </c>
      <c r="AL549" s="14" t="s">
        <v>6430</v>
      </c>
      <c r="AM549" s="14">
        <v>656.69</v>
      </c>
      <c r="AN549" s="14">
        <v>624.6</v>
      </c>
      <c r="AO549" s="14">
        <v>54.99</v>
      </c>
      <c r="AP549" s="14">
        <v>22525</v>
      </c>
      <c r="AQ549" s="14">
        <v>22445</v>
      </c>
      <c r="AR549" s="14">
        <v>23000</v>
      </c>
      <c r="AS549" s="14">
        <v>19525</v>
      </c>
      <c r="AT549" s="14">
        <v>20926</v>
      </c>
      <c r="AU549" s="14">
        <v>28</v>
      </c>
      <c r="AV549" s="14">
        <v>279.85000000000002</v>
      </c>
      <c r="AW549" s="14">
        <v>34.409999999999997</v>
      </c>
      <c r="AX549" s="14">
        <v>-0.72</v>
      </c>
      <c r="AY549" s="14" t="b">
        <v>0</v>
      </c>
    </row>
    <row r="550" spans="1:51" hidden="1" x14ac:dyDescent="0.3">
      <c r="A550" t="str">
        <f>CONCATENATE(I550,E550,LEFT(G550,10))</f>
        <v>HFA704LGAV2026-01-18</v>
      </c>
      <c r="B550" s="14" t="s">
        <v>5503</v>
      </c>
      <c r="C550" s="14" t="s">
        <v>336</v>
      </c>
      <c r="D550" s="14" t="s">
        <v>337</v>
      </c>
      <c r="E550" s="14" t="s">
        <v>48</v>
      </c>
      <c r="F550" s="14" t="s">
        <v>43</v>
      </c>
      <c r="G550" s="14" t="s">
        <v>5504</v>
      </c>
      <c r="H550" s="14" t="s">
        <v>357</v>
      </c>
      <c r="I550" s="14" t="s">
        <v>52</v>
      </c>
      <c r="J550" s="14" t="s">
        <v>83</v>
      </c>
      <c r="K550" s="14" t="s">
        <v>340</v>
      </c>
      <c r="L550" s="14" t="s">
        <v>341</v>
      </c>
      <c r="M550" s="16" t="s">
        <v>5505</v>
      </c>
      <c r="N550" s="14" t="s">
        <v>359</v>
      </c>
      <c r="O550" s="14" t="s">
        <v>5506</v>
      </c>
      <c r="P550" s="14">
        <v>150</v>
      </c>
      <c r="Q550" s="14">
        <v>3</v>
      </c>
      <c r="R550" s="14">
        <v>6400</v>
      </c>
      <c r="S550" s="14" t="s">
        <v>5507</v>
      </c>
      <c r="T550" s="14" t="s">
        <v>5508</v>
      </c>
      <c r="U550" s="14">
        <v>2.2330555555555498</v>
      </c>
      <c r="V550" s="14">
        <v>2.45472222222222</v>
      </c>
      <c r="W550" s="14">
        <v>1633</v>
      </c>
      <c r="X550" s="14">
        <v>80</v>
      </c>
      <c r="Y550" s="14">
        <v>1553</v>
      </c>
      <c r="Z550" s="14">
        <v>1167</v>
      </c>
      <c r="AA550" s="14">
        <v>252</v>
      </c>
      <c r="AB550" s="14">
        <v>280</v>
      </c>
      <c r="AC550" s="14">
        <v>557</v>
      </c>
      <c r="AD550" s="14">
        <v>78</v>
      </c>
      <c r="AE550" s="14">
        <v>2800</v>
      </c>
      <c r="AF550" s="14">
        <v>5000</v>
      </c>
      <c r="AG550" s="14">
        <v>5161</v>
      </c>
      <c r="AH550" s="14">
        <v>0</v>
      </c>
      <c r="AI550" s="14">
        <v>131</v>
      </c>
      <c r="AJ550" s="14">
        <v>239</v>
      </c>
      <c r="AK550" s="14" t="s">
        <v>5504</v>
      </c>
      <c r="AL550" s="14" t="s">
        <v>5509</v>
      </c>
      <c r="AM550" s="14">
        <v>656.69</v>
      </c>
      <c r="AN550" s="14">
        <v>624.6</v>
      </c>
      <c r="AO550" s="14">
        <v>54.99</v>
      </c>
      <c r="AP550" s="14">
        <v>22425</v>
      </c>
      <c r="AQ550" s="14">
        <v>22345</v>
      </c>
      <c r="AR550" s="14">
        <v>23000</v>
      </c>
      <c r="AS550" s="14">
        <v>19625</v>
      </c>
      <c r="AT550" s="14">
        <v>20792</v>
      </c>
      <c r="AU550" s="14">
        <v>40</v>
      </c>
      <c r="AV550" s="14">
        <v>304.58</v>
      </c>
      <c r="AW550" s="14">
        <v>43.47</v>
      </c>
      <c r="AX550" s="14">
        <v>-1.49</v>
      </c>
      <c r="AY550" s="14" t="b">
        <v>0</v>
      </c>
    </row>
    <row r="551" spans="1:51" hidden="1" x14ac:dyDescent="0.3">
      <c r="A551" t="str">
        <f>CONCATENATE(I551,E551,LEFT(G551,10))</f>
        <v>HFA704LGAV2026-01-19</v>
      </c>
      <c r="B551" s="14" t="s">
        <v>5902</v>
      </c>
      <c r="C551" s="14" t="s">
        <v>336</v>
      </c>
      <c r="D551" s="14" t="s">
        <v>337</v>
      </c>
      <c r="E551" s="14" t="s">
        <v>48</v>
      </c>
      <c r="F551" s="14" t="s">
        <v>43</v>
      </c>
      <c r="G551" s="14" t="s">
        <v>5903</v>
      </c>
      <c r="H551" s="14" t="s">
        <v>393</v>
      </c>
      <c r="I551" s="14" t="s">
        <v>52</v>
      </c>
      <c r="J551" s="14" t="s">
        <v>83</v>
      </c>
      <c r="K551" s="14" t="s">
        <v>340</v>
      </c>
      <c r="L551" s="14" t="s">
        <v>341</v>
      </c>
      <c r="M551" s="16" t="s">
        <v>5904</v>
      </c>
      <c r="N551" s="14"/>
      <c r="O551" s="14" t="s">
        <v>5905</v>
      </c>
      <c r="P551" s="14">
        <v>190</v>
      </c>
      <c r="Q551" s="14">
        <v>2</v>
      </c>
      <c r="R551" s="14">
        <v>4600</v>
      </c>
      <c r="S551" s="14" t="s">
        <v>5906</v>
      </c>
      <c r="T551" s="14" t="s">
        <v>5907</v>
      </c>
      <c r="U551" s="14">
        <v>2.1694444444444398</v>
      </c>
      <c r="V551" s="14">
        <v>2.41027777777777</v>
      </c>
      <c r="W551" s="14">
        <v>1643</v>
      </c>
      <c r="X551" s="14">
        <v>80</v>
      </c>
      <c r="Y551" s="14">
        <v>1563</v>
      </c>
      <c r="Z551" s="14">
        <v>1557</v>
      </c>
      <c r="AA551" s="14">
        <v>259</v>
      </c>
      <c r="AB551" s="14">
        <v>268</v>
      </c>
      <c r="AC551" s="14">
        <v>951</v>
      </c>
      <c r="AD551" s="14">
        <v>78</v>
      </c>
      <c r="AE551" s="14">
        <v>3200</v>
      </c>
      <c r="AF551" s="14">
        <v>5000</v>
      </c>
      <c r="AG551" s="14">
        <v>5192</v>
      </c>
      <c r="AH551" s="14">
        <v>0</v>
      </c>
      <c r="AI551" s="14">
        <v>127</v>
      </c>
      <c r="AJ551" s="14">
        <v>264</v>
      </c>
      <c r="AK551" s="14" t="s">
        <v>5903</v>
      </c>
      <c r="AL551" s="14" t="s">
        <v>5908</v>
      </c>
      <c r="AM551" s="14">
        <v>659.16</v>
      </c>
      <c r="AN551" s="14">
        <v>624.6</v>
      </c>
      <c r="AO551" s="14">
        <v>54.99</v>
      </c>
      <c r="AP551" s="14">
        <v>21111</v>
      </c>
      <c r="AQ551" s="14">
        <v>21031</v>
      </c>
      <c r="AR551" s="14">
        <v>23000</v>
      </c>
      <c r="AS551" s="14">
        <v>17911</v>
      </c>
      <c r="AT551" s="14">
        <v>19468</v>
      </c>
      <c r="AU551" s="14">
        <v>52</v>
      </c>
      <c r="AV551" s="14">
        <v>285.68</v>
      </c>
      <c r="AW551" s="14">
        <v>62.06</v>
      </c>
      <c r="AX551" s="14">
        <v>-0.31</v>
      </c>
      <c r="AY551" s="14" t="b">
        <v>0</v>
      </c>
    </row>
    <row r="552" spans="1:51" hidden="1" x14ac:dyDescent="0.3">
      <c r="A552" t="str">
        <f>CONCATENATE(I552,E552,LEFT(G552,10))</f>
        <v>HFA704LGAV2026-01-20</v>
      </c>
      <c r="B552" s="14" t="s">
        <v>4729</v>
      </c>
      <c r="C552" s="14" t="s">
        <v>336</v>
      </c>
      <c r="D552" s="14" t="s">
        <v>337</v>
      </c>
      <c r="E552" s="14" t="s">
        <v>48</v>
      </c>
      <c r="F552" s="14" t="s">
        <v>43</v>
      </c>
      <c r="G552" s="14" t="s">
        <v>4730</v>
      </c>
      <c r="H552" s="14" t="s">
        <v>357</v>
      </c>
      <c r="I552" s="14" t="s">
        <v>52</v>
      </c>
      <c r="J552" s="14" t="s">
        <v>83</v>
      </c>
      <c r="K552" s="14" t="s">
        <v>340</v>
      </c>
      <c r="L552" s="14" t="s">
        <v>341</v>
      </c>
      <c r="M552" s="16" t="s">
        <v>4731</v>
      </c>
      <c r="N552" s="14" t="s">
        <v>359</v>
      </c>
      <c r="O552" s="14" t="s">
        <v>4732</v>
      </c>
      <c r="P552" s="14">
        <v>150</v>
      </c>
      <c r="Q552" s="14">
        <v>3</v>
      </c>
      <c r="R552" s="14">
        <v>2000</v>
      </c>
      <c r="S552" s="14" t="s">
        <v>4733</v>
      </c>
      <c r="T552" s="14" t="s">
        <v>4734</v>
      </c>
      <c r="U552" s="14">
        <v>2.1522222222222198</v>
      </c>
      <c r="V552" s="14">
        <v>2.39333333333333</v>
      </c>
      <c r="W552" s="14">
        <v>1573</v>
      </c>
      <c r="X552" s="14">
        <v>80</v>
      </c>
      <c r="Y552" s="14">
        <v>1493</v>
      </c>
      <c r="Z552" s="14">
        <v>1727</v>
      </c>
      <c r="AA552" s="14">
        <v>236</v>
      </c>
      <c r="AB552" s="14">
        <v>248</v>
      </c>
      <c r="AC552" s="14">
        <v>1169</v>
      </c>
      <c r="AD552" s="14">
        <v>75</v>
      </c>
      <c r="AE552" s="14">
        <v>3300</v>
      </c>
      <c r="AF552" s="14">
        <v>5000</v>
      </c>
      <c r="AG552" s="14">
        <v>4971</v>
      </c>
      <c r="AH552" s="14">
        <v>0</v>
      </c>
      <c r="AI552" s="14">
        <v>131</v>
      </c>
      <c r="AJ552" s="14">
        <v>306</v>
      </c>
      <c r="AK552" s="14" t="s">
        <v>4730</v>
      </c>
      <c r="AL552" s="14" t="s">
        <v>4735</v>
      </c>
      <c r="AM552" s="14">
        <v>656.69</v>
      </c>
      <c r="AN552" s="14">
        <v>624.6</v>
      </c>
      <c r="AO552" s="14">
        <v>54.99</v>
      </c>
      <c r="AP552" s="14">
        <v>18525</v>
      </c>
      <c r="AQ552" s="14">
        <v>18445</v>
      </c>
      <c r="AR552" s="14">
        <v>23000</v>
      </c>
      <c r="AS552" s="14">
        <v>15225</v>
      </c>
      <c r="AT552" s="14">
        <v>16952</v>
      </c>
      <c r="AU552" s="14">
        <v>36</v>
      </c>
      <c r="AV552" s="14">
        <v>292.32</v>
      </c>
      <c r="AW552" s="14">
        <v>36.950000000000003</v>
      </c>
      <c r="AX552" s="14">
        <v>1.91</v>
      </c>
      <c r="AY552" s="14" t="b">
        <v>0</v>
      </c>
    </row>
    <row r="553" spans="1:51" hidden="1" x14ac:dyDescent="0.3">
      <c r="A553" t="str">
        <f>CONCATENATE(I553,E553,LEFT(G553,10))</f>
        <v>HFA704LGAV2026-01-21</v>
      </c>
      <c r="B553" s="14" t="s">
        <v>1513</v>
      </c>
      <c r="C553" s="14" t="s">
        <v>336</v>
      </c>
      <c r="D553" s="14" t="s">
        <v>337</v>
      </c>
      <c r="E553" s="14" t="s">
        <v>48</v>
      </c>
      <c r="F553" s="14" t="s">
        <v>43</v>
      </c>
      <c r="G553" s="14" t="s">
        <v>1514</v>
      </c>
      <c r="H553" s="14" t="s">
        <v>436</v>
      </c>
      <c r="I553" s="14" t="s">
        <v>52</v>
      </c>
      <c r="J553" s="14" t="s">
        <v>83</v>
      </c>
      <c r="K553" s="14" t="s">
        <v>340</v>
      </c>
      <c r="L553" s="14" t="s">
        <v>341</v>
      </c>
      <c r="M553" s="16" t="s">
        <v>1515</v>
      </c>
      <c r="N553" s="14" t="s">
        <v>359</v>
      </c>
      <c r="O553" s="14" t="s">
        <v>1516</v>
      </c>
      <c r="P553" s="14">
        <v>190</v>
      </c>
      <c r="Q553" s="14">
        <v>2</v>
      </c>
      <c r="R553" s="14">
        <v>2400</v>
      </c>
      <c r="S553" s="14" t="s">
        <v>1517</v>
      </c>
      <c r="T553" s="14" t="s">
        <v>1518</v>
      </c>
      <c r="U553" s="14">
        <v>2.3938888888888799</v>
      </c>
      <c r="V553" s="14">
        <v>2.5363888888888799</v>
      </c>
      <c r="W553" s="14">
        <v>1590</v>
      </c>
      <c r="X553" s="14">
        <v>80</v>
      </c>
      <c r="Y553" s="14">
        <v>1510</v>
      </c>
      <c r="Z553" s="14">
        <v>1710</v>
      </c>
      <c r="AA553" s="14">
        <v>245</v>
      </c>
      <c r="AB553" s="14">
        <v>251</v>
      </c>
      <c r="AC553" s="14">
        <v>1139</v>
      </c>
      <c r="AD553" s="14">
        <v>75</v>
      </c>
      <c r="AE553" s="14">
        <v>3300</v>
      </c>
      <c r="AF553" s="14">
        <v>5000</v>
      </c>
      <c r="AG553" s="14">
        <v>5024</v>
      </c>
      <c r="AH553" s="14">
        <v>0</v>
      </c>
      <c r="AI553" s="14">
        <v>136</v>
      </c>
      <c r="AJ553" s="14">
        <v>300</v>
      </c>
      <c r="AK553" s="14" t="s">
        <v>1514</v>
      </c>
      <c r="AL553" s="14" t="s">
        <v>1519</v>
      </c>
      <c r="AM553" s="14">
        <v>645.69000000000005</v>
      </c>
      <c r="AN553" s="14">
        <v>624.6</v>
      </c>
      <c r="AO553" s="14">
        <v>54.99</v>
      </c>
      <c r="AP553" s="14">
        <v>18905</v>
      </c>
      <c r="AQ553" s="14">
        <v>18825</v>
      </c>
      <c r="AR553" s="14">
        <v>23000</v>
      </c>
      <c r="AS553" s="14">
        <v>15605</v>
      </c>
      <c r="AT553" s="14">
        <v>17315</v>
      </c>
      <c r="AU553" s="14">
        <v>21</v>
      </c>
      <c r="AV553" s="14">
        <v>241.25</v>
      </c>
      <c r="AW553" s="14">
        <v>51.5</v>
      </c>
      <c r="AX553" s="14">
        <v>2.92</v>
      </c>
      <c r="AY553" s="14" t="b">
        <v>0</v>
      </c>
    </row>
    <row r="554" spans="1:51" hidden="1" x14ac:dyDescent="0.3">
      <c r="A554" t="str">
        <f>CONCATENATE(I554,E554,LEFT(G554,10))</f>
        <v>HFA704LGAV2026-01-22</v>
      </c>
      <c r="B554" s="14" t="s">
        <v>2062</v>
      </c>
      <c r="C554" s="14" t="s">
        <v>336</v>
      </c>
      <c r="D554" s="14" t="s">
        <v>337</v>
      </c>
      <c r="E554" s="14" t="s">
        <v>48</v>
      </c>
      <c r="F554" s="14" t="s">
        <v>43</v>
      </c>
      <c r="G554" s="14" t="s">
        <v>2063</v>
      </c>
      <c r="H554" s="14" t="s">
        <v>436</v>
      </c>
      <c r="I554" s="14" t="s">
        <v>52</v>
      </c>
      <c r="J554" s="14" t="s">
        <v>83</v>
      </c>
      <c r="K554" s="14" t="s">
        <v>340</v>
      </c>
      <c r="L554" s="14" t="s">
        <v>341</v>
      </c>
      <c r="M554" s="16" t="s">
        <v>2064</v>
      </c>
      <c r="N554" s="14" t="s">
        <v>359</v>
      </c>
      <c r="O554" s="14" t="s">
        <v>2065</v>
      </c>
      <c r="P554" s="14">
        <v>150</v>
      </c>
      <c r="Q554" s="14">
        <v>2</v>
      </c>
      <c r="R554" s="14">
        <v>1400</v>
      </c>
      <c r="S554" s="14" t="s">
        <v>2066</v>
      </c>
      <c r="T554" s="14" t="s">
        <v>2067</v>
      </c>
      <c r="U554" s="14">
        <v>2.5030555555555498</v>
      </c>
      <c r="V554" s="14">
        <v>2.7138888888888801</v>
      </c>
      <c r="W554" s="14">
        <v>1739</v>
      </c>
      <c r="X554" s="14">
        <v>80</v>
      </c>
      <c r="Y554" s="14">
        <v>1659</v>
      </c>
      <c r="Z554" s="14">
        <v>1561</v>
      </c>
      <c r="AA554" s="14">
        <v>590</v>
      </c>
      <c r="AB554" s="14">
        <v>242</v>
      </c>
      <c r="AC554" s="14">
        <v>646</v>
      </c>
      <c r="AD554" s="14">
        <v>83</v>
      </c>
      <c r="AE554" s="14">
        <v>3300</v>
      </c>
      <c r="AF554" s="14">
        <v>5000</v>
      </c>
      <c r="AG554" s="14">
        <v>5495</v>
      </c>
      <c r="AH554" s="14">
        <v>0</v>
      </c>
      <c r="AI554" s="14">
        <v>140</v>
      </c>
      <c r="AJ554" s="14">
        <v>284</v>
      </c>
      <c r="AK554" s="14" t="s">
        <v>2063</v>
      </c>
      <c r="AL554" s="14" t="s">
        <v>2068</v>
      </c>
      <c r="AM554" s="14">
        <v>645.69000000000005</v>
      </c>
      <c r="AN554" s="14">
        <v>624.6</v>
      </c>
      <c r="AO554" s="14">
        <v>54.99</v>
      </c>
      <c r="AP554" s="14">
        <v>17905</v>
      </c>
      <c r="AQ554" s="14">
        <v>17825</v>
      </c>
      <c r="AR554" s="14">
        <v>23000</v>
      </c>
      <c r="AS554" s="14">
        <v>14605</v>
      </c>
      <c r="AT554" s="14">
        <v>16166</v>
      </c>
      <c r="AU554" s="14">
        <v>9</v>
      </c>
      <c r="AV554" s="14">
        <v>229.34</v>
      </c>
      <c r="AW554" s="14">
        <v>33.04</v>
      </c>
      <c r="AX554" s="14">
        <v>0.15</v>
      </c>
      <c r="AY554" s="14" t="b">
        <v>0</v>
      </c>
    </row>
    <row r="555" spans="1:51" hidden="1" x14ac:dyDescent="0.3">
      <c r="A555" t="str">
        <f>CONCATENATE(I555,E555,LEFT(G555,10))</f>
        <v>HFA704LGAV2026-01-24</v>
      </c>
      <c r="B555" s="14" t="s">
        <v>643</v>
      </c>
      <c r="C555" s="14" t="s">
        <v>336</v>
      </c>
      <c r="D555" s="14" t="s">
        <v>337</v>
      </c>
      <c r="E555" s="14" t="s">
        <v>48</v>
      </c>
      <c r="F555" s="14" t="s">
        <v>43</v>
      </c>
      <c r="G555" s="14" t="s">
        <v>644</v>
      </c>
      <c r="H555" s="14" t="s">
        <v>436</v>
      </c>
      <c r="I555" s="14" t="s">
        <v>52</v>
      </c>
      <c r="J555" s="14" t="s">
        <v>83</v>
      </c>
      <c r="K555" s="14" t="s">
        <v>340</v>
      </c>
      <c r="L555" s="14" t="s">
        <v>341</v>
      </c>
      <c r="M555" s="16" t="s">
        <v>645</v>
      </c>
      <c r="N555" s="14" t="s">
        <v>359</v>
      </c>
      <c r="O555" s="14" t="s">
        <v>646</v>
      </c>
      <c r="P555" s="14">
        <v>190</v>
      </c>
      <c r="Q555" s="14">
        <v>2</v>
      </c>
      <c r="R555" s="14">
        <v>4700</v>
      </c>
      <c r="S555" s="14" t="s">
        <v>647</v>
      </c>
      <c r="T555" s="14" t="s">
        <v>648</v>
      </c>
      <c r="U555" s="14">
        <v>2.3288888888888799</v>
      </c>
      <c r="V555" s="14">
        <v>2.52111111111111</v>
      </c>
      <c r="W555" s="14">
        <v>1654</v>
      </c>
      <c r="X555" s="14">
        <v>80</v>
      </c>
      <c r="Y555" s="14">
        <v>1574</v>
      </c>
      <c r="Z555" s="14">
        <v>1446</v>
      </c>
      <c r="AA555" s="14">
        <v>251</v>
      </c>
      <c r="AB555" s="14">
        <v>267</v>
      </c>
      <c r="AC555" s="14">
        <v>849</v>
      </c>
      <c r="AD555" s="14">
        <v>79</v>
      </c>
      <c r="AE555" s="14">
        <v>3100</v>
      </c>
      <c r="AF555" s="14">
        <v>5000</v>
      </c>
      <c r="AG555" s="14">
        <v>5228</v>
      </c>
      <c r="AH555" s="14">
        <v>0</v>
      </c>
      <c r="AI555" s="14">
        <v>139</v>
      </c>
      <c r="AJ555" s="14">
        <v>273</v>
      </c>
      <c r="AK555" s="14" t="s">
        <v>644</v>
      </c>
      <c r="AL555" s="14" t="s">
        <v>649</v>
      </c>
      <c r="AM555" s="14">
        <v>656.69</v>
      </c>
      <c r="AN555" s="14">
        <v>624.6</v>
      </c>
      <c r="AO555" s="14">
        <v>54.99</v>
      </c>
      <c r="AP555" s="14">
        <v>21005</v>
      </c>
      <c r="AQ555" s="14">
        <v>20925</v>
      </c>
      <c r="AR555" s="14">
        <v>23000</v>
      </c>
      <c r="AS555" s="14">
        <v>17905</v>
      </c>
      <c r="AT555" s="14">
        <v>19351</v>
      </c>
      <c r="AU555" s="14">
        <v>25</v>
      </c>
      <c r="AV555" s="14">
        <v>289.58</v>
      </c>
      <c r="AW555" s="14">
        <v>30.02</v>
      </c>
      <c r="AX555" s="14">
        <v>1.91</v>
      </c>
      <c r="AY555" s="14" t="b">
        <v>0</v>
      </c>
    </row>
    <row r="556" spans="1:51" hidden="1" x14ac:dyDescent="0.3">
      <c r="A556" t="str">
        <f>CONCATENATE(I556,E556,LEFT(G556,10))</f>
        <v>HFA704LGAV2026-01-25</v>
      </c>
      <c r="B556" s="14" t="s">
        <v>5162</v>
      </c>
      <c r="C556" s="14" t="s">
        <v>336</v>
      </c>
      <c r="D556" s="14" t="s">
        <v>337</v>
      </c>
      <c r="E556" s="14" t="s">
        <v>48</v>
      </c>
      <c r="F556" s="14" t="s">
        <v>43</v>
      </c>
      <c r="G556" s="14" t="s">
        <v>5163</v>
      </c>
      <c r="H556" s="14" t="s">
        <v>436</v>
      </c>
      <c r="I556" s="14" t="s">
        <v>52</v>
      </c>
      <c r="J556" s="14" t="s">
        <v>83</v>
      </c>
      <c r="K556" s="14" t="s">
        <v>340</v>
      </c>
      <c r="L556" s="14" t="s">
        <v>341</v>
      </c>
      <c r="M556" s="16" t="s">
        <v>5164</v>
      </c>
      <c r="N556" s="14" t="s">
        <v>359</v>
      </c>
      <c r="O556" s="14" t="s">
        <v>5165</v>
      </c>
      <c r="P556" s="14">
        <v>150</v>
      </c>
      <c r="Q556" s="14">
        <v>2</v>
      </c>
      <c r="R556" s="14">
        <v>6500</v>
      </c>
      <c r="S556" s="14" t="s">
        <v>5166</v>
      </c>
      <c r="T556" s="14" t="s">
        <v>5167</v>
      </c>
      <c r="U556" s="14">
        <v>2.5066666666666602</v>
      </c>
      <c r="V556" s="14">
        <v>2.6472222222222199</v>
      </c>
      <c r="W556" s="14">
        <v>1802</v>
      </c>
      <c r="X556" s="14">
        <v>80</v>
      </c>
      <c r="Y556" s="14">
        <v>1722</v>
      </c>
      <c r="Z556" s="14">
        <v>1198</v>
      </c>
      <c r="AA556" s="14">
        <v>261</v>
      </c>
      <c r="AB556" s="14">
        <v>281</v>
      </c>
      <c r="AC556" s="14">
        <v>569</v>
      </c>
      <c r="AD556" s="14">
        <v>86</v>
      </c>
      <c r="AE556" s="14">
        <v>3000</v>
      </c>
      <c r="AF556" s="14">
        <v>5000</v>
      </c>
      <c r="AG556" s="14">
        <v>5695</v>
      </c>
      <c r="AH556" s="14">
        <v>0</v>
      </c>
      <c r="AI556" s="14">
        <v>145</v>
      </c>
      <c r="AJ556" s="14">
        <v>251</v>
      </c>
      <c r="AK556" s="14" t="s">
        <v>5163</v>
      </c>
      <c r="AL556" s="14" t="s">
        <v>5168</v>
      </c>
      <c r="AM556" s="14">
        <v>645.69000000000005</v>
      </c>
      <c r="AN556" s="14">
        <v>624.6</v>
      </c>
      <c r="AO556" s="14">
        <v>54.99</v>
      </c>
      <c r="AP556" s="14">
        <v>22705</v>
      </c>
      <c r="AQ556" s="14">
        <v>22625</v>
      </c>
      <c r="AR556" s="14">
        <v>23000</v>
      </c>
      <c r="AS556" s="14">
        <v>19705</v>
      </c>
      <c r="AT556" s="14">
        <v>20903</v>
      </c>
      <c r="AU556" s="14">
        <v>9</v>
      </c>
      <c r="AV556" s="14">
        <v>237.92</v>
      </c>
      <c r="AW556" s="14">
        <v>22</v>
      </c>
      <c r="AX556" s="14">
        <v>6.13</v>
      </c>
      <c r="AY556" s="14" t="b">
        <v>0</v>
      </c>
    </row>
    <row r="557" spans="1:51" hidden="1" x14ac:dyDescent="0.3">
      <c r="A557" t="str">
        <f>CONCATENATE(I557,E557,LEFT(G557,10))</f>
        <v>HFA704LGAV2026-01-26</v>
      </c>
      <c r="B557" s="14" t="s">
        <v>2964</v>
      </c>
      <c r="C557" s="14" t="s">
        <v>336</v>
      </c>
      <c r="D557" s="14" t="s">
        <v>337</v>
      </c>
      <c r="E557" s="14" t="s">
        <v>48</v>
      </c>
      <c r="F557" s="14" t="s">
        <v>43</v>
      </c>
      <c r="G557" s="14" t="s">
        <v>2965</v>
      </c>
      <c r="H557" s="14" t="s">
        <v>436</v>
      </c>
      <c r="I557" s="14" t="s">
        <v>52</v>
      </c>
      <c r="J557" s="14" t="s">
        <v>83</v>
      </c>
      <c r="K557" s="14" t="s">
        <v>340</v>
      </c>
      <c r="L557" s="14" t="s">
        <v>341</v>
      </c>
      <c r="M557" s="16" t="s">
        <v>2966</v>
      </c>
      <c r="N557" s="14" t="s">
        <v>359</v>
      </c>
      <c r="O557" s="14" t="s">
        <v>360</v>
      </c>
      <c r="P557" s="14">
        <v>190</v>
      </c>
      <c r="Q557" s="14">
        <v>3</v>
      </c>
      <c r="R557" s="14">
        <v>5900</v>
      </c>
      <c r="S557" s="14" t="s">
        <v>2967</v>
      </c>
      <c r="T557" s="14" t="s">
        <v>2968</v>
      </c>
      <c r="U557" s="14">
        <v>2.4577777777777698</v>
      </c>
      <c r="V557" s="14">
        <v>2.6655555555555499</v>
      </c>
      <c r="W557" s="14">
        <v>1767</v>
      </c>
      <c r="X557" s="14">
        <v>80</v>
      </c>
      <c r="Y557" s="14">
        <v>1687</v>
      </c>
      <c r="Z557" s="14">
        <v>1533</v>
      </c>
      <c r="AA557" s="14">
        <v>269</v>
      </c>
      <c r="AB557" s="14">
        <v>279</v>
      </c>
      <c r="AC557" s="14">
        <v>901</v>
      </c>
      <c r="AD557" s="14">
        <v>84</v>
      </c>
      <c r="AE557" s="14">
        <v>3300</v>
      </c>
      <c r="AF557" s="14">
        <v>5000</v>
      </c>
      <c r="AG557" s="14">
        <v>5583</v>
      </c>
      <c r="AH557" s="14">
        <v>0</v>
      </c>
      <c r="AI557" s="14">
        <v>146</v>
      </c>
      <c r="AJ557" s="14">
        <v>289</v>
      </c>
      <c r="AK557" s="14" t="s">
        <v>2965</v>
      </c>
      <c r="AL557" s="14" t="s">
        <v>2969</v>
      </c>
      <c r="AM557" s="14">
        <v>645.69000000000005</v>
      </c>
      <c r="AN557" s="14">
        <v>624.6</v>
      </c>
      <c r="AO557" s="14">
        <v>54.99</v>
      </c>
      <c r="AP557" s="14">
        <v>22405</v>
      </c>
      <c r="AQ557" s="14">
        <v>22325</v>
      </c>
      <c r="AR557" s="14">
        <v>23000</v>
      </c>
      <c r="AS557" s="14">
        <v>19105</v>
      </c>
      <c r="AT557" s="14">
        <v>20638</v>
      </c>
      <c r="AU557" s="14">
        <v>8</v>
      </c>
      <c r="AV557" s="14">
        <v>224.83</v>
      </c>
      <c r="AW557" s="14">
        <v>45.94</v>
      </c>
      <c r="AX557" s="14">
        <v>-1.04</v>
      </c>
      <c r="AY557" s="14" t="b">
        <v>0</v>
      </c>
    </row>
    <row r="558" spans="1:51" hidden="1" x14ac:dyDescent="0.3">
      <c r="A558" t="str">
        <f>CONCATENATE(I558,E558,LEFT(G558,10))</f>
        <v>HFA704LGAV2026-01-27</v>
      </c>
      <c r="B558" s="14" t="s">
        <v>944</v>
      </c>
      <c r="C558" s="14" t="s">
        <v>336</v>
      </c>
      <c r="D558" s="14" t="s">
        <v>337</v>
      </c>
      <c r="E558" s="14" t="s">
        <v>48</v>
      </c>
      <c r="F558" s="14" t="s">
        <v>43</v>
      </c>
      <c r="G558" s="14" t="s">
        <v>945</v>
      </c>
      <c r="H558" s="14" t="s">
        <v>357</v>
      </c>
      <c r="I558" s="14" t="s">
        <v>52</v>
      </c>
      <c r="J558" s="14" t="s">
        <v>83</v>
      </c>
      <c r="K558" s="14" t="s">
        <v>340</v>
      </c>
      <c r="L558" s="14" t="s">
        <v>341</v>
      </c>
      <c r="M558" s="16" t="s">
        <v>946</v>
      </c>
      <c r="N558" s="14" t="s">
        <v>359</v>
      </c>
      <c r="O558" s="14" t="s">
        <v>947</v>
      </c>
      <c r="P558" s="14">
        <v>190</v>
      </c>
      <c r="Q558" s="14">
        <v>2</v>
      </c>
      <c r="R558" s="14">
        <v>2200</v>
      </c>
      <c r="S558" s="14" t="s">
        <v>948</v>
      </c>
      <c r="T558" s="14" t="s">
        <v>949</v>
      </c>
      <c r="U558" s="14">
        <v>2.4375</v>
      </c>
      <c r="V558" s="14">
        <v>2.76</v>
      </c>
      <c r="W558" s="14">
        <v>1641</v>
      </c>
      <c r="X558" s="14">
        <v>80</v>
      </c>
      <c r="Y558" s="14">
        <v>1561</v>
      </c>
      <c r="Z558" s="14">
        <v>1759</v>
      </c>
      <c r="AA558" s="14">
        <v>251</v>
      </c>
      <c r="AB558" s="14">
        <v>249</v>
      </c>
      <c r="AC558" s="14">
        <v>1181</v>
      </c>
      <c r="AD558" s="14">
        <v>78</v>
      </c>
      <c r="AE558" s="14">
        <v>3400</v>
      </c>
      <c r="AF558" s="14">
        <v>5000</v>
      </c>
      <c r="AG558" s="14">
        <v>5184</v>
      </c>
      <c r="AH558" s="14">
        <v>0</v>
      </c>
      <c r="AI558" s="14">
        <v>140</v>
      </c>
      <c r="AJ558" s="14">
        <v>306</v>
      </c>
      <c r="AK558" s="14" t="s">
        <v>945</v>
      </c>
      <c r="AL558" s="14" t="s">
        <v>950</v>
      </c>
      <c r="AM558" s="14">
        <v>645.69000000000005</v>
      </c>
      <c r="AN558" s="14">
        <v>624.6</v>
      </c>
      <c r="AO558" s="14">
        <v>54.99</v>
      </c>
      <c r="AP558" s="14">
        <v>18825</v>
      </c>
      <c r="AQ558" s="14">
        <v>18745</v>
      </c>
      <c r="AR558" s="14">
        <v>23000</v>
      </c>
      <c r="AS558" s="14">
        <v>15425</v>
      </c>
      <c r="AT558" s="14">
        <v>17184</v>
      </c>
      <c r="AU558" s="14">
        <v>11</v>
      </c>
      <c r="AV558" s="14">
        <v>254.49</v>
      </c>
      <c r="AW558" s="14">
        <v>16.760000000000002</v>
      </c>
      <c r="AX558" s="14">
        <v>-3.38</v>
      </c>
      <c r="AY558" s="14" t="b">
        <v>0</v>
      </c>
    </row>
    <row r="559" spans="1:51" hidden="1" x14ac:dyDescent="0.3">
      <c r="A559" t="str">
        <f>CONCATENATE(I559,E559,LEFT(G559,10))</f>
        <v>HFA704LGAV2026-01-31</v>
      </c>
      <c r="B559" s="14" t="s">
        <v>2383</v>
      </c>
      <c r="C559" s="14" t="s">
        <v>336</v>
      </c>
      <c r="D559" s="14" t="s">
        <v>337</v>
      </c>
      <c r="E559" s="14" t="s">
        <v>48</v>
      </c>
      <c r="F559" s="14" t="s">
        <v>43</v>
      </c>
      <c r="G559" s="14" t="s">
        <v>2384</v>
      </c>
      <c r="H559" s="14" t="s">
        <v>436</v>
      </c>
      <c r="I559" s="14" t="s">
        <v>52</v>
      </c>
      <c r="J559" s="14" t="s">
        <v>83</v>
      </c>
      <c r="K559" s="14" t="s">
        <v>340</v>
      </c>
      <c r="L559" s="14" t="s">
        <v>341</v>
      </c>
      <c r="M559" s="16" t="s">
        <v>1090</v>
      </c>
      <c r="N559" s="14" t="s">
        <v>359</v>
      </c>
      <c r="O559" s="14" t="s">
        <v>1169</v>
      </c>
      <c r="P559" s="14">
        <v>150</v>
      </c>
      <c r="Q559" s="14">
        <v>2</v>
      </c>
      <c r="R559" s="14">
        <v>3300</v>
      </c>
      <c r="S559" s="14" t="s">
        <v>2385</v>
      </c>
      <c r="T559" s="14" t="s">
        <v>2386</v>
      </c>
      <c r="U559" s="14">
        <v>2.2288888888888798</v>
      </c>
      <c r="V559" s="14">
        <v>2.3997222222222199</v>
      </c>
      <c r="W559" s="14">
        <v>1661</v>
      </c>
      <c r="X559" s="14">
        <v>80</v>
      </c>
      <c r="Y559" s="14">
        <v>1581</v>
      </c>
      <c r="Z559" s="14">
        <v>1939</v>
      </c>
      <c r="AA559" s="14">
        <v>258</v>
      </c>
      <c r="AB559" s="14">
        <v>260</v>
      </c>
      <c r="AC559" s="14">
        <v>1342</v>
      </c>
      <c r="AD559" s="14">
        <v>79</v>
      </c>
      <c r="AE559" s="14">
        <v>3600</v>
      </c>
      <c r="AF559" s="14">
        <v>5000</v>
      </c>
      <c r="AG559" s="14">
        <v>5248</v>
      </c>
      <c r="AH559" s="14">
        <v>0</v>
      </c>
      <c r="AI559" s="14">
        <v>133</v>
      </c>
      <c r="AJ559" s="14">
        <v>317</v>
      </c>
      <c r="AK559" s="14" t="s">
        <v>2384</v>
      </c>
      <c r="AL559" s="14" t="s">
        <v>2387</v>
      </c>
      <c r="AM559" s="14">
        <v>656.69</v>
      </c>
      <c r="AN559" s="14">
        <v>624.6</v>
      </c>
      <c r="AO559" s="14">
        <v>54.99</v>
      </c>
      <c r="AP559" s="14">
        <v>20105</v>
      </c>
      <c r="AQ559" s="14">
        <v>20025</v>
      </c>
      <c r="AR559" s="14">
        <v>23000</v>
      </c>
      <c r="AS559" s="14">
        <v>16505</v>
      </c>
      <c r="AT559" s="14">
        <v>18444</v>
      </c>
      <c r="AU559" s="14">
        <v>31</v>
      </c>
      <c r="AV559" s="14">
        <v>259.22000000000003</v>
      </c>
      <c r="AW559" s="14">
        <v>46.66</v>
      </c>
      <c r="AX559" s="14">
        <v>1.81</v>
      </c>
      <c r="AY559" s="14" t="b">
        <v>0</v>
      </c>
    </row>
    <row r="560" spans="1:51" hidden="1" x14ac:dyDescent="0.3">
      <c r="A560" t="str">
        <f>CONCATENATE(I560,E560,LEFT(G560,10))</f>
        <v>HFA704LGAV2026-02-01</v>
      </c>
      <c r="B560" s="14" t="s">
        <v>1989</v>
      </c>
      <c r="C560" s="14" t="s">
        <v>336</v>
      </c>
      <c r="D560" s="14" t="s">
        <v>337</v>
      </c>
      <c r="E560" s="14" t="s">
        <v>48</v>
      </c>
      <c r="F560" s="14" t="s">
        <v>43</v>
      </c>
      <c r="G560" s="14" t="s">
        <v>1990</v>
      </c>
      <c r="H560" s="14" t="s">
        <v>371</v>
      </c>
      <c r="I560" s="14" t="s">
        <v>52</v>
      </c>
      <c r="J560" s="14" t="s">
        <v>83</v>
      </c>
      <c r="K560" s="14" t="s">
        <v>340</v>
      </c>
      <c r="L560" s="14" t="s">
        <v>341</v>
      </c>
      <c r="M560" s="16" t="s">
        <v>1991</v>
      </c>
      <c r="N560" s="14"/>
      <c r="O560" s="14" t="s">
        <v>947</v>
      </c>
      <c r="P560" s="14">
        <v>190</v>
      </c>
      <c r="Q560" s="14">
        <v>2</v>
      </c>
      <c r="R560" s="14">
        <v>6700</v>
      </c>
      <c r="S560" s="14" t="s">
        <v>1992</v>
      </c>
      <c r="T560" s="14" t="s">
        <v>1993</v>
      </c>
      <c r="U560" s="14">
        <v>2.5833333333333299</v>
      </c>
      <c r="V560" s="14">
        <v>2.7722222222222199</v>
      </c>
      <c r="W560" s="14">
        <v>1762</v>
      </c>
      <c r="X560" s="14">
        <v>80</v>
      </c>
      <c r="Y560" s="14">
        <v>1682</v>
      </c>
      <c r="Z560" s="14">
        <v>938</v>
      </c>
      <c r="AA560" s="14">
        <v>271</v>
      </c>
      <c r="AB560" s="14">
        <v>283</v>
      </c>
      <c r="AC560" s="14">
        <v>299</v>
      </c>
      <c r="AD560" s="14">
        <v>84</v>
      </c>
      <c r="AE560" s="14">
        <v>2700</v>
      </c>
      <c r="AF560" s="14">
        <v>5000</v>
      </c>
      <c r="AG560" s="14">
        <v>5568</v>
      </c>
      <c r="AH560" s="14">
        <v>0</v>
      </c>
      <c r="AI560" s="14">
        <v>148</v>
      </c>
      <c r="AJ560" s="14">
        <v>233</v>
      </c>
      <c r="AK560" s="14" t="s">
        <v>1990</v>
      </c>
      <c r="AL560" s="14" t="s">
        <v>1994</v>
      </c>
      <c r="AM560" s="14">
        <v>645.69000000000005</v>
      </c>
      <c r="AN560" s="14">
        <v>624.6</v>
      </c>
      <c r="AO560" s="14">
        <v>54.99</v>
      </c>
      <c r="AP560" s="14">
        <v>22900</v>
      </c>
      <c r="AQ560" s="14">
        <v>22820</v>
      </c>
      <c r="AR560" s="14">
        <v>23000</v>
      </c>
      <c r="AS560" s="14">
        <v>20200</v>
      </c>
      <c r="AT560" s="14">
        <v>21138</v>
      </c>
      <c r="AU560" s="14">
        <v>6</v>
      </c>
      <c r="AV560" s="14">
        <v>220.54</v>
      </c>
      <c r="AW560" s="14">
        <v>52.67</v>
      </c>
      <c r="AX560" s="14">
        <v>1.72</v>
      </c>
      <c r="AY560" s="14" t="b">
        <v>0</v>
      </c>
    </row>
    <row r="561" spans="1:51" hidden="1" x14ac:dyDescent="0.3">
      <c r="A561" t="str">
        <f>CONCATENATE(I561,E561,LEFT(G561,10))</f>
        <v>HFA704LGAV2026-02-02</v>
      </c>
      <c r="B561" s="14" t="s">
        <v>856</v>
      </c>
      <c r="C561" s="14" t="s">
        <v>336</v>
      </c>
      <c r="D561" s="14" t="s">
        <v>337</v>
      </c>
      <c r="E561" s="14" t="s">
        <v>48</v>
      </c>
      <c r="F561" s="14" t="s">
        <v>43</v>
      </c>
      <c r="G561" s="14" t="s">
        <v>857</v>
      </c>
      <c r="H561" s="14" t="s">
        <v>436</v>
      </c>
      <c r="I561" s="14" t="s">
        <v>52</v>
      </c>
      <c r="J561" s="14" t="s">
        <v>83</v>
      </c>
      <c r="K561" s="14" t="s">
        <v>340</v>
      </c>
      <c r="L561" s="14" t="s">
        <v>341</v>
      </c>
      <c r="M561" s="16" t="s">
        <v>858</v>
      </c>
      <c r="N561" s="14" t="s">
        <v>359</v>
      </c>
      <c r="O561" s="14" t="s">
        <v>859</v>
      </c>
      <c r="P561" s="14">
        <v>170</v>
      </c>
      <c r="Q561" s="14">
        <v>2</v>
      </c>
      <c r="R561" s="14">
        <v>5800</v>
      </c>
      <c r="S561" s="14" t="s">
        <v>860</v>
      </c>
      <c r="T561" s="14" t="s">
        <v>861</v>
      </c>
      <c r="U561" s="14">
        <v>2.89027777777777</v>
      </c>
      <c r="V561" s="14">
        <v>3.01555555555555</v>
      </c>
      <c r="W561" s="14">
        <v>1710</v>
      </c>
      <c r="X561" s="14">
        <v>80</v>
      </c>
      <c r="Y561" s="14">
        <v>1630</v>
      </c>
      <c r="Z561" s="14">
        <v>1590</v>
      </c>
      <c r="AA561" s="14">
        <v>266</v>
      </c>
      <c r="AB561" s="14">
        <v>278</v>
      </c>
      <c r="AC561" s="14">
        <v>964</v>
      </c>
      <c r="AD561" s="14">
        <v>82</v>
      </c>
      <c r="AE561" s="14">
        <v>3300</v>
      </c>
      <c r="AF561" s="14">
        <v>5000</v>
      </c>
      <c r="AG561" s="14">
        <v>5403</v>
      </c>
      <c r="AH561" s="14">
        <v>0</v>
      </c>
      <c r="AI561" s="14">
        <v>138</v>
      </c>
      <c r="AJ561" s="14">
        <v>285</v>
      </c>
      <c r="AK561" s="14" t="s">
        <v>857</v>
      </c>
      <c r="AL561" s="14" t="s">
        <v>862</v>
      </c>
      <c r="AM561" s="14">
        <v>656.69</v>
      </c>
      <c r="AN561" s="14">
        <v>624.6</v>
      </c>
      <c r="AO561" s="14">
        <v>54.99</v>
      </c>
      <c r="AP561" s="14">
        <v>22305</v>
      </c>
      <c r="AQ561" s="14">
        <v>22225</v>
      </c>
      <c r="AR561" s="14">
        <v>23000</v>
      </c>
      <c r="AS561" s="14">
        <v>19005</v>
      </c>
      <c r="AT561" s="14">
        <v>20595</v>
      </c>
      <c r="AU561" s="14">
        <v>26</v>
      </c>
      <c r="AV561" s="14">
        <v>255.86</v>
      </c>
      <c r="AW561" s="14">
        <v>39.11</v>
      </c>
      <c r="AX561" s="14">
        <v>-1.42</v>
      </c>
      <c r="AY561" s="14" t="b">
        <v>0</v>
      </c>
    </row>
    <row r="562" spans="1:51" hidden="1" x14ac:dyDescent="0.3">
      <c r="A562" t="str">
        <f>CONCATENATE(I562,E562,LEFT(G562,10))</f>
        <v>HFA704LGAV2026-02-03</v>
      </c>
      <c r="B562" s="14" t="s">
        <v>2426</v>
      </c>
      <c r="C562" s="14" t="s">
        <v>336</v>
      </c>
      <c r="D562" s="14" t="s">
        <v>337</v>
      </c>
      <c r="E562" s="14" t="s">
        <v>48</v>
      </c>
      <c r="F562" s="14" t="s">
        <v>43</v>
      </c>
      <c r="G562" s="14" t="s">
        <v>2427</v>
      </c>
      <c r="H562" s="14" t="s">
        <v>357</v>
      </c>
      <c r="I562" s="14" t="s">
        <v>52</v>
      </c>
      <c r="J562" s="14" t="s">
        <v>83</v>
      </c>
      <c r="K562" s="14" t="s">
        <v>340</v>
      </c>
      <c r="L562" s="14" t="s">
        <v>341</v>
      </c>
      <c r="M562" s="16" t="s">
        <v>2428</v>
      </c>
      <c r="N562" s="14" t="s">
        <v>359</v>
      </c>
      <c r="O562" s="14" t="s">
        <v>2429</v>
      </c>
      <c r="P562" s="14">
        <v>210</v>
      </c>
      <c r="Q562" s="14">
        <v>2</v>
      </c>
      <c r="R562" s="14">
        <v>1800</v>
      </c>
      <c r="S562" s="14" t="s">
        <v>2430</v>
      </c>
      <c r="T562" s="14" t="s">
        <v>2431</v>
      </c>
      <c r="U562" s="14">
        <v>2.1594444444444401</v>
      </c>
      <c r="V562" s="14">
        <v>2.2636111111111101</v>
      </c>
      <c r="W562" s="14">
        <v>1403</v>
      </c>
      <c r="X562" s="14">
        <v>80</v>
      </c>
      <c r="Y562" s="14">
        <v>1323</v>
      </c>
      <c r="Z562" s="14">
        <v>2097</v>
      </c>
      <c r="AA562" s="14">
        <v>241</v>
      </c>
      <c r="AB562" s="14">
        <v>249</v>
      </c>
      <c r="AC562" s="14">
        <v>1541</v>
      </c>
      <c r="AD562" s="14">
        <v>66</v>
      </c>
      <c r="AE562" s="14">
        <v>3500</v>
      </c>
      <c r="AF562" s="14">
        <v>5000</v>
      </c>
      <c r="AG562" s="14">
        <v>4434</v>
      </c>
      <c r="AH562" s="14">
        <v>0</v>
      </c>
      <c r="AI562" s="14">
        <v>129</v>
      </c>
      <c r="AJ562" s="14">
        <v>342</v>
      </c>
      <c r="AK562" s="14" t="s">
        <v>2427</v>
      </c>
      <c r="AL562" s="14" t="s">
        <v>2432</v>
      </c>
      <c r="AM562" s="14">
        <v>656.69</v>
      </c>
      <c r="AN562" s="14">
        <v>624.6</v>
      </c>
      <c r="AO562" s="14">
        <v>54.99</v>
      </c>
      <c r="AP562" s="14">
        <v>18525</v>
      </c>
      <c r="AQ562" s="14">
        <v>18445</v>
      </c>
      <c r="AR562" s="14">
        <v>23000</v>
      </c>
      <c r="AS562" s="14">
        <v>15025</v>
      </c>
      <c r="AT562" s="14">
        <v>17122</v>
      </c>
      <c r="AU562" s="14">
        <v>46</v>
      </c>
      <c r="AV562" s="14">
        <v>311.33</v>
      </c>
      <c r="AW562" s="14">
        <v>53.73</v>
      </c>
      <c r="AX562" s="14">
        <v>4.1900000000000004</v>
      </c>
      <c r="AY562" s="14" t="b">
        <v>0</v>
      </c>
    </row>
    <row r="563" spans="1:51" hidden="1" x14ac:dyDescent="0.3">
      <c r="A563" t="str">
        <f>CONCATENATE(I563,E563,LEFT(G563,10))</f>
        <v>HFA704LGAV2026-02-04</v>
      </c>
      <c r="B563" s="14" t="s">
        <v>5832</v>
      </c>
      <c r="C563" s="14" t="s">
        <v>336</v>
      </c>
      <c r="D563" s="14" t="s">
        <v>337</v>
      </c>
      <c r="E563" s="14" t="s">
        <v>48</v>
      </c>
      <c r="F563" s="14" t="s">
        <v>43</v>
      </c>
      <c r="G563" s="14" t="s">
        <v>5833</v>
      </c>
      <c r="H563" s="14" t="s">
        <v>436</v>
      </c>
      <c r="I563" s="14" t="s">
        <v>52</v>
      </c>
      <c r="J563" s="14" t="s">
        <v>83</v>
      </c>
      <c r="K563" s="14" t="s">
        <v>340</v>
      </c>
      <c r="L563" s="14" t="s">
        <v>341</v>
      </c>
      <c r="M563" s="16" t="s">
        <v>5834</v>
      </c>
      <c r="N563" s="14" t="s">
        <v>359</v>
      </c>
      <c r="O563" s="14" t="s">
        <v>5835</v>
      </c>
      <c r="P563" s="14">
        <v>210</v>
      </c>
      <c r="Q563" s="14">
        <v>2</v>
      </c>
      <c r="R563" s="14">
        <v>2800</v>
      </c>
      <c r="S563" s="14" t="s">
        <v>5836</v>
      </c>
      <c r="T563" s="14" t="s">
        <v>5837</v>
      </c>
      <c r="U563" s="14">
        <v>2.4058333333333302</v>
      </c>
      <c r="V563" s="14">
        <v>2.5844444444444399</v>
      </c>
      <c r="W563" s="14">
        <v>1658</v>
      </c>
      <c r="X563" s="14">
        <v>80</v>
      </c>
      <c r="Y563" s="14">
        <v>1578</v>
      </c>
      <c r="Z563" s="14">
        <v>1742</v>
      </c>
      <c r="AA563" s="14">
        <v>248</v>
      </c>
      <c r="AB563" s="14">
        <v>254</v>
      </c>
      <c r="AC563" s="14">
        <v>1161</v>
      </c>
      <c r="AD563" s="14">
        <v>79</v>
      </c>
      <c r="AE563" s="14">
        <v>3400</v>
      </c>
      <c r="AF563" s="14">
        <v>5000</v>
      </c>
      <c r="AG563" s="14">
        <v>5241</v>
      </c>
      <c r="AH563" s="14">
        <v>0</v>
      </c>
      <c r="AI563" s="14">
        <v>141</v>
      </c>
      <c r="AJ563" s="14">
        <v>301</v>
      </c>
      <c r="AK563" s="14" t="s">
        <v>5833</v>
      </c>
      <c r="AL563" s="14" t="s">
        <v>5838</v>
      </c>
      <c r="AM563" s="14">
        <v>642.29999999999995</v>
      </c>
      <c r="AN563" s="14">
        <v>624.6</v>
      </c>
      <c r="AO563" s="14">
        <v>54.99</v>
      </c>
      <c r="AP563" s="14">
        <v>19405</v>
      </c>
      <c r="AQ563" s="14">
        <v>19325</v>
      </c>
      <c r="AR563" s="14">
        <v>23000</v>
      </c>
      <c r="AS563" s="14">
        <v>16005</v>
      </c>
      <c r="AT563" s="14">
        <v>17747</v>
      </c>
      <c r="AU563" s="14">
        <v>14</v>
      </c>
      <c r="AV563" s="14">
        <v>248.38</v>
      </c>
      <c r="AW563" s="14">
        <v>26.81</v>
      </c>
      <c r="AX563" s="14">
        <v>3.79</v>
      </c>
      <c r="AY563" s="14" t="b">
        <v>0</v>
      </c>
    </row>
    <row r="564" spans="1:51" hidden="1" x14ac:dyDescent="0.3">
      <c r="A564" t="str">
        <f>CONCATENATE(I564,E564,LEFT(G564,10))</f>
        <v>HFA704LGAV2026-02-05</v>
      </c>
      <c r="B564" s="14" t="s">
        <v>4633</v>
      </c>
      <c r="C564" s="14" t="s">
        <v>336</v>
      </c>
      <c r="D564" s="14" t="s">
        <v>337</v>
      </c>
      <c r="E564" s="14" t="s">
        <v>48</v>
      </c>
      <c r="F564" s="14" t="s">
        <v>43</v>
      </c>
      <c r="G564" s="14" t="s">
        <v>4634</v>
      </c>
      <c r="H564" s="14" t="s">
        <v>357</v>
      </c>
      <c r="I564" s="14" t="s">
        <v>52</v>
      </c>
      <c r="J564" s="14" t="s">
        <v>83</v>
      </c>
      <c r="K564" s="14" t="s">
        <v>340</v>
      </c>
      <c r="L564" s="14" t="s">
        <v>341</v>
      </c>
      <c r="M564" s="16" t="s">
        <v>4635</v>
      </c>
      <c r="N564" s="14" t="s">
        <v>359</v>
      </c>
      <c r="O564" s="14" t="s">
        <v>4636</v>
      </c>
      <c r="P564" s="14">
        <v>190</v>
      </c>
      <c r="Q564" s="14">
        <v>3</v>
      </c>
      <c r="R564" s="14">
        <v>1600</v>
      </c>
      <c r="S564" s="14" t="s">
        <v>4637</v>
      </c>
      <c r="T564" s="14" t="s">
        <v>4638</v>
      </c>
      <c r="U564" s="14">
        <v>2.2741666666666598</v>
      </c>
      <c r="V564" s="14">
        <v>2.4</v>
      </c>
      <c r="W564" s="14">
        <v>1558</v>
      </c>
      <c r="X564" s="14">
        <v>80</v>
      </c>
      <c r="Y564" s="14">
        <v>1478</v>
      </c>
      <c r="Z564" s="14">
        <v>2042</v>
      </c>
      <c r="AA564" s="14">
        <v>249</v>
      </c>
      <c r="AB564" s="14">
        <v>247</v>
      </c>
      <c r="AC564" s="14">
        <v>1472</v>
      </c>
      <c r="AD564" s="14">
        <v>74</v>
      </c>
      <c r="AE564" s="14">
        <v>3600</v>
      </c>
      <c r="AF564" s="14">
        <v>5000</v>
      </c>
      <c r="AG564" s="14">
        <v>4924</v>
      </c>
      <c r="AH564" s="14">
        <v>0</v>
      </c>
      <c r="AI564" s="14">
        <v>137</v>
      </c>
      <c r="AJ564" s="14">
        <v>337</v>
      </c>
      <c r="AK564" s="14" t="s">
        <v>4634</v>
      </c>
      <c r="AL564" s="14" t="s">
        <v>4639</v>
      </c>
      <c r="AM564" s="14">
        <v>645.69000000000005</v>
      </c>
      <c r="AN564" s="14">
        <v>624.6</v>
      </c>
      <c r="AO564" s="14">
        <v>54.99</v>
      </c>
      <c r="AP564" s="14">
        <v>18425</v>
      </c>
      <c r="AQ564" s="14">
        <v>18345</v>
      </c>
      <c r="AR564" s="14">
        <v>23000</v>
      </c>
      <c r="AS564" s="14">
        <v>14825</v>
      </c>
      <c r="AT564" s="14">
        <v>16867</v>
      </c>
      <c r="AU564" s="14">
        <v>19</v>
      </c>
      <c r="AV564" s="14">
        <v>241.01</v>
      </c>
      <c r="AW564" s="14">
        <v>43.82</v>
      </c>
      <c r="AX564" s="14">
        <v>3.44</v>
      </c>
      <c r="AY564" s="14" t="b">
        <v>0</v>
      </c>
    </row>
    <row r="565" spans="1:51" hidden="1" x14ac:dyDescent="0.3">
      <c r="A565" t="str">
        <f>CONCATENATE(I565,E565,LEFT(G565,10))</f>
        <v>HFA704LGAV2026-02-07</v>
      </c>
      <c r="B565" s="14" t="s">
        <v>4912</v>
      </c>
      <c r="C565" s="14" t="s">
        <v>336</v>
      </c>
      <c r="D565" s="14" t="s">
        <v>337</v>
      </c>
      <c r="E565" s="14" t="s">
        <v>48</v>
      </c>
      <c r="F565" s="14" t="s">
        <v>43</v>
      </c>
      <c r="G565" s="14" t="s">
        <v>4913</v>
      </c>
      <c r="H565" s="14" t="s">
        <v>436</v>
      </c>
      <c r="I565" s="14" t="s">
        <v>52</v>
      </c>
      <c r="J565" s="14" t="s">
        <v>83</v>
      </c>
      <c r="K565" s="14" t="s">
        <v>340</v>
      </c>
      <c r="L565" s="14" t="s">
        <v>341</v>
      </c>
      <c r="M565" s="16" t="s">
        <v>1090</v>
      </c>
      <c r="N565" s="14" t="s">
        <v>359</v>
      </c>
      <c r="O565" s="14" t="s">
        <v>4914</v>
      </c>
      <c r="P565" s="14">
        <v>210</v>
      </c>
      <c r="Q565" s="14">
        <v>2</v>
      </c>
      <c r="R565" s="14">
        <v>2600</v>
      </c>
      <c r="S565" s="14" t="s">
        <v>4915</v>
      </c>
      <c r="T565" s="14" t="s">
        <v>4916</v>
      </c>
      <c r="U565" s="14">
        <v>2.0358333333333301</v>
      </c>
      <c r="V565" s="14">
        <v>2.24694444444444</v>
      </c>
      <c r="W565" s="14">
        <v>1340</v>
      </c>
      <c r="X565" s="14">
        <v>80</v>
      </c>
      <c r="Y565" s="14">
        <v>1260</v>
      </c>
      <c r="Z565" s="14">
        <v>1960</v>
      </c>
      <c r="AA565" s="14">
        <v>251</v>
      </c>
      <c r="AB565" s="14">
        <v>254</v>
      </c>
      <c r="AC565" s="14">
        <v>1392</v>
      </c>
      <c r="AD565" s="14">
        <v>63</v>
      </c>
      <c r="AE565" s="14">
        <v>3300</v>
      </c>
      <c r="AF565" s="14">
        <v>5000</v>
      </c>
      <c r="AG565" s="14">
        <v>4233</v>
      </c>
      <c r="AH565" s="14">
        <v>0</v>
      </c>
      <c r="AI565" s="14">
        <v>122</v>
      </c>
      <c r="AJ565" s="14">
        <v>319</v>
      </c>
      <c r="AK565" s="14" t="s">
        <v>4913</v>
      </c>
      <c r="AL565" s="14" t="s">
        <v>4917</v>
      </c>
      <c r="AM565" s="14">
        <v>645.69000000000005</v>
      </c>
      <c r="AN565" s="14">
        <v>624.6</v>
      </c>
      <c r="AO565" s="14">
        <v>54.99</v>
      </c>
      <c r="AP565" s="14">
        <v>19105</v>
      </c>
      <c r="AQ565" s="14">
        <v>19025</v>
      </c>
      <c r="AR565" s="14">
        <v>23000</v>
      </c>
      <c r="AS565" s="14">
        <v>15805</v>
      </c>
      <c r="AT565" s="14">
        <v>17765</v>
      </c>
      <c r="AU565" s="14">
        <v>63</v>
      </c>
      <c r="AV565" s="14">
        <v>284.2</v>
      </c>
      <c r="AW565" s="14">
        <v>76</v>
      </c>
      <c r="AX565" s="14">
        <v>7.61</v>
      </c>
      <c r="AY565" s="14" t="b">
        <v>0</v>
      </c>
    </row>
    <row r="566" spans="1:51" hidden="1" x14ac:dyDescent="0.3">
      <c r="A566" t="str">
        <f>CONCATENATE(I566,E566,LEFT(G566,10))</f>
        <v>HFA704LGAV2026-02-08</v>
      </c>
      <c r="B566" s="14" t="s">
        <v>355</v>
      </c>
      <c r="C566" s="14" t="s">
        <v>336</v>
      </c>
      <c r="D566" s="14" t="s">
        <v>337</v>
      </c>
      <c r="E566" s="14" t="s">
        <v>48</v>
      </c>
      <c r="F566" s="14" t="s">
        <v>43</v>
      </c>
      <c r="G566" s="14" t="s">
        <v>356</v>
      </c>
      <c r="H566" s="14" t="s">
        <v>357</v>
      </c>
      <c r="I566" s="14" t="s">
        <v>52</v>
      </c>
      <c r="J566" s="14" t="s">
        <v>83</v>
      </c>
      <c r="K566" s="14" t="s">
        <v>340</v>
      </c>
      <c r="L566" s="14" t="s">
        <v>341</v>
      </c>
      <c r="M566" s="16" t="s">
        <v>358</v>
      </c>
      <c r="N566" s="14" t="s">
        <v>359</v>
      </c>
      <c r="O566" s="14" t="s">
        <v>360</v>
      </c>
      <c r="P566" s="14">
        <v>190</v>
      </c>
      <c r="Q566" s="14">
        <v>2</v>
      </c>
      <c r="R566" s="14">
        <v>6050</v>
      </c>
      <c r="S566" s="14" t="s">
        <v>361</v>
      </c>
      <c r="T566" s="14" t="s">
        <v>362</v>
      </c>
      <c r="U566" s="14">
        <v>2.2219444444444401</v>
      </c>
      <c r="V566" s="14">
        <v>2.395</v>
      </c>
      <c r="W566" s="14">
        <v>1519</v>
      </c>
      <c r="X566" s="14">
        <v>80</v>
      </c>
      <c r="Y566" s="14">
        <v>1439</v>
      </c>
      <c r="Z566" s="14">
        <v>1581</v>
      </c>
      <c r="AA566" s="14">
        <v>260</v>
      </c>
      <c r="AB566" s="14">
        <v>281</v>
      </c>
      <c r="AC566" s="14">
        <v>968</v>
      </c>
      <c r="AD566" s="14">
        <v>72</v>
      </c>
      <c r="AE566" s="14">
        <v>3100</v>
      </c>
      <c r="AF566" s="14">
        <v>5000</v>
      </c>
      <c r="AG566" s="14">
        <v>4800</v>
      </c>
      <c r="AH566" s="14">
        <v>0</v>
      </c>
      <c r="AI566" s="14">
        <v>130</v>
      </c>
      <c r="AJ566" s="14">
        <v>281</v>
      </c>
      <c r="AK566" s="14" t="s">
        <v>356</v>
      </c>
      <c r="AL566" s="14" t="s">
        <v>363</v>
      </c>
      <c r="AM566" s="14">
        <v>645.69000000000005</v>
      </c>
      <c r="AN566" s="14">
        <v>624.6</v>
      </c>
      <c r="AO566" s="14">
        <v>54.99</v>
      </c>
      <c r="AP566" s="14">
        <v>22375</v>
      </c>
      <c r="AQ566" s="14">
        <v>22295</v>
      </c>
      <c r="AR566" s="14">
        <v>23000</v>
      </c>
      <c r="AS566" s="14">
        <v>19275</v>
      </c>
      <c r="AT566" s="14">
        <v>20856</v>
      </c>
      <c r="AU566" s="14">
        <v>47</v>
      </c>
      <c r="AV566" s="14">
        <v>276.85000000000002</v>
      </c>
      <c r="AW566" s="14">
        <v>57.18</v>
      </c>
      <c r="AX566" s="14">
        <v>4.6500000000000004</v>
      </c>
      <c r="AY566" s="14" t="b">
        <v>0</v>
      </c>
    </row>
    <row r="567" spans="1:51" hidden="1" x14ac:dyDescent="0.3">
      <c r="A567" t="str">
        <f>CONCATENATE(I567,E567,LEFT(G567,10))</f>
        <v>HFA704LGAV2026-02-09</v>
      </c>
      <c r="B567" s="14" t="s">
        <v>1223</v>
      </c>
      <c r="C567" s="14" t="s">
        <v>336</v>
      </c>
      <c r="D567" s="14" t="s">
        <v>337</v>
      </c>
      <c r="E567" s="14" t="s">
        <v>48</v>
      </c>
      <c r="F567" s="14" t="s">
        <v>43</v>
      </c>
      <c r="G567" s="14" t="s">
        <v>1224</v>
      </c>
      <c r="H567" s="14" t="s">
        <v>436</v>
      </c>
      <c r="I567" s="14" t="s">
        <v>52</v>
      </c>
      <c r="J567" s="14" t="s">
        <v>83</v>
      </c>
      <c r="K567" s="14" t="s">
        <v>340</v>
      </c>
      <c r="L567" s="14" t="s">
        <v>341</v>
      </c>
      <c r="M567" s="16" t="s">
        <v>1225</v>
      </c>
      <c r="N567" s="14" t="s">
        <v>359</v>
      </c>
      <c r="O567" s="14" t="s">
        <v>1226</v>
      </c>
      <c r="P567" s="14">
        <v>210</v>
      </c>
      <c r="Q567" s="14">
        <v>2</v>
      </c>
      <c r="R567" s="14">
        <v>4500</v>
      </c>
      <c r="S567" s="14" t="s">
        <v>1227</v>
      </c>
      <c r="T567" s="14" t="s">
        <v>1228</v>
      </c>
      <c r="U567" s="14">
        <v>2.3588888888888802</v>
      </c>
      <c r="V567" s="14">
        <v>2.5350000000000001</v>
      </c>
      <c r="W567" s="14">
        <v>1540</v>
      </c>
      <c r="X567" s="14">
        <v>80</v>
      </c>
      <c r="Y567" s="14">
        <v>1460</v>
      </c>
      <c r="Z567" s="14">
        <v>1560</v>
      </c>
      <c r="AA567" s="14">
        <v>262</v>
      </c>
      <c r="AB567" s="14">
        <v>266</v>
      </c>
      <c r="AC567" s="14">
        <v>958</v>
      </c>
      <c r="AD567" s="14">
        <v>73</v>
      </c>
      <c r="AE567" s="14">
        <v>3100</v>
      </c>
      <c r="AF567" s="14">
        <v>5000</v>
      </c>
      <c r="AG567" s="14">
        <v>4867</v>
      </c>
      <c r="AH567" s="14">
        <v>0</v>
      </c>
      <c r="AI567" s="14">
        <v>137</v>
      </c>
      <c r="AJ567" s="14">
        <v>291</v>
      </c>
      <c r="AK567" s="14" t="s">
        <v>1224</v>
      </c>
      <c r="AL567" s="14" t="s">
        <v>1229</v>
      </c>
      <c r="AM567" s="14">
        <v>656.69</v>
      </c>
      <c r="AN567" s="14">
        <v>624.6</v>
      </c>
      <c r="AO567" s="14">
        <v>54.99</v>
      </c>
      <c r="AP567" s="14">
        <v>20805</v>
      </c>
      <c r="AQ567" s="14">
        <v>20725</v>
      </c>
      <c r="AR567" s="14">
        <v>23000</v>
      </c>
      <c r="AS567" s="14">
        <v>17705</v>
      </c>
      <c r="AT567" s="14">
        <v>19265</v>
      </c>
      <c r="AU567" s="14">
        <v>31</v>
      </c>
      <c r="AV567" s="14">
        <v>249.93</v>
      </c>
      <c r="AW567" s="14">
        <v>63.35</v>
      </c>
      <c r="AX567" s="14">
        <v>1.94</v>
      </c>
      <c r="AY567" s="14" t="b">
        <v>0</v>
      </c>
    </row>
    <row r="568" spans="1:51" hidden="1" x14ac:dyDescent="0.3">
      <c r="A568" t="str">
        <f>CONCATENATE(I568,E568,LEFT(G568,10))</f>
        <v>HFA704LGAV2026-02-10</v>
      </c>
      <c r="B568" s="14" t="s">
        <v>4407</v>
      </c>
      <c r="C568" s="14" t="s">
        <v>336</v>
      </c>
      <c r="D568" s="14" t="s">
        <v>337</v>
      </c>
      <c r="E568" s="14" t="s">
        <v>48</v>
      </c>
      <c r="F568" s="14" t="s">
        <v>43</v>
      </c>
      <c r="G568" s="14" t="s">
        <v>4408</v>
      </c>
      <c r="H568" s="14" t="s">
        <v>357</v>
      </c>
      <c r="I568" s="14" t="s">
        <v>52</v>
      </c>
      <c r="J568" s="14" t="s">
        <v>83</v>
      </c>
      <c r="K568" s="14" t="s">
        <v>340</v>
      </c>
      <c r="L568" s="14" t="s">
        <v>341</v>
      </c>
      <c r="M568" s="16" t="s">
        <v>4409</v>
      </c>
      <c r="N568" s="14" t="s">
        <v>359</v>
      </c>
      <c r="O568" s="14" t="s">
        <v>4410</v>
      </c>
      <c r="P568" s="14">
        <v>190</v>
      </c>
      <c r="Q568" s="14">
        <v>2</v>
      </c>
      <c r="R568" s="14">
        <v>2700</v>
      </c>
      <c r="S568" s="14" t="s">
        <v>4411</v>
      </c>
      <c r="T568" s="14" t="s">
        <v>4412</v>
      </c>
      <c r="U568" s="14">
        <v>2.2205555555555501</v>
      </c>
      <c r="V568" s="14">
        <v>2.57666666666666</v>
      </c>
      <c r="W568" s="14">
        <v>1611</v>
      </c>
      <c r="X568" s="14">
        <v>80</v>
      </c>
      <c r="Y568" s="14">
        <v>1531</v>
      </c>
      <c r="Z568" s="14">
        <v>2089</v>
      </c>
      <c r="AA568" s="14">
        <v>252</v>
      </c>
      <c r="AB568" s="14">
        <v>256</v>
      </c>
      <c r="AC568" s="14">
        <v>1504</v>
      </c>
      <c r="AD568" s="14">
        <v>77</v>
      </c>
      <c r="AE568" s="14">
        <v>3700</v>
      </c>
      <c r="AF568" s="14">
        <v>5000</v>
      </c>
      <c r="AG568" s="14">
        <v>5092</v>
      </c>
      <c r="AH568" s="14">
        <v>0</v>
      </c>
      <c r="AI568" s="14">
        <v>135</v>
      </c>
      <c r="AJ568" s="14">
        <v>335</v>
      </c>
      <c r="AK568" s="14" t="s">
        <v>4408</v>
      </c>
      <c r="AL568" s="14" t="s">
        <v>4413</v>
      </c>
      <c r="AM568" s="14">
        <v>656.69</v>
      </c>
      <c r="AN568" s="14">
        <v>624.6</v>
      </c>
      <c r="AO568" s="14">
        <v>54.99</v>
      </c>
      <c r="AP568" s="14">
        <v>19625</v>
      </c>
      <c r="AQ568" s="14">
        <v>19545</v>
      </c>
      <c r="AR568" s="14">
        <v>23000</v>
      </c>
      <c r="AS568" s="14">
        <v>15925</v>
      </c>
      <c r="AT568" s="14">
        <v>18014</v>
      </c>
      <c r="AU568" s="14">
        <v>27</v>
      </c>
      <c r="AV568" s="14">
        <v>270.88</v>
      </c>
      <c r="AW568" s="14">
        <v>34.549999999999997</v>
      </c>
      <c r="AX568" s="14">
        <v>-1.1599999999999999</v>
      </c>
      <c r="AY568" s="14" t="b">
        <v>0</v>
      </c>
    </row>
    <row r="569" spans="1:51" hidden="1" x14ac:dyDescent="0.3">
      <c r="A569" t="str">
        <f>CONCATENATE(I569,E569,LEFT(G569,10))</f>
        <v>HFA704LGAV2026-02-11</v>
      </c>
      <c r="B569" s="14" t="s">
        <v>2668</v>
      </c>
      <c r="C569" s="14" t="s">
        <v>336</v>
      </c>
      <c r="D569" s="14" t="s">
        <v>337</v>
      </c>
      <c r="E569" s="14" t="s">
        <v>48</v>
      </c>
      <c r="F569" s="14" t="s">
        <v>43</v>
      </c>
      <c r="G569" s="14" t="s">
        <v>2669</v>
      </c>
      <c r="H569" s="14" t="s">
        <v>436</v>
      </c>
      <c r="I569" s="14" t="s">
        <v>52</v>
      </c>
      <c r="J569" s="14" t="s">
        <v>83</v>
      </c>
      <c r="K569" s="14" t="s">
        <v>340</v>
      </c>
      <c r="L569" s="14" t="s">
        <v>341</v>
      </c>
      <c r="M569" s="16" t="s">
        <v>2670</v>
      </c>
      <c r="N569" s="14" t="s">
        <v>359</v>
      </c>
      <c r="O569" s="14" t="s">
        <v>2671</v>
      </c>
      <c r="P569" s="14">
        <v>210</v>
      </c>
      <c r="Q569" s="14">
        <v>2</v>
      </c>
      <c r="R569" s="14">
        <v>2500</v>
      </c>
      <c r="S569" s="14" t="s">
        <v>2672</v>
      </c>
      <c r="T569" s="14" t="s">
        <v>2673</v>
      </c>
      <c r="U569" s="14">
        <v>2.2461111111111101</v>
      </c>
      <c r="V569" s="14">
        <v>2.5058333333333298</v>
      </c>
      <c r="W569" s="14">
        <v>1432</v>
      </c>
      <c r="X569" s="14">
        <v>80</v>
      </c>
      <c r="Y569" s="14">
        <v>1352</v>
      </c>
      <c r="Z569" s="14">
        <v>1568</v>
      </c>
      <c r="AA569" s="14">
        <v>256</v>
      </c>
      <c r="AB569" s="14">
        <v>250</v>
      </c>
      <c r="AC569" s="14">
        <v>994</v>
      </c>
      <c r="AD569" s="14">
        <v>68</v>
      </c>
      <c r="AE569" s="14">
        <v>3000</v>
      </c>
      <c r="AF569" s="14">
        <v>5000</v>
      </c>
      <c r="AG569" s="14">
        <v>4524</v>
      </c>
      <c r="AH569" s="14">
        <v>0</v>
      </c>
      <c r="AI569" s="14">
        <v>127</v>
      </c>
      <c r="AJ569" s="14">
        <v>281</v>
      </c>
      <c r="AK569" s="14" t="s">
        <v>2669</v>
      </c>
      <c r="AL569" s="14" t="s">
        <v>2674</v>
      </c>
      <c r="AM569" s="14">
        <v>645.69000000000005</v>
      </c>
      <c r="AN569" s="14">
        <v>624.6</v>
      </c>
      <c r="AO569" s="14">
        <v>54.99</v>
      </c>
      <c r="AP569" s="14">
        <v>18705</v>
      </c>
      <c r="AQ569" s="14">
        <v>18625</v>
      </c>
      <c r="AR569" s="14">
        <v>23000</v>
      </c>
      <c r="AS569" s="14">
        <v>15705</v>
      </c>
      <c r="AT569" s="14">
        <v>17273</v>
      </c>
      <c r="AU569" s="14">
        <v>44</v>
      </c>
      <c r="AV569" s="14">
        <v>286.70999999999998</v>
      </c>
      <c r="AW569" s="14">
        <v>50.67</v>
      </c>
      <c r="AX569" s="14">
        <v>1.05</v>
      </c>
      <c r="AY569" s="14" t="b">
        <v>0</v>
      </c>
    </row>
    <row r="570" spans="1:51" hidden="1" x14ac:dyDescent="0.3">
      <c r="A570" t="str">
        <f>CONCATENATE(I570,E570,LEFT(G570,10))</f>
        <v>HFA704LGAV2026-02-12</v>
      </c>
      <c r="B570" s="14" t="s">
        <v>526</v>
      </c>
      <c r="C570" s="14" t="s">
        <v>336</v>
      </c>
      <c r="D570" s="14" t="s">
        <v>337</v>
      </c>
      <c r="E570" s="14" t="s">
        <v>48</v>
      </c>
      <c r="F570" s="14" t="s">
        <v>43</v>
      </c>
      <c r="G570" s="14" t="s">
        <v>527</v>
      </c>
      <c r="H570" s="14" t="s">
        <v>357</v>
      </c>
      <c r="I570" s="14" t="s">
        <v>52</v>
      </c>
      <c r="J570" s="14" t="s">
        <v>83</v>
      </c>
      <c r="K570" s="14" t="s">
        <v>340</v>
      </c>
      <c r="L570" s="14" t="s">
        <v>341</v>
      </c>
      <c r="M570" s="16" t="s">
        <v>528</v>
      </c>
      <c r="N570" s="14" t="s">
        <v>359</v>
      </c>
      <c r="O570" s="14" t="s">
        <v>529</v>
      </c>
      <c r="P570" s="14">
        <v>150</v>
      </c>
      <c r="Q570" s="14">
        <v>2</v>
      </c>
      <c r="R570" s="14">
        <v>3800</v>
      </c>
      <c r="S570" s="14" t="s">
        <v>530</v>
      </c>
      <c r="T570" s="14" t="s">
        <v>531</v>
      </c>
      <c r="U570" s="14">
        <v>2.2149999999999999</v>
      </c>
      <c r="V570" s="14">
        <v>2.4588888888888798</v>
      </c>
      <c r="W570" s="14">
        <v>1603</v>
      </c>
      <c r="X570" s="14">
        <v>80</v>
      </c>
      <c r="Y570" s="14">
        <v>1523</v>
      </c>
      <c r="Z570" s="14">
        <v>1797</v>
      </c>
      <c r="AA570" s="14">
        <v>261</v>
      </c>
      <c r="AB570" s="14">
        <v>263</v>
      </c>
      <c r="AC570" s="14">
        <v>1197</v>
      </c>
      <c r="AD570" s="14">
        <v>76</v>
      </c>
      <c r="AE570" s="14">
        <v>3400</v>
      </c>
      <c r="AF570" s="14">
        <v>5000</v>
      </c>
      <c r="AG570" s="14">
        <v>5065</v>
      </c>
      <c r="AH570" s="14">
        <v>0</v>
      </c>
      <c r="AI570" s="14">
        <v>132</v>
      </c>
      <c r="AJ570" s="14">
        <v>304</v>
      </c>
      <c r="AK570" s="14" t="s">
        <v>527</v>
      </c>
      <c r="AL570" s="14" t="s">
        <v>532</v>
      </c>
      <c r="AM570" s="14">
        <v>645.69000000000005</v>
      </c>
      <c r="AN570" s="14">
        <v>624.6</v>
      </c>
      <c r="AO570" s="14">
        <v>54.99</v>
      </c>
      <c r="AP570" s="14">
        <v>20425</v>
      </c>
      <c r="AQ570" s="14">
        <v>20345</v>
      </c>
      <c r="AR570" s="14">
        <v>23000</v>
      </c>
      <c r="AS570" s="14">
        <v>17025</v>
      </c>
      <c r="AT570" s="14">
        <v>18822</v>
      </c>
      <c r="AU570" s="14">
        <v>31</v>
      </c>
      <c r="AV570" s="14">
        <v>259.33</v>
      </c>
      <c r="AW570" s="14">
        <v>44.03</v>
      </c>
      <c r="AX570" s="14">
        <v>2.34</v>
      </c>
      <c r="AY570" s="14" t="b">
        <v>0</v>
      </c>
    </row>
    <row r="571" spans="1:51" hidden="1" x14ac:dyDescent="0.3">
      <c r="A571" t="str">
        <f>CONCATENATE(I571,E571,LEFT(G571,10))</f>
        <v>HFA704LGAV2026-02-14</v>
      </c>
      <c r="B571" s="14" t="s">
        <v>4279</v>
      </c>
      <c r="C571" s="14" t="s">
        <v>336</v>
      </c>
      <c r="D571" s="14" t="s">
        <v>337</v>
      </c>
      <c r="E571" s="14" t="s">
        <v>48</v>
      </c>
      <c r="F571" s="14" t="s">
        <v>43</v>
      </c>
      <c r="G571" s="14" t="s">
        <v>4280</v>
      </c>
      <c r="H571" s="14" t="s">
        <v>436</v>
      </c>
      <c r="I571" s="14" t="s">
        <v>52</v>
      </c>
      <c r="J571" s="14" t="s">
        <v>83</v>
      </c>
      <c r="K571" s="14" t="s">
        <v>340</v>
      </c>
      <c r="L571" s="14" t="s">
        <v>341</v>
      </c>
      <c r="M571" s="16" t="s">
        <v>1225</v>
      </c>
      <c r="N571" s="14" t="s">
        <v>359</v>
      </c>
      <c r="O571" s="14" t="s">
        <v>4281</v>
      </c>
      <c r="P571" s="14">
        <v>170</v>
      </c>
      <c r="Q571" s="14">
        <v>2</v>
      </c>
      <c r="R571" s="14">
        <v>6100</v>
      </c>
      <c r="S571" s="14" t="s">
        <v>4282</v>
      </c>
      <c r="T571" s="14" t="s">
        <v>4283</v>
      </c>
      <c r="U571" s="14">
        <v>2.3352777777777698</v>
      </c>
      <c r="V571" s="14">
        <v>2.5647222222222199</v>
      </c>
      <c r="W571" s="14">
        <v>1622</v>
      </c>
      <c r="X571" s="14">
        <v>80</v>
      </c>
      <c r="Y571" s="14">
        <v>1542</v>
      </c>
      <c r="Z571" s="14">
        <v>1578</v>
      </c>
      <c r="AA571" s="14">
        <v>258</v>
      </c>
      <c r="AB571" s="14">
        <v>281</v>
      </c>
      <c r="AC571" s="14">
        <v>963</v>
      </c>
      <c r="AD571" s="14">
        <v>77</v>
      </c>
      <c r="AE571" s="14">
        <v>3200</v>
      </c>
      <c r="AF571" s="14">
        <v>5000</v>
      </c>
      <c r="AG571" s="14">
        <v>5124</v>
      </c>
      <c r="AH571" s="14">
        <v>0</v>
      </c>
      <c r="AI571" s="14">
        <v>136</v>
      </c>
      <c r="AJ571" s="14">
        <v>279</v>
      </c>
      <c r="AK571" s="14" t="s">
        <v>4280</v>
      </c>
      <c r="AL571" s="14" t="s">
        <v>4284</v>
      </c>
      <c r="AM571" s="14">
        <v>645.69000000000005</v>
      </c>
      <c r="AN571" s="14">
        <v>624.6</v>
      </c>
      <c r="AO571" s="14">
        <v>54.99</v>
      </c>
      <c r="AP571" s="14">
        <v>22505</v>
      </c>
      <c r="AQ571" s="14">
        <v>22425</v>
      </c>
      <c r="AR571" s="14">
        <v>23000</v>
      </c>
      <c r="AS571" s="14">
        <v>19305</v>
      </c>
      <c r="AT571" s="14">
        <v>20883</v>
      </c>
      <c r="AU571" s="14">
        <v>31</v>
      </c>
      <c r="AV571" s="14">
        <v>271.57</v>
      </c>
      <c r="AW571" s="14">
        <v>39.49</v>
      </c>
      <c r="AX571" s="14">
        <v>6.47</v>
      </c>
      <c r="AY571" s="14" t="b">
        <v>0</v>
      </c>
    </row>
    <row r="572" spans="1:51" hidden="1" x14ac:dyDescent="0.3">
      <c r="A572" t="str">
        <f>CONCATENATE(I572,E572,LEFT(G572,10))</f>
        <v>HFA704LGAV2026-02-15</v>
      </c>
      <c r="B572" s="14" t="s">
        <v>4174</v>
      </c>
      <c r="C572" s="14" t="s">
        <v>336</v>
      </c>
      <c r="D572" s="14" t="s">
        <v>337</v>
      </c>
      <c r="E572" s="14" t="s">
        <v>48</v>
      </c>
      <c r="F572" s="14" t="s">
        <v>43</v>
      </c>
      <c r="G572" s="14" t="s">
        <v>4175</v>
      </c>
      <c r="H572" s="14" t="s">
        <v>357</v>
      </c>
      <c r="I572" s="14" t="s">
        <v>52</v>
      </c>
      <c r="J572" s="14" t="s">
        <v>83</v>
      </c>
      <c r="K572" s="14" t="s">
        <v>340</v>
      </c>
      <c r="L572" s="14" t="s">
        <v>341</v>
      </c>
      <c r="M572" s="16" t="s">
        <v>4176</v>
      </c>
      <c r="N572" s="14" t="s">
        <v>359</v>
      </c>
      <c r="O572" s="14" t="s">
        <v>4177</v>
      </c>
      <c r="P572" s="14">
        <v>190</v>
      </c>
      <c r="Q572" s="14">
        <v>2</v>
      </c>
      <c r="R572" s="14">
        <v>5300</v>
      </c>
      <c r="S572" s="14" t="s">
        <v>4178</v>
      </c>
      <c r="T572" s="14" t="s">
        <v>4179</v>
      </c>
      <c r="U572" s="14">
        <v>2.4905555555555501</v>
      </c>
      <c r="V572" s="14">
        <v>2.76416666666666</v>
      </c>
      <c r="W572" s="14">
        <v>1639</v>
      </c>
      <c r="X572" s="14">
        <v>80</v>
      </c>
      <c r="Y572" s="14">
        <v>1559</v>
      </c>
      <c r="Z572" s="14">
        <v>1961</v>
      </c>
      <c r="AA572" s="14">
        <v>255</v>
      </c>
      <c r="AB572" s="14">
        <v>277</v>
      </c>
      <c r="AC572" s="14">
        <v>1351</v>
      </c>
      <c r="AD572" s="14">
        <v>78</v>
      </c>
      <c r="AE572" s="14">
        <v>3600</v>
      </c>
      <c r="AF572" s="14">
        <v>5000</v>
      </c>
      <c r="AG572" s="14">
        <v>5178</v>
      </c>
      <c r="AH572" s="14">
        <v>0</v>
      </c>
      <c r="AI572" s="14">
        <v>146</v>
      </c>
      <c r="AJ572" s="14">
        <v>340</v>
      </c>
      <c r="AK572" s="14" t="s">
        <v>4175</v>
      </c>
      <c r="AL572" s="14" t="s">
        <v>4180</v>
      </c>
      <c r="AM572" s="14">
        <v>645.69000000000005</v>
      </c>
      <c r="AN572" s="14">
        <v>624.6</v>
      </c>
      <c r="AO572" s="14">
        <v>54.99</v>
      </c>
      <c r="AP572" s="14">
        <v>22125</v>
      </c>
      <c r="AQ572" s="14">
        <v>22045</v>
      </c>
      <c r="AR572" s="14">
        <v>23000</v>
      </c>
      <c r="AS572" s="14">
        <v>18525</v>
      </c>
      <c r="AT572" s="14">
        <v>20486</v>
      </c>
      <c r="AU572" s="14">
        <v>11</v>
      </c>
      <c r="AV572" s="14">
        <v>225.68</v>
      </c>
      <c r="AW572" s="14">
        <v>65.930000000000007</v>
      </c>
      <c r="AX572" s="14">
        <v>7.03</v>
      </c>
      <c r="AY572" s="14" t="b">
        <v>0</v>
      </c>
    </row>
    <row r="573" spans="1:51" hidden="1" x14ac:dyDescent="0.3">
      <c r="A573" t="str">
        <f>CONCATENATE(I573,E573,LEFT(G573,10))</f>
        <v>HFA704LGAV2026-02-16</v>
      </c>
      <c r="B573" s="14" t="s">
        <v>4081</v>
      </c>
      <c r="C573" s="14" t="s">
        <v>336</v>
      </c>
      <c r="D573" s="14" t="s">
        <v>337</v>
      </c>
      <c r="E573" s="14" t="s">
        <v>48</v>
      </c>
      <c r="F573" s="14" t="s">
        <v>43</v>
      </c>
      <c r="G573" s="14" t="s">
        <v>4082</v>
      </c>
      <c r="H573" s="14" t="s">
        <v>393</v>
      </c>
      <c r="I573" s="14" t="s">
        <v>52</v>
      </c>
      <c r="J573" s="14" t="s">
        <v>83</v>
      </c>
      <c r="K573" s="14" t="s">
        <v>340</v>
      </c>
      <c r="L573" s="14" t="s">
        <v>341</v>
      </c>
      <c r="M573" s="16" t="s">
        <v>1867</v>
      </c>
      <c r="N573" s="14"/>
      <c r="O573" s="14" t="s">
        <v>4083</v>
      </c>
      <c r="P573" s="14">
        <v>170</v>
      </c>
      <c r="Q573" s="14">
        <v>2</v>
      </c>
      <c r="R573" s="14">
        <v>5900</v>
      </c>
      <c r="S573" s="14" t="s">
        <v>4084</v>
      </c>
      <c r="T573" s="14" t="s">
        <v>4085</v>
      </c>
      <c r="U573" s="14">
        <v>2.51861111111111</v>
      </c>
      <c r="V573" s="14">
        <v>2.7305555555555499</v>
      </c>
      <c r="W573" s="14">
        <v>1952</v>
      </c>
      <c r="X573" s="14">
        <v>80</v>
      </c>
      <c r="Y573" s="14">
        <v>1872</v>
      </c>
      <c r="Z573" s="14">
        <v>1448</v>
      </c>
      <c r="AA573" s="14">
        <v>273</v>
      </c>
      <c r="AB573" s="14">
        <v>279</v>
      </c>
      <c r="AC573" s="14">
        <v>803</v>
      </c>
      <c r="AD573" s="14">
        <v>94</v>
      </c>
      <c r="AE573" s="14">
        <v>3400</v>
      </c>
      <c r="AF573" s="14">
        <v>5000</v>
      </c>
      <c r="AG573" s="14">
        <v>6169</v>
      </c>
      <c r="AH573" s="14">
        <v>0</v>
      </c>
      <c r="AI573" s="14">
        <v>149</v>
      </c>
      <c r="AJ573" s="14">
        <v>275</v>
      </c>
      <c r="AK573" s="14" t="s">
        <v>4082</v>
      </c>
      <c r="AL573" s="14" t="s">
        <v>4086</v>
      </c>
      <c r="AM573" s="14">
        <v>645.69000000000005</v>
      </c>
      <c r="AN573" s="14">
        <v>624.6</v>
      </c>
      <c r="AO573" s="14">
        <v>54.99</v>
      </c>
      <c r="AP573" s="14">
        <v>22611</v>
      </c>
      <c r="AQ573" s="14">
        <v>22531</v>
      </c>
      <c r="AR573" s="14">
        <v>23000</v>
      </c>
      <c r="AS573" s="14">
        <v>19211</v>
      </c>
      <c r="AT573" s="14">
        <v>20659</v>
      </c>
      <c r="AU573" s="14">
        <v>3</v>
      </c>
      <c r="AV573" s="14">
        <v>222.54</v>
      </c>
      <c r="AW573" s="14">
        <v>44.53</v>
      </c>
      <c r="AX573" s="14">
        <v>3.27</v>
      </c>
      <c r="AY573" s="14" t="b">
        <v>0</v>
      </c>
    </row>
    <row r="574" spans="1:51" hidden="1" x14ac:dyDescent="0.3">
      <c r="A574" t="str">
        <f>CONCATENATE(I574,E574,LEFT(G574,10))</f>
        <v>HFA704LGAV2026-02-17</v>
      </c>
      <c r="B574" s="14" t="s">
        <v>4020</v>
      </c>
      <c r="C574" s="14" t="s">
        <v>336</v>
      </c>
      <c r="D574" s="14" t="s">
        <v>337</v>
      </c>
      <c r="E574" s="14" t="s">
        <v>48</v>
      </c>
      <c r="F574" s="14" t="s">
        <v>43</v>
      </c>
      <c r="G574" s="14" t="s">
        <v>4021</v>
      </c>
      <c r="H574" s="14" t="s">
        <v>357</v>
      </c>
      <c r="I574" s="14" t="s">
        <v>52</v>
      </c>
      <c r="J574" s="14" t="s">
        <v>83</v>
      </c>
      <c r="K574" s="14" t="s">
        <v>340</v>
      </c>
      <c r="L574" s="14" t="s">
        <v>341</v>
      </c>
      <c r="M574" s="16" t="s">
        <v>731</v>
      </c>
      <c r="N574" s="14" t="s">
        <v>359</v>
      </c>
      <c r="O574" s="14" t="s">
        <v>4022</v>
      </c>
      <c r="P574" s="14">
        <v>210</v>
      </c>
      <c r="Q574" s="14">
        <v>2</v>
      </c>
      <c r="R574" s="14">
        <v>3800</v>
      </c>
      <c r="S574" s="14" t="s">
        <v>4023</v>
      </c>
      <c r="T574" s="14" t="s">
        <v>4024</v>
      </c>
      <c r="U574" s="14">
        <v>2.3822222222222198</v>
      </c>
      <c r="V574" s="14">
        <v>2.67888888888888</v>
      </c>
      <c r="W574" s="14">
        <v>1501</v>
      </c>
      <c r="X574" s="14">
        <v>80</v>
      </c>
      <c r="Y574" s="14">
        <v>1421</v>
      </c>
      <c r="Z574" s="14">
        <v>1899</v>
      </c>
      <c r="AA574" s="14">
        <v>258</v>
      </c>
      <c r="AB574" s="14">
        <v>263</v>
      </c>
      <c r="AC574" s="14">
        <v>1307</v>
      </c>
      <c r="AD574" s="14">
        <v>71</v>
      </c>
      <c r="AE574" s="14">
        <v>3400</v>
      </c>
      <c r="AF574" s="14">
        <v>5000</v>
      </c>
      <c r="AG574" s="14">
        <v>4743</v>
      </c>
      <c r="AH574" s="14">
        <v>0</v>
      </c>
      <c r="AI574" s="14">
        <v>135</v>
      </c>
      <c r="AJ574" s="14">
        <v>327</v>
      </c>
      <c r="AK574" s="14" t="s">
        <v>4021</v>
      </c>
      <c r="AL574" s="14" t="s">
        <v>4025</v>
      </c>
      <c r="AM574" s="14">
        <v>645.69000000000005</v>
      </c>
      <c r="AN574" s="14">
        <v>624.6</v>
      </c>
      <c r="AO574" s="14">
        <v>54.99</v>
      </c>
      <c r="AP574" s="14">
        <v>20425</v>
      </c>
      <c r="AQ574" s="14">
        <v>20345</v>
      </c>
      <c r="AR574" s="14">
        <v>23000</v>
      </c>
      <c r="AS574" s="14">
        <v>17025</v>
      </c>
      <c r="AT574" s="14">
        <v>18924</v>
      </c>
      <c r="AU574" s="14">
        <v>28</v>
      </c>
      <c r="AV574" s="14">
        <v>244.19</v>
      </c>
      <c r="AW574" s="14">
        <v>54.03</v>
      </c>
      <c r="AX574" s="14">
        <v>0.3</v>
      </c>
      <c r="AY574" s="14" t="b">
        <v>0</v>
      </c>
    </row>
    <row r="575" spans="1:51" hidden="1" x14ac:dyDescent="0.3">
      <c r="A575" t="str">
        <f>CONCATENATE(I575,E575,LEFT(G575,10))</f>
        <v>HFA704LGAV2026-02-18</v>
      </c>
      <c r="B575" s="14" t="s">
        <v>1885</v>
      </c>
      <c r="C575" s="14" t="s">
        <v>336</v>
      </c>
      <c r="D575" s="14" t="s">
        <v>337</v>
      </c>
      <c r="E575" s="14" t="s">
        <v>48</v>
      </c>
      <c r="F575" s="14" t="s">
        <v>43</v>
      </c>
      <c r="G575" s="14" t="s">
        <v>1886</v>
      </c>
      <c r="H575" s="14" t="s">
        <v>371</v>
      </c>
      <c r="I575" s="14" t="s">
        <v>52</v>
      </c>
      <c r="J575" s="14" t="s">
        <v>83</v>
      </c>
      <c r="K575" s="14" t="s">
        <v>340</v>
      </c>
      <c r="L575" s="14" t="s">
        <v>341</v>
      </c>
      <c r="M575" s="16" t="s">
        <v>1887</v>
      </c>
      <c r="N575" s="14"/>
      <c r="O575" s="14" t="s">
        <v>1888</v>
      </c>
      <c r="P575" s="14">
        <v>210</v>
      </c>
      <c r="Q575" s="14">
        <v>2</v>
      </c>
      <c r="R575" s="14">
        <v>2100</v>
      </c>
      <c r="S575" s="14" t="s">
        <v>1889</v>
      </c>
      <c r="T575" s="14" t="s">
        <v>1890</v>
      </c>
      <c r="U575" s="14">
        <v>2.0683333333333298</v>
      </c>
      <c r="V575" s="14">
        <v>2.2755555555555498</v>
      </c>
      <c r="W575" s="14">
        <v>1465</v>
      </c>
      <c r="X575" s="14">
        <v>80</v>
      </c>
      <c r="Y575" s="14">
        <v>1385</v>
      </c>
      <c r="Z575" s="14">
        <v>1435</v>
      </c>
      <c r="AA575" s="14">
        <v>254</v>
      </c>
      <c r="AB575" s="14">
        <v>248</v>
      </c>
      <c r="AC575" s="14">
        <v>863</v>
      </c>
      <c r="AD575" s="14">
        <v>69</v>
      </c>
      <c r="AE575" s="14">
        <v>2900</v>
      </c>
      <c r="AF575" s="14">
        <v>5000</v>
      </c>
      <c r="AG575" s="14">
        <v>4631</v>
      </c>
      <c r="AH575" s="14">
        <v>0</v>
      </c>
      <c r="AI575" s="14">
        <v>122</v>
      </c>
      <c r="AJ575" s="14">
        <v>252</v>
      </c>
      <c r="AK575" s="14" t="s">
        <v>1886</v>
      </c>
      <c r="AL575" s="14" t="s">
        <v>1891</v>
      </c>
      <c r="AM575" s="14">
        <v>645.69000000000005</v>
      </c>
      <c r="AN575" s="14">
        <v>624.6</v>
      </c>
      <c r="AO575" s="14">
        <v>54.99</v>
      </c>
      <c r="AP575" s="14">
        <v>18500</v>
      </c>
      <c r="AQ575" s="14">
        <v>18420</v>
      </c>
      <c r="AR575" s="14">
        <v>23000</v>
      </c>
      <c r="AS575" s="14">
        <v>15600</v>
      </c>
      <c r="AT575" s="14">
        <v>17035</v>
      </c>
      <c r="AU575" s="14">
        <v>58</v>
      </c>
      <c r="AV575" s="14">
        <v>298.99</v>
      </c>
      <c r="AW575" s="14">
        <v>67.209999999999994</v>
      </c>
      <c r="AX575" s="14">
        <v>3.03</v>
      </c>
      <c r="AY575" s="14" t="b">
        <v>0</v>
      </c>
    </row>
    <row r="576" spans="1:51" hidden="1" x14ac:dyDescent="0.3">
      <c r="A576" t="str">
        <f>CONCATENATE(I576,E576,LEFT(G576,10))</f>
        <v>HFA704LGAV2026-02-19</v>
      </c>
      <c r="B576" s="14" t="s">
        <v>3899</v>
      </c>
      <c r="C576" s="14" t="s">
        <v>336</v>
      </c>
      <c r="D576" s="14" t="s">
        <v>337</v>
      </c>
      <c r="E576" s="14" t="s">
        <v>48</v>
      </c>
      <c r="F576" s="14" t="s">
        <v>43</v>
      </c>
      <c r="G576" s="14" t="s">
        <v>3900</v>
      </c>
      <c r="H576" s="14" t="s">
        <v>393</v>
      </c>
      <c r="I576" s="14" t="s">
        <v>52</v>
      </c>
      <c r="J576" s="14" t="s">
        <v>83</v>
      </c>
      <c r="K576" s="14" t="s">
        <v>340</v>
      </c>
      <c r="L576" s="14" t="s">
        <v>341</v>
      </c>
      <c r="M576" s="16" t="s">
        <v>543</v>
      </c>
      <c r="N576" s="14"/>
      <c r="O576" s="14" t="s">
        <v>3901</v>
      </c>
      <c r="P576" s="14">
        <v>190</v>
      </c>
      <c r="Q576" s="14">
        <v>2</v>
      </c>
      <c r="R576" s="14">
        <v>2900</v>
      </c>
      <c r="S576" s="14" t="s">
        <v>3902</v>
      </c>
      <c r="T576" s="14" t="s">
        <v>3903</v>
      </c>
      <c r="U576" s="14">
        <v>2.39083333333333</v>
      </c>
      <c r="V576" s="14">
        <v>2.6344444444444401</v>
      </c>
      <c r="W576" s="14">
        <v>1759</v>
      </c>
      <c r="X576" s="14">
        <v>80</v>
      </c>
      <c r="Y576" s="14">
        <v>1679</v>
      </c>
      <c r="Z576" s="14">
        <v>1541</v>
      </c>
      <c r="AA576" s="14">
        <v>261</v>
      </c>
      <c r="AB576" s="14">
        <v>254</v>
      </c>
      <c r="AC576" s="14">
        <v>943</v>
      </c>
      <c r="AD576" s="14">
        <v>84</v>
      </c>
      <c r="AE576" s="14">
        <v>3300</v>
      </c>
      <c r="AF576" s="14">
        <v>5000</v>
      </c>
      <c r="AG576" s="14">
        <v>5558</v>
      </c>
      <c r="AH576" s="14">
        <v>0</v>
      </c>
      <c r="AI576" s="14">
        <v>141</v>
      </c>
      <c r="AJ576" s="14">
        <v>281</v>
      </c>
      <c r="AK576" s="14" t="s">
        <v>3900</v>
      </c>
      <c r="AL576" s="14" t="s">
        <v>3904</v>
      </c>
      <c r="AM576" s="14">
        <v>645.69000000000005</v>
      </c>
      <c r="AN576" s="14">
        <v>624.6</v>
      </c>
      <c r="AO576" s="14">
        <v>54.99</v>
      </c>
      <c r="AP576" s="14">
        <v>19511</v>
      </c>
      <c r="AQ576" s="14">
        <v>19431</v>
      </c>
      <c r="AR576" s="14">
        <v>23000</v>
      </c>
      <c r="AS576" s="14">
        <v>16211</v>
      </c>
      <c r="AT576" s="14">
        <v>17752</v>
      </c>
      <c r="AU576" s="14">
        <v>13</v>
      </c>
      <c r="AV576" s="14">
        <v>269.39</v>
      </c>
      <c r="AW576" s="14">
        <v>19.47</v>
      </c>
      <c r="AX576" s="14">
        <v>4.2300000000000004</v>
      </c>
      <c r="AY576" s="14" t="b">
        <v>0</v>
      </c>
    </row>
    <row r="577" spans="1:51" hidden="1" x14ac:dyDescent="0.3">
      <c r="A577" t="str">
        <f>CONCATENATE(I577,E577,LEFT(G577,10))</f>
        <v>HFA704LGAV2026-02-21</v>
      </c>
      <c r="B577" s="14" t="s">
        <v>3848</v>
      </c>
      <c r="C577" s="14" t="s">
        <v>336</v>
      </c>
      <c r="D577" s="14" t="s">
        <v>337</v>
      </c>
      <c r="E577" s="14" t="s">
        <v>48</v>
      </c>
      <c r="F577" s="14" t="s">
        <v>43</v>
      </c>
      <c r="G577" s="14" t="s">
        <v>3849</v>
      </c>
      <c r="H577" s="14" t="s">
        <v>357</v>
      </c>
      <c r="I577" s="14" t="s">
        <v>52</v>
      </c>
      <c r="J577" s="14" t="s">
        <v>83</v>
      </c>
      <c r="K577" s="14" t="s">
        <v>340</v>
      </c>
      <c r="L577" s="14" t="s">
        <v>341</v>
      </c>
      <c r="M577" s="16" t="s">
        <v>3850</v>
      </c>
      <c r="N577" s="14" t="s">
        <v>359</v>
      </c>
      <c r="O577" s="14" t="s">
        <v>3851</v>
      </c>
      <c r="P577" s="14">
        <v>190</v>
      </c>
      <c r="Q577" s="14">
        <v>2</v>
      </c>
      <c r="R577" s="14">
        <v>6600</v>
      </c>
      <c r="S577" s="14" t="s">
        <v>3852</v>
      </c>
      <c r="T577" s="14" t="s">
        <v>3853</v>
      </c>
      <c r="U577" s="14">
        <v>2.4847222222222198</v>
      </c>
      <c r="V577" s="14">
        <v>2.72555555555555</v>
      </c>
      <c r="W577" s="14">
        <v>1656</v>
      </c>
      <c r="X577" s="14">
        <v>80</v>
      </c>
      <c r="Y577" s="14">
        <v>1576</v>
      </c>
      <c r="Z577" s="14">
        <v>1344</v>
      </c>
      <c r="AA577" s="14">
        <v>263</v>
      </c>
      <c r="AB577" s="14">
        <v>284</v>
      </c>
      <c r="AC577" s="14">
        <v>719</v>
      </c>
      <c r="AD577" s="14">
        <v>79</v>
      </c>
      <c r="AE577" s="14">
        <v>3000</v>
      </c>
      <c r="AF577" s="14">
        <v>5000</v>
      </c>
      <c r="AG577" s="14">
        <v>5232</v>
      </c>
      <c r="AH577" s="14">
        <v>0</v>
      </c>
      <c r="AI577" s="14">
        <v>142</v>
      </c>
      <c r="AJ577" s="14">
        <v>270</v>
      </c>
      <c r="AK577" s="14" t="s">
        <v>3849</v>
      </c>
      <c r="AL577" s="14" t="s">
        <v>3854</v>
      </c>
      <c r="AM577" s="14">
        <v>645.69000000000005</v>
      </c>
      <c r="AN577" s="14">
        <v>624.6</v>
      </c>
      <c r="AO577" s="14">
        <v>54.99</v>
      </c>
      <c r="AP577" s="14">
        <v>22825</v>
      </c>
      <c r="AQ577" s="14">
        <v>22745</v>
      </c>
      <c r="AR577" s="14">
        <v>23000</v>
      </c>
      <c r="AS577" s="14">
        <v>19825</v>
      </c>
      <c r="AT577" s="14">
        <v>21169</v>
      </c>
      <c r="AU577" s="14">
        <v>16</v>
      </c>
      <c r="AV577" s="14">
        <v>242.93</v>
      </c>
      <c r="AW577" s="14">
        <v>34.65</v>
      </c>
      <c r="AX577" s="14">
        <v>0.28999999999999998</v>
      </c>
      <c r="AY577" s="14" t="b">
        <v>0</v>
      </c>
    </row>
    <row r="578" spans="1:51" hidden="1" x14ac:dyDescent="0.3">
      <c r="A578" t="str">
        <f>CONCATENATE(I578,E578,LEFT(G578,10))</f>
        <v>HFA704LGAV2026-02-22</v>
      </c>
      <c r="B578" s="14" t="s">
        <v>1006</v>
      </c>
      <c r="C578" s="14" t="s">
        <v>336</v>
      </c>
      <c r="D578" s="14" t="s">
        <v>337</v>
      </c>
      <c r="E578" s="14" t="s">
        <v>48</v>
      </c>
      <c r="F578" s="14" t="s">
        <v>43</v>
      </c>
      <c r="G578" s="14" t="s">
        <v>1007</v>
      </c>
      <c r="H578" s="14" t="s">
        <v>393</v>
      </c>
      <c r="I578" s="14" t="s">
        <v>52</v>
      </c>
      <c r="J578" s="14" t="s">
        <v>83</v>
      </c>
      <c r="K578" s="14" t="s">
        <v>340</v>
      </c>
      <c r="L578" s="14" t="s">
        <v>341</v>
      </c>
      <c r="M578" s="16" t="s">
        <v>1008</v>
      </c>
      <c r="N578" s="14"/>
      <c r="O578" s="14" t="s">
        <v>1009</v>
      </c>
      <c r="P578" s="14">
        <v>150</v>
      </c>
      <c r="Q578" s="14">
        <v>2</v>
      </c>
      <c r="R578" s="14">
        <v>0</v>
      </c>
      <c r="S578" s="14" t="s">
        <v>1010</v>
      </c>
      <c r="T578" s="14" t="s">
        <v>1011</v>
      </c>
      <c r="U578" s="14">
        <v>2.355</v>
      </c>
      <c r="V578" s="14">
        <v>2.6575000000000002</v>
      </c>
      <c r="W578" s="14">
        <v>1969</v>
      </c>
      <c r="X578" s="14">
        <v>80</v>
      </c>
      <c r="Y578" s="14">
        <v>1889</v>
      </c>
      <c r="Z578" s="14">
        <v>831</v>
      </c>
      <c r="AA578" s="14">
        <v>270</v>
      </c>
      <c r="AB578" s="14">
        <v>281</v>
      </c>
      <c r="AC578" s="14">
        <v>185</v>
      </c>
      <c r="AD578" s="14">
        <v>94</v>
      </c>
      <c r="AE578" s="14">
        <v>2800</v>
      </c>
      <c r="AF578" s="14">
        <v>5000</v>
      </c>
      <c r="AG578" s="14">
        <v>6222</v>
      </c>
      <c r="AH578" s="14">
        <v>0</v>
      </c>
      <c r="AI578" s="14">
        <v>145</v>
      </c>
      <c r="AJ578" s="14">
        <v>218</v>
      </c>
      <c r="AK578" s="14" t="s">
        <v>1007</v>
      </c>
      <c r="AL578" s="14" t="s">
        <v>1012</v>
      </c>
      <c r="AM578" s="14">
        <v>659.16</v>
      </c>
      <c r="AN578" s="14">
        <v>624.6</v>
      </c>
      <c r="AO578" s="14">
        <v>54.99</v>
      </c>
      <c r="AP578" s="14">
        <v>22889</v>
      </c>
      <c r="AQ578" s="14">
        <v>22809</v>
      </c>
      <c r="AR578" s="14">
        <v>23000</v>
      </c>
      <c r="AS578" s="14">
        <v>20089</v>
      </c>
      <c r="AT578" s="14">
        <v>20920</v>
      </c>
      <c r="AU578" s="14">
        <v>12</v>
      </c>
      <c r="AV578" s="14">
        <v>262.88</v>
      </c>
      <c r="AW578" s="14">
        <v>16.88</v>
      </c>
      <c r="AX578" s="14">
        <v>-2.61</v>
      </c>
      <c r="AY578" s="14" t="b">
        <v>0</v>
      </c>
    </row>
    <row r="579" spans="1:51" hidden="1" x14ac:dyDescent="0.3">
      <c r="A579" t="str">
        <f>CONCATENATE(I579,E579,LEFT(G579,10))</f>
        <v>HFA704LGAV2026-02-23</v>
      </c>
      <c r="B579" s="14" t="s">
        <v>3742</v>
      </c>
      <c r="C579" s="14" t="s">
        <v>336</v>
      </c>
      <c r="D579" s="14" t="s">
        <v>337</v>
      </c>
      <c r="E579" s="14" t="s">
        <v>48</v>
      </c>
      <c r="F579" s="14" t="s">
        <v>43</v>
      </c>
      <c r="G579" s="14" t="s">
        <v>3743</v>
      </c>
      <c r="H579" s="14" t="s">
        <v>339</v>
      </c>
      <c r="I579" s="14" t="s">
        <v>52</v>
      </c>
      <c r="J579" s="14" t="s">
        <v>83</v>
      </c>
      <c r="K579" s="14" t="s">
        <v>340</v>
      </c>
      <c r="L579" s="14" t="s">
        <v>341</v>
      </c>
      <c r="M579" s="16" t="s">
        <v>1090</v>
      </c>
      <c r="N579" s="14"/>
      <c r="O579" s="14" t="s">
        <v>3744</v>
      </c>
      <c r="P579" s="14">
        <v>190</v>
      </c>
      <c r="Q579" s="14">
        <v>2</v>
      </c>
      <c r="R579" s="14">
        <v>0</v>
      </c>
      <c r="S579" s="14" t="s">
        <v>3745</v>
      </c>
      <c r="T579" s="14" t="s">
        <v>3746</v>
      </c>
      <c r="U579" s="14">
        <v>2.4380555555555499</v>
      </c>
      <c r="V579" s="14">
        <v>2.72277777777777</v>
      </c>
      <c r="W579" s="14">
        <v>1730</v>
      </c>
      <c r="X579" s="14">
        <v>80</v>
      </c>
      <c r="Y579" s="14">
        <v>1650</v>
      </c>
      <c r="Z579" s="14">
        <v>1170</v>
      </c>
      <c r="AA579" s="14">
        <v>257</v>
      </c>
      <c r="AB579" s="14">
        <v>281</v>
      </c>
      <c r="AC579" s="14">
        <v>550</v>
      </c>
      <c r="AD579" s="14">
        <v>82</v>
      </c>
      <c r="AE579" s="14">
        <v>2900</v>
      </c>
      <c r="AF579" s="14">
        <v>5000</v>
      </c>
      <c r="AG579" s="14">
        <v>5466</v>
      </c>
      <c r="AH579" s="14">
        <v>0</v>
      </c>
      <c r="AI579" s="14">
        <v>146</v>
      </c>
      <c r="AJ579" s="14">
        <v>252</v>
      </c>
      <c r="AK579" s="14" t="s">
        <v>3743</v>
      </c>
      <c r="AL579" s="14" t="s">
        <v>3747</v>
      </c>
      <c r="AM579" s="14">
        <v>656.69</v>
      </c>
      <c r="AN579" s="14">
        <v>624.6</v>
      </c>
      <c r="AO579" s="14">
        <v>54.99</v>
      </c>
      <c r="AP579" s="14">
        <v>22627</v>
      </c>
      <c r="AQ579" s="14">
        <v>22547</v>
      </c>
      <c r="AR579" s="14">
        <v>23000</v>
      </c>
      <c r="AS579" s="14">
        <v>19727</v>
      </c>
      <c r="AT579" s="14">
        <v>20897</v>
      </c>
      <c r="AU579" s="14">
        <v>12</v>
      </c>
      <c r="AV579" s="14">
        <v>357.33</v>
      </c>
      <c r="AW579" s="14">
        <v>22.81</v>
      </c>
      <c r="AX579" s="14">
        <v>-2.12</v>
      </c>
      <c r="AY579" s="14" t="b">
        <v>0</v>
      </c>
    </row>
    <row r="580" spans="1:51" hidden="1" x14ac:dyDescent="0.3">
      <c r="A580" t="str">
        <f>CONCATENATE(I580,E580,LEFT(G580,10))</f>
        <v>HFA704LGAV2026-02-24</v>
      </c>
      <c r="B580" s="14" t="s">
        <v>3681</v>
      </c>
      <c r="C580" s="14" t="s">
        <v>336</v>
      </c>
      <c r="D580" s="14" t="s">
        <v>337</v>
      </c>
      <c r="E580" s="14" t="s">
        <v>48</v>
      </c>
      <c r="F580" s="14" t="s">
        <v>43</v>
      </c>
      <c r="G580" s="14" t="s">
        <v>3682</v>
      </c>
      <c r="H580" s="14" t="s">
        <v>357</v>
      </c>
      <c r="I580" s="14" t="s">
        <v>52</v>
      </c>
      <c r="J580" s="14" t="s">
        <v>83</v>
      </c>
      <c r="K580" s="14" t="s">
        <v>340</v>
      </c>
      <c r="L580" s="14" t="s">
        <v>341</v>
      </c>
      <c r="M580" s="16" t="s">
        <v>1225</v>
      </c>
      <c r="N580" s="14" t="s">
        <v>359</v>
      </c>
      <c r="O580" s="14" t="s">
        <v>3683</v>
      </c>
      <c r="P580" s="14">
        <v>150</v>
      </c>
      <c r="Q580" s="14">
        <v>2</v>
      </c>
      <c r="R580" s="14">
        <v>3900</v>
      </c>
      <c r="S580" s="14" t="s">
        <v>3684</v>
      </c>
      <c r="T580" s="14" t="s">
        <v>3685</v>
      </c>
      <c r="U580" s="14">
        <v>2.3061111111111101</v>
      </c>
      <c r="V580" s="14">
        <v>2.4947222222222201</v>
      </c>
      <c r="W580" s="14">
        <v>1640</v>
      </c>
      <c r="X580" s="14">
        <v>80</v>
      </c>
      <c r="Y580" s="14">
        <v>1560</v>
      </c>
      <c r="Z580" s="14">
        <v>1560</v>
      </c>
      <c r="AA580" s="14">
        <v>249</v>
      </c>
      <c r="AB580" s="14">
        <v>261</v>
      </c>
      <c r="AC580" s="14">
        <v>971</v>
      </c>
      <c r="AD580" s="14">
        <v>78</v>
      </c>
      <c r="AE580" s="14">
        <v>3200</v>
      </c>
      <c r="AF580" s="14">
        <v>5000</v>
      </c>
      <c r="AG580" s="14">
        <v>5182</v>
      </c>
      <c r="AH580" s="14">
        <v>0</v>
      </c>
      <c r="AI580" s="14">
        <v>136</v>
      </c>
      <c r="AJ580" s="14">
        <v>284</v>
      </c>
      <c r="AK580" s="14" t="s">
        <v>3682</v>
      </c>
      <c r="AL580" s="14" t="s">
        <v>3686</v>
      </c>
      <c r="AM580" s="14">
        <v>656.69</v>
      </c>
      <c r="AN580" s="14">
        <v>624.6</v>
      </c>
      <c r="AO580" s="14">
        <v>54.99</v>
      </c>
      <c r="AP580" s="14">
        <v>20325</v>
      </c>
      <c r="AQ580" s="14">
        <v>20245</v>
      </c>
      <c r="AR580" s="14">
        <v>23000</v>
      </c>
      <c r="AS580" s="14">
        <v>17125</v>
      </c>
      <c r="AT580" s="14">
        <v>18685</v>
      </c>
      <c r="AU580" s="14">
        <v>27</v>
      </c>
      <c r="AV580" s="14">
        <v>298.43</v>
      </c>
      <c r="AW580" s="14">
        <v>30.41</v>
      </c>
      <c r="AX580" s="14">
        <v>2.69</v>
      </c>
      <c r="AY580" s="14" t="b">
        <v>0</v>
      </c>
    </row>
    <row r="581" spans="1:51" hidden="1" x14ac:dyDescent="0.3">
      <c r="A581" t="str">
        <f>CONCATENATE(I581,E581,LEFT(G581,10))</f>
        <v>HFA704LGAV2026-02-25</v>
      </c>
      <c r="B581" s="14" t="s">
        <v>3575</v>
      </c>
      <c r="C581" s="14" t="s">
        <v>336</v>
      </c>
      <c r="D581" s="14" t="s">
        <v>337</v>
      </c>
      <c r="E581" s="14" t="s">
        <v>48</v>
      </c>
      <c r="F581" s="14" t="s">
        <v>43</v>
      </c>
      <c r="G581" s="14" t="s">
        <v>3576</v>
      </c>
      <c r="H581" s="14" t="s">
        <v>393</v>
      </c>
      <c r="I581" s="14" t="s">
        <v>52</v>
      </c>
      <c r="J581" s="14" t="s">
        <v>83</v>
      </c>
      <c r="K581" s="14" t="s">
        <v>340</v>
      </c>
      <c r="L581" s="14" t="s">
        <v>341</v>
      </c>
      <c r="M581" s="16" t="s">
        <v>731</v>
      </c>
      <c r="N581" s="14"/>
      <c r="O581" s="14" t="s">
        <v>3577</v>
      </c>
      <c r="P581" s="14">
        <v>210</v>
      </c>
      <c r="Q581" s="14">
        <v>2</v>
      </c>
      <c r="R581" s="14">
        <v>3600</v>
      </c>
      <c r="S581" s="14" t="s">
        <v>3578</v>
      </c>
      <c r="T581" s="14" t="s">
        <v>3579</v>
      </c>
      <c r="U581" s="14">
        <v>2.1438888888888799</v>
      </c>
      <c r="V581" s="14">
        <v>2.3355555555555498</v>
      </c>
      <c r="W581" s="14">
        <v>1566</v>
      </c>
      <c r="X581" s="14">
        <v>80</v>
      </c>
      <c r="Y581" s="14">
        <v>1486</v>
      </c>
      <c r="Z581" s="14">
        <v>1934</v>
      </c>
      <c r="AA581" s="14">
        <v>272</v>
      </c>
      <c r="AB581" s="14">
        <v>263</v>
      </c>
      <c r="AC581" s="14">
        <v>1325</v>
      </c>
      <c r="AD581" s="14">
        <v>74</v>
      </c>
      <c r="AE581" s="14">
        <v>3500</v>
      </c>
      <c r="AF581" s="14">
        <v>5000</v>
      </c>
      <c r="AG581" s="14">
        <v>4948</v>
      </c>
      <c r="AH581" s="14">
        <v>0</v>
      </c>
      <c r="AI581" s="14">
        <v>128</v>
      </c>
      <c r="AJ581" s="14">
        <v>308</v>
      </c>
      <c r="AK581" s="14" t="s">
        <v>3576</v>
      </c>
      <c r="AL581" s="14" t="s">
        <v>3580</v>
      </c>
      <c r="AM581" s="14">
        <v>656.69</v>
      </c>
      <c r="AN581" s="14">
        <v>624.6</v>
      </c>
      <c r="AO581" s="14">
        <v>54.99</v>
      </c>
      <c r="AP581" s="14">
        <v>20411</v>
      </c>
      <c r="AQ581" s="14">
        <v>20331</v>
      </c>
      <c r="AR581" s="14">
        <v>23000</v>
      </c>
      <c r="AS581" s="14">
        <v>16911</v>
      </c>
      <c r="AT581" s="14">
        <v>18845</v>
      </c>
      <c r="AU581" s="14">
        <v>50</v>
      </c>
      <c r="AV581" s="14">
        <v>307.39</v>
      </c>
      <c r="AW581" s="14">
        <v>62.23</v>
      </c>
      <c r="AX581" s="14">
        <v>1.35</v>
      </c>
      <c r="AY581" s="14" t="b">
        <v>0</v>
      </c>
    </row>
    <row r="582" spans="1:51" hidden="1" x14ac:dyDescent="0.3">
      <c r="A582" t="str">
        <f>CONCATENATE(I582,E582,LEFT(G582,10))</f>
        <v>HFA704LGAV2026-02-26</v>
      </c>
      <c r="B582" s="14" t="s">
        <v>3466</v>
      </c>
      <c r="C582" s="14" t="s">
        <v>336</v>
      </c>
      <c r="D582" s="14" t="s">
        <v>337</v>
      </c>
      <c r="E582" s="14" t="s">
        <v>48</v>
      </c>
      <c r="F582" s="14" t="s">
        <v>43</v>
      </c>
      <c r="G582" s="14" t="s">
        <v>3467</v>
      </c>
      <c r="H582" s="14" t="s">
        <v>357</v>
      </c>
      <c r="I582" s="14" t="s">
        <v>52</v>
      </c>
      <c r="J582" s="14" t="s">
        <v>83</v>
      </c>
      <c r="K582" s="14" t="s">
        <v>340</v>
      </c>
      <c r="L582" s="14" t="s">
        <v>341</v>
      </c>
      <c r="M582" s="16" t="s">
        <v>3468</v>
      </c>
      <c r="N582" s="14" t="s">
        <v>359</v>
      </c>
      <c r="O582" s="14" t="s">
        <v>3469</v>
      </c>
      <c r="P582" s="14">
        <v>190</v>
      </c>
      <c r="Q582" s="14">
        <v>2</v>
      </c>
      <c r="R582" s="14">
        <v>6000</v>
      </c>
      <c r="S582" s="14" t="s">
        <v>3470</v>
      </c>
      <c r="T582" s="14" t="s">
        <v>3471</v>
      </c>
      <c r="U582" s="14">
        <v>2.1719444444444398</v>
      </c>
      <c r="V582" s="14">
        <v>2.44</v>
      </c>
      <c r="W582" s="14">
        <v>1508</v>
      </c>
      <c r="X582" s="14">
        <v>80</v>
      </c>
      <c r="Y582" s="14">
        <v>1428</v>
      </c>
      <c r="Z582" s="14">
        <v>1692</v>
      </c>
      <c r="AA582" s="14">
        <v>256</v>
      </c>
      <c r="AB582" s="14">
        <v>281</v>
      </c>
      <c r="AC582" s="14">
        <v>1083</v>
      </c>
      <c r="AD582" s="14">
        <v>71</v>
      </c>
      <c r="AE582" s="14">
        <v>3200</v>
      </c>
      <c r="AF582" s="14">
        <v>5000</v>
      </c>
      <c r="AG582" s="14">
        <v>4767</v>
      </c>
      <c r="AH582" s="14">
        <v>0</v>
      </c>
      <c r="AI582" s="14">
        <v>128</v>
      </c>
      <c r="AJ582" s="14">
        <v>285</v>
      </c>
      <c r="AK582" s="14" t="s">
        <v>3467</v>
      </c>
      <c r="AL582" s="14" t="s">
        <v>3472</v>
      </c>
      <c r="AM582" s="14">
        <v>656.69</v>
      </c>
      <c r="AN582" s="14">
        <v>624.6</v>
      </c>
      <c r="AO582" s="14">
        <v>54.99</v>
      </c>
      <c r="AP582" s="14">
        <v>22425</v>
      </c>
      <c r="AQ582" s="14">
        <v>22345</v>
      </c>
      <c r="AR582" s="14">
        <v>23000</v>
      </c>
      <c r="AS582" s="14">
        <v>19225</v>
      </c>
      <c r="AT582" s="14">
        <v>20917</v>
      </c>
      <c r="AU582" s="14">
        <v>55</v>
      </c>
      <c r="AV582" s="14">
        <v>316.54000000000002</v>
      </c>
      <c r="AW582" s="14">
        <v>63.69</v>
      </c>
      <c r="AX582" s="14">
        <v>2.62</v>
      </c>
      <c r="AY582" s="14" t="b">
        <v>0</v>
      </c>
    </row>
    <row r="583" spans="1:51" hidden="1" x14ac:dyDescent="0.3">
      <c r="A583" t="str">
        <f>CONCATENATE(I583,E583,LEFT(G583,10))</f>
        <v>HFA801LLHA2026-01-01</v>
      </c>
      <c r="B583" s="14" t="s">
        <v>4575</v>
      </c>
      <c r="C583" s="14" t="s">
        <v>336</v>
      </c>
      <c r="D583" s="14" t="s">
        <v>337</v>
      </c>
      <c r="E583" s="14" t="s">
        <v>43</v>
      </c>
      <c r="F583" s="14" t="s">
        <v>87</v>
      </c>
      <c r="G583" s="14" t="s">
        <v>4576</v>
      </c>
      <c r="H583" s="14" t="s">
        <v>371</v>
      </c>
      <c r="I583" s="14" t="s">
        <v>133</v>
      </c>
      <c r="J583" s="14" t="s">
        <v>69</v>
      </c>
      <c r="K583" s="14" t="s">
        <v>349</v>
      </c>
      <c r="L583" s="14" t="s">
        <v>341</v>
      </c>
      <c r="M583" s="16" t="s">
        <v>4577</v>
      </c>
      <c r="N583" s="14"/>
      <c r="O583" s="14" t="s">
        <v>380</v>
      </c>
      <c r="P583" s="14">
        <v>50</v>
      </c>
      <c r="Q583" s="14">
        <v>2</v>
      </c>
      <c r="R583" s="14">
        <v>4700</v>
      </c>
      <c r="S583" s="14" t="s">
        <v>4578</v>
      </c>
      <c r="T583" s="14" t="s">
        <v>4579</v>
      </c>
      <c r="U583" s="14">
        <v>0.76888888888888796</v>
      </c>
      <c r="V583" s="14">
        <v>0.89027777777777695</v>
      </c>
      <c r="W583" s="14">
        <v>659</v>
      </c>
      <c r="X583" s="14">
        <v>50</v>
      </c>
      <c r="Y583" s="14">
        <v>609</v>
      </c>
      <c r="Z583" s="14">
        <v>821</v>
      </c>
      <c r="AA583" s="14">
        <v>366</v>
      </c>
      <c r="AB583" s="14">
        <v>264</v>
      </c>
      <c r="AC583" s="14">
        <v>146</v>
      </c>
      <c r="AD583" s="14">
        <v>44</v>
      </c>
      <c r="AE583" s="14">
        <v>1480</v>
      </c>
      <c r="AF583" s="14">
        <v>5000</v>
      </c>
      <c r="AG583" s="14">
        <v>2082</v>
      </c>
      <c r="AH583" s="14">
        <v>0</v>
      </c>
      <c r="AI583" s="14">
        <v>47</v>
      </c>
      <c r="AJ583" s="14">
        <v>116</v>
      </c>
      <c r="AK583" s="14" t="s">
        <v>4576</v>
      </c>
      <c r="AL583" s="14" t="s">
        <v>4580</v>
      </c>
      <c r="AM583" s="14">
        <v>179.36</v>
      </c>
      <c r="AN583" s="14">
        <v>142.63999999999999</v>
      </c>
      <c r="AO583" s="14">
        <v>73.5</v>
      </c>
      <c r="AP583" s="14">
        <v>19680</v>
      </c>
      <c r="AQ583" s="14">
        <v>19630</v>
      </c>
      <c r="AR583" s="14">
        <v>23000</v>
      </c>
      <c r="AS583" s="14">
        <v>18200</v>
      </c>
      <c r="AT583" s="14">
        <v>19021</v>
      </c>
      <c r="AU583" s="14">
        <v>-9</v>
      </c>
      <c r="AV583" s="14">
        <v>257.42</v>
      </c>
      <c r="AW583" s="14">
        <v>37.43</v>
      </c>
      <c r="AX583" s="14">
        <v>-0.47</v>
      </c>
      <c r="AY583" s="14" t="b">
        <v>0</v>
      </c>
    </row>
    <row r="584" spans="1:51" hidden="1" x14ac:dyDescent="0.3">
      <c r="A584" t="str">
        <f>CONCATENATE(I584,E584,LEFT(G584,10))</f>
        <v>HFA801LLHA2026-01-02</v>
      </c>
      <c r="B584" s="14" t="s">
        <v>6260</v>
      </c>
      <c r="C584" s="14" t="s">
        <v>336</v>
      </c>
      <c r="D584" s="14" t="s">
        <v>337</v>
      </c>
      <c r="E584" s="14" t="s">
        <v>43</v>
      </c>
      <c r="F584" s="14" t="s">
        <v>87</v>
      </c>
      <c r="G584" s="14" t="s">
        <v>6261</v>
      </c>
      <c r="H584" s="14" t="s">
        <v>371</v>
      </c>
      <c r="I584" s="14" t="s">
        <v>133</v>
      </c>
      <c r="J584" s="14" t="s">
        <v>69</v>
      </c>
      <c r="K584" s="14" t="s">
        <v>349</v>
      </c>
      <c r="L584" s="14" t="s">
        <v>341</v>
      </c>
      <c r="M584" s="16" t="s">
        <v>6256</v>
      </c>
      <c r="N584" s="14"/>
      <c r="O584" s="14" t="s">
        <v>430</v>
      </c>
      <c r="P584" s="14">
        <v>140</v>
      </c>
      <c r="Q584" s="14">
        <v>2</v>
      </c>
      <c r="R584" s="14">
        <v>6800</v>
      </c>
      <c r="S584" s="14" t="s">
        <v>6262</v>
      </c>
      <c r="T584" s="14" t="s">
        <v>6263</v>
      </c>
      <c r="U584" s="14">
        <v>0.77916666666666601</v>
      </c>
      <c r="V584" s="14">
        <v>1.00416666666666</v>
      </c>
      <c r="W584" s="14">
        <v>677</v>
      </c>
      <c r="X584" s="14">
        <v>50</v>
      </c>
      <c r="Y584" s="14">
        <v>627</v>
      </c>
      <c r="Z584" s="14">
        <v>923</v>
      </c>
      <c r="AA584" s="14">
        <v>353</v>
      </c>
      <c r="AB584" s="14">
        <v>284</v>
      </c>
      <c r="AC584" s="14">
        <v>238</v>
      </c>
      <c r="AD584" s="14">
        <v>47</v>
      </c>
      <c r="AE584" s="14">
        <v>1600</v>
      </c>
      <c r="AF584" s="14">
        <v>5000</v>
      </c>
      <c r="AG584" s="14">
        <v>2140</v>
      </c>
      <c r="AH584" s="14">
        <v>0</v>
      </c>
      <c r="AI584" s="14">
        <v>48</v>
      </c>
      <c r="AJ584" s="14">
        <v>122</v>
      </c>
      <c r="AK584" s="14" t="s">
        <v>6261</v>
      </c>
      <c r="AL584" s="14" t="s">
        <v>6264</v>
      </c>
      <c r="AM584" s="14">
        <v>179.36</v>
      </c>
      <c r="AN584" s="14">
        <v>142.63999999999999</v>
      </c>
      <c r="AO584" s="14">
        <v>73.5</v>
      </c>
      <c r="AP584" s="14">
        <v>21900</v>
      </c>
      <c r="AQ584" s="14">
        <v>21850</v>
      </c>
      <c r="AR584" s="14">
        <v>23000</v>
      </c>
      <c r="AS584" s="14">
        <v>20300</v>
      </c>
      <c r="AT584" s="14">
        <v>21223</v>
      </c>
      <c r="AU584" s="14">
        <v>-16</v>
      </c>
      <c r="AV584" s="14">
        <v>283.7</v>
      </c>
      <c r="AW584" s="14">
        <v>30.03</v>
      </c>
      <c r="AX584" s="14">
        <v>-2.16</v>
      </c>
      <c r="AY584" s="14" t="b">
        <v>0</v>
      </c>
    </row>
    <row r="585" spans="1:51" hidden="1" x14ac:dyDescent="0.3">
      <c r="A585" t="str">
        <f>CONCATENATE(I585,E585,LEFT(G585,10))</f>
        <v>HFA801LLHA2026-01-04</v>
      </c>
      <c r="B585" s="14" t="s">
        <v>5416</v>
      </c>
      <c r="C585" s="14" t="s">
        <v>336</v>
      </c>
      <c r="D585" s="14" t="s">
        <v>337</v>
      </c>
      <c r="E585" s="14" t="s">
        <v>43</v>
      </c>
      <c r="F585" s="14" t="s">
        <v>87</v>
      </c>
      <c r="G585" s="14" t="s">
        <v>5417</v>
      </c>
      <c r="H585" s="14" t="s">
        <v>371</v>
      </c>
      <c r="I585" s="14" t="s">
        <v>133</v>
      </c>
      <c r="J585" s="14" t="s">
        <v>69</v>
      </c>
      <c r="K585" s="14" t="s">
        <v>349</v>
      </c>
      <c r="L585" s="14" t="s">
        <v>341</v>
      </c>
      <c r="M585" s="16" t="s">
        <v>5412</v>
      </c>
      <c r="N585" s="14"/>
      <c r="O585" s="14" t="s">
        <v>380</v>
      </c>
      <c r="P585" s="14">
        <v>50</v>
      </c>
      <c r="Q585" s="14">
        <v>2</v>
      </c>
      <c r="R585" s="14">
        <v>5800</v>
      </c>
      <c r="S585" s="14" t="s">
        <v>5418</v>
      </c>
      <c r="T585" s="14" t="s">
        <v>5419</v>
      </c>
      <c r="U585" s="14">
        <v>0.68611111111111101</v>
      </c>
      <c r="V585" s="14">
        <v>0.80416666666666603</v>
      </c>
      <c r="W585" s="14">
        <v>621</v>
      </c>
      <c r="X585" s="14">
        <v>50</v>
      </c>
      <c r="Y585" s="14">
        <v>571</v>
      </c>
      <c r="Z585" s="14">
        <v>879</v>
      </c>
      <c r="AA585" s="14">
        <v>339</v>
      </c>
      <c r="AB585" s="14">
        <v>275</v>
      </c>
      <c r="AC585" s="14">
        <v>220</v>
      </c>
      <c r="AD585" s="14">
        <v>46</v>
      </c>
      <c r="AE585" s="14">
        <v>1500</v>
      </c>
      <c r="AF585" s="14">
        <v>5000</v>
      </c>
      <c r="AG585" s="14">
        <v>1962</v>
      </c>
      <c r="AH585" s="14">
        <v>0</v>
      </c>
      <c r="AI585" s="14">
        <v>45</v>
      </c>
      <c r="AJ585" s="14">
        <v>119</v>
      </c>
      <c r="AK585" s="14" t="s">
        <v>5417</v>
      </c>
      <c r="AL585" s="14" t="s">
        <v>5420</v>
      </c>
      <c r="AM585" s="14">
        <v>179.36</v>
      </c>
      <c r="AN585" s="14">
        <v>142.63999999999999</v>
      </c>
      <c r="AO585" s="14">
        <v>73.5</v>
      </c>
      <c r="AP585" s="14">
        <v>20800</v>
      </c>
      <c r="AQ585" s="14">
        <v>20750</v>
      </c>
      <c r="AR585" s="14">
        <v>23000</v>
      </c>
      <c r="AS585" s="14">
        <v>19300</v>
      </c>
      <c r="AT585" s="14">
        <v>20179</v>
      </c>
      <c r="AU585" s="14">
        <v>4</v>
      </c>
      <c r="AV585" s="14">
        <v>216.16</v>
      </c>
      <c r="AW585" s="14">
        <v>9.9600000000000009</v>
      </c>
      <c r="AX585" s="14">
        <v>4.3</v>
      </c>
      <c r="AY585" s="14" t="b">
        <v>0</v>
      </c>
    </row>
    <row r="586" spans="1:51" hidden="1" x14ac:dyDescent="0.3">
      <c r="A586" t="str">
        <f>CONCATENATE(I586,E586,LEFT(G586,10))</f>
        <v>HFA801LLHA2026-01-05</v>
      </c>
      <c r="B586" s="14" t="s">
        <v>1746</v>
      </c>
      <c r="C586" s="14" t="s">
        <v>336</v>
      </c>
      <c r="D586" s="14" t="s">
        <v>337</v>
      </c>
      <c r="E586" s="14" t="s">
        <v>43</v>
      </c>
      <c r="F586" s="14" t="s">
        <v>87</v>
      </c>
      <c r="G586" s="14" t="s">
        <v>1747</v>
      </c>
      <c r="H586" s="14" t="s">
        <v>371</v>
      </c>
      <c r="I586" s="14" t="s">
        <v>133</v>
      </c>
      <c r="J586" s="14" t="s">
        <v>69</v>
      </c>
      <c r="K586" s="14" t="s">
        <v>349</v>
      </c>
      <c r="L586" s="14" t="s">
        <v>341</v>
      </c>
      <c r="M586" s="16" t="s">
        <v>1748</v>
      </c>
      <c r="N586" s="14"/>
      <c r="O586" s="14" t="s">
        <v>1749</v>
      </c>
      <c r="P586" s="14">
        <v>50</v>
      </c>
      <c r="Q586" s="14">
        <v>2</v>
      </c>
      <c r="R586" s="14">
        <v>2400</v>
      </c>
      <c r="S586" s="14" t="s">
        <v>1750</v>
      </c>
      <c r="T586" s="14" t="s">
        <v>1751</v>
      </c>
      <c r="U586" s="14">
        <v>0.70305555555555499</v>
      </c>
      <c r="V586" s="14">
        <v>0.89888888888888796</v>
      </c>
      <c r="W586" s="14">
        <v>602</v>
      </c>
      <c r="X586" s="14">
        <v>50</v>
      </c>
      <c r="Y586" s="14">
        <v>552</v>
      </c>
      <c r="Z586" s="14">
        <v>998</v>
      </c>
      <c r="AA586" s="14">
        <v>318</v>
      </c>
      <c r="AB586" s="14">
        <v>247</v>
      </c>
      <c r="AC586" s="14">
        <v>392</v>
      </c>
      <c r="AD586" s="14">
        <v>41</v>
      </c>
      <c r="AE586" s="14">
        <v>1600</v>
      </c>
      <c r="AF586" s="14">
        <v>5000</v>
      </c>
      <c r="AG586" s="14">
        <v>1901</v>
      </c>
      <c r="AH586" s="14">
        <v>0</v>
      </c>
      <c r="AI586" s="14">
        <v>44</v>
      </c>
      <c r="AJ586" s="14">
        <v>131</v>
      </c>
      <c r="AK586" s="14" t="s">
        <v>1747</v>
      </c>
      <c r="AL586" s="14" t="s">
        <v>1752</v>
      </c>
      <c r="AM586" s="14">
        <v>179.36</v>
      </c>
      <c r="AN586" s="14">
        <v>142.63999999999999</v>
      </c>
      <c r="AO586" s="14">
        <v>73.5</v>
      </c>
      <c r="AP586" s="14">
        <v>17500</v>
      </c>
      <c r="AQ586" s="14">
        <v>17450</v>
      </c>
      <c r="AR586" s="14">
        <v>23000</v>
      </c>
      <c r="AS586" s="14">
        <v>15900</v>
      </c>
      <c r="AT586" s="14">
        <v>16898</v>
      </c>
      <c r="AU586" s="14">
        <v>4</v>
      </c>
      <c r="AV586" s="14">
        <v>214.83</v>
      </c>
      <c r="AW586" s="14">
        <v>6.34</v>
      </c>
      <c r="AX586" s="14">
        <v>6.01</v>
      </c>
      <c r="AY586" s="14" t="b">
        <v>0</v>
      </c>
    </row>
    <row r="587" spans="1:51" hidden="1" x14ac:dyDescent="0.3">
      <c r="A587" t="str">
        <f>CONCATENATE(I587,E587,LEFT(G587,10))</f>
        <v>HFA801LLHA2026-01-06</v>
      </c>
      <c r="B587" s="14" t="s">
        <v>4884</v>
      </c>
      <c r="C587" s="14" t="s">
        <v>336</v>
      </c>
      <c r="D587" s="14" t="s">
        <v>337</v>
      </c>
      <c r="E587" s="14" t="s">
        <v>43</v>
      </c>
      <c r="F587" s="14" t="s">
        <v>87</v>
      </c>
      <c r="G587" s="14" t="s">
        <v>4880</v>
      </c>
      <c r="H587" s="14" t="s">
        <v>339</v>
      </c>
      <c r="I587" s="14" t="s">
        <v>133</v>
      </c>
      <c r="J587" s="14" t="s">
        <v>69</v>
      </c>
      <c r="K587" s="14" t="s">
        <v>349</v>
      </c>
      <c r="L587" s="14" t="s">
        <v>341</v>
      </c>
      <c r="M587" s="16" t="s">
        <v>4885</v>
      </c>
      <c r="N587" s="14"/>
      <c r="O587" s="14" t="s">
        <v>4886</v>
      </c>
      <c r="P587" s="14">
        <v>50</v>
      </c>
      <c r="Q587" s="14">
        <v>2</v>
      </c>
      <c r="R587" s="14">
        <v>3050</v>
      </c>
      <c r="S587" s="14" t="s">
        <v>4887</v>
      </c>
      <c r="T587" s="14" t="s">
        <v>4888</v>
      </c>
      <c r="U587" s="14">
        <v>0.78527777777777696</v>
      </c>
      <c r="V587" s="14">
        <v>0.88916666666666599</v>
      </c>
      <c r="W587" s="14">
        <v>602</v>
      </c>
      <c r="X587" s="14">
        <v>50</v>
      </c>
      <c r="Y587" s="14">
        <v>552</v>
      </c>
      <c r="Z587" s="14">
        <v>848</v>
      </c>
      <c r="AA587" s="14">
        <v>322</v>
      </c>
      <c r="AB587" s="14">
        <v>250</v>
      </c>
      <c r="AC587" s="14">
        <v>234</v>
      </c>
      <c r="AD587" s="14">
        <v>42</v>
      </c>
      <c r="AE587" s="14">
        <v>1450</v>
      </c>
      <c r="AF587" s="14">
        <v>5000</v>
      </c>
      <c r="AG587" s="14">
        <v>1904</v>
      </c>
      <c r="AH587" s="14">
        <v>0</v>
      </c>
      <c r="AI587" s="14">
        <v>45</v>
      </c>
      <c r="AJ587" s="14">
        <v>120</v>
      </c>
      <c r="AK587" s="14" t="s">
        <v>4880</v>
      </c>
      <c r="AL587" s="14" t="s">
        <v>4889</v>
      </c>
      <c r="AM587" s="14">
        <v>179.36</v>
      </c>
      <c r="AN587" s="14">
        <v>142.63999999999999</v>
      </c>
      <c r="AO587" s="14">
        <v>73.5</v>
      </c>
      <c r="AP587" s="14">
        <v>17825</v>
      </c>
      <c r="AQ587" s="14">
        <v>17775</v>
      </c>
      <c r="AR587" s="14">
        <v>23000</v>
      </c>
      <c r="AS587" s="14">
        <v>16375</v>
      </c>
      <c r="AT587" s="14">
        <v>17223</v>
      </c>
      <c r="AU587" s="14">
        <v>0</v>
      </c>
      <c r="AV587" s="14">
        <v>246.34</v>
      </c>
      <c r="AW587" s="14">
        <v>17.690000000000001</v>
      </c>
      <c r="AX587" s="14">
        <v>5.49</v>
      </c>
      <c r="AY587" s="14" t="b">
        <v>0</v>
      </c>
    </row>
    <row r="588" spans="1:51" hidden="1" x14ac:dyDescent="0.3">
      <c r="A588" t="str">
        <f>CONCATENATE(I588,E588,LEFT(G588,10))</f>
        <v>HFA801LLHA2026-01-07</v>
      </c>
      <c r="B588" s="14" t="s">
        <v>1486</v>
      </c>
      <c r="C588" s="14" t="s">
        <v>336</v>
      </c>
      <c r="D588" s="14" t="s">
        <v>337</v>
      </c>
      <c r="E588" s="14" t="s">
        <v>43</v>
      </c>
      <c r="F588" s="14" t="s">
        <v>87</v>
      </c>
      <c r="G588" s="14" t="s">
        <v>1487</v>
      </c>
      <c r="H588" s="14" t="s">
        <v>371</v>
      </c>
      <c r="I588" s="14" t="s">
        <v>133</v>
      </c>
      <c r="J588" s="14" t="s">
        <v>69</v>
      </c>
      <c r="K588" s="14" t="s">
        <v>349</v>
      </c>
      <c r="L588" s="14" t="s">
        <v>341</v>
      </c>
      <c r="M588" s="16" t="s">
        <v>1488</v>
      </c>
      <c r="N588" s="14"/>
      <c r="O588" s="14" t="s">
        <v>1489</v>
      </c>
      <c r="P588" s="14">
        <v>50</v>
      </c>
      <c r="Q588" s="14">
        <v>2</v>
      </c>
      <c r="R588" s="14">
        <v>6900</v>
      </c>
      <c r="S588" s="14" t="s">
        <v>1490</v>
      </c>
      <c r="T588" s="14" t="s">
        <v>1491</v>
      </c>
      <c r="U588" s="14">
        <v>0.86444444444444402</v>
      </c>
      <c r="V588" s="14">
        <v>0.98583333333333301</v>
      </c>
      <c r="W588" s="14">
        <v>648</v>
      </c>
      <c r="X588" s="14">
        <v>50</v>
      </c>
      <c r="Y588" s="14">
        <v>598</v>
      </c>
      <c r="Z588" s="14">
        <v>812</v>
      </c>
      <c r="AA588" s="14">
        <v>343</v>
      </c>
      <c r="AB588" s="14">
        <v>284</v>
      </c>
      <c r="AC588" s="14">
        <v>137</v>
      </c>
      <c r="AD588" s="14">
        <v>47</v>
      </c>
      <c r="AE588" s="14">
        <v>1460</v>
      </c>
      <c r="AF588" s="14">
        <v>5000</v>
      </c>
      <c r="AG588" s="14">
        <v>2049</v>
      </c>
      <c r="AH588" s="14">
        <v>0</v>
      </c>
      <c r="AI588" s="14">
        <v>48</v>
      </c>
      <c r="AJ588" s="14">
        <v>115</v>
      </c>
      <c r="AK588" s="14" t="s">
        <v>1487</v>
      </c>
      <c r="AL588" s="14" t="s">
        <v>1492</v>
      </c>
      <c r="AM588" s="14">
        <v>179.36</v>
      </c>
      <c r="AN588" s="14">
        <v>142.63999999999999</v>
      </c>
      <c r="AO588" s="14">
        <v>73.5</v>
      </c>
      <c r="AP588" s="14">
        <v>21860</v>
      </c>
      <c r="AQ588" s="14">
        <v>21810</v>
      </c>
      <c r="AR588" s="14">
        <v>23000</v>
      </c>
      <c r="AS588" s="14">
        <v>20400</v>
      </c>
      <c r="AT588" s="14">
        <v>21212</v>
      </c>
      <c r="AU588" s="14">
        <v>-10</v>
      </c>
      <c r="AV588" s="14">
        <v>282.97000000000003</v>
      </c>
      <c r="AW588" s="14">
        <v>28.23</v>
      </c>
      <c r="AX588" s="14">
        <v>6.16</v>
      </c>
      <c r="AY588" s="14" t="b">
        <v>0</v>
      </c>
    </row>
    <row r="589" spans="1:51" hidden="1" x14ac:dyDescent="0.3">
      <c r="A589" t="str">
        <f>CONCATENATE(I589,E589,LEFT(G589,10))</f>
        <v>HFA801LLHA2026-01-08</v>
      </c>
      <c r="B589" s="14" t="s">
        <v>2925</v>
      </c>
      <c r="C589" s="14" t="s">
        <v>336</v>
      </c>
      <c r="D589" s="14" t="s">
        <v>337</v>
      </c>
      <c r="E589" s="14" t="s">
        <v>43</v>
      </c>
      <c r="F589" s="14" t="s">
        <v>87</v>
      </c>
      <c r="G589" s="14" t="s">
        <v>2926</v>
      </c>
      <c r="H589" s="14" t="s">
        <v>371</v>
      </c>
      <c r="I589" s="14" t="s">
        <v>133</v>
      </c>
      <c r="J589" s="14" t="s">
        <v>69</v>
      </c>
      <c r="K589" s="14" t="s">
        <v>349</v>
      </c>
      <c r="L589" s="14" t="s">
        <v>341</v>
      </c>
      <c r="M589" s="16" t="s">
        <v>2927</v>
      </c>
      <c r="N589" s="14"/>
      <c r="O589" s="14" t="s">
        <v>380</v>
      </c>
      <c r="P589" s="14">
        <v>50</v>
      </c>
      <c r="Q589" s="14">
        <v>3</v>
      </c>
      <c r="R589" s="14">
        <v>4700</v>
      </c>
      <c r="S589" s="14" t="s">
        <v>2928</v>
      </c>
      <c r="T589" s="14" t="s">
        <v>2929</v>
      </c>
      <c r="U589" s="14">
        <v>-0.308611111111111</v>
      </c>
      <c r="V589" s="14">
        <v>0.80833333333333302</v>
      </c>
      <c r="W589" s="14">
        <v>612</v>
      </c>
      <c r="X589" s="14">
        <v>50</v>
      </c>
      <c r="Y589" s="14">
        <v>562</v>
      </c>
      <c r="Z589" s="14">
        <v>818</v>
      </c>
      <c r="AA589" s="14">
        <v>331</v>
      </c>
      <c r="AB589" s="14">
        <v>264</v>
      </c>
      <c r="AC589" s="14">
        <v>179</v>
      </c>
      <c r="AD589" s="14">
        <v>44</v>
      </c>
      <c r="AE589" s="14">
        <v>1430</v>
      </c>
      <c r="AF589" s="14">
        <v>5000</v>
      </c>
      <c r="AG589" s="14">
        <v>1934</v>
      </c>
      <c r="AH589" s="14">
        <v>0</v>
      </c>
      <c r="AI589" s="14">
        <v>45</v>
      </c>
      <c r="AJ589" s="14">
        <v>115</v>
      </c>
      <c r="AK589" s="14" t="s">
        <v>2926</v>
      </c>
      <c r="AL589" s="14" t="s">
        <v>2930</v>
      </c>
      <c r="AM589" s="14">
        <v>179.36</v>
      </c>
      <c r="AN589" s="14">
        <v>142.63999999999999</v>
      </c>
      <c r="AO589" s="14">
        <v>73.5</v>
      </c>
      <c r="AP589" s="14">
        <v>19630</v>
      </c>
      <c r="AQ589" s="14">
        <v>19580</v>
      </c>
      <c r="AR589" s="14">
        <v>23000</v>
      </c>
      <c r="AS589" s="14">
        <v>18200</v>
      </c>
      <c r="AT589" s="14">
        <v>19018</v>
      </c>
      <c r="AU589" s="14">
        <v>4</v>
      </c>
      <c r="AV589" s="14">
        <v>230.54</v>
      </c>
      <c r="AW589" s="14">
        <v>15.57</v>
      </c>
      <c r="AX589" s="14">
        <v>7.32</v>
      </c>
      <c r="AY589" s="14" t="b">
        <v>0</v>
      </c>
    </row>
    <row r="590" spans="1:51" hidden="1" x14ac:dyDescent="0.3">
      <c r="A590" t="str">
        <f>CONCATENATE(I590,E590,LEFT(G590,10))</f>
        <v>HFA801LLHA2026-01-09</v>
      </c>
      <c r="B590" s="14" t="s">
        <v>2332</v>
      </c>
      <c r="C590" s="14" t="s">
        <v>336</v>
      </c>
      <c r="D590" s="14" t="s">
        <v>337</v>
      </c>
      <c r="E590" s="14" t="s">
        <v>43</v>
      </c>
      <c r="F590" s="14" t="s">
        <v>87</v>
      </c>
      <c r="G590" s="14" t="s">
        <v>2333</v>
      </c>
      <c r="H590" s="14" t="s">
        <v>371</v>
      </c>
      <c r="I590" s="14" t="s">
        <v>133</v>
      </c>
      <c r="J590" s="14" t="s">
        <v>69</v>
      </c>
      <c r="K590" s="14" t="s">
        <v>349</v>
      </c>
      <c r="L590" s="14" t="s">
        <v>341</v>
      </c>
      <c r="M590" s="16" t="s">
        <v>2334</v>
      </c>
      <c r="N590" s="14"/>
      <c r="O590" s="14" t="s">
        <v>2335</v>
      </c>
      <c r="P590" s="14">
        <v>50</v>
      </c>
      <c r="Q590" s="14">
        <v>2</v>
      </c>
      <c r="R590" s="14">
        <v>3200</v>
      </c>
      <c r="S590" s="14" t="s">
        <v>2336</v>
      </c>
      <c r="T590" s="14" t="s">
        <v>2337</v>
      </c>
      <c r="U590" s="14">
        <v>0.74527777777777704</v>
      </c>
      <c r="V590" s="14">
        <v>0.83444444444444399</v>
      </c>
      <c r="W590" s="14">
        <v>642</v>
      </c>
      <c r="X590" s="14">
        <v>50</v>
      </c>
      <c r="Y590" s="14">
        <v>592</v>
      </c>
      <c r="Z590" s="14">
        <v>1058</v>
      </c>
      <c r="AA590" s="14">
        <v>361</v>
      </c>
      <c r="AB590" s="14">
        <v>254</v>
      </c>
      <c r="AC590" s="14">
        <v>400</v>
      </c>
      <c r="AD590" s="14">
        <v>42</v>
      </c>
      <c r="AE590" s="14">
        <v>1700</v>
      </c>
      <c r="AF590" s="14">
        <v>5000</v>
      </c>
      <c r="AG590" s="14">
        <v>2030</v>
      </c>
      <c r="AH590" s="14">
        <v>0</v>
      </c>
      <c r="AI590" s="14">
        <v>46</v>
      </c>
      <c r="AJ590" s="14">
        <v>135</v>
      </c>
      <c r="AK590" s="14" t="s">
        <v>2333</v>
      </c>
      <c r="AL590" s="14" t="s">
        <v>2338</v>
      </c>
      <c r="AM590" s="14">
        <v>179.36</v>
      </c>
      <c r="AN590" s="14">
        <v>142.63999999999999</v>
      </c>
      <c r="AO590" s="14">
        <v>73.5</v>
      </c>
      <c r="AP590" s="14">
        <v>18400</v>
      </c>
      <c r="AQ590" s="14">
        <v>18350</v>
      </c>
      <c r="AR590" s="14">
        <v>23000</v>
      </c>
      <c r="AS590" s="14">
        <v>16700</v>
      </c>
      <c r="AT590" s="14">
        <v>17758</v>
      </c>
      <c r="AU590" s="14">
        <v>-6</v>
      </c>
      <c r="AV590" s="14">
        <v>258.83999999999997</v>
      </c>
      <c r="AW590" s="14">
        <v>40.950000000000003</v>
      </c>
      <c r="AX590" s="14">
        <v>-0.75</v>
      </c>
      <c r="AY590" s="14" t="b">
        <v>0</v>
      </c>
    </row>
    <row r="591" spans="1:51" hidden="1" x14ac:dyDescent="0.3">
      <c r="A591" t="str">
        <f>CONCATENATE(I591,E591,LEFT(G591,10))</f>
        <v>HFA801LLHA2026-01-11</v>
      </c>
      <c r="B591" s="14" t="s">
        <v>2251</v>
      </c>
      <c r="C591" s="14" t="s">
        <v>336</v>
      </c>
      <c r="D591" s="14" t="s">
        <v>337</v>
      </c>
      <c r="E591" s="14" t="s">
        <v>43</v>
      </c>
      <c r="F591" s="14" t="s">
        <v>87</v>
      </c>
      <c r="G591" s="14" t="s">
        <v>2252</v>
      </c>
      <c r="H591" s="14" t="s">
        <v>339</v>
      </c>
      <c r="I591" s="14" t="s">
        <v>133</v>
      </c>
      <c r="J591" s="14" t="s">
        <v>69</v>
      </c>
      <c r="K591" s="14" t="s">
        <v>349</v>
      </c>
      <c r="L591" s="14" t="s">
        <v>341</v>
      </c>
      <c r="M591" s="16" t="s">
        <v>2247</v>
      </c>
      <c r="N591" s="14"/>
      <c r="O591" s="14" t="s">
        <v>380</v>
      </c>
      <c r="P591" s="14">
        <v>50</v>
      </c>
      <c r="Q591" s="14">
        <v>2</v>
      </c>
      <c r="R591" s="14">
        <v>4800</v>
      </c>
      <c r="S591" s="14" t="s">
        <v>2253</v>
      </c>
      <c r="T591" s="14" t="s">
        <v>2254</v>
      </c>
      <c r="U591" s="14">
        <v>0.70194444444444404</v>
      </c>
      <c r="V591" s="14">
        <v>0.78638888888888803</v>
      </c>
      <c r="W591" s="14">
        <v>614</v>
      </c>
      <c r="X591" s="14">
        <v>50</v>
      </c>
      <c r="Y591" s="14">
        <v>564</v>
      </c>
      <c r="Z591" s="14">
        <v>956</v>
      </c>
      <c r="AA591" s="14">
        <v>343</v>
      </c>
      <c r="AB591" s="14">
        <v>265</v>
      </c>
      <c r="AC591" s="14">
        <v>304</v>
      </c>
      <c r="AD591" s="14">
        <v>44</v>
      </c>
      <c r="AE591" s="14">
        <v>1570</v>
      </c>
      <c r="AF591" s="14">
        <v>5000</v>
      </c>
      <c r="AG591" s="14">
        <v>1941</v>
      </c>
      <c r="AH591" s="14">
        <v>0</v>
      </c>
      <c r="AI591" s="14">
        <v>45</v>
      </c>
      <c r="AJ591" s="14">
        <v>126</v>
      </c>
      <c r="AK591" s="14" t="s">
        <v>2252</v>
      </c>
      <c r="AL591" s="14" t="s">
        <v>2255</v>
      </c>
      <c r="AM591" s="14">
        <v>179.36</v>
      </c>
      <c r="AN591" s="14">
        <v>142.63999999999999</v>
      </c>
      <c r="AO591" s="14">
        <v>73.5</v>
      </c>
      <c r="AP591" s="14">
        <v>19695</v>
      </c>
      <c r="AQ591" s="14">
        <v>19645</v>
      </c>
      <c r="AR591" s="14">
        <v>23000</v>
      </c>
      <c r="AS591" s="14">
        <v>18125</v>
      </c>
      <c r="AT591" s="14">
        <v>19081</v>
      </c>
      <c r="AU591" s="14">
        <v>4</v>
      </c>
      <c r="AV591" s="14">
        <v>233.43</v>
      </c>
      <c r="AW591" s="14">
        <v>25.75</v>
      </c>
      <c r="AX591" s="14">
        <v>1.67</v>
      </c>
      <c r="AY591" s="14" t="b">
        <v>0</v>
      </c>
    </row>
    <row r="592" spans="1:51" hidden="1" x14ac:dyDescent="0.3">
      <c r="A592" t="str">
        <f>CONCATENATE(I592,E592,LEFT(G592,10))</f>
        <v>HFA801LLHA2026-01-12</v>
      </c>
      <c r="B592" s="14" t="s">
        <v>6083</v>
      </c>
      <c r="C592" s="14" t="s">
        <v>336</v>
      </c>
      <c r="D592" s="14" t="s">
        <v>337</v>
      </c>
      <c r="E592" s="14" t="s">
        <v>43</v>
      </c>
      <c r="F592" s="14" t="s">
        <v>87</v>
      </c>
      <c r="G592" s="14" t="s">
        <v>6084</v>
      </c>
      <c r="H592" s="14" t="s">
        <v>371</v>
      </c>
      <c r="I592" s="14" t="s">
        <v>133</v>
      </c>
      <c r="J592" s="14" t="s">
        <v>69</v>
      </c>
      <c r="K592" s="14" t="s">
        <v>349</v>
      </c>
      <c r="L592" s="14" t="s">
        <v>341</v>
      </c>
      <c r="M592" s="16" t="s">
        <v>6085</v>
      </c>
      <c r="N592" s="14"/>
      <c r="O592" s="14" t="s">
        <v>380</v>
      </c>
      <c r="P592" s="14">
        <v>50</v>
      </c>
      <c r="Q592" s="14">
        <v>3</v>
      </c>
      <c r="R592" s="14">
        <v>3800</v>
      </c>
      <c r="S592" s="14" t="s">
        <v>6086</v>
      </c>
      <c r="T592" s="14" t="s">
        <v>6087</v>
      </c>
      <c r="U592" s="14">
        <v>0.823888888888888</v>
      </c>
      <c r="V592" s="14">
        <v>1.0288888888888801</v>
      </c>
      <c r="W592" s="14">
        <v>628</v>
      </c>
      <c r="X592" s="14">
        <v>50</v>
      </c>
      <c r="Y592" s="14">
        <v>578</v>
      </c>
      <c r="Z592" s="14">
        <v>1052</v>
      </c>
      <c r="AA592" s="14">
        <v>356</v>
      </c>
      <c r="AB592" s="14">
        <v>259</v>
      </c>
      <c r="AC592" s="14">
        <v>394</v>
      </c>
      <c r="AD592" s="14">
        <v>43</v>
      </c>
      <c r="AE592" s="14">
        <v>1680</v>
      </c>
      <c r="AF592" s="14">
        <v>5000</v>
      </c>
      <c r="AG592" s="14">
        <v>1984</v>
      </c>
      <c r="AH592" s="14">
        <v>0</v>
      </c>
      <c r="AI592" s="14">
        <v>46</v>
      </c>
      <c r="AJ592" s="14">
        <v>133</v>
      </c>
      <c r="AK592" s="14" t="s">
        <v>6084</v>
      </c>
      <c r="AL592" s="14" t="s">
        <v>6088</v>
      </c>
      <c r="AM592" s="14">
        <v>179.36</v>
      </c>
      <c r="AN592" s="14">
        <v>142.63999999999999</v>
      </c>
      <c r="AO592" s="14">
        <v>73.5</v>
      </c>
      <c r="AP592" s="14">
        <v>18980</v>
      </c>
      <c r="AQ592" s="14">
        <v>18930</v>
      </c>
      <c r="AR592" s="14">
        <v>23000</v>
      </c>
      <c r="AS592" s="14">
        <v>17300</v>
      </c>
      <c r="AT592" s="14">
        <v>18352</v>
      </c>
      <c r="AU592" s="14">
        <v>1</v>
      </c>
      <c r="AV592" s="14">
        <v>240.15</v>
      </c>
      <c r="AW592" s="14">
        <v>45.54</v>
      </c>
      <c r="AX592" s="14">
        <v>0.37</v>
      </c>
      <c r="AY592" s="14" t="b">
        <v>0</v>
      </c>
    </row>
    <row r="593" spans="1:51" hidden="1" x14ac:dyDescent="0.3">
      <c r="A593" t="str">
        <f>CONCATENATE(I593,E593,LEFT(G593,10))</f>
        <v>HFA801LLHA2026-01-14</v>
      </c>
      <c r="B593" s="14" t="s">
        <v>5798</v>
      </c>
      <c r="C593" s="14" t="s">
        <v>336</v>
      </c>
      <c r="D593" s="14" t="s">
        <v>337</v>
      </c>
      <c r="E593" s="14" t="s">
        <v>43</v>
      </c>
      <c r="F593" s="14" t="s">
        <v>87</v>
      </c>
      <c r="G593" s="14" t="s">
        <v>5799</v>
      </c>
      <c r="H593" s="14" t="s">
        <v>371</v>
      </c>
      <c r="I593" s="14" t="s">
        <v>133</v>
      </c>
      <c r="J593" s="14" t="s">
        <v>69</v>
      </c>
      <c r="K593" s="14" t="s">
        <v>349</v>
      </c>
      <c r="L593" s="14" t="s">
        <v>341</v>
      </c>
      <c r="M593" s="16" t="s">
        <v>5789</v>
      </c>
      <c r="N593" s="14"/>
      <c r="O593" s="14" t="s">
        <v>430</v>
      </c>
      <c r="P593" s="14">
        <v>140</v>
      </c>
      <c r="Q593" s="14">
        <v>2</v>
      </c>
      <c r="R593" s="14">
        <v>6800</v>
      </c>
      <c r="S593" s="14" t="s">
        <v>5800</v>
      </c>
      <c r="T593" s="14" t="s">
        <v>5801</v>
      </c>
      <c r="U593" s="14">
        <v>0.82944444444444398</v>
      </c>
      <c r="V593" s="14">
        <v>0.98361111111111099</v>
      </c>
      <c r="W593" s="14">
        <v>709</v>
      </c>
      <c r="X593" s="14">
        <v>50</v>
      </c>
      <c r="Y593" s="14">
        <v>659</v>
      </c>
      <c r="Z593" s="14">
        <v>793</v>
      </c>
      <c r="AA593" s="14">
        <v>363</v>
      </c>
      <c r="AB593" s="14">
        <v>283</v>
      </c>
      <c r="AC593" s="14">
        <v>100</v>
      </c>
      <c r="AD593" s="14">
        <v>47</v>
      </c>
      <c r="AE593" s="14">
        <v>1502</v>
      </c>
      <c r="AF593" s="14">
        <v>5000</v>
      </c>
      <c r="AG593" s="14">
        <v>2240</v>
      </c>
      <c r="AH593" s="14">
        <v>0</v>
      </c>
      <c r="AI593" s="14">
        <v>51</v>
      </c>
      <c r="AJ593" s="14">
        <v>115</v>
      </c>
      <c r="AK593" s="14" t="s">
        <v>5799</v>
      </c>
      <c r="AL593" s="14" t="s">
        <v>5802</v>
      </c>
      <c r="AM593" s="14">
        <v>179.36</v>
      </c>
      <c r="AN593" s="14">
        <v>142.63999999999999</v>
      </c>
      <c r="AO593" s="14">
        <v>73.5</v>
      </c>
      <c r="AP593" s="14">
        <v>21802</v>
      </c>
      <c r="AQ593" s="14">
        <v>21752</v>
      </c>
      <c r="AR593" s="14">
        <v>23000</v>
      </c>
      <c r="AS593" s="14">
        <v>20300</v>
      </c>
      <c r="AT593" s="14">
        <v>21093</v>
      </c>
      <c r="AU593" s="14">
        <v>-29</v>
      </c>
      <c r="AV593" s="14">
        <v>314.88</v>
      </c>
      <c r="AW593" s="14">
        <v>45.71</v>
      </c>
      <c r="AX593" s="14">
        <v>-0.55000000000000004</v>
      </c>
      <c r="AY593" s="14" t="b">
        <v>0</v>
      </c>
    </row>
    <row r="594" spans="1:51" hidden="1" x14ac:dyDescent="0.3">
      <c r="A594" t="str">
        <f>CONCATENATE(I594,E594,LEFT(G594,10))</f>
        <v>HFA801LLHA2026-01-15</v>
      </c>
      <c r="B594" s="14" t="s">
        <v>6203</v>
      </c>
      <c r="C594" s="14" t="s">
        <v>336</v>
      </c>
      <c r="D594" s="14" t="s">
        <v>337</v>
      </c>
      <c r="E594" s="14" t="s">
        <v>43</v>
      </c>
      <c r="F594" s="14" t="s">
        <v>87</v>
      </c>
      <c r="G594" s="14" t="s">
        <v>6204</v>
      </c>
      <c r="H594" s="14" t="s">
        <v>371</v>
      </c>
      <c r="I594" s="14" t="s">
        <v>133</v>
      </c>
      <c r="J594" s="14" t="s">
        <v>69</v>
      </c>
      <c r="K594" s="14" t="s">
        <v>349</v>
      </c>
      <c r="L594" s="14" t="s">
        <v>341</v>
      </c>
      <c r="M594" s="16" t="s">
        <v>6205</v>
      </c>
      <c r="N594" s="14"/>
      <c r="O594" s="14" t="s">
        <v>6103</v>
      </c>
      <c r="P594" s="14">
        <v>50</v>
      </c>
      <c r="Q594" s="14">
        <v>2</v>
      </c>
      <c r="R594" s="14">
        <v>5600</v>
      </c>
      <c r="S594" s="14" t="s">
        <v>6206</v>
      </c>
      <c r="T594" s="14" t="s">
        <v>6207</v>
      </c>
      <c r="U594" s="14">
        <v>0.76194444444444398</v>
      </c>
      <c r="V594" s="14">
        <v>0.93527777777777699</v>
      </c>
      <c r="W594" s="14">
        <v>675</v>
      </c>
      <c r="X594" s="14">
        <v>50</v>
      </c>
      <c r="Y594" s="14">
        <v>625</v>
      </c>
      <c r="Z594" s="14">
        <v>935</v>
      </c>
      <c r="AA594" s="14">
        <v>347</v>
      </c>
      <c r="AB594" s="14">
        <v>273</v>
      </c>
      <c r="AC594" s="14">
        <v>269</v>
      </c>
      <c r="AD594" s="14">
        <v>46</v>
      </c>
      <c r="AE594" s="14">
        <v>1610</v>
      </c>
      <c r="AF594" s="14">
        <v>5000</v>
      </c>
      <c r="AG594" s="14">
        <v>2134</v>
      </c>
      <c r="AH594" s="14">
        <v>0</v>
      </c>
      <c r="AI594" s="14">
        <v>49</v>
      </c>
      <c r="AJ594" s="14">
        <v>126</v>
      </c>
      <c r="AK594" s="14" t="s">
        <v>6204</v>
      </c>
      <c r="AL594" s="14" t="s">
        <v>6208</v>
      </c>
      <c r="AM594" s="14">
        <v>179.36</v>
      </c>
      <c r="AN594" s="14">
        <v>142.63999999999999</v>
      </c>
      <c r="AO594" s="14">
        <v>73.5</v>
      </c>
      <c r="AP594" s="14">
        <v>20710</v>
      </c>
      <c r="AQ594" s="14">
        <v>20660</v>
      </c>
      <c r="AR594" s="14">
        <v>23000</v>
      </c>
      <c r="AS594" s="14">
        <v>19100</v>
      </c>
      <c r="AT594" s="14">
        <v>20035</v>
      </c>
      <c r="AU594" s="14">
        <v>-21</v>
      </c>
      <c r="AV594" s="14">
        <v>319.32</v>
      </c>
      <c r="AW594" s="14">
        <v>31.73</v>
      </c>
      <c r="AX594" s="14">
        <v>1.7</v>
      </c>
      <c r="AY594" s="14" t="b">
        <v>0</v>
      </c>
    </row>
    <row r="595" spans="1:51" hidden="1" x14ac:dyDescent="0.3">
      <c r="A595" t="str">
        <f>CONCATENATE(I595,E595,LEFT(G595,10))</f>
        <v>HFA801LLHA2026-01-16</v>
      </c>
      <c r="B595" s="14" t="s">
        <v>5063</v>
      </c>
      <c r="C595" s="14" t="s">
        <v>336</v>
      </c>
      <c r="D595" s="14" t="s">
        <v>337</v>
      </c>
      <c r="E595" s="14" t="s">
        <v>43</v>
      </c>
      <c r="F595" s="14" t="s">
        <v>87</v>
      </c>
      <c r="G595" s="14" t="s">
        <v>5064</v>
      </c>
      <c r="H595" s="14" t="s">
        <v>371</v>
      </c>
      <c r="I595" s="14" t="s">
        <v>133</v>
      </c>
      <c r="J595" s="14" t="s">
        <v>69</v>
      </c>
      <c r="K595" s="14" t="s">
        <v>349</v>
      </c>
      <c r="L595" s="14" t="s">
        <v>341</v>
      </c>
      <c r="M595" s="16" t="s">
        <v>5065</v>
      </c>
      <c r="N595" s="14"/>
      <c r="O595" s="14" t="s">
        <v>5066</v>
      </c>
      <c r="P595" s="14">
        <v>50</v>
      </c>
      <c r="Q595" s="14">
        <v>2</v>
      </c>
      <c r="R595" s="14">
        <v>3800</v>
      </c>
      <c r="S595" s="14" t="s">
        <v>5067</v>
      </c>
      <c r="T595" s="14" t="s">
        <v>5068</v>
      </c>
      <c r="U595" s="14">
        <v>0.73277777777777697</v>
      </c>
      <c r="V595" s="14">
        <v>0.89083333333333303</v>
      </c>
      <c r="W595" s="14">
        <v>646</v>
      </c>
      <c r="X595" s="14">
        <v>50</v>
      </c>
      <c r="Y595" s="14">
        <v>596</v>
      </c>
      <c r="Z595" s="14">
        <v>954</v>
      </c>
      <c r="AA595" s="14">
        <v>337</v>
      </c>
      <c r="AB595" s="14">
        <v>258</v>
      </c>
      <c r="AC595" s="14">
        <v>316</v>
      </c>
      <c r="AD595" s="14">
        <v>43</v>
      </c>
      <c r="AE595" s="14">
        <v>1600</v>
      </c>
      <c r="AF595" s="14">
        <v>5000</v>
      </c>
      <c r="AG595" s="14">
        <v>2042</v>
      </c>
      <c r="AH595" s="14">
        <v>0</v>
      </c>
      <c r="AI595" s="14">
        <v>47</v>
      </c>
      <c r="AJ595" s="14">
        <v>128</v>
      </c>
      <c r="AK595" s="14" t="s">
        <v>5064</v>
      </c>
      <c r="AL595" s="14" t="s">
        <v>5069</v>
      </c>
      <c r="AM595" s="14">
        <v>179.36</v>
      </c>
      <c r="AN595" s="14">
        <v>142.63999999999999</v>
      </c>
      <c r="AO595" s="14">
        <v>73.5</v>
      </c>
      <c r="AP595" s="14">
        <v>18900</v>
      </c>
      <c r="AQ595" s="14">
        <v>18850</v>
      </c>
      <c r="AR595" s="14">
        <v>23000</v>
      </c>
      <c r="AS595" s="14">
        <v>17300</v>
      </c>
      <c r="AT595" s="14">
        <v>18254</v>
      </c>
      <c r="AU595" s="14">
        <v>-13</v>
      </c>
      <c r="AV595" s="14">
        <v>298.08999999999997</v>
      </c>
      <c r="AW595" s="14">
        <v>23.86</v>
      </c>
      <c r="AX595" s="14">
        <v>2.75</v>
      </c>
      <c r="AY595" s="14" t="b">
        <v>0</v>
      </c>
    </row>
    <row r="596" spans="1:51" hidden="1" x14ac:dyDescent="0.3">
      <c r="A596" t="str">
        <f>CONCATENATE(I596,E596,LEFT(G596,10))</f>
        <v>HFA801LLHA2026-01-18</v>
      </c>
      <c r="B596" s="14" t="s">
        <v>5606</v>
      </c>
      <c r="C596" s="14" t="s">
        <v>336</v>
      </c>
      <c r="D596" s="14" t="s">
        <v>337</v>
      </c>
      <c r="E596" s="14" t="s">
        <v>43</v>
      </c>
      <c r="F596" s="14" t="s">
        <v>87</v>
      </c>
      <c r="G596" s="14" t="s">
        <v>5607</v>
      </c>
      <c r="H596" s="14" t="s">
        <v>339</v>
      </c>
      <c r="I596" s="14" t="s">
        <v>133</v>
      </c>
      <c r="J596" s="14" t="s">
        <v>69</v>
      </c>
      <c r="K596" s="14" t="s">
        <v>349</v>
      </c>
      <c r="L596" s="14" t="s">
        <v>341</v>
      </c>
      <c r="M596" s="16" t="s">
        <v>5608</v>
      </c>
      <c r="N596" s="14"/>
      <c r="O596" s="14" t="s">
        <v>380</v>
      </c>
      <c r="P596" s="14">
        <v>50</v>
      </c>
      <c r="Q596" s="14">
        <v>2</v>
      </c>
      <c r="R596" s="14">
        <v>1600</v>
      </c>
      <c r="S596" s="14" t="s">
        <v>5609</v>
      </c>
      <c r="T596" s="14" t="s">
        <v>5610</v>
      </c>
      <c r="U596" s="14">
        <v>0.75527777777777705</v>
      </c>
      <c r="V596" s="14">
        <v>0.911944444444444</v>
      </c>
      <c r="W596" s="14">
        <v>640</v>
      </c>
      <c r="X596" s="14">
        <v>50</v>
      </c>
      <c r="Y596" s="14">
        <v>590</v>
      </c>
      <c r="Z596" s="14">
        <v>890</v>
      </c>
      <c r="AA596" s="14">
        <v>328</v>
      </c>
      <c r="AB596" s="14">
        <v>240</v>
      </c>
      <c r="AC596" s="14">
        <v>283</v>
      </c>
      <c r="AD596" s="14">
        <v>40</v>
      </c>
      <c r="AE596" s="14">
        <v>1530</v>
      </c>
      <c r="AF596" s="14">
        <v>5000</v>
      </c>
      <c r="AG596" s="14">
        <v>2021</v>
      </c>
      <c r="AH596" s="14">
        <v>0</v>
      </c>
      <c r="AI596" s="14">
        <v>46</v>
      </c>
      <c r="AJ596" s="14">
        <v>124</v>
      </c>
      <c r="AK596" s="14" t="s">
        <v>5607</v>
      </c>
      <c r="AL596" s="14" t="s">
        <v>5611</v>
      </c>
      <c r="AM596" s="14">
        <v>179.36</v>
      </c>
      <c r="AN596" s="14">
        <v>142.63999999999999</v>
      </c>
      <c r="AO596" s="14">
        <v>73.5</v>
      </c>
      <c r="AP596" s="14">
        <v>16455</v>
      </c>
      <c r="AQ596" s="14">
        <v>16405</v>
      </c>
      <c r="AR596" s="14">
        <v>23000</v>
      </c>
      <c r="AS596" s="14">
        <v>14925</v>
      </c>
      <c r="AT596" s="14">
        <v>15815</v>
      </c>
      <c r="AU596" s="14">
        <v>-13</v>
      </c>
      <c r="AV596" s="14">
        <v>275.17</v>
      </c>
      <c r="AW596" s="14">
        <v>28.61</v>
      </c>
      <c r="AX596" s="14">
        <v>-1.92</v>
      </c>
      <c r="AY596" s="14" t="b">
        <v>0</v>
      </c>
    </row>
    <row r="597" spans="1:51" hidden="1" x14ac:dyDescent="0.3">
      <c r="A597" t="str">
        <f>CONCATENATE(I597,E597,LEFT(G597,10))</f>
        <v>HFA801LLHA2026-01-19</v>
      </c>
      <c r="B597" s="14" t="s">
        <v>5986</v>
      </c>
      <c r="C597" s="14" t="s">
        <v>336</v>
      </c>
      <c r="D597" s="14" t="s">
        <v>337</v>
      </c>
      <c r="E597" s="14" t="s">
        <v>43</v>
      </c>
      <c r="F597" s="14" t="s">
        <v>87</v>
      </c>
      <c r="G597" s="14" t="s">
        <v>5987</v>
      </c>
      <c r="H597" s="14" t="s">
        <v>371</v>
      </c>
      <c r="I597" s="14" t="s">
        <v>133</v>
      </c>
      <c r="J597" s="14" t="s">
        <v>69</v>
      </c>
      <c r="K597" s="14" t="s">
        <v>349</v>
      </c>
      <c r="L597" s="14" t="s">
        <v>341</v>
      </c>
      <c r="M597" s="16" t="s">
        <v>5988</v>
      </c>
      <c r="N597" s="14"/>
      <c r="O597" s="14" t="s">
        <v>5989</v>
      </c>
      <c r="P597" s="14">
        <v>50</v>
      </c>
      <c r="Q597" s="14">
        <v>2</v>
      </c>
      <c r="R597" s="14">
        <v>3600</v>
      </c>
      <c r="S597" s="14" t="s">
        <v>5990</v>
      </c>
      <c r="T597" s="14" t="s">
        <v>5991</v>
      </c>
      <c r="U597" s="14">
        <v>1.7361111111111101</v>
      </c>
      <c r="V597" s="14">
        <v>0.85527777777777703</v>
      </c>
      <c r="W597" s="14">
        <v>689</v>
      </c>
      <c r="X597" s="14">
        <v>50</v>
      </c>
      <c r="Y597" s="14">
        <v>639</v>
      </c>
      <c r="Z597" s="14">
        <v>981</v>
      </c>
      <c r="AA597" s="14">
        <v>344</v>
      </c>
      <c r="AB597" s="14">
        <v>257</v>
      </c>
      <c r="AC597" s="14">
        <v>337</v>
      </c>
      <c r="AD597" s="14">
        <v>43</v>
      </c>
      <c r="AE597" s="14">
        <v>1670</v>
      </c>
      <c r="AF597" s="14">
        <v>5000</v>
      </c>
      <c r="AG597" s="14">
        <v>2177</v>
      </c>
      <c r="AH597" s="14">
        <v>0</v>
      </c>
      <c r="AI597" s="14">
        <v>47</v>
      </c>
      <c r="AJ597" s="14">
        <v>126</v>
      </c>
      <c r="AK597" s="14" t="s">
        <v>5987</v>
      </c>
      <c r="AL597" s="14" t="s">
        <v>5992</v>
      </c>
      <c r="AM597" s="14">
        <v>179.36</v>
      </c>
      <c r="AN597" s="14">
        <v>142.63999999999999</v>
      </c>
      <c r="AO597" s="14">
        <v>73.5</v>
      </c>
      <c r="AP597" s="14">
        <v>18770</v>
      </c>
      <c r="AQ597" s="14">
        <v>18720</v>
      </c>
      <c r="AR597" s="14">
        <v>23000</v>
      </c>
      <c r="AS597" s="14">
        <v>17100</v>
      </c>
      <c r="AT597" s="14">
        <v>18081</v>
      </c>
      <c r="AU597" s="14">
        <v>-14</v>
      </c>
      <c r="AV597" s="14">
        <v>294.16000000000003</v>
      </c>
      <c r="AW597" s="14">
        <v>25.68</v>
      </c>
      <c r="AX597" s="14">
        <v>-4.58</v>
      </c>
      <c r="AY597" s="14" t="b">
        <v>0</v>
      </c>
    </row>
    <row r="598" spans="1:51" hidden="1" x14ac:dyDescent="0.3">
      <c r="A598" t="str">
        <f>CONCATENATE(I598,E598,LEFT(G598,10))</f>
        <v>HFA801LLHA2026-01-23</v>
      </c>
      <c r="B598" s="14" t="s">
        <v>5129</v>
      </c>
      <c r="C598" s="14" t="s">
        <v>336</v>
      </c>
      <c r="D598" s="14" t="s">
        <v>337</v>
      </c>
      <c r="E598" s="14" t="s">
        <v>43</v>
      </c>
      <c r="F598" s="14" t="s">
        <v>87</v>
      </c>
      <c r="G598" s="14" t="s">
        <v>5130</v>
      </c>
      <c r="H598" s="14" t="s">
        <v>339</v>
      </c>
      <c r="I598" s="14" t="s">
        <v>133</v>
      </c>
      <c r="J598" s="14" t="s">
        <v>69</v>
      </c>
      <c r="K598" s="14" t="s">
        <v>349</v>
      </c>
      <c r="L598" s="14" t="s">
        <v>341</v>
      </c>
      <c r="M598" s="16" t="s">
        <v>5131</v>
      </c>
      <c r="N598" s="14"/>
      <c r="O598" s="14" t="s">
        <v>5132</v>
      </c>
      <c r="P598" s="14">
        <v>50</v>
      </c>
      <c r="Q598" s="14">
        <v>2</v>
      </c>
      <c r="R598" s="14">
        <v>5000</v>
      </c>
      <c r="S598" s="14" t="s">
        <v>5133</v>
      </c>
      <c r="T598" s="14" t="s">
        <v>5134</v>
      </c>
      <c r="U598" s="14">
        <v>0.80361111111111105</v>
      </c>
      <c r="V598" s="14">
        <v>0.96416666666666595</v>
      </c>
      <c r="W598" s="14">
        <v>635</v>
      </c>
      <c r="X598" s="14">
        <v>50</v>
      </c>
      <c r="Y598" s="14">
        <v>585</v>
      </c>
      <c r="Z598" s="14">
        <v>1305</v>
      </c>
      <c r="AA598" s="14">
        <v>344</v>
      </c>
      <c r="AB598" s="14">
        <v>270</v>
      </c>
      <c r="AC598" s="14">
        <v>647</v>
      </c>
      <c r="AD598" s="14">
        <v>45</v>
      </c>
      <c r="AE598" s="14">
        <v>1940</v>
      </c>
      <c r="AF598" s="14">
        <v>5000</v>
      </c>
      <c r="AG598" s="14">
        <v>2007</v>
      </c>
      <c r="AH598" s="14">
        <v>0</v>
      </c>
      <c r="AI598" s="14">
        <v>46</v>
      </c>
      <c r="AJ598" s="14">
        <v>155</v>
      </c>
      <c r="AK598" s="14" t="s">
        <v>5130</v>
      </c>
      <c r="AL598" s="14" t="s">
        <v>5135</v>
      </c>
      <c r="AM598" s="14">
        <v>179.36</v>
      </c>
      <c r="AN598" s="14">
        <v>142.63999999999999</v>
      </c>
      <c r="AO598" s="14">
        <v>73.5</v>
      </c>
      <c r="AP598" s="14">
        <v>20265</v>
      </c>
      <c r="AQ598" s="14">
        <v>20215</v>
      </c>
      <c r="AR598" s="14">
        <v>23000</v>
      </c>
      <c r="AS598" s="14">
        <v>18325</v>
      </c>
      <c r="AT598" s="14">
        <v>19630</v>
      </c>
      <c r="AU598" s="14">
        <v>-5</v>
      </c>
      <c r="AV598" s="14">
        <v>258.02</v>
      </c>
      <c r="AW598" s="14">
        <v>28.3</v>
      </c>
      <c r="AX598" s="14">
        <v>1.55</v>
      </c>
      <c r="AY598" s="14" t="b">
        <v>0</v>
      </c>
    </row>
    <row r="599" spans="1:51" hidden="1" x14ac:dyDescent="0.3">
      <c r="A599" t="str">
        <f>CONCATENATE(I599,E599,LEFT(G599,10))</f>
        <v>HFA801LLHA2026-01-26</v>
      </c>
      <c r="B599" s="14" t="s">
        <v>3004</v>
      </c>
      <c r="C599" s="14" t="s">
        <v>336</v>
      </c>
      <c r="D599" s="14" t="s">
        <v>337</v>
      </c>
      <c r="E599" s="14" t="s">
        <v>43</v>
      </c>
      <c r="F599" s="14" t="s">
        <v>87</v>
      </c>
      <c r="G599" s="14" t="s">
        <v>3005</v>
      </c>
      <c r="H599" s="14" t="s">
        <v>371</v>
      </c>
      <c r="I599" s="14" t="s">
        <v>133</v>
      </c>
      <c r="J599" s="14" t="s">
        <v>69</v>
      </c>
      <c r="K599" s="14" t="s">
        <v>349</v>
      </c>
      <c r="L599" s="14" t="s">
        <v>341</v>
      </c>
      <c r="M599" s="16" t="s">
        <v>3006</v>
      </c>
      <c r="N599" s="14"/>
      <c r="O599" s="14" t="s">
        <v>380</v>
      </c>
      <c r="P599" s="14">
        <v>50</v>
      </c>
      <c r="Q599" s="14">
        <v>2</v>
      </c>
      <c r="R599" s="14">
        <v>5500</v>
      </c>
      <c r="S599" s="14" t="s">
        <v>3007</v>
      </c>
      <c r="T599" s="14" t="s">
        <v>3008</v>
      </c>
      <c r="U599" s="14">
        <v>0.713055555555555</v>
      </c>
      <c r="V599" s="14">
        <v>0.93388888888888799</v>
      </c>
      <c r="W599" s="14">
        <v>616</v>
      </c>
      <c r="X599" s="14">
        <v>50</v>
      </c>
      <c r="Y599" s="14">
        <v>566</v>
      </c>
      <c r="Z599" s="14">
        <v>824</v>
      </c>
      <c r="AA599" s="14">
        <v>330</v>
      </c>
      <c r="AB599" s="14">
        <v>271</v>
      </c>
      <c r="AC599" s="14">
        <v>177</v>
      </c>
      <c r="AD599" s="14">
        <v>45</v>
      </c>
      <c r="AE599" s="14">
        <v>1440</v>
      </c>
      <c r="AF599" s="14">
        <v>5000</v>
      </c>
      <c r="AG599" s="14">
        <v>1946</v>
      </c>
      <c r="AH599" s="14">
        <v>0</v>
      </c>
      <c r="AI599" s="14">
        <v>45</v>
      </c>
      <c r="AJ599" s="14">
        <v>114</v>
      </c>
      <c r="AK599" s="14" t="s">
        <v>3005</v>
      </c>
      <c r="AL599" s="14" t="s">
        <v>3009</v>
      </c>
      <c r="AM599" s="14">
        <v>179.36</v>
      </c>
      <c r="AN599" s="14">
        <v>142.63999999999999</v>
      </c>
      <c r="AO599" s="14">
        <v>73.5</v>
      </c>
      <c r="AP599" s="14">
        <v>20440</v>
      </c>
      <c r="AQ599" s="14">
        <v>20390</v>
      </c>
      <c r="AR599" s="14">
        <v>23000</v>
      </c>
      <c r="AS599" s="14">
        <v>19000</v>
      </c>
      <c r="AT599" s="14">
        <v>19824</v>
      </c>
      <c r="AU599" s="14">
        <v>5</v>
      </c>
      <c r="AV599" s="14">
        <v>223.45</v>
      </c>
      <c r="AW599" s="14">
        <v>17.91</v>
      </c>
      <c r="AX599" s="14">
        <v>5.65</v>
      </c>
      <c r="AY599" s="14" t="b">
        <v>0</v>
      </c>
    </row>
    <row r="600" spans="1:51" hidden="1" x14ac:dyDescent="0.3">
      <c r="A600" t="str">
        <f>CONCATENATE(I600,E600,LEFT(G600,10))</f>
        <v>HFA801LLHA2026-01-28</v>
      </c>
      <c r="B600" s="14" t="s">
        <v>1362</v>
      </c>
      <c r="C600" s="14" t="s">
        <v>336</v>
      </c>
      <c r="D600" s="14" t="s">
        <v>337</v>
      </c>
      <c r="E600" s="14" t="s">
        <v>43</v>
      </c>
      <c r="F600" s="14" t="s">
        <v>87</v>
      </c>
      <c r="G600" s="14" t="s">
        <v>1363</v>
      </c>
      <c r="H600" s="14" t="s">
        <v>371</v>
      </c>
      <c r="I600" s="14" t="s">
        <v>133</v>
      </c>
      <c r="J600" s="14" t="s">
        <v>69</v>
      </c>
      <c r="K600" s="14" t="s">
        <v>349</v>
      </c>
      <c r="L600" s="14" t="s">
        <v>341</v>
      </c>
      <c r="M600" s="16" t="s">
        <v>1364</v>
      </c>
      <c r="N600" s="14"/>
      <c r="O600" s="14" t="s">
        <v>1365</v>
      </c>
      <c r="P600" s="14">
        <v>50</v>
      </c>
      <c r="Q600" s="14">
        <v>2</v>
      </c>
      <c r="R600" s="14">
        <v>6000</v>
      </c>
      <c r="S600" s="14" t="s">
        <v>1366</v>
      </c>
      <c r="T600" s="14" t="s">
        <v>1367</v>
      </c>
      <c r="U600" s="14">
        <v>-1.2397222222222199</v>
      </c>
      <c r="V600" s="14">
        <v>0.98416666666666597</v>
      </c>
      <c r="W600" s="14">
        <v>660</v>
      </c>
      <c r="X600" s="14">
        <v>50</v>
      </c>
      <c r="Y600" s="14">
        <v>610</v>
      </c>
      <c r="Z600" s="14">
        <v>900</v>
      </c>
      <c r="AA600" s="14">
        <v>391</v>
      </c>
      <c r="AB600" s="14">
        <v>277</v>
      </c>
      <c r="AC600" s="14">
        <v>186</v>
      </c>
      <c r="AD600" s="14">
        <v>46</v>
      </c>
      <c r="AE600" s="14">
        <v>1560</v>
      </c>
      <c r="AF600" s="14">
        <v>5000</v>
      </c>
      <c r="AG600" s="14">
        <v>2085</v>
      </c>
      <c r="AH600" s="14">
        <v>0</v>
      </c>
      <c r="AI600" s="14">
        <v>47</v>
      </c>
      <c r="AJ600" s="14">
        <v>122</v>
      </c>
      <c r="AK600" s="14" t="s">
        <v>1363</v>
      </c>
      <c r="AL600" s="14" t="s">
        <v>1368</v>
      </c>
      <c r="AM600" s="14">
        <v>179.36</v>
      </c>
      <c r="AN600" s="14">
        <v>142.63999999999999</v>
      </c>
      <c r="AO600" s="14">
        <v>87.31</v>
      </c>
      <c r="AP600" s="14">
        <v>21060</v>
      </c>
      <c r="AQ600" s="14">
        <v>21010</v>
      </c>
      <c r="AR600" s="14">
        <v>23000</v>
      </c>
      <c r="AS600" s="14">
        <v>19500</v>
      </c>
      <c r="AT600" s="14">
        <v>20400</v>
      </c>
      <c r="AU600" s="14">
        <v>-7</v>
      </c>
      <c r="AV600" s="14">
        <v>263.88</v>
      </c>
      <c r="AW600" s="14">
        <v>16.309999999999999</v>
      </c>
      <c r="AX600" s="14">
        <v>-1.51</v>
      </c>
      <c r="AY600" s="14" t="b">
        <v>0</v>
      </c>
    </row>
    <row r="601" spans="1:51" hidden="1" x14ac:dyDescent="0.3">
      <c r="A601" t="str">
        <f>CONCATENATE(I601,E601,LEFT(G601,10))</f>
        <v>HFA801LLHA2026-01-29</v>
      </c>
      <c r="B601" s="14" t="s">
        <v>6358</v>
      </c>
      <c r="C601" s="14" t="s">
        <v>336</v>
      </c>
      <c r="D601" s="14" t="s">
        <v>337</v>
      </c>
      <c r="E601" s="14" t="s">
        <v>43</v>
      </c>
      <c r="F601" s="14" t="s">
        <v>87</v>
      </c>
      <c r="G601" s="14" t="s">
        <v>6359</v>
      </c>
      <c r="H601" s="14" t="s">
        <v>371</v>
      </c>
      <c r="I601" s="14" t="s">
        <v>133</v>
      </c>
      <c r="J601" s="14" t="s">
        <v>69</v>
      </c>
      <c r="K601" s="14" t="s">
        <v>349</v>
      </c>
      <c r="L601" s="14" t="s">
        <v>341</v>
      </c>
      <c r="M601" s="16" t="s">
        <v>6354</v>
      </c>
      <c r="N601" s="14"/>
      <c r="O601" s="14" t="s">
        <v>1749</v>
      </c>
      <c r="P601" s="14">
        <v>50</v>
      </c>
      <c r="Q601" s="14">
        <v>2</v>
      </c>
      <c r="R601" s="14">
        <v>4700</v>
      </c>
      <c r="S601" s="14" t="s">
        <v>6360</v>
      </c>
      <c r="T601" s="14" t="s">
        <v>6361</v>
      </c>
      <c r="U601" s="14">
        <v>0.78249999999999997</v>
      </c>
      <c r="V601" s="14">
        <v>0.86777777777777698</v>
      </c>
      <c r="W601" s="14">
        <v>674</v>
      </c>
      <c r="X601" s="14">
        <v>50</v>
      </c>
      <c r="Y601" s="14">
        <v>624</v>
      </c>
      <c r="Z601" s="14">
        <v>796</v>
      </c>
      <c r="AA601" s="14">
        <v>345</v>
      </c>
      <c r="AB601" s="14">
        <v>264</v>
      </c>
      <c r="AC601" s="14">
        <v>143</v>
      </c>
      <c r="AD601" s="14">
        <v>44</v>
      </c>
      <c r="AE601" s="14">
        <v>1470</v>
      </c>
      <c r="AF601" s="14">
        <v>5000</v>
      </c>
      <c r="AG601" s="14">
        <v>2129</v>
      </c>
      <c r="AH601" s="14">
        <v>0</v>
      </c>
      <c r="AI601" s="14">
        <v>49</v>
      </c>
      <c r="AJ601" s="14">
        <v>116</v>
      </c>
      <c r="AK601" s="14" t="s">
        <v>6359</v>
      </c>
      <c r="AL601" s="14" t="s">
        <v>6362</v>
      </c>
      <c r="AM601" s="14">
        <v>179.36</v>
      </c>
      <c r="AN601" s="14">
        <v>142.63999999999999</v>
      </c>
      <c r="AO601" s="14">
        <v>73.5</v>
      </c>
      <c r="AP601" s="14">
        <v>19670</v>
      </c>
      <c r="AQ601" s="14">
        <v>19620</v>
      </c>
      <c r="AR601" s="14">
        <v>23000</v>
      </c>
      <c r="AS601" s="14">
        <v>18200</v>
      </c>
      <c r="AT601" s="14">
        <v>18996</v>
      </c>
      <c r="AU601" s="14">
        <v>-19</v>
      </c>
      <c r="AV601" s="14">
        <v>294.31</v>
      </c>
      <c r="AW601" s="14">
        <v>29.61</v>
      </c>
      <c r="AX601" s="14">
        <v>2.2000000000000002</v>
      </c>
      <c r="AY601" s="14" t="b">
        <v>0</v>
      </c>
    </row>
    <row r="602" spans="1:51" hidden="1" x14ac:dyDescent="0.3">
      <c r="A602" t="str">
        <f>CONCATENATE(I602,E602,LEFT(G602,10))</f>
        <v>HFA801LLHA2026-01-30</v>
      </c>
      <c r="B602" s="14" t="s">
        <v>1191</v>
      </c>
      <c r="C602" s="14" t="s">
        <v>336</v>
      </c>
      <c r="D602" s="14" t="s">
        <v>337</v>
      </c>
      <c r="E602" s="14" t="s">
        <v>43</v>
      </c>
      <c r="F602" s="14" t="s">
        <v>87</v>
      </c>
      <c r="G602" s="14" t="s">
        <v>1192</v>
      </c>
      <c r="H602" s="14" t="s">
        <v>371</v>
      </c>
      <c r="I602" s="14" t="s">
        <v>133</v>
      </c>
      <c r="J602" s="14" t="s">
        <v>69</v>
      </c>
      <c r="K602" s="14" t="s">
        <v>349</v>
      </c>
      <c r="L602" s="14" t="s">
        <v>341</v>
      </c>
      <c r="M602" s="16" t="s">
        <v>1193</v>
      </c>
      <c r="N602" s="14"/>
      <c r="O602" s="14" t="s">
        <v>430</v>
      </c>
      <c r="P602" s="14">
        <v>140</v>
      </c>
      <c r="Q602" s="14">
        <v>2</v>
      </c>
      <c r="R602" s="14">
        <v>4400</v>
      </c>
      <c r="S602" s="14" t="s">
        <v>1194</v>
      </c>
      <c r="T602" s="14" t="s">
        <v>1195</v>
      </c>
      <c r="U602" s="14">
        <v>0.78583333333333305</v>
      </c>
      <c r="V602" s="14">
        <v>0.90888888888888797</v>
      </c>
      <c r="W602" s="14">
        <v>643</v>
      </c>
      <c r="X602" s="14">
        <v>50</v>
      </c>
      <c r="Y602" s="14">
        <v>593</v>
      </c>
      <c r="Z602" s="14">
        <v>837</v>
      </c>
      <c r="AA602" s="14">
        <v>356</v>
      </c>
      <c r="AB602" s="14">
        <v>262</v>
      </c>
      <c r="AC602" s="14">
        <v>175</v>
      </c>
      <c r="AD602" s="14">
        <v>44</v>
      </c>
      <c r="AE602" s="14">
        <v>1480</v>
      </c>
      <c r="AF602" s="14">
        <v>5000</v>
      </c>
      <c r="AG602" s="14">
        <v>2031</v>
      </c>
      <c r="AH602" s="14">
        <v>0</v>
      </c>
      <c r="AI602" s="14">
        <v>47</v>
      </c>
      <c r="AJ602" s="14">
        <v>117</v>
      </c>
      <c r="AK602" s="14" t="s">
        <v>1192</v>
      </c>
      <c r="AL602" s="14" t="s">
        <v>1196</v>
      </c>
      <c r="AM602" s="14">
        <v>179.36</v>
      </c>
      <c r="AN602" s="14">
        <v>142.63999999999999</v>
      </c>
      <c r="AO602" s="14">
        <v>73.5</v>
      </c>
      <c r="AP602" s="14">
        <v>19380</v>
      </c>
      <c r="AQ602" s="14">
        <v>19330</v>
      </c>
      <c r="AR602" s="14">
        <v>23000</v>
      </c>
      <c r="AS602" s="14">
        <v>17900</v>
      </c>
      <c r="AT602" s="14">
        <v>18737</v>
      </c>
      <c r="AU602" s="14">
        <v>-10</v>
      </c>
      <c r="AV602" s="14">
        <v>257.27999999999997</v>
      </c>
      <c r="AW602" s="14">
        <v>48.72</v>
      </c>
      <c r="AX602" s="14">
        <v>2.2799999999999998</v>
      </c>
      <c r="AY602" s="14" t="b">
        <v>0</v>
      </c>
    </row>
    <row r="603" spans="1:51" hidden="1" x14ac:dyDescent="0.3">
      <c r="A603" t="str">
        <f>CONCATENATE(I603,E603,LEFT(G603,10))</f>
        <v>HFA801LLHA2026-02-04</v>
      </c>
      <c r="B603" s="14" t="s">
        <v>5892</v>
      </c>
      <c r="C603" s="14" t="s">
        <v>336</v>
      </c>
      <c r="D603" s="14" t="s">
        <v>337</v>
      </c>
      <c r="E603" s="14" t="s">
        <v>43</v>
      </c>
      <c r="F603" s="14" t="s">
        <v>87</v>
      </c>
      <c r="G603" s="14" t="s">
        <v>5887</v>
      </c>
      <c r="H603" s="14" t="s">
        <v>371</v>
      </c>
      <c r="I603" s="14" t="s">
        <v>133</v>
      </c>
      <c r="J603" s="14" t="s">
        <v>69</v>
      </c>
      <c r="K603" s="14" t="s">
        <v>349</v>
      </c>
      <c r="L603" s="14" t="s">
        <v>341</v>
      </c>
      <c r="M603" s="16" t="s">
        <v>5888</v>
      </c>
      <c r="N603" s="14"/>
      <c r="O603" s="14" t="s">
        <v>380</v>
      </c>
      <c r="P603" s="14">
        <v>50</v>
      </c>
      <c r="Q603" s="14">
        <v>2</v>
      </c>
      <c r="R603" s="14">
        <v>7100</v>
      </c>
      <c r="S603" s="14" t="s">
        <v>5893</v>
      </c>
      <c r="T603" s="14" t="s">
        <v>5894</v>
      </c>
      <c r="U603" s="14">
        <v>0.75972222222222197</v>
      </c>
      <c r="V603" s="14">
        <v>0.99833333333333296</v>
      </c>
      <c r="W603" s="14">
        <v>672</v>
      </c>
      <c r="X603" s="14">
        <v>50</v>
      </c>
      <c r="Y603" s="14">
        <v>622</v>
      </c>
      <c r="Z603" s="14">
        <v>848</v>
      </c>
      <c r="AA603" s="14">
        <v>346</v>
      </c>
      <c r="AB603" s="14">
        <v>287</v>
      </c>
      <c r="AC603" s="14">
        <v>168</v>
      </c>
      <c r="AD603" s="14">
        <v>48</v>
      </c>
      <c r="AE603" s="14">
        <v>1520</v>
      </c>
      <c r="AF603" s="14">
        <v>5000</v>
      </c>
      <c r="AG603" s="14">
        <v>2123</v>
      </c>
      <c r="AH603" s="14">
        <v>0</v>
      </c>
      <c r="AI603" s="14">
        <v>49</v>
      </c>
      <c r="AJ603" s="14">
        <v>119</v>
      </c>
      <c r="AK603" s="14" t="s">
        <v>5887</v>
      </c>
      <c r="AL603" s="14" t="s">
        <v>5895</v>
      </c>
      <c r="AM603" s="14">
        <v>179.36</v>
      </c>
      <c r="AN603" s="14">
        <v>142.63999999999999</v>
      </c>
      <c r="AO603" s="14">
        <v>73.5</v>
      </c>
      <c r="AP603" s="14">
        <v>22120</v>
      </c>
      <c r="AQ603" s="14">
        <v>22070</v>
      </c>
      <c r="AR603" s="14">
        <v>23000</v>
      </c>
      <c r="AS603" s="14">
        <v>20600</v>
      </c>
      <c r="AT603" s="14">
        <v>21448</v>
      </c>
      <c r="AU603" s="14">
        <v>-16</v>
      </c>
      <c r="AV603" s="14">
        <v>306.82</v>
      </c>
      <c r="AW603" s="14">
        <v>21.24</v>
      </c>
      <c r="AX603" s="14">
        <v>4.33</v>
      </c>
      <c r="AY603" s="14" t="b">
        <v>0</v>
      </c>
    </row>
    <row r="604" spans="1:51" hidden="1" x14ac:dyDescent="0.3">
      <c r="A604" t="str">
        <f>CONCATENATE(I604,E604,LEFT(G604,10))</f>
        <v>HFA801LLHA2026-02-05</v>
      </c>
      <c r="B604" s="14" t="s">
        <v>4716</v>
      </c>
      <c r="C604" s="14" t="s">
        <v>336</v>
      </c>
      <c r="D604" s="14" t="s">
        <v>337</v>
      </c>
      <c r="E604" s="14" t="s">
        <v>43</v>
      </c>
      <c r="F604" s="14" t="s">
        <v>87</v>
      </c>
      <c r="G604" s="14" t="s">
        <v>4717</v>
      </c>
      <c r="H604" s="14" t="s">
        <v>371</v>
      </c>
      <c r="I604" s="14" t="s">
        <v>133</v>
      </c>
      <c r="J604" s="14" t="s">
        <v>69</v>
      </c>
      <c r="K604" s="14" t="s">
        <v>349</v>
      </c>
      <c r="L604" s="14" t="s">
        <v>341</v>
      </c>
      <c r="M604" s="16" t="s">
        <v>4718</v>
      </c>
      <c r="N604" s="14"/>
      <c r="O604" s="14" t="s">
        <v>380</v>
      </c>
      <c r="P604" s="14">
        <v>50</v>
      </c>
      <c r="Q604" s="14">
        <v>2</v>
      </c>
      <c r="R604" s="14">
        <v>4500</v>
      </c>
      <c r="S604" s="14" t="s">
        <v>4719</v>
      </c>
      <c r="T604" s="14" t="s">
        <v>4720</v>
      </c>
      <c r="U604" s="14">
        <v>0.72305555555555501</v>
      </c>
      <c r="V604" s="14">
        <v>0.91361111111111104</v>
      </c>
      <c r="W604" s="14">
        <v>623</v>
      </c>
      <c r="X604" s="14">
        <v>50</v>
      </c>
      <c r="Y604" s="14">
        <v>573</v>
      </c>
      <c r="Z604" s="14">
        <v>807</v>
      </c>
      <c r="AA604" s="14">
        <v>333</v>
      </c>
      <c r="AB604" s="14">
        <v>262</v>
      </c>
      <c r="AC604" s="14">
        <v>168</v>
      </c>
      <c r="AD604" s="14">
        <v>44</v>
      </c>
      <c r="AE604" s="14">
        <v>1430</v>
      </c>
      <c r="AF604" s="14">
        <v>5000</v>
      </c>
      <c r="AG604" s="14">
        <v>1968</v>
      </c>
      <c r="AH604" s="14">
        <v>0</v>
      </c>
      <c r="AI604" s="14">
        <v>46</v>
      </c>
      <c r="AJ604" s="14">
        <v>114</v>
      </c>
      <c r="AK604" s="14" t="s">
        <v>4717</v>
      </c>
      <c r="AL604" s="14" t="s">
        <v>4721</v>
      </c>
      <c r="AM604" s="14">
        <v>179.36</v>
      </c>
      <c r="AN604" s="14">
        <v>142.63999999999999</v>
      </c>
      <c r="AO604" s="14">
        <v>73.5</v>
      </c>
      <c r="AP604" s="14">
        <v>19430</v>
      </c>
      <c r="AQ604" s="14">
        <v>19380</v>
      </c>
      <c r="AR604" s="14">
        <v>23000</v>
      </c>
      <c r="AS604" s="14">
        <v>18000</v>
      </c>
      <c r="AT604" s="14">
        <v>18807</v>
      </c>
      <c r="AU604" s="14">
        <v>1</v>
      </c>
      <c r="AV604" s="14">
        <v>237.53</v>
      </c>
      <c r="AW604" s="14">
        <v>12.63</v>
      </c>
      <c r="AX604" s="14">
        <v>3.99</v>
      </c>
      <c r="AY604" s="14" t="b">
        <v>0</v>
      </c>
    </row>
    <row r="605" spans="1:51" hidden="1" x14ac:dyDescent="0.3">
      <c r="A605" t="str">
        <f>CONCATENATE(I605,E605,LEFT(G605,10))</f>
        <v>HFA801LLHA2026-02-09</v>
      </c>
      <c r="B605" s="14" t="s">
        <v>1280</v>
      </c>
      <c r="C605" s="14" t="s">
        <v>336</v>
      </c>
      <c r="D605" s="14" t="s">
        <v>337</v>
      </c>
      <c r="E605" s="14" t="s">
        <v>43</v>
      </c>
      <c r="F605" s="14" t="s">
        <v>87</v>
      </c>
      <c r="G605" s="14" t="s">
        <v>1281</v>
      </c>
      <c r="H605" s="14" t="s">
        <v>371</v>
      </c>
      <c r="I605" s="14" t="s">
        <v>133</v>
      </c>
      <c r="J605" s="14" t="s">
        <v>69</v>
      </c>
      <c r="K605" s="14" t="s">
        <v>349</v>
      </c>
      <c r="L605" s="14" t="s">
        <v>341</v>
      </c>
      <c r="M605" s="16" t="s">
        <v>1282</v>
      </c>
      <c r="N605" s="14"/>
      <c r="O605" s="14" t="s">
        <v>1283</v>
      </c>
      <c r="P605" s="14">
        <v>50</v>
      </c>
      <c r="Q605" s="14">
        <v>2</v>
      </c>
      <c r="R605" s="14">
        <v>5850</v>
      </c>
      <c r="S605" s="14" t="s">
        <v>1284</v>
      </c>
      <c r="T605" s="14" t="s">
        <v>1285</v>
      </c>
      <c r="U605" s="14">
        <v>0.71222222222222198</v>
      </c>
      <c r="V605" s="14">
        <v>0.80555555555555503</v>
      </c>
      <c r="W605" s="14">
        <v>665</v>
      </c>
      <c r="X605" s="14">
        <v>50</v>
      </c>
      <c r="Y605" s="14">
        <v>615</v>
      </c>
      <c r="Z605" s="14">
        <v>925</v>
      </c>
      <c r="AA605" s="14">
        <v>349</v>
      </c>
      <c r="AB605" s="14">
        <v>275</v>
      </c>
      <c r="AC605" s="14">
        <v>255</v>
      </c>
      <c r="AD605" s="14">
        <v>46</v>
      </c>
      <c r="AE605" s="14">
        <v>1590</v>
      </c>
      <c r="AF605" s="14">
        <v>5000</v>
      </c>
      <c r="AG605" s="14">
        <v>2100</v>
      </c>
      <c r="AH605" s="14">
        <v>0</v>
      </c>
      <c r="AI605" s="14">
        <v>49</v>
      </c>
      <c r="AJ605" s="14">
        <v>126</v>
      </c>
      <c r="AK605" s="14" t="s">
        <v>1281</v>
      </c>
      <c r="AL605" s="14" t="s">
        <v>1286</v>
      </c>
      <c r="AM605" s="14">
        <v>179.36</v>
      </c>
      <c r="AN605" s="14">
        <v>142.63999999999999</v>
      </c>
      <c r="AO605" s="14">
        <v>73.5</v>
      </c>
      <c r="AP605" s="14">
        <v>20940</v>
      </c>
      <c r="AQ605" s="14">
        <v>20890</v>
      </c>
      <c r="AR605" s="14">
        <v>23000</v>
      </c>
      <c r="AS605" s="14">
        <v>19350</v>
      </c>
      <c r="AT605" s="14">
        <v>20275</v>
      </c>
      <c r="AU605" s="14">
        <v>-14</v>
      </c>
      <c r="AV605" s="14">
        <v>269.88</v>
      </c>
      <c r="AW605" s="14">
        <v>38.47</v>
      </c>
      <c r="AX605" s="14">
        <v>6.49</v>
      </c>
      <c r="AY605" s="14" t="b">
        <v>0</v>
      </c>
    </row>
    <row r="606" spans="1:51" hidden="1" x14ac:dyDescent="0.3">
      <c r="A606" t="str">
        <f>CONCATENATE(I606,E606,LEFT(G606,10))</f>
        <v>HFA801LLHA2026-02-12</v>
      </c>
      <c r="B606" s="14" t="s">
        <v>612</v>
      </c>
      <c r="C606" s="14" t="s">
        <v>336</v>
      </c>
      <c r="D606" s="14" t="s">
        <v>337</v>
      </c>
      <c r="E606" s="14" t="s">
        <v>43</v>
      </c>
      <c r="F606" s="14" t="s">
        <v>87</v>
      </c>
      <c r="G606" s="14" t="s">
        <v>613</v>
      </c>
      <c r="H606" s="14" t="s">
        <v>371</v>
      </c>
      <c r="I606" s="14" t="s">
        <v>133</v>
      </c>
      <c r="J606" s="14" t="s">
        <v>69</v>
      </c>
      <c r="K606" s="14" t="s">
        <v>349</v>
      </c>
      <c r="L606" s="14" t="s">
        <v>341</v>
      </c>
      <c r="M606" s="16" t="s">
        <v>614</v>
      </c>
      <c r="N606" s="14"/>
      <c r="O606" s="14" t="s">
        <v>556</v>
      </c>
      <c r="P606" s="14">
        <v>50</v>
      </c>
      <c r="Q606" s="14">
        <v>2</v>
      </c>
      <c r="R606" s="14">
        <v>7000</v>
      </c>
      <c r="S606" s="14" t="s">
        <v>615</v>
      </c>
      <c r="T606" s="14" t="s">
        <v>616</v>
      </c>
      <c r="U606" s="14">
        <v>0.75527777777777705</v>
      </c>
      <c r="V606" s="14">
        <v>0.99527777777777704</v>
      </c>
      <c r="W606" s="14">
        <v>658</v>
      </c>
      <c r="X606" s="14">
        <v>50</v>
      </c>
      <c r="Y606" s="14">
        <v>608</v>
      </c>
      <c r="Z606" s="14">
        <v>1002</v>
      </c>
      <c r="AA606" s="14">
        <v>363</v>
      </c>
      <c r="AB606" s="14">
        <v>287</v>
      </c>
      <c r="AC606" s="14">
        <v>303</v>
      </c>
      <c r="AD606" s="14">
        <v>48</v>
      </c>
      <c r="AE606" s="14">
        <v>1660</v>
      </c>
      <c r="AF606" s="14">
        <v>5000</v>
      </c>
      <c r="AG606" s="14">
        <v>2079</v>
      </c>
      <c r="AH606" s="14">
        <v>0</v>
      </c>
      <c r="AI606" s="14">
        <v>48</v>
      </c>
      <c r="AJ606" s="14">
        <v>129</v>
      </c>
      <c r="AK606" s="14" t="s">
        <v>613</v>
      </c>
      <c r="AL606" s="14" t="s">
        <v>617</v>
      </c>
      <c r="AM606" s="14">
        <v>179.36</v>
      </c>
      <c r="AN606" s="14">
        <v>142.63999999999999</v>
      </c>
      <c r="AO606" s="14">
        <v>73.5</v>
      </c>
      <c r="AP606" s="14">
        <v>22160</v>
      </c>
      <c r="AQ606" s="14">
        <v>22110</v>
      </c>
      <c r="AR606" s="14">
        <v>23000</v>
      </c>
      <c r="AS606" s="14">
        <v>20500</v>
      </c>
      <c r="AT606" s="14">
        <v>21502</v>
      </c>
      <c r="AU606" s="14">
        <v>-7</v>
      </c>
      <c r="AV606" s="14">
        <v>262.51</v>
      </c>
      <c r="AW606" s="14">
        <v>30.05</v>
      </c>
      <c r="AX606" s="14">
        <v>3.2</v>
      </c>
      <c r="AY606" s="14" t="b">
        <v>0</v>
      </c>
    </row>
    <row r="607" spans="1:51" hidden="1" x14ac:dyDescent="0.3">
      <c r="A607" t="str">
        <f>CONCATENATE(I607,E607,LEFT(G607,10))</f>
        <v>HFA801LLHA2026-02-13</v>
      </c>
      <c r="B607" s="14" t="s">
        <v>4374</v>
      </c>
      <c r="C607" s="14" t="s">
        <v>336</v>
      </c>
      <c r="D607" s="14" t="s">
        <v>337</v>
      </c>
      <c r="E607" s="14" t="s">
        <v>43</v>
      </c>
      <c r="F607" s="14" t="s">
        <v>87</v>
      </c>
      <c r="G607" s="14" t="s">
        <v>4375</v>
      </c>
      <c r="H607" s="14" t="s">
        <v>371</v>
      </c>
      <c r="I607" s="14" t="s">
        <v>133</v>
      </c>
      <c r="J607" s="14" t="s">
        <v>69</v>
      </c>
      <c r="K607" s="14" t="s">
        <v>349</v>
      </c>
      <c r="L607" s="14" t="s">
        <v>341</v>
      </c>
      <c r="M607" s="16" t="s">
        <v>4376</v>
      </c>
      <c r="N607" s="14"/>
      <c r="O607" s="14" t="s">
        <v>4377</v>
      </c>
      <c r="P607" s="14">
        <v>50</v>
      </c>
      <c r="Q607" s="14">
        <v>2</v>
      </c>
      <c r="R607" s="14">
        <v>7000</v>
      </c>
      <c r="S607" s="14" t="s">
        <v>4378</v>
      </c>
      <c r="T607" s="14" t="s">
        <v>4379</v>
      </c>
      <c r="U607" s="14">
        <v>0.68916666666666604</v>
      </c>
      <c r="V607" s="14">
        <v>0.78416666666666601</v>
      </c>
      <c r="W607" s="14">
        <v>625</v>
      </c>
      <c r="X607" s="14">
        <v>50</v>
      </c>
      <c r="Y607" s="14">
        <v>575</v>
      </c>
      <c r="Z607" s="14">
        <v>855</v>
      </c>
      <c r="AA607" s="14">
        <v>364</v>
      </c>
      <c r="AB607" s="14">
        <v>286</v>
      </c>
      <c r="AC607" s="14">
        <v>158</v>
      </c>
      <c r="AD607" s="14">
        <v>48</v>
      </c>
      <c r="AE607" s="14">
        <v>1480</v>
      </c>
      <c r="AF607" s="14">
        <v>5000</v>
      </c>
      <c r="AG607" s="14">
        <v>1974</v>
      </c>
      <c r="AH607" s="14">
        <v>0</v>
      </c>
      <c r="AI607" s="14">
        <v>44</v>
      </c>
      <c r="AJ607" s="14">
        <v>114</v>
      </c>
      <c r="AK607" s="14" t="s">
        <v>4375</v>
      </c>
      <c r="AL607" s="14" t="s">
        <v>4380</v>
      </c>
      <c r="AM607" s="14">
        <v>179.36</v>
      </c>
      <c r="AN607" s="14">
        <v>142.63999999999999</v>
      </c>
      <c r="AO607" s="14">
        <v>73.5</v>
      </c>
      <c r="AP607" s="14">
        <v>21980</v>
      </c>
      <c r="AQ607" s="14">
        <v>21930</v>
      </c>
      <c r="AR607" s="14">
        <v>23000</v>
      </c>
      <c r="AS607" s="14">
        <v>20500</v>
      </c>
      <c r="AT607" s="14">
        <v>21355</v>
      </c>
      <c r="AU607" s="14">
        <v>14</v>
      </c>
      <c r="AV607" s="14">
        <v>212.41</v>
      </c>
      <c r="AW607" s="14">
        <v>39.56</v>
      </c>
      <c r="AX607" s="14">
        <v>4.1100000000000003</v>
      </c>
      <c r="AY607" s="14" t="b">
        <v>0</v>
      </c>
    </row>
    <row r="608" spans="1:51" hidden="1" x14ac:dyDescent="0.3">
      <c r="A608" t="str">
        <f>CONCATENATE(I608,E608,LEFT(G608,10))</f>
        <v>HFA801LLHA2026-02-16</v>
      </c>
      <c r="B608" s="14" t="s">
        <v>4150</v>
      </c>
      <c r="C608" s="14" t="s">
        <v>336</v>
      </c>
      <c r="D608" s="14" t="s">
        <v>337</v>
      </c>
      <c r="E608" s="14" t="s">
        <v>43</v>
      </c>
      <c r="F608" s="14" t="s">
        <v>87</v>
      </c>
      <c r="G608" s="14" t="s">
        <v>4151</v>
      </c>
      <c r="H608" s="14" t="s">
        <v>339</v>
      </c>
      <c r="I608" s="14" t="s">
        <v>133</v>
      </c>
      <c r="J608" s="14" t="s">
        <v>69</v>
      </c>
      <c r="K608" s="14" t="s">
        <v>349</v>
      </c>
      <c r="L608" s="14" t="s">
        <v>341</v>
      </c>
      <c r="M608" s="16" t="s">
        <v>4152</v>
      </c>
      <c r="N608" s="14"/>
      <c r="O608" s="14" t="s">
        <v>4128</v>
      </c>
      <c r="P608" s="14">
        <v>50</v>
      </c>
      <c r="Q608" s="14">
        <v>2</v>
      </c>
      <c r="R608" s="14">
        <v>2860</v>
      </c>
      <c r="S608" s="14" t="s">
        <v>4153</v>
      </c>
      <c r="T608" s="14" t="s">
        <v>4154</v>
      </c>
      <c r="U608" s="14">
        <v>0.69694444444444403</v>
      </c>
      <c r="V608" s="14">
        <v>0.77944444444444405</v>
      </c>
      <c r="W608" s="14">
        <v>584</v>
      </c>
      <c r="X608" s="14">
        <v>50</v>
      </c>
      <c r="Y608" s="14">
        <v>534</v>
      </c>
      <c r="Z608" s="14">
        <v>1396</v>
      </c>
      <c r="AA608" s="14">
        <v>315</v>
      </c>
      <c r="AB608" s="14">
        <v>253</v>
      </c>
      <c r="AC608" s="14">
        <v>786</v>
      </c>
      <c r="AD608" s="14">
        <v>42</v>
      </c>
      <c r="AE608" s="14">
        <v>1980</v>
      </c>
      <c r="AF608" s="14">
        <v>5000</v>
      </c>
      <c r="AG608" s="14">
        <v>1844</v>
      </c>
      <c r="AH608" s="14">
        <v>0</v>
      </c>
      <c r="AI608" s="14">
        <v>44</v>
      </c>
      <c r="AJ608" s="14">
        <v>168</v>
      </c>
      <c r="AK608" s="14" t="s">
        <v>4151</v>
      </c>
      <c r="AL608" s="14" t="s">
        <v>4155</v>
      </c>
      <c r="AM608" s="14">
        <v>179.36</v>
      </c>
      <c r="AN608" s="14">
        <v>142.63999999999999</v>
      </c>
      <c r="AO608" s="14">
        <v>73.5</v>
      </c>
      <c r="AP608" s="14">
        <v>18165</v>
      </c>
      <c r="AQ608" s="14">
        <v>18115</v>
      </c>
      <c r="AR608" s="14">
        <v>23000</v>
      </c>
      <c r="AS608" s="14">
        <v>16185</v>
      </c>
      <c r="AT608" s="14">
        <v>17581</v>
      </c>
      <c r="AU608" s="14">
        <v>7</v>
      </c>
      <c r="AV608" s="14">
        <v>223.57</v>
      </c>
      <c r="AW608" s="14">
        <v>21.86</v>
      </c>
      <c r="AX608" s="14">
        <v>9.69</v>
      </c>
      <c r="AY608" s="14" t="b">
        <v>0</v>
      </c>
    </row>
    <row r="609" spans="1:51" hidden="1" x14ac:dyDescent="0.3">
      <c r="A609" t="str">
        <f>CONCATENATE(I609,E609,LEFT(G609,10))</f>
        <v>HFA801LLHA2026-02-19</v>
      </c>
      <c r="B609" s="14" t="s">
        <v>3998</v>
      </c>
      <c r="C609" s="14" t="s">
        <v>336</v>
      </c>
      <c r="D609" s="14" t="s">
        <v>337</v>
      </c>
      <c r="E609" s="14" t="s">
        <v>43</v>
      </c>
      <c r="F609" s="14" t="s">
        <v>87</v>
      </c>
      <c r="G609" s="14" t="s">
        <v>3999</v>
      </c>
      <c r="H609" s="14" t="s">
        <v>371</v>
      </c>
      <c r="I609" s="14" t="s">
        <v>133</v>
      </c>
      <c r="J609" s="14" t="s">
        <v>69</v>
      </c>
      <c r="K609" s="14" t="s">
        <v>349</v>
      </c>
      <c r="L609" s="14" t="s">
        <v>341</v>
      </c>
      <c r="M609" s="16" t="s">
        <v>4000</v>
      </c>
      <c r="N609" s="14"/>
      <c r="O609" s="14" t="s">
        <v>1881</v>
      </c>
      <c r="P609" s="14">
        <v>50</v>
      </c>
      <c r="Q609" s="14">
        <v>2</v>
      </c>
      <c r="R609" s="14">
        <v>4250</v>
      </c>
      <c r="S609" s="14" t="s">
        <v>4001</v>
      </c>
      <c r="T609" s="14" t="s">
        <v>4002</v>
      </c>
      <c r="U609" s="14">
        <v>0.724444444444444</v>
      </c>
      <c r="V609" s="14">
        <v>0.91583333333333306</v>
      </c>
      <c r="W609" s="14">
        <v>661</v>
      </c>
      <c r="X609" s="14">
        <v>50</v>
      </c>
      <c r="Y609" s="14">
        <v>611</v>
      </c>
      <c r="Z609" s="14">
        <v>999</v>
      </c>
      <c r="AA609" s="14">
        <v>341</v>
      </c>
      <c r="AB609" s="14">
        <v>262</v>
      </c>
      <c r="AC609" s="14">
        <v>352</v>
      </c>
      <c r="AD609" s="14">
        <v>44</v>
      </c>
      <c r="AE609" s="14">
        <v>1660</v>
      </c>
      <c r="AF609" s="14">
        <v>5000</v>
      </c>
      <c r="AG609" s="14">
        <v>2089</v>
      </c>
      <c r="AH609" s="14">
        <v>0</v>
      </c>
      <c r="AI609" s="14">
        <v>49</v>
      </c>
      <c r="AJ609" s="14">
        <v>133</v>
      </c>
      <c r="AK609" s="14" t="s">
        <v>3999</v>
      </c>
      <c r="AL609" s="14" t="s">
        <v>4003</v>
      </c>
      <c r="AM609" s="14">
        <v>179.36</v>
      </c>
      <c r="AN609" s="14">
        <v>142.63999999999999</v>
      </c>
      <c r="AO609" s="14">
        <v>73.5</v>
      </c>
      <c r="AP609" s="14">
        <v>19410</v>
      </c>
      <c r="AQ609" s="14">
        <v>19360</v>
      </c>
      <c r="AR609" s="14">
        <v>23000</v>
      </c>
      <c r="AS609" s="14">
        <v>17750</v>
      </c>
      <c r="AT609" s="14">
        <v>18749</v>
      </c>
      <c r="AU609" s="14">
        <v>-15</v>
      </c>
      <c r="AV609" s="14">
        <v>284.44</v>
      </c>
      <c r="AW609" s="14">
        <v>29.54</v>
      </c>
      <c r="AX609" s="14">
        <v>2.68</v>
      </c>
      <c r="AY609" s="14" t="b">
        <v>0</v>
      </c>
    </row>
    <row r="610" spans="1:51" hidden="1" x14ac:dyDescent="0.3">
      <c r="A610" t="str">
        <f>CONCATENATE(I610,E610,LEFT(G610,10))</f>
        <v>HFA801LLHA2026-02-20</v>
      </c>
      <c r="B610" s="14" t="s">
        <v>743</v>
      </c>
      <c r="C610" s="14" t="s">
        <v>336</v>
      </c>
      <c r="D610" s="14" t="s">
        <v>337</v>
      </c>
      <c r="E610" s="14" t="s">
        <v>43</v>
      </c>
      <c r="F610" s="14" t="s">
        <v>87</v>
      </c>
      <c r="G610" s="14" t="s">
        <v>744</v>
      </c>
      <c r="H610" s="14" t="s">
        <v>371</v>
      </c>
      <c r="I610" s="14" t="s">
        <v>133</v>
      </c>
      <c r="J610" s="14" t="s">
        <v>69</v>
      </c>
      <c r="K610" s="14" t="s">
        <v>349</v>
      </c>
      <c r="L610" s="14" t="s">
        <v>341</v>
      </c>
      <c r="M610" s="16" t="s">
        <v>745</v>
      </c>
      <c r="N610" s="14"/>
      <c r="O610" s="14" t="s">
        <v>430</v>
      </c>
      <c r="P610" s="14">
        <v>140</v>
      </c>
      <c r="Q610" s="14">
        <v>2</v>
      </c>
      <c r="R610" s="14">
        <v>6200</v>
      </c>
      <c r="S610" s="14" t="s">
        <v>746</v>
      </c>
      <c r="T610" s="14" t="s">
        <v>747</v>
      </c>
      <c r="U610" s="14">
        <v>0.70305555555555499</v>
      </c>
      <c r="V610" s="14">
        <v>0.91638888888888803</v>
      </c>
      <c r="W610" s="14">
        <v>615</v>
      </c>
      <c r="X610" s="14">
        <v>50</v>
      </c>
      <c r="Y610" s="14">
        <v>565</v>
      </c>
      <c r="Z610" s="14">
        <v>875</v>
      </c>
      <c r="AA610" s="14">
        <v>332</v>
      </c>
      <c r="AB610" s="14">
        <v>278</v>
      </c>
      <c r="AC610" s="14">
        <v>219</v>
      </c>
      <c r="AD610" s="14">
        <v>46</v>
      </c>
      <c r="AE610" s="14">
        <v>1490</v>
      </c>
      <c r="AF610" s="14">
        <v>5000</v>
      </c>
      <c r="AG610" s="14">
        <v>1942</v>
      </c>
      <c r="AH610" s="14">
        <v>0</v>
      </c>
      <c r="AI610" s="14">
        <v>45</v>
      </c>
      <c r="AJ610" s="14">
        <v>117</v>
      </c>
      <c r="AK610" s="14" t="s">
        <v>744</v>
      </c>
      <c r="AL610" s="14" t="s">
        <v>748</v>
      </c>
      <c r="AM610" s="14">
        <v>179.36</v>
      </c>
      <c r="AN610" s="14">
        <v>142.63999999999999</v>
      </c>
      <c r="AO610" s="14">
        <v>73.5</v>
      </c>
      <c r="AP610" s="14">
        <v>21190</v>
      </c>
      <c r="AQ610" s="14">
        <v>21140</v>
      </c>
      <c r="AR610" s="14">
        <v>23000</v>
      </c>
      <c r="AS610" s="14">
        <v>19700</v>
      </c>
      <c r="AT610" s="14">
        <v>20575</v>
      </c>
      <c r="AU610" s="14">
        <v>5</v>
      </c>
      <c r="AV610" s="14">
        <v>221.72</v>
      </c>
      <c r="AW610" s="14">
        <v>14.6</v>
      </c>
      <c r="AX610" s="14">
        <v>4.93</v>
      </c>
      <c r="AY610" s="14" t="b">
        <v>0</v>
      </c>
    </row>
    <row r="611" spans="1:51" hidden="1" x14ac:dyDescent="0.3">
      <c r="A611" t="str">
        <f>CONCATENATE(I611,E611,LEFT(G611,10))</f>
        <v>HFA801LLHA2026-02-23</v>
      </c>
      <c r="B611" s="14" t="s">
        <v>3815</v>
      </c>
      <c r="C611" s="14" t="s">
        <v>336</v>
      </c>
      <c r="D611" s="14" t="s">
        <v>337</v>
      </c>
      <c r="E611" s="14" t="s">
        <v>43</v>
      </c>
      <c r="F611" s="14" t="s">
        <v>87</v>
      </c>
      <c r="G611" s="14" t="s">
        <v>3816</v>
      </c>
      <c r="H611" s="14" t="s">
        <v>371</v>
      </c>
      <c r="I611" s="14" t="s">
        <v>133</v>
      </c>
      <c r="J611" s="14" t="s">
        <v>69</v>
      </c>
      <c r="K611" s="14" t="s">
        <v>349</v>
      </c>
      <c r="L611" s="14" t="s">
        <v>341</v>
      </c>
      <c r="M611" s="16" t="s">
        <v>3800</v>
      </c>
      <c r="N611" s="14"/>
      <c r="O611" s="14" t="s">
        <v>1002</v>
      </c>
      <c r="P611" s="14">
        <v>50</v>
      </c>
      <c r="Q611" s="14">
        <v>2</v>
      </c>
      <c r="R611" s="14">
        <v>2100</v>
      </c>
      <c r="S611" s="14" t="s">
        <v>3817</v>
      </c>
      <c r="T611" s="14" t="s">
        <v>3818</v>
      </c>
      <c r="U611" s="14">
        <v>0.71555555555555495</v>
      </c>
      <c r="V611" s="14">
        <v>0.80666666666666598</v>
      </c>
      <c r="W611" s="14">
        <v>623</v>
      </c>
      <c r="X611" s="14">
        <v>50</v>
      </c>
      <c r="Y611" s="14">
        <v>573</v>
      </c>
      <c r="Z611" s="14">
        <v>897</v>
      </c>
      <c r="AA611" s="14">
        <v>330</v>
      </c>
      <c r="AB611" s="14">
        <v>244</v>
      </c>
      <c r="AC611" s="14">
        <v>282</v>
      </c>
      <c r="AD611" s="14">
        <v>41</v>
      </c>
      <c r="AE611" s="14">
        <v>1520</v>
      </c>
      <c r="AF611" s="14">
        <v>5000</v>
      </c>
      <c r="AG611" s="14">
        <v>1970</v>
      </c>
      <c r="AH611" s="14">
        <v>0</v>
      </c>
      <c r="AI611" s="14">
        <v>44</v>
      </c>
      <c r="AJ611" s="14">
        <v>121</v>
      </c>
      <c r="AK611" s="14" t="s">
        <v>3816</v>
      </c>
      <c r="AL611" s="14" t="s">
        <v>3819</v>
      </c>
      <c r="AM611" s="14">
        <v>179.36</v>
      </c>
      <c r="AN611" s="14">
        <v>142.63999999999999</v>
      </c>
      <c r="AO611" s="14">
        <v>73.5</v>
      </c>
      <c r="AP611" s="14">
        <v>17120</v>
      </c>
      <c r="AQ611" s="14">
        <v>17070</v>
      </c>
      <c r="AR611" s="14">
        <v>23000</v>
      </c>
      <c r="AS611" s="14">
        <v>15600</v>
      </c>
      <c r="AT611" s="14">
        <v>16497</v>
      </c>
      <c r="AU611" s="14">
        <v>1</v>
      </c>
      <c r="AV611" s="14">
        <v>241.13</v>
      </c>
      <c r="AW611" s="14">
        <v>15.77</v>
      </c>
      <c r="AX611" s="14">
        <v>-1.86</v>
      </c>
      <c r="AY611" s="14" t="b">
        <v>0</v>
      </c>
    </row>
    <row r="612" spans="1:51" hidden="1" x14ac:dyDescent="0.3">
      <c r="A612" t="str">
        <f>CONCATENATE(I612,E612,LEFT(G612,10))</f>
        <v>HFA801LLHA2026-02-25</v>
      </c>
      <c r="B612" s="14" t="s">
        <v>3658</v>
      </c>
      <c r="C612" s="14" t="s">
        <v>336</v>
      </c>
      <c r="D612" s="14" t="s">
        <v>337</v>
      </c>
      <c r="E612" s="14" t="s">
        <v>43</v>
      </c>
      <c r="F612" s="14" t="s">
        <v>87</v>
      </c>
      <c r="G612" s="14" t="s">
        <v>3659</v>
      </c>
      <c r="H612" s="14" t="s">
        <v>371</v>
      </c>
      <c r="I612" s="14" t="s">
        <v>133</v>
      </c>
      <c r="J612" s="14" t="s">
        <v>69</v>
      </c>
      <c r="K612" s="14" t="s">
        <v>349</v>
      </c>
      <c r="L612" s="14" t="s">
        <v>341</v>
      </c>
      <c r="M612" s="16" t="s">
        <v>3660</v>
      </c>
      <c r="N612" s="14"/>
      <c r="O612" s="14" t="s">
        <v>430</v>
      </c>
      <c r="P612" s="14">
        <v>140</v>
      </c>
      <c r="Q612" s="14">
        <v>2</v>
      </c>
      <c r="R612" s="14">
        <v>3000</v>
      </c>
      <c r="S612" s="14" t="s">
        <v>3661</v>
      </c>
      <c r="T612" s="14" t="s">
        <v>3662</v>
      </c>
      <c r="U612" s="14">
        <v>0.732222222222222</v>
      </c>
      <c r="V612" s="14">
        <v>0.85416666666666596</v>
      </c>
      <c r="W612" s="14">
        <v>632</v>
      </c>
      <c r="X612" s="14">
        <v>50</v>
      </c>
      <c r="Y612" s="14">
        <v>582</v>
      </c>
      <c r="Z612" s="14">
        <v>898</v>
      </c>
      <c r="AA612" s="14">
        <v>344</v>
      </c>
      <c r="AB612" s="14">
        <v>251</v>
      </c>
      <c r="AC612" s="14">
        <v>261</v>
      </c>
      <c r="AD612" s="14">
        <v>42</v>
      </c>
      <c r="AE612" s="14">
        <v>1530</v>
      </c>
      <c r="AF612" s="14">
        <v>5000</v>
      </c>
      <c r="AG612" s="14">
        <v>1997</v>
      </c>
      <c r="AH612" s="14">
        <v>0</v>
      </c>
      <c r="AI612" s="14">
        <v>46</v>
      </c>
      <c r="AJ612" s="14">
        <v>123</v>
      </c>
      <c r="AK612" s="14" t="s">
        <v>3659</v>
      </c>
      <c r="AL612" s="14" t="s">
        <v>3663</v>
      </c>
      <c r="AM612" s="14">
        <v>179.36</v>
      </c>
      <c r="AN612" s="14">
        <v>142.63999999999999</v>
      </c>
      <c r="AO612" s="14">
        <v>73.5</v>
      </c>
      <c r="AP612" s="14">
        <v>18030</v>
      </c>
      <c r="AQ612" s="14">
        <v>17980</v>
      </c>
      <c r="AR612" s="14">
        <v>23000</v>
      </c>
      <c r="AS612" s="14">
        <v>16500</v>
      </c>
      <c r="AT612" s="14">
        <v>17398</v>
      </c>
      <c r="AU612" s="14">
        <v>-9</v>
      </c>
      <c r="AV612" s="14">
        <v>266.76</v>
      </c>
      <c r="AW612" s="14">
        <v>28.92</v>
      </c>
      <c r="AX612" s="14">
        <v>2.91</v>
      </c>
      <c r="AY612" s="14" t="b">
        <v>0</v>
      </c>
    </row>
    <row r="613" spans="1:51" hidden="1" x14ac:dyDescent="0.3">
      <c r="A613" t="str">
        <f>CONCATENATE(I613,E613,LEFT(G613,10))</f>
        <v>HFA801LLHA2026-02-26</v>
      </c>
      <c r="B613" s="14" t="s">
        <v>3551</v>
      </c>
      <c r="C613" s="14" t="s">
        <v>336</v>
      </c>
      <c r="D613" s="14" t="s">
        <v>337</v>
      </c>
      <c r="E613" s="14" t="s">
        <v>43</v>
      </c>
      <c r="F613" s="14" t="s">
        <v>87</v>
      </c>
      <c r="G613" s="14" t="s">
        <v>3552</v>
      </c>
      <c r="H613" s="14" t="s">
        <v>339</v>
      </c>
      <c r="I613" s="14" t="s">
        <v>133</v>
      </c>
      <c r="J613" s="14" t="s">
        <v>69</v>
      </c>
      <c r="K613" s="14" t="s">
        <v>349</v>
      </c>
      <c r="L613" s="14" t="s">
        <v>341</v>
      </c>
      <c r="M613" s="16" t="s">
        <v>3553</v>
      </c>
      <c r="N613" s="14"/>
      <c r="O613" s="14" t="s">
        <v>380</v>
      </c>
      <c r="P613" s="14">
        <v>50</v>
      </c>
      <c r="Q613" s="14">
        <v>2</v>
      </c>
      <c r="R613" s="14">
        <v>5000</v>
      </c>
      <c r="S613" s="14" t="s">
        <v>3554</v>
      </c>
      <c r="T613" s="14" t="s">
        <v>3555</v>
      </c>
      <c r="U613" s="14">
        <v>0.743611111111111</v>
      </c>
      <c r="V613" s="14">
        <v>0.93055555555555503</v>
      </c>
      <c r="W613" s="14">
        <v>681</v>
      </c>
      <c r="X613" s="14">
        <v>50</v>
      </c>
      <c r="Y613" s="14">
        <v>631</v>
      </c>
      <c r="Z613" s="14">
        <v>819</v>
      </c>
      <c r="AA613" s="14">
        <v>353</v>
      </c>
      <c r="AB613" s="14">
        <v>265</v>
      </c>
      <c r="AC613" s="14">
        <v>157</v>
      </c>
      <c r="AD613" s="14">
        <v>44</v>
      </c>
      <c r="AE613" s="14">
        <v>1500</v>
      </c>
      <c r="AF613" s="14">
        <v>5000</v>
      </c>
      <c r="AG613" s="14">
        <v>2151</v>
      </c>
      <c r="AH613" s="14">
        <v>0</v>
      </c>
      <c r="AI613" s="14">
        <v>51</v>
      </c>
      <c r="AJ613" s="14">
        <v>120</v>
      </c>
      <c r="AK613" s="14" t="s">
        <v>3552</v>
      </c>
      <c r="AL613" s="14" t="s">
        <v>3556</v>
      </c>
      <c r="AM613" s="14">
        <v>179.36</v>
      </c>
      <c r="AN613" s="14">
        <v>142.63999999999999</v>
      </c>
      <c r="AO613" s="14">
        <v>73.5</v>
      </c>
      <c r="AP613" s="14">
        <v>19825</v>
      </c>
      <c r="AQ613" s="14">
        <v>19775</v>
      </c>
      <c r="AR613" s="14">
        <v>23000</v>
      </c>
      <c r="AS613" s="14">
        <v>18325</v>
      </c>
      <c r="AT613" s="14">
        <v>19144</v>
      </c>
      <c r="AU613" s="14">
        <v>-24</v>
      </c>
      <c r="AV613" s="14">
        <v>279.08999999999997</v>
      </c>
      <c r="AW613" s="14">
        <v>48.77</v>
      </c>
      <c r="AX613" s="14">
        <v>0.64</v>
      </c>
      <c r="AY613" s="14" t="b">
        <v>0</v>
      </c>
    </row>
    <row r="614" spans="1:51" hidden="1" x14ac:dyDescent="0.3">
      <c r="A614" t="str">
        <f>CONCATENATE(I614,E614,LEFT(G614,10))</f>
        <v>HFA801LLHA2026-02-27</v>
      </c>
      <c r="B614" s="14" t="s">
        <v>3434</v>
      </c>
      <c r="C614" s="14" t="s">
        <v>336</v>
      </c>
      <c r="D614" s="14" t="s">
        <v>337</v>
      </c>
      <c r="E614" s="14" t="s">
        <v>43</v>
      </c>
      <c r="F614" s="14" t="s">
        <v>87</v>
      </c>
      <c r="G614" s="14" t="s">
        <v>3435</v>
      </c>
      <c r="H614" s="14" t="s">
        <v>371</v>
      </c>
      <c r="I614" s="14" t="s">
        <v>133</v>
      </c>
      <c r="J614" s="14" t="s">
        <v>69</v>
      </c>
      <c r="K614" s="14" t="s">
        <v>349</v>
      </c>
      <c r="L614" s="14" t="s">
        <v>341</v>
      </c>
      <c r="M614" s="16" t="s">
        <v>3436</v>
      </c>
      <c r="N614" s="14"/>
      <c r="O614" s="14" t="s">
        <v>380</v>
      </c>
      <c r="P614" s="14">
        <v>50</v>
      </c>
      <c r="Q614" s="14">
        <v>2</v>
      </c>
      <c r="R614" s="14">
        <v>3600</v>
      </c>
      <c r="S614" s="14" t="s">
        <v>3437</v>
      </c>
      <c r="T614" s="14" t="s">
        <v>3438</v>
      </c>
      <c r="U614" s="14">
        <v>0.83499999999999996</v>
      </c>
      <c r="V614" s="14">
        <v>0.93944444444444397</v>
      </c>
      <c r="W614" s="14">
        <v>713</v>
      </c>
      <c r="X614" s="14">
        <v>50</v>
      </c>
      <c r="Y614" s="14">
        <v>663</v>
      </c>
      <c r="Z614" s="14">
        <v>787</v>
      </c>
      <c r="AA614" s="14">
        <v>343</v>
      </c>
      <c r="AB614" s="14">
        <v>255</v>
      </c>
      <c r="AC614" s="14">
        <v>147</v>
      </c>
      <c r="AD614" s="14">
        <v>43</v>
      </c>
      <c r="AE614" s="14">
        <v>1500</v>
      </c>
      <c r="AF614" s="14">
        <v>5000</v>
      </c>
      <c r="AG614" s="14">
        <v>2252</v>
      </c>
      <c r="AH614" s="14">
        <v>0</v>
      </c>
      <c r="AI614" s="14">
        <v>51</v>
      </c>
      <c r="AJ614" s="14">
        <v>118</v>
      </c>
      <c r="AK614" s="14" t="s">
        <v>3435</v>
      </c>
      <c r="AL614" s="14" t="s">
        <v>3439</v>
      </c>
      <c r="AM614" s="14">
        <v>179.36</v>
      </c>
      <c r="AN614" s="14">
        <v>142.63999999999999</v>
      </c>
      <c r="AO614" s="14">
        <v>73.5</v>
      </c>
      <c r="AP614" s="14">
        <v>18600</v>
      </c>
      <c r="AQ614" s="14">
        <v>18550</v>
      </c>
      <c r="AR614" s="14">
        <v>23000</v>
      </c>
      <c r="AS614" s="14">
        <v>17100</v>
      </c>
      <c r="AT614" s="14">
        <v>17887</v>
      </c>
      <c r="AU614" s="14">
        <v>-33</v>
      </c>
      <c r="AV614" s="14">
        <v>314.86</v>
      </c>
      <c r="AW614" s="14">
        <v>41.29</v>
      </c>
      <c r="AX614" s="14">
        <v>-4.24</v>
      </c>
      <c r="AY614" s="14" t="b">
        <v>0</v>
      </c>
    </row>
    <row r="615" spans="1:51" hidden="1" x14ac:dyDescent="0.3">
      <c r="A615" t="str">
        <f>CONCATENATE(I615,E615,LEFT(G615,10))</f>
        <v>HFA802LCLK2026-01-01</v>
      </c>
      <c r="B615" s="14" t="s">
        <v>4562</v>
      </c>
      <c r="C615" s="14" t="s">
        <v>336</v>
      </c>
      <c r="D615" s="14" t="s">
        <v>337</v>
      </c>
      <c r="E615" s="14" t="s">
        <v>87</v>
      </c>
      <c r="F615" s="14" t="s">
        <v>43</v>
      </c>
      <c r="G615" s="14" t="s">
        <v>4563</v>
      </c>
      <c r="H615" s="14" t="s">
        <v>371</v>
      </c>
      <c r="I615" s="14" t="s">
        <v>135</v>
      </c>
      <c r="J615" s="14" t="s">
        <v>83</v>
      </c>
      <c r="K615" s="14" t="s">
        <v>340</v>
      </c>
      <c r="L615" s="14" t="s">
        <v>341</v>
      </c>
      <c r="M615" s="16" t="s">
        <v>4564</v>
      </c>
      <c r="N615" s="14"/>
      <c r="O615" s="14" t="s">
        <v>627</v>
      </c>
      <c r="P615" s="14">
        <v>130</v>
      </c>
      <c r="Q615" s="14">
        <v>2</v>
      </c>
      <c r="R615" s="14">
        <v>2200</v>
      </c>
      <c r="S615" s="14" t="s">
        <v>4565</v>
      </c>
      <c r="T615" s="14" t="s">
        <v>4566</v>
      </c>
      <c r="U615" s="14">
        <v>0.70250000000000001</v>
      </c>
      <c r="V615" s="14">
        <v>0.92638888888888804</v>
      </c>
      <c r="W615" s="14">
        <v>586</v>
      </c>
      <c r="X615" s="14">
        <v>80</v>
      </c>
      <c r="Y615" s="14">
        <v>506</v>
      </c>
      <c r="Z615" s="14">
        <v>1514</v>
      </c>
      <c r="AA615" s="14">
        <v>263</v>
      </c>
      <c r="AB615" s="14">
        <v>250</v>
      </c>
      <c r="AC615" s="14">
        <v>960</v>
      </c>
      <c r="AD615" s="14">
        <v>42</v>
      </c>
      <c r="AE615" s="14">
        <v>2100</v>
      </c>
      <c r="AF615" s="14">
        <v>5000</v>
      </c>
      <c r="AG615" s="14">
        <v>1851</v>
      </c>
      <c r="AH615" s="14">
        <v>0</v>
      </c>
      <c r="AI615" s="14">
        <v>38</v>
      </c>
      <c r="AJ615" s="14">
        <v>165</v>
      </c>
      <c r="AK615" s="14" t="s">
        <v>4563</v>
      </c>
      <c r="AL615" s="14" t="s">
        <v>4567</v>
      </c>
      <c r="AM615" s="14">
        <v>162.11000000000001</v>
      </c>
      <c r="AN615" s="14">
        <v>142.63999999999999</v>
      </c>
      <c r="AO615" s="14">
        <v>54.99</v>
      </c>
      <c r="AP615" s="14">
        <v>17800</v>
      </c>
      <c r="AQ615" s="14">
        <v>17720</v>
      </c>
      <c r="AR615" s="14">
        <v>23000</v>
      </c>
      <c r="AS615" s="14">
        <v>15700</v>
      </c>
      <c r="AT615" s="14">
        <v>17214</v>
      </c>
      <c r="AU615" s="14">
        <v>10</v>
      </c>
      <c r="AV615" s="14">
        <v>258.51</v>
      </c>
      <c r="AW615" s="14">
        <v>41.64</v>
      </c>
      <c r="AX615" s="14">
        <v>-0.42</v>
      </c>
      <c r="AY615" s="14" t="b">
        <v>0</v>
      </c>
    </row>
    <row r="616" spans="1:51" hidden="1" x14ac:dyDescent="0.3">
      <c r="A616" t="str">
        <f>CONCATENATE(I616,E616,LEFT(G616,10))</f>
        <v>HFA802LCLK2026-01-02</v>
      </c>
      <c r="B616" s="14" t="s">
        <v>6249</v>
      </c>
      <c r="C616" s="14" t="s">
        <v>336</v>
      </c>
      <c r="D616" s="14" t="s">
        <v>337</v>
      </c>
      <c r="E616" s="14" t="s">
        <v>87</v>
      </c>
      <c r="F616" s="14" t="s">
        <v>43</v>
      </c>
      <c r="G616" s="14" t="s">
        <v>6250</v>
      </c>
      <c r="H616" s="14" t="s">
        <v>371</v>
      </c>
      <c r="I616" s="14" t="s">
        <v>135</v>
      </c>
      <c r="J616" s="14" t="s">
        <v>83</v>
      </c>
      <c r="K616" s="14" t="s">
        <v>340</v>
      </c>
      <c r="L616" s="14" t="s">
        <v>341</v>
      </c>
      <c r="M616" s="16" t="s">
        <v>1688</v>
      </c>
      <c r="N616" s="14"/>
      <c r="O616" s="14" t="s">
        <v>410</v>
      </c>
      <c r="P616" s="14">
        <v>130</v>
      </c>
      <c r="Q616" s="14">
        <v>2</v>
      </c>
      <c r="R616" s="14">
        <v>5500</v>
      </c>
      <c r="S616" s="14" t="s">
        <v>6251</v>
      </c>
      <c r="T616" s="14" t="s">
        <v>6252</v>
      </c>
      <c r="U616" s="14">
        <v>0.69972222222222202</v>
      </c>
      <c r="V616" s="14">
        <v>0.87138888888888799</v>
      </c>
      <c r="W616" s="14">
        <v>595</v>
      </c>
      <c r="X616" s="14">
        <v>80</v>
      </c>
      <c r="Y616" s="14">
        <v>515</v>
      </c>
      <c r="Z616" s="14">
        <v>1505</v>
      </c>
      <c r="AA616" s="14">
        <v>264</v>
      </c>
      <c r="AB616" s="14">
        <v>278</v>
      </c>
      <c r="AC616" s="14">
        <v>917</v>
      </c>
      <c r="AD616" s="14">
        <v>46</v>
      </c>
      <c r="AE616" s="14">
        <v>2100</v>
      </c>
      <c r="AF616" s="14">
        <v>5000</v>
      </c>
      <c r="AG616" s="14">
        <v>1880</v>
      </c>
      <c r="AH616" s="14">
        <v>0</v>
      </c>
      <c r="AI616" s="14">
        <v>38</v>
      </c>
      <c r="AJ616" s="14">
        <v>160</v>
      </c>
      <c r="AK616" s="14" t="s">
        <v>6250</v>
      </c>
      <c r="AL616" s="14" t="s">
        <v>6253</v>
      </c>
      <c r="AM616" s="14">
        <v>162.11000000000001</v>
      </c>
      <c r="AN616" s="14">
        <v>142.63999999999999</v>
      </c>
      <c r="AO616" s="14">
        <v>54.99</v>
      </c>
      <c r="AP616" s="14">
        <v>21100</v>
      </c>
      <c r="AQ616" s="14">
        <v>21020</v>
      </c>
      <c r="AR616" s="14">
        <v>23000</v>
      </c>
      <c r="AS616" s="14">
        <v>19000</v>
      </c>
      <c r="AT616" s="14">
        <v>20505</v>
      </c>
      <c r="AU616" s="14">
        <v>14</v>
      </c>
      <c r="AV616" s="14">
        <v>287.62</v>
      </c>
      <c r="AW616" s="14">
        <v>25.01</v>
      </c>
      <c r="AX616" s="14">
        <v>-2.08</v>
      </c>
      <c r="AY616" s="14" t="b">
        <v>0</v>
      </c>
    </row>
    <row r="617" spans="1:51" hidden="1" x14ac:dyDescent="0.3">
      <c r="A617" t="str">
        <f>CONCATENATE(I617,E617,LEFT(G617,10))</f>
        <v>HFA802LCLK2026-01-04</v>
      </c>
      <c r="B617" s="14" t="s">
        <v>5405</v>
      </c>
      <c r="C617" s="14" t="s">
        <v>336</v>
      </c>
      <c r="D617" s="14" t="s">
        <v>337</v>
      </c>
      <c r="E617" s="14" t="s">
        <v>87</v>
      </c>
      <c r="F617" s="14" t="s">
        <v>43</v>
      </c>
      <c r="G617" s="14" t="s">
        <v>5406</v>
      </c>
      <c r="H617" s="14" t="s">
        <v>371</v>
      </c>
      <c r="I617" s="14" t="s">
        <v>135</v>
      </c>
      <c r="J617" s="14" t="s">
        <v>83</v>
      </c>
      <c r="K617" s="14" t="s">
        <v>340</v>
      </c>
      <c r="L617" s="14" t="s">
        <v>341</v>
      </c>
      <c r="M617" s="16" t="s">
        <v>731</v>
      </c>
      <c r="N617" s="14"/>
      <c r="O617" s="14" t="s">
        <v>5316</v>
      </c>
      <c r="P617" s="14">
        <v>130</v>
      </c>
      <c r="Q617" s="14">
        <v>2</v>
      </c>
      <c r="R617" s="14">
        <v>5500</v>
      </c>
      <c r="S617" s="14" t="s">
        <v>5407</v>
      </c>
      <c r="T617" s="14" t="s">
        <v>5408</v>
      </c>
      <c r="U617" s="14">
        <v>0.72916666666666596</v>
      </c>
      <c r="V617" s="14">
        <v>0.99</v>
      </c>
      <c r="W617" s="14">
        <v>621</v>
      </c>
      <c r="X617" s="14">
        <v>80</v>
      </c>
      <c r="Y617" s="14">
        <v>541</v>
      </c>
      <c r="Z617" s="14">
        <v>1379</v>
      </c>
      <c r="AA617" s="14">
        <v>267</v>
      </c>
      <c r="AB617" s="14">
        <v>276</v>
      </c>
      <c r="AC617" s="14">
        <v>789</v>
      </c>
      <c r="AD617" s="14">
        <v>46</v>
      </c>
      <c r="AE617" s="14">
        <v>2000</v>
      </c>
      <c r="AF617" s="14">
        <v>5000</v>
      </c>
      <c r="AG617" s="14">
        <v>1963</v>
      </c>
      <c r="AH617" s="14">
        <v>0</v>
      </c>
      <c r="AI617" s="14">
        <v>42</v>
      </c>
      <c r="AJ617" s="14">
        <v>158</v>
      </c>
      <c r="AK617" s="14" t="s">
        <v>5406</v>
      </c>
      <c r="AL617" s="14" t="s">
        <v>5409</v>
      </c>
      <c r="AM617" s="14">
        <v>162.11000000000001</v>
      </c>
      <c r="AN617" s="14">
        <v>142.63999999999999</v>
      </c>
      <c r="AO617" s="14">
        <v>54.99</v>
      </c>
      <c r="AP617" s="14">
        <v>21000</v>
      </c>
      <c r="AQ617" s="14">
        <v>20920</v>
      </c>
      <c r="AR617" s="14">
        <v>23000</v>
      </c>
      <c r="AS617" s="14">
        <v>19000</v>
      </c>
      <c r="AT617" s="14">
        <v>20379</v>
      </c>
      <c r="AU617" s="14">
        <v>-6</v>
      </c>
      <c r="AV617" s="14">
        <v>223.45</v>
      </c>
      <c r="AW617" s="14">
        <v>14.63</v>
      </c>
      <c r="AX617" s="14">
        <v>4.49</v>
      </c>
      <c r="AY617" s="14" t="b">
        <v>0</v>
      </c>
    </row>
    <row r="618" spans="1:51" hidden="1" x14ac:dyDescent="0.3">
      <c r="A618" t="str">
        <f>CONCATENATE(I618,E618,LEFT(G618,10))</f>
        <v>HFA802LCLK2026-01-05</v>
      </c>
      <c r="B618" s="14" t="s">
        <v>1729</v>
      </c>
      <c r="C618" s="14" t="s">
        <v>336</v>
      </c>
      <c r="D618" s="14" t="s">
        <v>337</v>
      </c>
      <c r="E618" s="14" t="s">
        <v>87</v>
      </c>
      <c r="F618" s="14" t="s">
        <v>43</v>
      </c>
      <c r="G618" s="14" t="s">
        <v>1730</v>
      </c>
      <c r="H618" s="14" t="s">
        <v>371</v>
      </c>
      <c r="I618" s="14" t="s">
        <v>135</v>
      </c>
      <c r="J618" s="14" t="s">
        <v>83</v>
      </c>
      <c r="K618" s="14" t="s">
        <v>340</v>
      </c>
      <c r="L618" s="14" t="s">
        <v>341</v>
      </c>
      <c r="M618" s="16" t="s">
        <v>1688</v>
      </c>
      <c r="N618" s="14"/>
      <c r="O618" s="14" t="s">
        <v>627</v>
      </c>
      <c r="P618" s="14">
        <v>130</v>
      </c>
      <c r="Q618" s="14">
        <v>2</v>
      </c>
      <c r="R618" s="14">
        <v>6300</v>
      </c>
      <c r="S618" s="14" t="s">
        <v>1731</v>
      </c>
      <c r="T618" s="14" t="s">
        <v>1732</v>
      </c>
      <c r="U618" s="14">
        <v>0.75527777777777705</v>
      </c>
      <c r="V618" s="14">
        <v>1.1441666666666599</v>
      </c>
      <c r="W618" s="14">
        <v>625</v>
      </c>
      <c r="X618" s="14">
        <v>80</v>
      </c>
      <c r="Y618" s="14">
        <v>545</v>
      </c>
      <c r="Z618" s="14">
        <v>1375</v>
      </c>
      <c r="AA618" s="14">
        <v>261</v>
      </c>
      <c r="AB618" s="14">
        <v>284</v>
      </c>
      <c r="AC618" s="14">
        <v>782</v>
      </c>
      <c r="AD618" s="14">
        <v>47</v>
      </c>
      <c r="AE618" s="14">
        <v>2000</v>
      </c>
      <c r="AF618" s="14">
        <v>5000</v>
      </c>
      <c r="AG618" s="14">
        <v>1977</v>
      </c>
      <c r="AH618" s="14">
        <v>0</v>
      </c>
      <c r="AI618" s="14">
        <v>43</v>
      </c>
      <c r="AJ618" s="14">
        <v>159</v>
      </c>
      <c r="AK618" s="14" t="s">
        <v>1730</v>
      </c>
      <c r="AL618" s="14" t="s">
        <v>1733</v>
      </c>
      <c r="AM618" s="14">
        <v>162.11000000000001</v>
      </c>
      <c r="AN618" s="14">
        <v>142.63999999999999</v>
      </c>
      <c r="AO618" s="14">
        <v>54.99</v>
      </c>
      <c r="AP618" s="14">
        <v>21800</v>
      </c>
      <c r="AQ618" s="14">
        <v>21720</v>
      </c>
      <c r="AR618" s="14">
        <v>23000</v>
      </c>
      <c r="AS618" s="14">
        <v>19800</v>
      </c>
      <c r="AT618" s="14">
        <v>21175</v>
      </c>
      <c r="AU618" s="14">
        <v>-8</v>
      </c>
      <c r="AV618" s="14">
        <v>201.56</v>
      </c>
      <c r="AW618" s="14">
        <v>10.79</v>
      </c>
      <c r="AX618" s="14">
        <v>6.72</v>
      </c>
      <c r="AY618" s="14" t="b">
        <v>0</v>
      </c>
    </row>
    <row r="619" spans="1:51" hidden="1" x14ac:dyDescent="0.3">
      <c r="A619" t="str">
        <f>CONCATENATE(I619,E619,LEFT(G619,10))</f>
        <v>HFA802LCLK2026-01-06</v>
      </c>
      <c r="B619" s="14" t="s">
        <v>4865</v>
      </c>
      <c r="C619" s="14" t="s">
        <v>336</v>
      </c>
      <c r="D619" s="14" t="s">
        <v>337</v>
      </c>
      <c r="E619" s="14" t="s">
        <v>87</v>
      </c>
      <c r="F619" s="14" t="s">
        <v>43</v>
      </c>
      <c r="G619" s="14" t="s">
        <v>4866</v>
      </c>
      <c r="H619" s="14" t="s">
        <v>339</v>
      </c>
      <c r="I619" s="14" t="s">
        <v>135</v>
      </c>
      <c r="J619" s="14" t="s">
        <v>83</v>
      </c>
      <c r="K619" s="14" t="s">
        <v>340</v>
      </c>
      <c r="L619" s="14" t="s">
        <v>341</v>
      </c>
      <c r="M619" s="16" t="s">
        <v>4867</v>
      </c>
      <c r="N619" s="14"/>
      <c r="O619" s="14" t="s">
        <v>4868</v>
      </c>
      <c r="P619" s="14">
        <v>130</v>
      </c>
      <c r="Q619" s="14">
        <v>2</v>
      </c>
      <c r="R619" s="14">
        <v>5850</v>
      </c>
      <c r="S619" s="14" t="s">
        <v>4869</v>
      </c>
      <c r="T619" s="14" t="s">
        <v>4870</v>
      </c>
      <c r="U619" s="14">
        <v>0.76416666666666599</v>
      </c>
      <c r="V619" s="14">
        <v>0.91944444444444395</v>
      </c>
      <c r="W619" s="14">
        <v>595</v>
      </c>
      <c r="X619" s="14">
        <v>80</v>
      </c>
      <c r="Y619" s="14">
        <v>515</v>
      </c>
      <c r="Z619" s="14">
        <v>1405</v>
      </c>
      <c r="AA619" s="14">
        <v>260</v>
      </c>
      <c r="AB619" s="14">
        <v>278</v>
      </c>
      <c r="AC619" s="14">
        <v>820</v>
      </c>
      <c r="AD619" s="14">
        <v>46</v>
      </c>
      <c r="AE619" s="14">
        <v>2000</v>
      </c>
      <c r="AF619" s="14">
        <v>5000</v>
      </c>
      <c r="AG619" s="14">
        <v>1881</v>
      </c>
      <c r="AH619" s="14">
        <v>0</v>
      </c>
      <c r="AI619" s="14">
        <v>41</v>
      </c>
      <c r="AJ619" s="14">
        <v>163</v>
      </c>
      <c r="AK619" s="14" t="s">
        <v>4866</v>
      </c>
      <c r="AL619" s="14" t="s">
        <v>4871</v>
      </c>
      <c r="AM619" s="14">
        <v>162.11000000000001</v>
      </c>
      <c r="AN619" s="14">
        <v>142.63999999999999</v>
      </c>
      <c r="AO619" s="14">
        <v>54.99</v>
      </c>
      <c r="AP619" s="14">
        <v>21175</v>
      </c>
      <c r="AQ619" s="14">
        <v>21095</v>
      </c>
      <c r="AR619" s="14">
        <v>23000</v>
      </c>
      <c r="AS619" s="14">
        <v>19175</v>
      </c>
      <c r="AT619" s="14">
        <v>20580</v>
      </c>
      <c r="AU619" s="14">
        <v>1</v>
      </c>
      <c r="AV619" s="14">
        <v>253.1</v>
      </c>
      <c r="AW619" s="14">
        <v>22.36</v>
      </c>
      <c r="AX619" s="14">
        <v>6.15</v>
      </c>
      <c r="AY619" s="14" t="b">
        <v>0</v>
      </c>
    </row>
    <row r="620" spans="1:51" hidden="1" x14ac:dyDescent="0.3">
      <c r="A620" t="str">
        <f>CONCATENATE(I620,E620,LEFT(G620,10))</f>
        <v>HFA802LCLK2026-01-07</v>
      </c>
      <c r="B620" s="14" t="s">
        <v>1467</v>
      </c>
      <c r="C620" s="14" t="s">
        <v>336</v>
      </c>
      <c r="D620" s="14" t="s">
        <v>337</v>
      </c>
      <c r="E620" s="14" t="s">
        <v>87</v>
      </c>
      <c r="F620" s="14" t="s">
        <v>43</v>
      </c>
      <c r="G620" s="14" t="s">
        <v>1468</v>
      </c>
      <c r="H620" s="14" t="s">
        <v>371</v>
      </c>
      <c r="I620" s="14" t="s">
        <v>135</v>
      </c>
      <c r="J620" s="14" t="s">
        <v>83</v>
      </c>
      <c r="K620" s="14" t="s">
        <v>340</v>
      </c>
      <c r="L620" s="14" t="s">
        <v>341</v>
      </c>
      <c r="M620" s="16" t="s">
        <v>543</v>
      </c>
      <c r="N620" s="14"/>
      <c r="O620" s="14" t="s">
        <v>1469</v>
      </c>
      <c r="P620" s="14">
        <v>130</v>
      </c>
      <c r="Q620" s="14">
        <v>2</v>
      </c>
      <c r="R620" s="14">
        <v>4100</v>
      </c>
      <c r="S620" s="14" t="s">
        <v>1470</v>
      </c>
      <c r="T620" s="14" t="s">
        <v>1471</v>
      </c>
      <c r="U620" s="14">
        <v>0.71361111111111097</v>
      </c>
      <c r="V620" s="14">
        <v>0.91361111111111104</v>
      </c>
      <c r="W620" s="14">
        <v>582</v>
      </c>
      <c r="X620" s="14">
        <v>80</v>
      </c>
      <c r="Y620" s="14">
        <v>502</v>
      </c>
      <c r="Z620" s="14">
        <v>1418</v>
      </c>
      <c r="AA620" s="14">
        <v>250</v>
      </c>
      <c r="AB620" s="14">
        <v>264</v>
      </c>
      <c r="AC620" s="14">
        <v>860</v>
      </c>
      <c r="AD620" s="14">
        <v>44</v>
      </c>
      <c r="AE620" s="14">
        <v>2000</v>
      </c>
      <c r="AF620" s="14">
        <v>5000</v>
      </c>
      <c r="AG620" s="14">
        <v>1838</v>
      </c>
      <c r="AH620" s="14">
        <v>0</v>
      </c>
      <c r="AI620" s="14">
        <v>40</v>
      </c>
      <c r="AJ620" s="14">
        <v>160</v>
      </c>
      <c r="AK620" s="14" t="s">
        <v>1468</v>
      </c>
      <c r="AL620" s="14" t="s">
        <v>1472</v>
      </c>
      <c r="AM620" s="14">
        <v>162.11000000000001</v>
      </c>
      <c r="AN620" s="14">
        <v>142.63999999999999</v>
      </c>
      <c r="AO620" s="14">
        <v>54.99</v>
      </c>
      <c r="AP620" s="14">
        <v>19600</v>
      </c>
      <c r="AQ620" s="14">
        <v>19520</v>
      </c>
      <c r="AR620" s="14">
        <v>23000</v>
      </c>
      <c r="AS620" s="14">
        <v>17600</v>
      </c>
      <c r="AT620" s="14">
        <v>19018</v>
      </c>
      <c r="AU620" s="14">
        <v>10</v>
      </c>
      <c r="AV620" s="14">
        <v>290.70999999999998</v>
      </c>
      <c r="AW620" s="14">
        <v>23.9</v>
      </c>
      <c r="AX620" s="14">
        <v>6.01</v>
      </c>
      <c r="AY620" s="14" t="b">
        <v>0</v>
      </c>
    </row>
    <row r="621" spans="1:51" hidden="1" x14ac:dyDescent="0.3">
      <c r="A621" t="str">
        <f>CONCATENATE(I621,E621,LEFT(G621,10))</f>
        <v>HFA802LCLK2026-01-08</v>
      </c>
      <c r="B621" s="14" t="s">
        <v>2913</v>
      </c>
      <c r="C621" s="14" t="s">
        <v>336</v>
      </c>
      <c r="D621" s="14" t="s">
        <v>337</v>
      </c>
      <c r="E621" s="14" t="s">
        <v>87</v>
      </c>
      <c r="F621" s="14" t="s">
        <v>43</v>
      </c>
      <c r="G621" s="14" t="s">
        <v>2914</v>
      </c>
      <c r="H621" s="14" t="s">
        <v>371</v>
      </c>
      <c r="I621" s="14" t="s">
        <v>135</v>
      </c>
      <c r="J621" s="14" t="s">
        <v>83</v>
      </c>
      <c r="K621" s="14" t="s">
        <v>340</v>
      </c>
      <c r="L621" s="14" t="s">
        <v>341</v>
      </c>
      <c r="M621" s="16" t="s">
        <v>1688</v>
      </c>
      <c r="N621" s="14"/>
      <c r="O621" s="14" t="s">
        <v>627</v>
      </c>
      <c r="P621" s="14">
        <v>130</v>
      </c>
      <c r="Q621" s="14">
        <v>3</v>
      </c>
      <c r="R621" s="14">
        <v>4200</v>
      </c>
      <c r="S621" s="14" t="s">
        <v>2915</v>
      </c>
      <c r="T621" s="14" t="s">
        <v>2916</v>
      </c>
      <c r="U621" s="14">
        <v>0.74972222222222196</v>
      </c>
      <c r="V621" s="14">
        <v>0.88305555555555504</v>
      </c>
      <c r="W621" s="14">
        <v>612</v>
      </c>
      <c r="X621" s="14">
        <v>80</v>
      </c>
      <c r="Y621" s="14">
        <v>532</v>
      </c>
      <c r="Z621" s="14">
        <v>1388</v>
      </c>
      <c r="AA621" s="14">
        <v>262</v>
      </c>
      <c r="AB621" s="14">
        <v>265</v>
      </c>
      <c r="AC621" s="14">
        <v>816</v>
      </c>
      <c r="AD621" s="14">
        <v>44</v>
      </c>
      <c r="AE621" s="14">
        <v>2000</v>
      </c>
      <c r="AF621" s="14">
        <v>5000</v>
      </c>
      <c r="AG621" s="14">
        <v>1935</v>
      </c>
      <c r="AH621" s="14">
        <v>0</v>
      </c>
      <c r="AI621" s="14">
        <v>42</v>
      </c>
      <c r="AJ621" s="14">
        <v>161</v>
      </c>
      <c r="AK621" s="14" t="s">
        <v>2914</v>
      </c>
      <c r="AL621" s="14" t="s">
        <v>2917</v>
      </c>
      <c r="AM621" s="14">
        <v>162.11000000000001</v>
      </c>
      <c r="AN621" s="14">
        <v>142.63999999999999</v>
      </c>
      <c r="AO621" s="14">
        <v>54.99</v>
      </c>
      <c r="AP621" s="14">
        <v>19700</v>
      </c>
      <c r="AQ621" s="14">
        <v>19620</v>
      </c>
      <c r="AR621" s="14">
        <v>23000</v>
      </c>
      <c r="AS621" s="14">
        <v>17700</v>
      </c>
      <c r="AT621" s="14">
        <v>19088</v>
      </c>
      <c r="AU621" s="14">
        <v>-7</v>
      </c>
      <c r="AV621" s="14">
        <v>232.06</v>
      </c>
      <c r="AW621" s="14">
        <v>20.56</v>
      </c>
      <c r="AX621" s="14">
        <v>7.6</v>
      </c>
      <c r="AY621" s="14" t="b">
        <v>0</v>
      </c>
    </row>
    <row r="622" spans="1:51" hidden="1" x14ac:dyDescent="0.3">
      <c r="A622" t="str">
        <f>CONCATENATE(I622,E622,LEFT(G622,10))</f>
        <v>HFA802LCLK2026-01-09</v>
      </c>
      <c r="B622" s="14" t="s">
        <v>2313</v>
      </c>
      <c r="C622" s="14" t="s">
        <v>336</v>
      </c>
      <c r="D622" s="14" t="s">
        <v>337</v>
      </c>
      <c r="E622" s="14" t="s">
        <v>87</v>
      </c>
      <c r="F622" s="14" t="s">
        <v>43</v>
      </c>
      <c r="G622" s="14" t="s">
        <v>2314</v>
      </c>
      <c r="H622" s="14" t="s">
        <v>371</v>
      </c>
      <c r="I622" s="14" t="s">
        <v>135</v>
      </c>
      <c r="J622" s="14" t="s">
        <v>83</v>
      </c>
      <c r="K622" s="14" t="s">
        <v>340</v>
      </c>
      <c r="L622" s="14" t="s">
        <v>341</v>
      </c>
      <c r="M622" s="16" t="s">
        <v>2315</v>
      </c>
      <c r="N622" s="14"/>
      <c r="O622" s="14" t="s">
        <v>627</v>
      </c>
      <c r="P622" s="14">
        <v>130</v>
      </c>
      <c r="Q622" s="14">
        <v>2</v>
      </c>
      <c r="R622" s="14">
        <v>3100</v>
      </c>
      <c r="S622" s="14" t="s">
        <v>2316</v>
      </c>
      <c r="T622" s="14" t="s">
        <v>2317</v>
      </c>
      <c r="U622" s="14">
        <v>0.65416666666666601</v>
      </c>
      <c r="V622" s="14">
        <v>0.85833333333333295</v>
      </c>
      <c r="W622" s="14">
        <v>591</v>
      </c>
      <c r="X622" s="14">
        <v>80</v>
      </c>
      <c r="Y622" s="14">
        <v>511</v>
      </c>
      <c r="Z622" s="14">
        <v>1709</v>
      </c>
      <c r="AA622" s="14">
        <v>262</v>
      </c>
      <c r="AB622" s="14">
        <v>258</v>
      </c>
      <c r="AC622" s="14">
        <v>1145</v>
      </c>
      <c r="AD622" s="14">
        <v>43</v>
      </c>
      <c r="AE622" s="14">
        <v>2300</v>
      </c>
      <c r="AF622" s="14">
        <v>5000</v>
      </c>
      <c r="AG622" s="14">
        <v>1867</v>
      </c>
      <c r="AH622" s="14">
        <v>0</v>
      </c>
      <c r="AI622" s="14">
        <v>39</v>
      </c>
      <c r="AJ622" s="14">
        <v>178</v>
      </c>
      <c r="AK622" s="14" t="s">
        <v>2314</v>
      </c>
      <c r="AL622" s="14" t="s">
        <v>2318</v>
      </c>
      <c r="AM622" s="14">
        <v>162.11000000000001</v>
      </c>
      <c r="AN622" s="14">
        <v>142.63999999999999</v>
      </c>
      <c r="AO622" s="14">
        <v>54.99</v>
      </c>
      <c r="AP622" s="14">
        <v>18900</v>
      </c>
      <c r="AQ622" s="14">
        <v>18820</v>
      </c>
      <c r="AR622" s="14">
        <v>23000</v>
      </c>
      <c r="AS622" s="14">
        <v>16600</v>
      </c>
      <c r="AT622" s="14">
        <v>18309</v>
      </c>
      <c r="AU622" s="14">
        <v>11</v>
      </c>
      <c r="AV622" s="14">
        <v>260.67</v>
      </c>
      <c r="AW622" s="14">
        <v>43.51</v>
      </c>
      <c r="AX622" s="14">
        <v>-1.71</v>
      </c>
      <c r="AY622" s="14" t="b">
        <v>0</v>
      </c>
    </row>
    <row r="623" spans="1:51" hidden="1" x14ac:dyDescent="0.3">
      <c r="A623" t="str">
        <f>CONCATENATE(I623,E623,LEFT(G623,10))</f>
        <v>HFA802LCLK2026-01-11</v>
      </c>
      <c r="B623" s="14" t="s">
        <v>2234</v>
      </c>
      <c r="C623" s="14" t="s">
        <v>336</v>
      </c>
      <c r="D623" s="14" t="s">
        <v>337</v>
      </c>
      <c r="E623" s="14" t="s">
        <v>87</v>
      </c>
      <c r="F623" s="14" t="s">
        <v>43</v>
      </c>
      <c r="G623" s="14" t="s">
        <v>2235</v>
      </c>
      <c r="H623" s="14" t="s">
        <v>339</v>
      </c>
      <c r="I623" s="14" t="s">
        <v>135</v>
      </c>
      <c r="J623" s="14" t="s">
        <v>83</v>
      </c>
      <c r="K623" s="14" t="s">
        <v>340</v>
      </c>
      <c r="L623" s="14" t="s">
        <v>341</v>
      </c>
      <c r="M623" s="16" t="s">
        <v>2236</v>
      </c>
      <c r="N623" s="14"/>
      <c r="O623" s="14" t="s">
        <v>627</v>
      </c>
      <c r="P623" s="14">
        <v>130</v>
      </c>
      <c r="Q623" s="14">
        <v>2</v>
      </c>
      <c r="R623" s="14">
        <v>6900</v>
      </c>
      <c r="S623" s="14" t="s">
        <v>2237</v>
      </c>
      <c r="T623" s="14" t="s">
        <v>2238</v>
      </c>
      <c r="U623" s="14">
        <v>0.75388888888888805</v>
      </c>
      <c r="V623" s="14">
        <v>1.0488888888888801</v>
      </c>
      <c r="W623" s="14">
        <v>627</v>
      </c>
      <c r="X623" s="14">
        <v>80</v>
      </c>
      <c r="Y623" s="14">
        <v>547</v>
      </c>
      <c r="Z623" s="14">
        <v>1773</v>
      </c>
      <c r="AA623" s="14">
        <v>272</v>
      </c>
      <c r="AB623" s="14">
        <v>292</v>
      </c>
      <c r="AC623" s="14">
        <v>1160</v>
      </c>
      <c r="AD623" s="14">
        <v>49</v>
      </c>
      <c r="AE623" s="14">
        <v>2400</v>
      </c>
      <c r="AF623" s="14">
        <v>5000</v>
      </c>
      <c r="AG623" s="14">
        <v>1982</v>
      </c>
      <c r="AH623" s="14">
        <v>0</v>
      </c>
      <c r="AI623" s="14">
        <v>43</v>
      </c>
      <c r="AJ623" s="14">
        <v>190</v>
      </c>
      <c r="AK623" s="14" t="s">
        <v>2235</v>
      </c>
      <c r="AL623" s="14" t="s">
        <v>2239</v>
      </c>
      <c r="AM623" s="14">
        <v>162.11000000000001</v>
      </c>
      <c r="AN623" s="14">
        <v>142.63999999999999</v>
      </c>
      <c r="AO623" s="14">
        <v>54.99</v>
      </c>
      <c r="AP623" s="14">
        <v>22625</v>
      </c>
      <c r="AQ623" s="14">
        <v>22545</v>
      </c>
      <c r="AR623" s="14">
        <v>23000</v>
      </c>
      <c r="AS623" s="14">
        <v>20225</v>
      </c>
      <c r="AT623" s="14">
        <v>21998</v>
      </c>
      <c r="AU623" s="14">
        <v>-6</v>
      </c>
      <c r="AV623" s="14">
        <v>236.46</v>
      </c>
      <c r="AW623" s="14">
        <v>35.46</v>
      </c>
      <c r="AX623" s="14">
        <v>2.0099999999999998</v>
      </c>
      <c r="AY623" s="14" t="b">
        <v>0</v>
      </c>
    </row>
    <row r="624" spans="1:51" hidden="1" x14ac:dyDescent="0.3">
      <c r="A624" t="str">
        <f>CONCATENATE(I624,E624,LEFT(G624,10))</f>
        <v>HFA802LCLK2026-01-12</v>
      </c>
      <c r="B624" s="14" t="s">
        <v>6070</v>
      </c>
      <c r="C624" s="14" t="s">
        <v>336</v>
      </c>
      <c r="D624" s="14" t="s">
        <v>337</v>
      </c>
      <c r="E624" s="14" t="s">
        <v>87</v>
      </c>
      <c r="F624" s="14" t="s">
        <v>43</v>
      </c>
      <c r="G624" s="14" t="s">
        <v>6071</v>
      </c>
      <c r="H624" s="14" t="s">
        <v>371</v>
      </c>
      <c r="I624" s="14" t="s">
        <v>135</v>
      </c>
      <c r="J624" s="14" t="s">
        <v>83</v>
      </c>
      <c r="K624" s="14" t="s">
        <v>340</v>
      </c>
      <c r="L624" s="14" t="s">
        <v>341</v>
      </c>
      <c r="M624" s="16" t="s">
        <v>6072</v>
      </c>
      <c r="N624" s="14"/>
      <c r="O624" s="14" t="s">
        <v>410</v>
      </c>
      <c r="P624" s="14">
        <v>130</v>
      </c>
      <c r="Q624" s="14">
        <v>3</v>
      </c>
      <c r="R624" s="14">
        <v>0</v>
      </c>
      <c r="S624" s="14" t="s">
        <v>6073</v>
      </c>
      <c r="T624" s="14" t="s">
        <v>6074</v>
      </c>
      <c r="U624" s="14">
        <v>0.75666666666666604</v>
      </c>
      <c r="V624" s="14">
        <v>0.93</v>
      </c>
      <c r="W624" s="14">
        <v>618</v>
      </c>
      <c r="X624" s="14">
        <v>80</v>
      </c>
      <c r="Y624" s="14">
        <v>538</v>
      </c>
      <c r="Z624" s="14">
        <v>1682</v>
      </c>
      <c r="AA624" s="14">
        <v>273</v>
      </c>
      <c r="AB624" s="14">
        <v>262</v>
      </c>
      <c r="AC624" s="14">
        <v>1104</v>
      </c>
      <c r="AD624" s="14">
        <v>44</v>
      </c>
      <c r="AE624" s="14">
        <v>2300</v>
      </c>
      <c r="AF624" s="14">
        <v>5000</v>
      </c>
      <c r="AG624" s="14">
        <v>1952</v>
      </c>
      <c r="AH624" s="14">
        <v>0</v>
      </c>
      <c r="AI624" s="14">
        <v>41</v>
      </c>
      <c r="AJ624" s="14">
        <v>180</v>
      </c>
      <c r="AK624" s="14" t="s">
        <v>6071</v>
      </c>
      <c r="AL624" s="14" t="s">
        <v>6075</v>
      </c>
      <c r="AM624" s="14">
        <v>162.11000000000001</v>
      </c>
      <c r="AN624" s="14">
        <v>142.63999999999999</v>
      </c>
      <c r="AO624" s="14">
        <v>54.99</v>
      </c>
      <c r="AP624" s="14">
        <v>19348</v>
      </c>
      <c r="AQ624" s="14">
        <v>19268</v>
      </c>
      <c r="AR624" s="14">
        <v>23000</v>
      </c>
      <c r="AS624" s="14">
        <v>17048</v>
      </c>
      <c r="AT624" s="14">
        <v>18730</v>
      </c>
      <c r="AU624" s="14">
        <v>-4</v>
      </c>
      <c r="AV624" s="14">
        <v>239.11</v>
      </c>
      <c r="AW624" s="14">
        <v>44.01</v>
      </c>
      <c r="AX624" s="14">
        <v>-7.0000000000000007E-2</v>
      </c>
      <c r="AY624" s="14" t="b">
        <v>0</v>
      </c>
    </row>
    <row r="625" spans="1:51" hidden="1" x14ac:dyDescent="0.3">
      <c r="A625" t="str">
        <f>CONCATENATE(I625,E625,LEFT(G625,10))</f>
        <v>HFA802LCLK2026-01-14</v>
      </c>
      <c r="B625" s="14" t="s">
        <v>5774</v>
      </c>
      <c r="C625" s="14" t="s">
        <v>336</v>
      </c>
      <c r="D625" s="14" t="s">
        <v>337</v>
      </c>
      <c r="E625" s="14" t="s">
        <v>87</v>
      </c>
      <c r="F625" s="14" t="s">
        <v>43</v>
      </c>
      <c r="G625" s="14" t="s">
        <v>5775</v>
      </c>
      <c r="H625" s="14" t="s">
        <v>371</v>
      </c>
      <c r="I625" s="14" t="s">
        <v>135</v>
      </c>
      <c r="J625" s="14" t="s">
        <v>83</v>
      </c>
      <c r="K625" s="14" t="s">
        <v>340</v>
      </c>
      <c r="L625" s="14" t="s">
        <v>341</v>
      </c>
      <c r="M625" s="16" t="s">
        <v>5776</v>
      </c>
      <c r="N625" s="14"/>
      <c r="O625" s="14" t="s">
        <v>410</v>
      </c>
      <c r="P625" s="14">
        <v>130</v>
      </c>
      <c r="Q625" s="14">
        <v>2</v>
      </c>
      <c r="R625" s="14">
        <v>4000</v>
      </c>
      <c r="S625" s="14" t="s">
        <v>5777</v>
      </c>
      <c r="T625" s="14" t="s">
        <v>5778</v>
      </c>
      <c r="U625" s="14">
        <v>0.62361111111111101</v>
      </c>
      <c r="V625" s="14">
        <v>0.88249999999999995</v>
      </c>
      <c r="W625" s="14">
        <v>561</v>
      </c>
      <c r="X625" s="14">
        <v>80</v>
      </c>
      <c r="Y625" s="14">
        <v>481</v>
      </c>
      <c r="Z625" s="14">
        <v>1539</v>
      </c>
      <c r="AA625" s="14">
        <v>255</v>
      </c>
      <c r="AB625" s="14">
        <v>264</v>
      </c>
      <c r="AC625" s="14">
        <v>976</v>
      </c>
      <c r="AD625" s="14">
        <v>44</v>
      </c>
      <c r="AE625" s="14">
        <v>2100</v>
      </c>
      <c r="AF625" s="14">
        <v>5000</v>
      </c>
      <c r="AG625" s="14">
        <v>1772</v>
      </c>
      <c r="AH625" s="14">
        <v>0</v>
      </c>
      <c r="AI625" s="14">
        <v>36</v>
      </c>
      <c r="AJ625" s="14">
        <v>163</v>
      </c>
      <c r="AK625" s="14" t="s">
        <v>5775</v>
      </c>
      <c r="AL625" s="14" t="s">
        <v>5779</v>
      </c>
      <c r="AM625" s="14">
        <v>162.11000000000001</v>
      </c>
      <c r="AN625" s="14">
        <v>142.63999999999999</v>
      </c>
      <c r="AO625" s="14">
        <v>54.99</v>
      </c>
      <c r="AP625" s="14">
        <v>19600</v>
      </c>
      <c r="AQ625" s="14">
        <v>19520</v>
      </c>
      <c r="AR625" s="14">
        <v>23000</v>
      </c>
      <c r="AS625" s="14">
        <v>17500</v>
      </c>
      <c r="AT625" s="14">
        <v>19039</v>
      </c>
      <c r="AU625" s="14">
        <v>31</v>
      </c>
      <c r="AV625" s="14">
        <v>314.14</v>
      </c>
      <c r="AW625" s="14">
        <v>42.43</v>
      </c>
      <c r="AX625" s="14">
        <v>-0.67</v>
      </c>
      <c r="AY625" s="14" t="b">
        <v>0</v>
      </c>
    </row>
    <row r="626" spans="1:51" hidden="1" x14ac:dyDescent="0.3">
      <c r="A626" t="str">
        <f>CONCATENATE(I626,E626,LEFT(G626,10))</f>
        <v>HFA802LCLK2026-01-15</v>
      </c>
      <c r="B626" s="14" t="s">
        <v>6191</v>
      </c>
      <c r="C626" s="14" t="s">
        <v>336</v>
      </c>
      <c r="D626" s="14" t="s">
        <v>337</v>
      </c>
      <c r="E626" s="14" t="s">
        <v>87</v>
      </c>
      <c r="F626" s="14" t="s">
        <v>43</v>
      </c>
      <c r="G626" s="14" t="s">
        <v>6192</v>
      </c>
      <c r="H626" s="14" t="s">
        <v>371</v>
      </c>
      <c r="I626" s="14" t="s">
        <v>135</v>
      </c>
      <c r="J626" s="14" t="s">
        <v>83</v>
      </c>
      <c r="K626" s="14" t="s">
        <v>340</v>
      </c>
      <c r="L626" s="14" t="s">
        <v>341</v>
      </c>
      <c r="M626" s="16" t="s">
        <v>731</v>
      </c>
      <c r="N626" s="14"/>
      <c r="O626" s="14" t="s">
        <v>627</v>
      </c>
      <c r="P626" s="14">
        <v>130</v>
      </c>
      <c r="Q626" s="14">
        <v>2</v>
      </c>
      <c r="R626" s="14">
        <v>2600</v>
      </c>
      <c r="S626" s="14" t="s">
        <v>6193</v>
      </c>
      <c r="T626" s="14" t="s">
        <v>6194</v>
      </c>
      <c r="U626" s="14">
        <v>0.65222222222222204</v>
      </c>
      <c r="V626" s="14">
        <v>0.91166666666666596</v>
      </c>
      <c r="W626" s="14">
        <v>563</v>
      </c>
      <c r="X626" s="14">
        <v>80</v>
      </c>
      <c r="Y626" s="14">
        <v>483</v>
      </c>
      <c r="Z626" s="14">
        <v>1437</v>
      </c>
      <c r="AA626" s="14">
        <v>250</v>
      </c>
      <c r="AB626" s="14">
        <v>252</v>
      </c>
      <c r="AC626" s="14">
        <v>893</v>
      </c>
      <c r="AD626" s="14">
        <v>42</v>
      </c>
      <c r="AE626" s="14">
        <v>2000</v>
      </c>
      <c r="AF626" s="14">
        <v>5000</v>
      </c>
      <c r="AG626" s="14">
        <v>1780</v>
      </c>
      <c r="AH626" s="14">
        <v>0</v>
      </c>
      <c r="AI626" s="14">
        <v>37</v>
      </c>
      <c r="AJ626" s="14">
        <v>158</v>
      </c>
      <c r="AK626" s="14" t="s">
        <v>6192</v>
      </c>
      <c r="AL626" s="14" t="s">
        <v>6195</v>
      </c>
      <c r="AM626" s="14">
        <v>162.11000000000001</v>
      </c>
      <c r="AN626" s="14">
        <v>142.63999999999999</v>
      </c>
      <c r="AO626" s="14">
        <v>54.99</v>
      </c>
      <c r="AP626" s="14">
        <v>18100</v>
      </c>
      <c r="AQ626" s="14">
        <v>18020</v>
      </c>
      <c r="AR626" s="14">
        <v>23000</v>
      </c>
      <c r="AS626" s="14">
        <v>16100</v>
      </c>
      <c r="AT626" s="14">
        <v>17537</v>
      </c>
      <c r="AU626" s="14">
        <v>21</v>
      </c>
      <c r="AV626" s="14">
        <v>322.02</v>
      </c>
      <c r="AW626" s="14">
        <v>28.93</v>
      </c>
      <c r="AX626" s="14">
        <v>1.43</v>
      </c>
      <c r="AY626" s="14" t="b">
        <v>0</v>
      </c>
    </row>
    <row r="627" spans="1:51" hidden="1" x14ac:dyDescent="0.3">
      <c r="A627" t="str">
        <f>CONCATENATE(I627,E627,LEFT(G627,10))</f>
        <v>HFA802LCLK2026-01-16</v>
      </c>
      <c r="B627" s="14" t="s">
        <v>5051</v>
      </c>
      <c r="C627" s="14" t="s">
        <v>336</v>
      </c>
      <c r="D627" s="14" t="s">
        <v>337</v>
      </c>
      <c r="E627" s="14" t="s">
        <v>87</v>
      </c>
      <c r="F627" s="14" t="s">
        <v>43</v>
      </c>
      <c r="G627" s="14" t="s">
        <v>5052</v>
      </c>
      <c r="H627" s="14" t="s">
        <v>371</v>
      </c>
      <c r="I627" s="14" t="s">
        <v>135</v>
      </c>
      <c r="J627" s="14" t="s">
        <v>83</v>
      </c>
      <c r="K627" s="14" t="s">
        <v>340</v>
      </c>
      <c r="L627" s="14" t="s">
        <v>341</v>
      </c>
      <c r="M627" s="16" t="s">
        <v>5053</v>
      </c>
      <c r="N627" s="14"/>
      <c r="O627" s="14" t="s">
        <v>549</v>
      </c>
      <c r="P627" s="14">
        <v>130</v>
      </c>
      <c r="Q627" s="14">
        <v>2</v>
      </c>
      <c r="R627" s="14">
        <v>3000</v>
      </c>
      <c r="S627" s="14" t="s">
        <v>5054</v>
      </c>
      <c r="T627" s="14" t="s">
        <v>5055</v>
      </c>
      <c r="U627" s="14">
        <v>0.62027777777777704</v>
      </c>
      <c r="V627" s="14">
        <v>0.81916666666666604</v>
      </c>
      <c r="W627" s="14">
        <v>580</v>
      </c>
      <c r="X627" s="14">
        <v>80</v>
      </c>
      <c r="Y627" s="14">
        <v>500</v>
      </c>
      <c r="Z627" s="14">
        <v>1520</v>
      </c>
      <c r="AA627" s="14">
        <v>254</v>
      </c>
      <c r="AB627" s="14">
        <v>256</v>
      </c>
      <c r="AC627" s="14">
        <v>967</v>
      </c>
      <c r="AD627" s="14">
        <v>43</v>
      </c>
      <c r="AE627" s="14">
        <v>2100</v>
      </c>
      <c r="AF627" s="14">
        <v>5000</v>
      </c>
      <c r="AG627" s="14">
        <v>1833</v>
      </c>
      <c r="AH627" s="14">
        <v>0</v>
      </c>
      <c r="AI627" s="14">
        <v>39</v>
      </c>
      <c r="AJ627" s="14">
        <v>166</v>
      </c>
      <c r="AK627" s="14" t="s">
        <v>5052</v>
      </c>
      <c r="AL627" s="14" t="s">
        <v>5056</v>
      </c>
      <c r="AM627" s="14">
        <v>162.11000000000001</v>
      </c>
      <c r="AN627" s="14">
        <v>142.63999999999999</v>
      </c>
      <c r="AO627" s="14">
        <v>54.99</v>
      </c>
      <c r="AP627" s="14">
        <v>18600</v>
      </c>
      <c r="AQ627" s="14">
        <v>18520</v>
      </c>
      <c r="AR627" s="14">
        <v>23000</v>
      </c>
      <c r="AS627" s="14">
        <v>16500</v>
      </c>
      <c r="AT627" s="14">
        <v>18020</v>
      </c>
      <c r="AU627" s="14">
        <v>12</v>
      </c>
      <c r="AV627" s="14">
        <v>294.33</v>
      </c>
      <c r="AW627" s="14">
        <v>22.02</v>
      </c>
      <c r="AX627" s="14">
        <v>2.63</v>
      </c>
      <c r="AY627" s="14" t="b">
        <v>0</v>
      </c>
    </row>
    <row r="628" spans="1:51" hidden="1" x14ac:dyDescent="0.3">
      <c r="A628" t="str">
        <f>CONCATENATE(I628,E628,LEFT(G628,10))</f>
        <v>HFA802LCLK2026-01-18</v>
      </c>
      <c r="B628" s="14" t="s">
        <v>5593</v>
      </c>
      <c r="C628" s="14" t="s">
        <v>336</v>
      </c>
      <c r="D628" s="14" t="s">
        <v>337</v>
      </c>
      <c r="E628" s="14" t="s">
        <v>87</v>
      </c>
      <c r="F628" s="14" t="s">
        <v>43</v>
      </c>
      <c r="G628" s="14" t="s">
        <v>5594</v>
      </c>
      <c r="H628" s="14" t="s">
        <v>339</v>
      </c>
      <c r="I628" s="14" t="s">
        <v>135</v>
      </c>
      <c r="J628" s="14" t="s">
        <v>83</v>
      </c>
      <c r="K628" s="14" t="s">
        <v>340</v>
      </c>
      <c r="L628" s="14" t="s">
        <v>341</v>
      </c>
      <c r="M628" s="16" t="s">
        <v>5595</v>
      </c>
      <c r="N628" s="14"/>
      <c r="O628" s="14" t="s">
        <v>5596</v>
      </c>
      <c r="P628" s="14">
        <v>130</v>
      </c>
      <c r="Q628" s="14">
        <v>2</v>
      </c>
      <c r="R628" s="14">
        <v>3900</v>
      </c>
      <c r="S628" s="14" t="s">
        <v>5597</v>
      </c>
      <c r="T628" s="14" t="s">
        <v>5598</v>
      </c>
      <c r="U628" s="14">
        <v>0.87555555555555498</v>
      </c>
      <c r="V628" s="14">
        <v>1.0591666666666599</v>
      </c>
      <c r="W628" s="14">
        <v>580</v>
      </c>
      <c r="X628" s="14">
        <v>80</v>
      </c>
      <c r="Y628" s="14">
        <v>500</v>
      </c>
      <c r="Z628" s="14">
        <v>1520</v>
      </c>
      <c r="AA628" s="14">
        <v>645</v>
      </c>
      <c r="AB628" s="14">
        <v>262</v>
      </c>
      <c r="AC628" s="14">
        <v>569</v>
      </c>
      <c r="AD628" s="14">
        <v>44</v>
      </c>
      <c r="AE628" s="14">
        <v>2100</v>
      </c>
      <c r="AF628" s="14">
        <v>5000</v>
      </c>
      <c r="AG628" s="14">
        <v>1833</v>
      </c>
      <c r="AH628" s="14">
        <v>0</v>
      </c>
      <c r="AI628" s="14">
        <v>38</v>
      </c>
      <c r="AJ628" s="14">
        <v>165</v>
      </c>
      <c r="AK628" s="14" t="s">
        <v>5594</v>
      </c>
      <c r="AL628" s="14" t="s">
        <v>5599</v>
      </c>
      <c r="AM628" s="14">
        <v>162.11000000000001</v>
      </c>
      <c r="AN628" s="14">
        <v>142.63999999999999</v>
      </c>
      <c r="AO628" s="14">
        <v>54.99</v>
      </c>
      <c r="AP628" s="14">
        <v>19325</v>
      </c>
      <c r="AQ628" s="14">
        <v>19245</v>
      </c>
      <c r="AR628" s="14">
        <v>23000</v>
      </c>
      <c r="AS628" s="14">
        <v>17225</v>
      </c>
      <c r="AT628" s="14">
        <v>18745</v>
      </c>
      <c r="AU628" s="14">
        <v>13</v>
      </c>
      <c r="AV628" s="14">
        <v>277.52999999999997</v>
      </c>
      <c r="AW628" s="14">
        <v>30.22</v>
      </c>
      <c r="AX628" s="14">
        <v>-1.9</v>
      </c>
      <c r="AY628" s="14" t="b">
        <v>0</v>
      </c>
    </row>
    <row r="629" spans="1:51" hidden="1" x14ac:dyDescent="0.3">
      <c r="A629" t="str">
        <f>CONCATENATE(I629,E629,LEFT(G629,10))</f>
        <v>HFA802LCLK2026-01-19</v>
      </c>
      <c r="B629" s="14" t="s">
        <v>5973</v>
      </c>
      <c r="C629" s="14" t="s">
        <v>336</v>
      </c>
      <c r="D629" s="14" t="s">
        <v>337</v>
      </c>
      <c r="E629" s="14" t="s">
        <v>87</v>
      </c>
      <c r="F629" s="14" t="s">
        <v>43</v>
      </c>
      <c r="G629" s="14" t="s">
        <v>5974</v>
      </c>
      <c r="H629" s="14" t="s">
        <v>371</v>
      </c>
      <c r="I629" s="14" t="s">
        <v>135</v>
      </c>
      <c r="J629" s="14" t="s">
        <v>83</v>
      </c>
      <c r="K629" s="14" t="s">
        <v>340</v>
      </c>
      <c r="L629" s="14" t="s">
        <v>341</v>
      </c>
      <c r="M629" s="16" t="s">
        <v>5975</v>
      </c>
      <c r="N629" s="14"/>
      <c r="O629" s="14" t="s">
        <v>627</v>
      </c>
      <c r="P629" s="14">
        <v>130</v>
      </c>
      <c r="Q629" s="14">
        <v>2</v>
      </c>
      <c r="R629" s="14">
        <v>5100</v>
      </c>
      <c r="S629" s="14" t="s">
        <v>5976</v>
      </c>
      <c r="T629" s="14" t="s">
        <v>5977</v>
      </c>
      <c r="U629" s="14">
        <v>0.65194444444444399</v>
      </c>
      <c r="V629" s="14">
        <v>0.80972222222222201</v>
      </c>
      <c r="W629" s="14">
        <v>582</v>
      </c>
      <c r="X629" s="14">
        <v>80</v>
      </c>
      <c r="Y629" s="14">
        <v>502</v>
      </c>
      <c r="Z629" s="14">
        <v>1518</v>
      </c>
      <c r="AA629" s="14">
        <v>254</v>
      </c>
      <c r="AB629" s="14">
        <v>274</v>
      </c>
      <c r="AC629" s="14">
        <v>944</v>
      </c>
      <c r="AD629" s="14">
        <v>46</v>
      </c>
      <c r="AE629" s="14">
        <v>2100</v>
      </c>
      <c r="AF629" s="14">
        <v>5000</v>
      </c>
      <c r="AG629" s="14">
        <v>1839</v>
      </c>
      <c r="AH629" s="14">
        <v>0</v>
      </c>
      <c r="AI629" s="14">
        <v>37</v>
      </c>
      <c r="AJ629" s="14">
        <v>161</v>
      </c>
      <c r="AK629" s="14" t="s">
        <v>5974</v>
      </c>
      <c r="AL629" s="14" t="s">
        <v>5978</v>
      </c>
      <c r="AM629" s="14">
        <v>162.11000000000001</v>
      </c>
      <c r="AN629" s="14">
        <v>142.63999999999999</v>
      </c>
      <c r="AO629" s="14">
        <v>54.99</v>
      </c>
      <c r="AP629" s="14">
        <v>20700</v>
      </c>
      <c r="AQ629" s="14">
        <v>20620</v>
      </c>
      <c r="AR629" s="14">
        <v>23000</v>
      </c>
      <c r="AS629" s="14">
        <v>18600</v>
      </c>
      <c r="AT629" s="14">
        <v>20118</v>
      </c>
      <c r="AU629" s="14">
        <v>22</v>
      </c>
      <c r="AV629" s="14">
        <v>288.45999999999998</v>
      </c>
      <c r="AW629" s="14">
        <v>46.13</v>
      </c>
      <c r="AX629" s="14">
        <v>-2.2999999999999998</v>
      </c>
      <c r="AY629" s="14" t="b">
        <v>0</v>
      </c>
    </row>
    <row r="630" spans="1:51" hidden="1" x14ac:dyDescent="0.3">
      <c r="A630" t="str">
        <f>CONCATENATE(I630,E630,LEFT(G630,10))</f>
        <v>HFA802LCLK2026-01-23</v>
      </c>
      <c r="B630" s="14" t="s">
        <v>5117</v>
      </c>
      <c r="C630" s="14" t="s">
        <v>336</v>
      </c>
      <c r="D630" s="14" t="s">
        <v>337</v>
      </c>
      <c r="E630" s="14" t="s">
        <v>87</v>
      </c>
      <c r="F630" s="14" t="s">
        <v>43</v>
      </c>
      <c r="G630" s="14" t="s">
        <v>5118</v>
      </c>
      <c r="H630" s="14" t="s">
        <v>339</v>
      </c>
      <c r="I630" s="14" t="s">
        <v>135</v>
      </c>
      <c r="J630" s="14" t="s">
        <v>83</v>
      </c>
      <c r="K630" s="14" t="s">
        <v>340</v>
      </c>
      <c r="L630" s="14" t="s">
        <v>341</v>
      </c>
      <c r="M630" s="16" t="s">
        <v>1688</v>
      </c>
      <c r="N630" s="14"/>
      <c r="O630" s="14" t="s">
        <v>5089</v>
      </c>
      <c r="P630" s="14">
        <v>130</v>
      </c>
      <c r="Q630" s="14">
        <v>2</v>
      </c>
      <c r="R630" s="14">
        <v>3100</v>
      </c>
      <c r="S630" s="14" t="s">
        <v>5119</v>
      </c>
      <c r="T630" s="14" t="s">
        <v>5120</v>
      </c>
      <c r="U630" s="14">
        <v>0.64805555555555505</v>
      </c>
      <c r="V630" s="14">
        <v>0.86166666666666603</v>
      </c>
      <c r="W630" s="14">
        <v>580</v>
      </c>
      <c r="X630" s="14">
        <v>80</v>
      </c>
      <c r="Y630" s="14">
        <v>500</v>
      </c>
      <c r="Z630" s="14">
        <v>1420</v>
      </c>
      <c r="AA630" s="14">
        <v>252</v>
      </c>
      <c r="AB630" s="14">
        <v>255</v>
      </c>
      <c r="AC630" s="14">
        <v>871</v>
      </c>
      <c r="AD630" s="14">
        <v>42</v>
      </c>
      <c r="AE630" s="14">
        <v>2000</v>
      </c>
      <c r="AF630" s="14">
        <v>5000</v>
      </c>
      <c r="AG630" s="14">
        <v>1834</v>
      </c>
      <c r="AH630" s="14">
        <v>0</v>
      </c>
      <c r="AI630" s="14">
        <v>40</v>
      </c>
      <c r="AJ630" s="14">
        <v>162</v>
      </c>
      <c r="AK630" s="14" t="s">
        <v>5118</v>
      </c>
      <c r="AL630" s="14" t="s">
        <v>5121</v>
      </c>
      <c r="AM630" s="14">
        <v>162.11000000000001</v>
      </c>
      <c r="AN630" s="14">
        <v>142.63999999999999</v>
      </c>
      <c r="AO630" s="14">
        <v>54.99</v>
      </c>
      <c r="AP630" s="14">
        <v>18425</v>
      </c>
      <c r="AQ630" s="14">
        <v>18345</v>
      </c>
      <c r="AR630" s="14">
        <v>23000</v>
      </c>
      <c r="AS630" s="14">
        <v>16425</v>
      </c>
      <c r="AT630" s="14">
        <v>17845</v>
      </c>
      <c r="AU630" s="14">
        <v>6</v>
      </c>
      <c r="AV630" s="14">
        <v>257.13</v>
      </c>
      <c r="AW630" s="14">
        <v>31.97</v>
      </c>
      <c r="AX630" s="14">
        <v>1.96</v>
      </c>
      <c r="AY630" s="14" t="b">
        <v>0</v>
      </c>
    </row>
    <row r="631" spans="1:51" hidden="1" x14ac:dyDescent="0.3">
      <c r="A631" t="str">
        <f>CONCATENATE(I631,E631,LEFT(G631,10))</f>
        <v>HFA802LCLK2026-01-26</v>
      </c>
      <c r="B631" s="14" t="s">
        <v>2993</v>
      </c>
      <c r="C631" s="14" t="s">
        <v>336</v>
      </c>
      <c r="D631" s="14" t="s">
        <v>337</v>
      </c>
      <c r="E631" s="14" t="s">
        <v>87</v>
      </c>
      <c r="F631" s="14" t="s">
        <v>43</v>
      </c>
      <c r="G631" s="14" t="s">
        <v>2994</v>
      </c>
      <c r="H631" s="14" t="s">
        <v>371</v>
      </c>
      <c r="I631" s="14" t="s">
        <v>135</v>
      </c>
      <c r="J631" s="14" t="s">
        <v>83</v>
      </c>
      <c r="K631" s="14" t="s">
        <v>340</v>
      </c>
      <c r="L631" s="14" t="s">
        <v>341</v>
      </c>
      <c r="M631" s="16" t="s">
        <v>543</v>
      </c>
      <c r="N631" s="14"/>
      <c r="O631" s="14" t="s">
        <v>627</v>
      </c>
      <c r="P631" s="14">
        <v>130</v>
      </c>
      <c r="Q631" s="14">
        <v>2</v>
      </c>
      <c r="R631" s="14">
        <v>5800</v>
      </c>
      <c r="S631" s="14" t="s">
        <v>2995</v>
      </c>
      <c r="T631" s="14" t="s">
        <v>2996</v>
      </c>
      <c r="U631" s="14">
        <v>0.73305555555555502</v>
      </c>
      <c r="V631" s="14">
        <v>0.91805555555555496</v>
      </c>
      <c r="W631" s="14">
        <v>624</v>
      </c>
      <c r="X631" s="14">
        <v>80</v>
      </c>
      <c r="Y631" s="14">
        <v>544</v>
      </c>
      <c r="Z631" s="14">
        <v>1776</v>
      </c>
      <c r="AA631" s="14">
        <v>272</v>
      </c>
      <c r="AB631" s="14">
        <v>283</v>
      </c>
      <c r="AC631" s="14">
        <v>1174</v>
      </c>
      <c r="AD631" s="14">
        <v>47</v>
      </c>
      <c r="AE631" s="14">
        <v>2400</v>
      </c>
      <c r="AF631" s="14">
        <v>5000</v>
      </c>
      <c r="AG631" s="14">
        <v>1972</v>
      </c>
      <c r="AH631" s="14">
        <v>0</v>
      </c>
      <c r="AI631" s="14">
        <v>43</v>
      </c>
      <c r="AJ631" s="14">
        <v>191</v>
      </c>
      <c r="AK631" s="14" t="s">
        <v>2994</v>
      </c>
      <c r="AL631" s="14" t="s">
        <v>2997</v>
      </c>
      <c r="AM631" s="14">
        <v>162.11000000000001</v>
      </c>
      <c r="AN631" s="14">
        <v>142.63999999999999</v>
      </c>
      <c r="AO631" s="14">
        <v>54.99</v>
      </c>
      <c r="AP631" s="14">
        <v>21700</v>
      </c>
      <c r="AQ631" s="14">
        <v>21620</v>
      </c>
      <c r="AR631" s="14">
        <v>23000</v>
      </c>
      <c r="AS631" s="14">
        <v>19300</v>
      </c>
      <c r="AT631" s="14">
        <v>21076</v>
      </c>
      <c r="AU631" s="14">
        <v>-6</v>
      </c>
      <c r="AV631" s="14">
        <v>227.88</v>
      </c>
      <c r="AW631" s="14">
        <v>22.36</v>
      </c>
      <c r="AX631" s="14">
        <v>5.95</v>
      </c>
      <c r="AY631" s="14" t="b">
        <v>0</v>
      </c>
    </row>
    <row r="632" spans="1:51" hidden="1" x14ac:dyDescent="0.3">
      <c r="A632" t="str">
        <f>CONCATENATE(I632,E632,LEFT(G632,10))</f>
        <v>HFA802LCLK2026-01-28</v>
      </c>
      <c r="B632" s="14" t="s">
        <v>1350</v>
      </c>
      <c r="C632" s="14" t="s">
        <v>336</v>
      </c>
      <c r="D632" s="14" t="s">
        <v>337</v>
      </c>
      <c r="E632" s="14" t="s">
        <v>87</v>
      </c>
      <c r="F632" s="14" t="s">
        <v>43</v>
      </c>
      <c r="G632" s="14" t="s">
        <v>1351</v>
      </c>
      <c r="H632" s="14" t="s">
        <v>371</v>
      </c>
      <c r="I632" s="14" t="s">
        <v>135</v>
      </c>
      <c r="J632" s="14" t="s">
        <v>83</v>
      </c>
      <c r="K632" s="14" t="s">
        <v>340</v>
      </c>
      <c r="L632" s="14" t="s">
        <v>341</v>
      </c>
      <c r="M632" s="16" t="s">
        <v>1352</v>
      </c>
      <c r="N632" s="14"/>
      <c r="O632" s="14" t="s">
        <v>627</v>
      </c>
      <c r="P632" s="14">
        <v>130</v>
      </c>
      <c r="Q632" s="14">
        <v>2</v>
      </c>
      <c r="R632" s="14">
        <v>4100</v>
      </c>
      <c r="S632" s="14" t="s">
        <v>1353</v>
      </c>
      <c r="T632" s="14" t="s">
        <v>1354</v>
      </c>
      <c r="U632" s="14">
        <v>0.642777777777777</v>
      </c>
      <c r="V632" s="14">
        <v>0.87305555555555503</v>
      </c>
      <c r="W632" s="14">
        <v>598</v>
      </c>
      <c r="X632" s="14">
        <v>80</v>
      </c>
      <c r="Y632" s="14">
        <v>518</v>
      </c>
      <c r="Z632" s="14">
        <v>1802</v>
      </c>
      <c r="AA632" s="14">
        <v>272</v>
      </c>
      <c r="AB632" s="14">
        <v>268</v>
      </c>
      <c r="AC632" s="14">
        <v>1217</v>
      </c>
      <c r="AD632" s="14">
        <v>45</v>
      </c>
      <c r="AE632" s="14">
        <v>2400</v>
      </c>
      <c r="AF632" s="14">
        <v>5000</v>
      </c>
      <c r="AG632" s="14">
        <v>1891</v>
      </c>
      <c r="AH632" s="14">
        <v>0</v>
      </c>
      <c r="AI632" s="14">
        <v>39</v>
      </c>
      <c r="AJ632" s="14">
        <v>185</v>
      </c>
      <c r="AK632" s="14" t="s">
        <v>1351</v>
      </c>
      <c r="AL632" s="14" t="s">
        <v>1355</v>
      </c>
      <c r="AM632" s="14">
        <v>162.11000000000001</v>
      </c>
      <c r="AN632" s="14">
        <v>142.63999999999999</v>
      </c>
      <c r="AO632" s="14">
        <v>54.99</v>
      </c>
      <c r="AP632" s="14">
        <v>20000</v>
      </c>
      <c r="AQ632" s="14">
        <v>19920</v>
      </c>
      <c r="AR632" s="14">
        <v>23000</v>
      </c>
      <c r="AS632" s="14">
        <v>17600</v>
      </c>
      <c r="AT632" s="14">
        <v>19402</v>
      </c>
      <c r="AU632" s="14">
        <v>9</v>
      </c>
      <c r="AV632" s="14">
        <v>276.14</v>
      </c>
      <c r="AW632" s="14">
        <v>17.3</v>
      </c>
      <c r="AX632" s="14">
        <v>-1.43</v>
      </c>
      <c r="AY632" s="14" t="b">
        <v>0</v>
      </c>
    </row>
    <row r="633" spans="1:51" hidden="1" x14ac:dyDescent="0.3">
      <c r="A633" t="str">
        <f>CONCATENATE(I633,E633,LEFT(G633,10))</f>
        <v>HFA802LCLK2026-01-29</v>
      </c>
      <c r="B633" s="14" t="s">
        <v>6346</v>
      </c>
      <c r="C633" s="14" t="s">
        <v>336</v>
      </c>
      <c r="D633" s="14" t="s">
        <v>337</v>
      </c>
      <c r="E633" s="14" t="s">
        <v>87</v>
      </c>
      <c r="F633" s="14" t="s">
        <v>43</v>
      </c>
      <c r="G633" s="14" t="s">
        <v>6347</v>
      </c>
      <c r="H633" s="14" t="s">
        <v>371</v>
      </c>
      <c r="I633" s="14" t="s">
        <v>135</v>
      </c>
      <c r="J633" s="14" t="s">
        <v>83</v>
      </c>
      <c r="K633" s="14" t="s">
        <v>340</v>
      </c>
      <c r="L633" s="14" t="s">
        <v>341</v>
      </c>
      <c r="M633" s="16" t="s">
        <v>6348</v>
      </c>
      <c r="N633" s="14"/>
      <c r="O633" s="14" t="s">
        <v>1289</v>
      </c>
      <c r="P633" s="14">
        <v>130</v>
      </c>
      <c r="Q633" s="14">
        <v>2</v>
      </c>
      <c r="R633" s="14">
        <v>2600</v>
      </c>
      <c r="S633" s="14" t="s">
        <v>6349</v>
      </c>
      <c r="T633" s="14" t="s">
        <v>6350</v>
      </c>
      <c r="U633" s="14">
        <v>0.62</v>
      </c>
      <c r="V633" s="14">
        <v>0.82361111111111096</v>
      </c>
      <c r="W633" s="14">
        <v>568</v>
      </c>
      <c r="X633" s="14">
        <v>80</v>
      </c>
      <c r="Y633" s="14">
        <v>488</v>
      </c>
      <c r="Z633" s="14">
        <v>1432</v>
      </c>
      <c r="AA633" s="14">
        <v>255</v>
      </c>
      <c r="AB633" s="14">
        <v>252</v>
      </c>
      <c r="AC633" s="14">
        <v>882</v>
      </c>
      <c r="AD633" s="14">
        <v>42</v>
      </c>
      <c r="AE633" s="14">
        <v>2000</v>
      </c>
      <c r="AF633" s="14">
        <v>5000</v>
      </c>
      <c r="AG633" s="14">
        <v>1796</v>
      </c>
      <c r="AH633" s="14">
        <v>0</v>
      </c>
      <c r="AI633" s="14">
        <v>38</v>
      </c>
      <c r="AJ633" s="14">
        <v>159</v>
      </c>
      <c r="AK633" s="14" t="s">
        <v>6347</v>
      </c>
      <c r="AL633" s="14" t="s">
        <v>6351</v>
      </c>
      <c r="AM633" s="14">
        <v>162.11000000000001</v>
      </c>
      <c r="AN633" s="14">
        <v>142.63999999999999</v>
      </c>
      <c r="AO633" s="14">
        <v>54.99</v>
      </c>
      <c r="AP633" s="14">
        <v>18100</v>
      </c>
      <c r="AQ633" s="14">
        <v>18020</v>
      </c>
      <c r="AR633" s="14">
        <v>23000</v>
      </c>
      <c r="AS633" s="14">
        <v>16100</v>
      </c>
      <c r="AT633" s="14">
        <v>17532</v>
      </c>
      <c r="AU633" s="14">
        <v>17</v>
      </c>
      <c r="AV633" s="14">
        <v>291.97000000000003</v>
      </c>
      <c r="AW633" s="14">
        <v>31.58</v>
      </c>
      <c r="AX633" s="14">
        <v>2.2000000000000002</v>
      </c>
      <c r="AY633" s="14" t="b">
        <v>0</v>
      </c>
    </row>
    <row r="634" spans="1:51" hidden="1" x14ac:dyDescent="0.3">
      <c r="A634" t="str">
        <f>CONCATENATE(I634,E634,LEFT(G634,10))</f>
        <v>HFA802LCLK2026-01-30</v>
      </c>
      <c r="B634" s="14" t="s">
        <v>1179</v>
      </c>
      <c r="C634" s="14" t="s">
        <v>336</v>
      </c>
      <c r="D634" s="14" t="s">
        <v>337</v>
      </c>
      <c r="E634" s="14" t="s">
        <v>87</v>
      </c>
      <c r="F634" s="14" t="s">
        <v>43</v>
      </c>
      <c r="G634" s="14" t="s">
        <v>1180</v>
      </c>
      <c r="H634" s="14" t="s">
        <v>371</v>
      </c>
      <c r="I634" s="14" t="s">
        <v>135</v>
      </c>
      <c r="J634" s="14" t="s">
        <v>83</v>
      </c>
      <c r="K634" s="14" t="s">
        <v>340</v>
      </c>
      <c r="L634" s="14" t="s">
        <v>341</v>
      </c>
      <c r="M634" s="16" t="s">
        <v>1150</v>
      </c>
      <c r="N634" s="14"/>
      <c r="O634" s="14" t="s">
        <v>410</v>
      </c>
      <c r="P634" s="14">
        <v>150</v>
      </c>
      <c r="Q634" s="14">
        <v>2</v>
      </c>
      <c r="R634" s="14">
        <v>1800</v>
      </c>
      <c r="S634" s="14" t="s">
        <v>1181</v>
      </c>
      <c r="T634" s="14" t="s">
        <v>1182</v>
      </c>
      <c r="U634" s="14">
        <v>0.64583333333333304</v>
      </c>
      <c r="V634" s="14">
        <v>0.86777777777777698</v>
      </c>
      <c r="W634" s="14">
        <v>574</v>
      </c>
      <c r="X634" s="14">
        <v>80</v>
      </c>
      <c r="Y634" s="14">
        <v>494</v>
      </c>
      <c r="Z634" s="14">
        <v>1526</v>
      </c>
      <c r="AA634" s="14">
        <v>266</v>
      </c>
      <c r="AB634" s="14">
        <v>247</v>
      </c>
      <c r="AC634" s="14">
        <v>971</v>
      </c>
      <c r="AD634" s="14">
        <v>41</v>
      </c>
      <c r="AE634" s="14">
        <v>2100</v>
      </c>
      <c r="AF634" s="14">
        <v>5000</v>
      </c>
      <c r="AG634" s="14">
        <v>1815</v>
      </c>
      <c r="AH634" s="14">
        <v>0</v>
      </c>
      <c r="AI634" s="14">
        <v>39</v>
      </c>
      <c r="AJ634" s="14">
        <v>172</v>
      </c>
      <c r="AK634" s="14" t="s">
        <v>1180</v>
      </c>
      <c r="AL634" s="14" t="s">
        <v>1183</v>
      </c>
      <c r="AM634" s="14">
        <v>162.11000000000001</v>
      </c>
      <c r="AN634" s="14">
        <v>142.63999999999999</v>
      </c>
      <c r="AO634" s="14">
        <v>54.99</v>
      </c>
      <c r="AP634" s="14">
        <v>17400</v>
      </c>
      <c r="AQ634" s="14">
        <v>17320</v>
      </c>
      <c r="AR634" s="14">
        <v>23000</v>
      </c>
      <c r="AS634" s="14">
        <v>15300</v>
      </c>
      <c r="AT634" s="14">
        <v>16826</v>
      </c>
      <c r="AU634" s="14">
        <v>7</v>
      </c>
      <c r="AV634" s="14">
        <v>257.57</v>
      </c>
      <c r="AW634" s="14">
        <v>48.06</v>
      </c>
      <c r="AX634" s="14">
        <v>2.95</v>
      </c>
      <c r="AY634" s="14" t="b">
        <v>0</v>
      </c>
    </row>
    <row r="635" spans="1:51" hidden="1" x14ac:dyDescent="0.3">
      <c r="A635" t="str">
        <f>CONCATENATE(I635,E635,LEFT(G635,10))</f>
        <v>HFA802LCLK2026-02-04</v>
      </c>
      <c r="B635" s="14" t="s">
        <v>5874</v>
      </c>
      <c r="C635" s="14" t="s">
        <v>336</v>
      </c>
      <c r="D635" s="14" t="s">
        <v>337</v>
      </c>
      <c r="E635" s="14" t="s">
        <v>87</v>
      </c>
      <c r="F635" s="14" t="s">
        <v>43</v>
      </c>
      <c r="G635" s="14" t="s">
        <v>5875</v>
      </c>
      <c r="H635" s="14" t="s">
        <v>371</v>
      </c>
      <c r="I635" s="14" t="s">
        <v>135</v>
      </c>
      <c r="J635" s="14" t="s">
        <v>83</v>
      </c>
      <c r="K635" s="14" t="s">
        <v>340</v>
      </c>
      <c r="L635" s="14" t="s">
        <v>341</v>
      </c>
      <c r="M635" s="16" t="s">
        <v>731</v>
      </c>
      <c r="N635" s="14"/>
      <c r="O635" s="14" t="s">
        <v>627</v>
      </c>
      <c r="P635" s="14">
        <v>130</v>
      </c>
      <c r="Q635" s="14">
        <v>2</v>
      </c>
      <c r="R635" s="14">
        <v>4000</v>
      </c>
      <c r="S635" s="14" t="s">
        <v>5876</v>
      </c>
      <c r="T635" s="14" t="s">
        <v>5877</v>
      </c>
      <c r="U635" s="14">
        <v>0.62888888888888805</v>
      </c>
      <c r="V635" s="14">
        <v>0.89611111111111097</v>
      </c>
      <c r="W635" s="14">
        <v>577</v>
      </c>
      <c r="X635" s="14">
        <v>80</v>
      </c>
      <c r="Y635" s="14">
        <v>497</v>
      </c>
      <c r="Z635" s="14">
        <v>1723</v>
      </c>
      <c r="AA635" s="14">
        <v>257</v>
      </c>
      <c r="AB635" s="14">
        <v>266</v>
      </c>
      <c r="AC635" s="14">
        <v>1156</v>
      </c>
      <c r="AD635" s="14">
        <v>44</v>
      </c>
      <c r="AE635" s="14">
        <v>2300</v>
      </c>
      <c r="AF635" s="14">
        <v>5000</v>
      </c>
      <c r="AG635" s="14">
        <v>1824</v>
      </c>
      <c r="AH635" s="14">
        <v>0</v>
      </c>
      <c r="AI635" s="14">
        <v>39</v>
      </c>
      <c r="AJ635" s="14">
        <v>184</v>
      </c>
      <c r="AK635" s="14" t="s">
        <v>5875</v>
      </c>
      <c r="AL635" s="14" t="s">
        <v>5878</v>
      </c>
      <c r="AM635" s="14">
        <v>162.11000000000001</v>
      </c>
      <c r="AN635" s="14">
        <v>142.63999999999999</v>
      </c>
      <c r="AO635" s="14">
        <v>54.99</v>
      </c>
      <c r="AP635" s="14">
        <v>19800</v>
      </c>
      <c r="AQ635" s="14">
        <v>19720</v>
      </c>
      <c r="AR635" s="14">
        <v>23000</v>
      </c>
      <c r="AS635" s="14">
        <v>17500</v>
      </c>
      <c r="AT635" s="14">
        <v>19223</v>
      </c>
      <c r="AU635" s="14">
        <v>14</v>
      </c>
      <c r="AV635" s="14">
        <v>308.47000000000003</v>
      </c>
      <c r="AW635" s="14">
        <v>20.87</v>
      </c>
      <c r="AX635" s="14">
        <v>5.24</v>
      </c>
      <c r="AY635" s="14" t="b">
        <v>0</v>
      </c>
    </row>
    <row r="636" spans="1:51" hidden="1" x14ac:dyDescent="0.3">
      <c r="A636" t="str">
        <f>CONCATENATE(I636,E636,LEFT(G636,10))</f>
        <v>HFA802LCLK2026-02-05</v>
      </c>
      <c r="B636" s="14" t="s">
        <v>4697</v>
      </c>
      <c r="C636" s="14" t="s">
        <v>336</v>
      </c>
      <c r="D636" s="14" t="s">
        <v>337</v>
      </c>
      <c r="E636" s="14" t="s">
        <v>87</v>
      </c>
      <c r="F636" s="14" t="s">
        <v>43</v>
      </c>
      <c r="G636" s="14" t="s">
        <v>4698</v>
      </c>
      <c r="H636" s="14" t="s">
        <v>371</v>
      </c>
      <c r="I636" s="14" t="s">
        <v>135</v>
      </c>
      <c r="J636" s="14" t="s">
        <v>83</v>
      </c>
      <c r="K636" s="14" t="s">
        <v>340</v>
      </c>
      <c r="L636" s="14" t="s">
        <v>341</v>
      </c>
      <c r="M636" s="16" t="s">
        <v>4699</v>
      </c>
      <c r="N636" s="14"/>
      <c r="O636" s="14" t="s">
        <v>4656</v>
      </c>
      <c r="P636" s="14">
        <v>130</v>
      </c>
      <c r="Q636" s="14">
        <v>2</v>
      </c>
      <c r="R636" s="14">
        <v>2300</v>
      </c>
      <c r="S636" s="14" t="s">
        <v>4700</v>
      </c>
      <c r="T636" s="14" t="s">
        <v>4701</v>
      </c>
      <c r="U636" s="14">
        <v>0.695277777777777</v>
      </c>
      <c r="V636" s="14">
        <v>0.88611111111111096</v>
      </c>
      <c r="W636" s="14">
        <v>597</v>
      </c>
      <c r="X636" s="14">
        <v>80</v>
      </c>
      <c r="Y636" s="14">
        <v>517</v>
      </c>
      <c r="Z636" s="14">
        <v>1403</v>
      </c>
      <c r="AA636" s="14">
        <v>254</v>
      </c>
      <c r="AB636" s="14">
        <v>250</v>
      </c>
      <c r="AC636" s="14">
        <v>858</v>
      </c>
      <c r="AD636" s="14">
        <v>42</v>
      </c>
      <c r="AE636" s="14">
        <v>2000</v>
      </c>
      <c r="AF636" s="14">
        <v>5000</v>
      </c>
      <c r="AG636" s="14">
        <v>1886</v>
      </c>
      <c r="AH636" s="14">
        <v>0</v>
      </c>
      <c r="AI636" s="14">
        <v>40</v>
      </c>
      <c r="AJ636" s="14">
        <v>161</v>
      </c>
      <c r="AK636" s="14" t="s">
        <v>4698</v>
      </c>
      <c r="AL636" s="14" t="s">
        <v>4702</v>
      </c>
      <c r="AM636" s="14">
        <v>162.11000000000001</v>
      </c>
      <c r="AN636" s="14">
        <v>142.63999999999999</v>
      </c>
      <c r="AO636" s="14">
        <v>54.99</v>
      </c>
      <c r="AP636" s="14">
        <v>17800</v>
      </c>
      <c r="AQ636" s="14">
        <v>17720</v>
      </c>
      <c r="AR636" s="14">
        <v>23000</v>
      </c>
      <c r="AS636" s="14">
        <v>15800</v>
      </c>
      <c r="AT636" s="14">
        <v>17203</v>
      </c>
      <c r="AU636" s="14">
        <v>-1</v>
      </c>
      <c r="AV636" s="14">
        <v>243.76</v>
      </c>
      <c r="AW636" s="14">
        <v>17.02</v>
      </c>
      <c r="AX636" s="14">
        <v>4.2300000000000004</v>
      </c>
      <c r="AY636" s="14" t="b">
        <v>0</v>
      </c>
    </row>
    <row r="637" spans="1:51" hidden="1" x14ac:dyDescent="0.3">
      <c r="A637" t="str">
        <f>CONCATENATE(I637,E637,LEFT(G637,10))</f>
        <v>HFA802LCLK2026-02-09</v>
      </c>
      <c r="B637" s="14" t="s">
        <v>1267</v>
      </c>
      <c r="C637" s="14" t="s">
        <v>336</v>
      </c>
      <c r="D637" s="14" t="s">
        <v>337</v>
      </c>
      <c r="E637" s="14" t="s">
        <v>87</v>
      </c>
      <c r="F637" s="14" t="s">
        <v>43</v>
      </c>
      <c r="G637" s="14" t="s">
        <v>1268</v>
      </c>
      <c r="H637" s="14" t="s">
        <v>371</v>
      </c>
      <c r="I637" s="14" t="s">
        <v>135</v>
      </c>
      <c r="J637" s="14" t="s">
        <v>83</v>
      </c>
      <c r="K637" s="14" t="s">
        <v>340</v>
      </c>
      <c r="L637" s="14" t="s">
        <v>341</v>
      </c>
      <c r="M637" s="16" t="s">
        <v>1269</v>
      </c>
      <c r="N637" s="14"/>
      <c r="O637" s="14" t="s">
        <v>410</v>
      </c>
      <c r="P637" s="14">
        <v>130</v>
      </c>
      <c r="Q637" s="14">
        <v>2</v>
      </c>
      <c r="R637" s="14">
        <v>4700</v>
      </c>
      <c r="S637" s="14" t="s">
        <v>1270</v>
      </c>
      <c r="T637" s="14" t="s">
        <v>1271</v>
      </c>
      <c r="U637" s="14">
        <v>0.59777777777777696</v>
      </c>
      <c r="V637" s="14">
        <v>0.84222222222222198</v>
      </c>
      <c r="W637" s="14">
        <v>576</v>
      </c>
      <c r="X637" s="14">
        <v>80</v>
      </c>
      <c r="Y637" s="14">
        <v>496</v>
      </c>
      <c r="Z637" s="14">
        <v>1824</v>
      </c>
      <c r="AA637" s="14">
        <v>264</v>
      </c>
      <c r="AB637" s="14">
        <v>273</v>
      </c>
      <c r="AC637" s="14">
        <v>1241</v>
      </c>
      <c r="AD637" s="14">
        <v>46</v>
      </c>
      <c r="AE637" s="14">
        <v>2400</v>
      </c>
      <c r="AF637" s="14">
        <v>5000</v>
      </c>
      <c r="AG637" s="14">
        <v>1822</v>
      </c>
      <c r="AH637" s="14">
        <v>0</v>
      </c>
      <c r="AI637" s="14">
        <v>39</v>
      </c>
      <c r="AJ637" s="14">
        <v>193</v>
      </c>
      <c r="AK637" s="14" t="s">
        <v>1268</v>
      </c>
      <c r="AL637" s="14" t="s">
        <v>1272</v>
      </c>
      <c r="AM637" s="14">
        <v>162.11000000000001</v>
      </c>
      <c r="AN637" s="14">
        <v>142.63999999999999</v>
      </c>
      <c r="AO637" s="14">
        <v>54.99</v>
      </c>
      <c r="AP637" s="14">
        <v>20600</v>
      </c>
      <c r="AQ637" s="14">
        <v>20520</v>
      </c>
      <c r="AR637" s="14">
        <v>23000</v>
      </c>
      <c r="AS637" s="14">
        <v>18200</v>
      </c>
      <c r="AT637" s="14">
        <v>20024</v>
      </c>
      <c r="AU637" s="14">
        <v>15</v>
      </c>
      <c r="AV637" s="14">
        <v>272.55</v>
      </c>
      <c r="AW637" s="14">
        <v>43.74</v>
      </c>
      <c r="AX637" s="14">
        <v>6.68</v>
      </c>
      <c r="AY637" s="14" t="b">
        <v>0</v>
      </c>
    </row>
    <row r="638" spans="1:51" hidden="1" x14ac:dyDescent="0.3">
      <c r="A638" t="str">
        <f>CONCATENATE(I638,E638,LEFT(G638,10))</f>
        <v>HFA802LCLK2026-02-12</v>
      </c>
      <c r="B638" s="14" t="s">
        <v>600</v>
      </c>
      <c r="C638" s="14" t="s">
        <v>336</v>
      </c>
      <c r="D638" s="14" t="s">
        <v>337</v>
      </c>
      <c r="E638" s="14" t="s">
        <v>87</v>
      </c>
      <c r="F638" s="14" t="s">
        <v>43</v>
      </c>
      <c r="G638" s="14" t="s">
        <v>601</v>
      </c>
      <c r="H638" s="14" t="s">
        <v>371</v>
      </c>
      <c r="I638" s="14" t="s">
        <v>135</v>
      </c>
      <c r="J638" s="14" t="s">
        <v>83</v>
      </c>
      <c r="K638" s="14" t="s">
        <v>340</v>
      </c>
      <c r="L638" s="14" t="s">
        <v>341</v>
      </c>
      <c r="M638" s="16" t="s">
        <v>602</v>
      </c>
      <c r="N638" s="14"/>
      <c r="O638" s="14" t="s">
        <v>549</v>
      </c>
      <c r="P638" s="14">
        <v>130</v>
      </c>
      <c r="Q638" s="14">
        <v>2</v>
      </c>
      <c r="R638" s="14">
        <v>2400</v>
      </c>
      <c r="S638" s="14" t="s">
        <v>603</v>
      </c>
      <c r="T638" s="14" t="s">
        <v>604</v>
      </c>
      <c r="U638" s="14">
        <v>0.67388888888888798</v>
      </c>
      <c r="V638" s="14">
        <v>0.86944444444444402</v>
      </c>
      <c r="W638" s="14">
        <v>591</v>
      </c>
      <c r="X638" s="14">
        <v>80</v>
      </c>
      <c r="Y638" s="14">
        <v>511</v>
      </c>
      <c r="Z638" s="14">
        <v>1509</v>
      </c>
      <c r="AA638" s="14">
        <v>260</v>
      </c>
      <c r="AB638" s="14">
        <v>251</v>
      </c>
      <c r="AC638" s="14">
        <v>956</v>
      </c>
      <c r="AD638" s="14">
        <v>42</v>
      </c>
      <c r="AE638" s="14">
        <v>2100</v>
      </c>
      <c r="AF638" s="14">
        <v>5000</v>
      </c>
      <c r="AG638" s="14">
        <v>1868</v>
      </c>
      <c r="AH638" s="14">
        <v>0</v>
      </c>
      <c r="AI638" s="14">
        <v>40</v>
      </c>
      <c r="AJ638" s="14">
        <v>168</v>
      </c>
      <c r="AK638" s="14" t="s">
        <v>601</v>
      </c>
      <c r="AL638" s="14" t="s">
        <v>605</v>
      </c>
      <c r="AM638" s="14">
        <v>162.11000000000001</v>
      </c>
      <c r="AN638" s="14">
        <v>142.63999999999999</v>
      </c>
      <c r="AO638" s="14">
        <v>54.99</v>
      </c>
      <c r="AP638" s="14">
        <v>18000</v>
      </c>
      <c r="AQ638" s="14">
        <v>17920</v>
      </c>
      <c r="AR638" s="14">
        <v>23000</v>
      </c>
      <c r="AS638" s="14">
        <v>15900</v>
      </c>
      <c r="AT638" s="14">
        <v>17409</v>
      </c>
      <c r="AU638" s="14">
        <v>3</v>
      </c>
      <c r="AV638" s="14">
        <v>251.4</v>
      </c>
      <c r="AW638" s="14">
        <v>31.86</v>
      </c>
      <c r="AX638" s="14">
        <v>3.19</v>
      </c>
      <c r="AY638" s="14" t="b">
        <v>0</v>
      </c>
    </row>
    <row r="639" spans="1:51" hidden="1" x14ac:dyDescent="0.3">
      <c r="A639" t="str">
        <f>CONCATENATE(I639,E639,LEFT(G639,10))</f>
        <v>HFA802LCLK2026-02-13</v>
      </c>
      <c r="B639" s="14" t="s">
        <v>4361</v>
      </c>
      <c r="C639" s="14" t="s">
        <v>336</v>
      </c>
      <c r="D639" s="14" t="s">
        <v>337</v>
      </c>
      <c r="E639" s="14" t="s">
        <v>87</v>
      </c>
      <c r="F639" s="14" t="s">
        <v>43</v>
      </c>
      <c r="G639" s="14" t="s">
        <v>4362</v>
      </c>
      <c r="H639" s="14" t="s">
        <v>371</v>
      </c>
      <c r="I639" s="14" t="s">
        <v>135</v>
      </c>
      <c r="J639" s="14" t="s">
        <v>83</v>
      </c>
      <c r="K639" s="14" t="s">
        <v>340</v>
      </c>
      <c r="L639" s="14" t="s">
        <v>341</v>
      </c>
      <c r="M639" s="16" t="s">
        <v>4363</v>
      </c>
      <c r="N639" s="14"/>
      <c r="O639" s="14" t="s">
        <v>4364</v>
      </c>
      <c r="P639" s="14">
        <v>110</v>
      </c>
      <c r="Q639" s="14">
        <v>2</v>
      </c>
      <c r="R639" s="14">
        <v>2900</v>
      </c>
      <c r="S639" s="14" t="s">
        <v>4365</v>
      </c>
      <c r="T639" s="14" t="s">
        <v>4366</v>
      </c>
      <c r="U639" s="14">
        <v>0.82777777777777695</v>
      </c>
      <c r="V639" s="14">
        <v>1.0525</v>
      </c>
      <c r="W639" s="14">
        <v>653</v>
      </c>
      <c r="X639" s="14">
        <v>80</v>
      </c>
      <c r="Y639" s="14">
        <v>573</v>
      </c>
      <c r="Z639" s="14">
        <v>1547</v>
      </c>
      <c r="AA639" s="14">
        <v>275</v>
      </c>
      <c r="AB639" s="14">
        <v>256</v>
      </c>
      <c r="AC639" s="14">
        <v>974</v>
      </c>
      <c r="AD639" s="14">
        <v>43</v>
      </c>
      <c r="AE639" s="14">
        <v>2200</v>
      </c>
      <c r="AF639" s="14">
        <v>5000</v>
      </c>
      <c r="AG639" s="14">
        <v>2063</v>
      </c>
      <c r="AH639" s="14">
        <v>0</v>
      </c>
      <c r="AI639" s="14">
        <v>44</v>
      </c>
      <c r="AJ639" s="14">
        <v>171</v>
      </c>
      <c r="AK639" s="14" t="s">
        <v>4362</v>
      </c>
      <c r="AL639" s="14" t="s">
        <v>4367</v>
      </c>
      <c r="AM639" s="14">
        <v>162.11000000000001</v>
      </c>
      <c r="AN639" s="14">
        <v>142.63999999999999</v>
      </c>
      <c r="AO639" s="14">
        <v>54.99</v>
      </c>
      <c r="AP639" s="14">
        <v>18600</v>
      </c>
      <c r="AQ639" s="14">
        <v>18520</v>
      </c>
      <c r="AR639" s="14">
        <v>23000</v>
      </c>
      <c r="AS639" s="14">
        <v>16400</v>
      </c>
      <c r="AT639" s="14">
        <v>17947</v>
      </c>
      <c r="AU639" s="14">
        <v>-19</v>
      </c>
      <c r="AV639" s="14">
        <v>211.46</v>
      </c>
      <c r="AW639" s="14">
        <v>45.99</v>
      </c>
      <c r="AX639" s="14">
        <v>4.1100000000000003</v>
      </c>
      <c r="AY639" s="14" t="b">
        <v>0</v>
      </c>
    </row>
    <row r="640" spans="1:51" hidden="1" x14ac:dyDescent="0.3">
      <c r="A640" t="str">
        <f>CONCATENATE(I640,E640,LEFT(G640,10))</f>
        <v>HFA802LCLK2026-02-16</v>
      </c>
      <c r="B640" s="14" t="s">
        <v>4138</v>
      </c>
      <c r="C640" s="14" t="s">
        <v>336</v>
      </c>
      <c r="D640" s="14" t="s">
        <v>337</v>
      </c>
      <c r="E640" s="14" t="s">
        <v>87</v>
      </c>
      <c r="F640" s="14" t="s">
        <v>43</v>
      </c>
      <c r="G640" s="14" t="s">
        <v>4139</v>
      </c>
      <c r="H640" s="14" t="s">
        <v>339</v>
      </c>
      <c r="I640" s="14" t="s">
        <v>135</v>
      </c>
      <c r="J640" s="14" t="s">
        <v>83</v>
      </c>
      <c r="K640" s="14" t="s">
        <v>340</v>
      </c>
      <c r="L640" s="14" t="s">
        <v>341</v>
      </c>
      <c r="M640" s="16" t="s">
        <v>731</v>
      </c>
      <c r="N640" s="14"/>
      <c r="O640" s="14" t="s">
        <v>4115</v>
      </c>
      <c r="P640" s="14">
        <v>130</v>
      </c>
      <c r="Q640" s="14">
        <v>2</v>
      </c>
      <c r="R640" s="14">
        <v>6100</v>
      </c>
      <c r="S640" s="14" t="s">
        <v>4140</v>
      </c>
      <c r="T640" s="14" t="s">
        <v>4141</v>
      </c>
      <c r="U640" s="14">
        <v>0.76888888888888796</v>
      </c>
      <c r="V640" s="14">
        <v>1.0291666666666599</v>
      </c>
      <c r="W640" s="14">
        <v>612</v>
      </c>
      <c r="X640" s="14">
        <v>80</v>
      </c>
      <c r="Y640" s="14">
        <v>532</v>
      </c>
      <c r="Z640" s="14">
        <v>1388</v>
      </c>
      <c r="AA640" s="14">
        <v>263</v>
      </c>
      <c r="AB640" s="14">
        <v>280</v>
      </c>
      <c r="AC640" s="14">
        <v>798</v>
      </c>
      <c r="AD640" s="14">
        <v>47</v>
      </c>
      <c r="AE640" s="14">
        <v>2000</v>
      </c>
      <c r="AF640" s="14">
        <v>5000</v>
      </c>
      <c r="AG640" s="14">
        <v>1935</v>
      </c>
      <c r="AH640" s="14">
        <v>0</v>
      </c>
      <c r="AI640" s="14">
        <v>43</v>
      </c>
      <c r="AJ640" s="14">
        <v>165</v>
      </c>
      <c r="AK640" s="14" t="s">
        <v>4139</v>
      </c>
      <c r="AL640" s="14" t="s">
        <v>4142</v>
      </c>
      <c r="AM640" s="14">
        <v>162.11000000000001</v>
      </c>
      <c r="AN640" s="14">
        <v>142.63999999999999</v>
      </c>
      <c r="AO640" s="14">
        <v>54.99</v>
      </c>
      <c r="AP640" s="14">
        <v>21425</v>
      </c>
      <c r="AQ640" s="14">
        <v>21345</v>
      </c>
      <c r="AR640" s="14">
        <v>23000</v>
      </c>
      <c r="AS640" s="14">
        <v>19425</v>
      </c>
      <c r="AT640" s="14">
        <v>20813</v>
      </c>
      <c r="AU640" s="14">
        <v>-9</v>
      </c>
      <c r="AV640" s="14">
        <v>219.18</v>
      </c>
      <c r="AW640" s="14">
        <v>23.41</v>
      </c>
      <c r="AX640" s="14">
        <v>9.94</v>
      </c>
      <c r="AY640" s="14" t="b">
        <v>0</v>
      </c>
    </row>
    <row r="641" spans="1:51" hidden="1" x14ac:dyDescent="0.3">
      <c r="A641" t="str">
        <f>CONCATENATE(I641,E641,LEFT(G641,10))</f>
        <v>HFA802LCLK2026-02-19</v>
      </c>
      <c r="B641" s="14" t="s">
        <v>3986</v>
      </c>
      <c r="C641" s="14" t="s">
        <v>336</v>
      </c>
      <c r="D641" s="14" t="s">
        <v>337</v>
      </c>
      <c r="E641" s="14" t="s">
        <v>87</v>
      </c>
      <c r="F641" s="14" t="s">
        <v>43</v>
      </c>
      <c r="G641" s="14" t="s">
        <v>3987</v>
      </c>
      <c r="H641" s="14" t="s">
        <v>371</v>
      </c>
      <c r="I641" s="14" t="s">
        <v>135</v>
      </c>
      <c r="J641" s="14" t="s">
        <v>83</v>
      </c>
      <c r="K641" s="14" t="s">
        <v>340</v>
      </c>
      <c r="L641" s="14" t="s">
        <v>341</v>
      </c>
      <c r="M641" s="16" t="s">
        <v>422</v>
      </c>
      <c r="N641" s="14"/>
      <c r="O641" s="14" t="s">
        <v>3988</v>
      </c>
      <c r="P641" s="14">
        <v>130</v>
      </c>
      <c r="Q641" s="14">
        <v>2</v>
      </c>
      <c r="R641" s="14">
        <v>3400</v>
      </c>
      <c r="S641" s="14" t="s">
        <v>3989</v>
      </c>
      <c r="T641" s="14" t="s">
        <v>3990</v>
      </c>
      <c r="U641" s="14">
        <v>0.711666666666666</v>
      </c>
      <c r="V641" s="14">
        <v>0.98388888888888804</v>
      </c>
      <c r="W641" s="14">
        <v>570</v>
      </c>
      <c r="X641" s="14">
        <v>80</v>
      </c>
      <c r="Y641" s="14">
        <v>490</v>
      </c>
      <c r="Z641" s="14">
        <v>1430</v>
      </c>
      <c r="AA641" s="14">
        <v>255</v>
      </c>
      <c r="AB641" s="14">
        <v>259</v>
      </c>
      <c r="AC641" s="14">
        <v>874</v>
      </c>
      <c r="AD641" s="14">
        <v>43</v>
      </c>
      <c r="AE641" s="14">
        <v>2000</v>
      </c>
      <c r="AF641" s="14">
        <v>5000</v>
      </c>
      <c r="AG641" s="14">
        <v>1801</v>
      </c>
      <c r="AH641" s="14">
        <v>0</v>
      </c>
      <c r="AI641" s="14">
        <v>39</v>
      </c>
      <c r="AJ641" s="14">
        <v>160</v>
      </c>
      <c r="AK641" s="14" t="s">
        <v>3987</v>
      </c>
      <c r="AL641" s="14" t="s">
        <v>3991</v>
      </c>
      <c r="AM641" s="14">
        <v>162.11000000000001</v>
      </c>
      <c r="AN641" s="14">
        <v>142.63999999999999</v>
      </c>
      <c r="AO641" s="14">
        <v>54.99</v>
      </c>
      <c r="AP641" s="14">
        <v>18900</v>
      </c>
      <c r="AQ641" s="14">
        <v>18820</v>
      </c>
      <c r="AR641" s="14">
        <v>23000</v>
      </c>
      <c r="AS641" s="14">
        <v>16900</v>
      </c>
      <c r="AT641" s="14">
        <v>18330</v>
      </c>
      <c r="AU641" s="14">
        <v>17</v>
      </c>
      <c r="AV641" s="14">
        <v>289.27</v>
      </c>
      <c r="AW641" s="14">
        <v>32.21</v>
      </c>
      <c r="AX641" s="14">
        <v>4.25</v>
      </c>
      <c r="AY641" s="14" t="b">
        <v>0</v>
      </c>
    </row>
    <row r="642" spans="1:51" hidden="1" x14ac:dyDescent="0.3">
      <c r="A642" t="str">
        <f>CONCATENATE(I642,E642,LEFT(G642,10))</f>
        <v>HFA802LCLK2026-02-20</v>
      </c>
      <c r="B642" s="14" t="s">
        <v>729</v>
      </c>
      <c r="C642" s="14" t="s">
        <v>336</v>
      </c>
      <c r="D642" s="14" t="s">
        <v>337</v>
      </c>
      <c r="E642" s="14" t="s">
        <v>87</v>
      </c>
      <c r="F642" s="14" t="s">
        <v>43</v>
      </c>
      <c r="G642" s="14" t="s">
        <v>730</v>
      </c>
      <c r="H642" s="14" t="s">
        <v>371</v>
      </c>
      <c r="I642" s="14" t="s">
        <v>135</v>
      </c>
      <c r="J642" s="14" t="s">
        <v>83</v>
      </c>
      <c r="K642" s="14" t="s">
        <v>340</v>
      </c>
      <c r="L642" s="14" t="s">
        <v>341</v>
      </c>
      <c r="M642" s="16" t="s">
        <v>731</v>
      </c>
      <c r="N642" s="14"/>
      <c r="O642" s="14" t="s">
        <v>732</v>
      </c>
      <c r="P642" s="14">
        <v>130</v>
      </c>
      <c r="Q642" s="14">
        <v>2</v>
      </c>
      <c r="R642" s="14">
        <v>3400</v>
      </c>
      <c r="S642" s="14" t="s">
        <v>733</v>
      </c>
      <c r="T642" s="14" t="s">
        <v>734</v>
      </c>
      <c r="U642" s="14">
        <v>0.718055555555555</v>
      </c>
      <c r="V642" s="14">
        <v>0.93222222222222195</v>
      </c>
      <c r="W642" s="14">
        <v>613</v>
      </c>
      <c r="X642" s="14">
        <v>80</v>
      </c>
      <c r="Y642" s="14">
        <v>533</v>
      </c>
      <c r="Z642" s="14">
        <v>1387</v>
      </c>
      <c r="AA642" s="14">
        <v>263</v>
      </c>
      <c r="AB642" s="14">
        <v>258</v>
      </c>
      <c r="AC642" s="14">
        <v>823</v>
      </c>
      <c r="AD642" s="14">
        <v>43</v>
      </c>
      <c r="AE642" s="14">
        <v>2000</v>
      </c>
      <c r="AF642" s="14">
        <v>5000</v>
      </c>
      <c r="AG642" s="14">
        <v>1936</v>
      </c>
      <c r="AH642" s="14">
        <v>0</v>
      </c>
      <c r="AI642" s="14">
        <v>42</v>
      </c>
      <c r="AJ642" s="14">
        <v>160</v>
      </c>
      <c r="AK642" s="14" t="s">
        <v>730</v>
      </c>
      <c r="AL642" s="14" t="s">
        <v>735</v>
      </c>
      <c r="AM642" s="14">
        <v>162.11000000000001</v>
      </c>
      <c r="AN642" s="14">
        <v>142.63999999999999</v>
      </c>
      <c r="AO642" s="14">
        <v>54.99</v>
      </c>
      <c r="AP642" s="14">
        <v>18900</v>
      </c>
      <c r="AQ642" s="14">
        <v>18820</v>
      </c>
      <c r="AR642" s="14">
        <v>23000</v>
      </c>
      <c r="AS642" s="14">
        <v>16900</v>
      </c>
      <c r="AT642" s="14">
        <v>18287</v>
      </c>
      <c r="AU642" s="14">
        <v>-7</v>
      </c>
      <c r="AV642" s="14">
        <v>213.35</v>
      </c>
      <c r="AW642" s="14">
        <v>13.93</v>
      </c>
      <c r="AX642" s="14">
        <v>5.15</v>
      </c>
      <c r="AY642" s="14" t="b">
        <v>0</v>
      </c>
    </row>
    <row r="643" spans="1:51" hidden="1" x14ac:dyDescent="0.3">
      <c r="A643" t="str">
        <f>CONCATENATE(I643,E643,LEFT(G643,10))</f>
        <v>HFA802LCLK2026-02-23</v>
      </c>
      <c r="B643" s="14" t="s">
        <v>3803</v>
      </c>
      <c r="C643" s="14" t="s">
        <v>336</v>
      </c>
      <c r="D643" s="14" t="s">
        <v>337</v>
      </c>
      <c r="E643" s="14" t="s">
        <v>87</v>
      </c>
      <c r="F643" s="14" t="s">
        <v>43</v>
      </c>
      <c r="G643" s="14" t="s">
        <v>3804</v>
      </c>
      <c r="H643" s="14" t="s">
        <v>371</v>
      </c>
      <c r="I643" s="14" t="s">
        <v>135</v>
      </c>
      <c r="J643" s="14" t="s">
        <v>83</v>
      </c>
      <c r="K643" s="14" t="s">
        <v>340</v>
      </c>
      <c r="L643" s="14" t="s">
        <v>341</v>
      </c>
      <c r="M643" s="16" t="s">
        <v>3775</v>
      </c>
      <c r="N643" s="14"/>
      <c r="O643" s="14" t="s">
        <v>995</v>
      </c>
      <c r="P643" s="14">
        <v>130</v>
      </c>
      <c r="Q643" s="14">
        <v>2</v>
      </c>
      <c r="R643" s="14">
        <v>5200</v>
      </c>
      <c r="S643" s="14" t="s">
        <v>3805</v>
      </c>
      <c r="T643" s="14" t="s">
        <v>3806</v>
      </c>
      <c r="U643" s="14">
        <v>0.68305555555555497</v>
      </c>
      <c r="V643" s="14">
        <v>0.97916666666666596</v>
      </c>
      <c r="W643" s="14">
        <v>619</v>
      </c>
      <c r="X643" s="14">
        <v>80</v>
      </c>
      <c r="Y643" s="14">
        <v>539</v>
      </c>
      <c r="Z643" s="14">
        <v>1481</v>
      </c>
      <c r="AA643" s="14">
        <v>268</v>
      </c>
      <c r="AB643" s="14">
        <v>275</v>
      </c>
      <c r="AC643" s="14">
        <v>893</v>
      </c>
      <c r="AD643" s="14">
        <v>46</v>
      </c>
      <c r="AE643" s="14">
        <v>2100</v>
      </c>
      <c r="AF643" s="14">
        <v>5000</v>
      </c>
      <c r="AG643" s="14">
        <v>1958</v>
      </c>
      <c r="AH643" s="14">
        <v>0</v>
      </c>
      <c r="AI643" s="14">
        <v>41</v>
      </c>
      <c r="AJ643" s="14">
        <v>162</v>
      </c>
      <c r="AK643" s="14" t="s">
        <v>3804</v>
      </c>
      <c r="AL643" s="14" t="s">
        <v>3807</v>
      </c>
      <c r="AM643" s="14">
        <v>162.11000000000001</v>
      </c>
      <c r="AN643" s="14">
        <v>142.63999999999999</v>
      </c>
      <c r="AO643" s="14">
        <v>54.99</v>
      </c>
      <c r="AP643" s="14">
        <v>20800</v>
      </c>
      <c r="AQ643" s="14">
        <v>20720</v>
      </c>
      <c r="AR643" s="14">
        <v>23000</v>
      </c>
      <c r="AS643" s="14">
        <v>18700</v>
      </c>
      <c r="AT643" s="14">
        <v>20181</v>
      </c>
      <c r="AU643" s="14">
        <v>0</v>
      </c>
      <c r="AV643" s="14">
        <v>241.27</v>
      </c>
      <c r="AW643" s="14">
        <v>16.440000000000001</v>
      </c>
      <c r="AX643" s="14">
        <v>-1.59</v>
      </c>
      <c r="AY643" s="14" t="b">
        <v>0</v>
      </c>
    </row>
    <row r="644" spans="1:51" hidden="1" x14ac:dyDescent="0.3">
      <c r="A644" t="str">
        <f>CONCATENATE(I644,E644,LEFT(G644,10))</f>
        <v>HFA802LCLK2026-02-25</v>
      </c>
      <c r="B644" s="14" t="s">
        <v>3646</v>
      </c>
      <c r="C644" s="14" t="s">
        <v>336</v>
      </c>
      <c r="D644" s="14" t="s">
        <v>337</v>
      </c>
      <c r="E644" s="14" t="s">
        <v>87</v>
      </c>
      <c r="F644" s="14" t="s">
        <v>43</v>
      </c>
      <c r="G644" s="14" t="s">
        <v>3647</v>
      </c>
      <c r="H644" s="14" t="s">
        <v>371</v>
      </c>
      <c r="I644" s="14" t="s">
        <v>135</v>
      </c>
      <c r="J644" s="14" t="s">
        <v>83</v>
      </c>
      <c r="K644" s="14" t="s">
        <v>340</v>
      </c>
      <c r="L644" s="14" t="s">
        <v>341</v>
      </c>
      <c r="M644" s="16" t="s">
        <v>3648</v>
      </c>
      <c r="N644" s="14"/>
      <c r="O644" s="14" t="s">
        <v>837</v>
      </c>
      <c r="P644" s="14">
        <v>130</v>
      </c>
      <c r="Q644" s="14">
        <v>2</v>
      </c>
      <c r="R644" s="14">
        <v>4500</v>
      </c>
      <c r="S644" s="14" t="s">
        <v>3649</v>
      </c>
      <c r="T644" s="14" t="s">
        <v>3650</v>
      </c>
      <c r="U644" s="14">
        <v>0.70055555555555504</v>
      </c>
      <c r="V644" s="14">
        <v>0.96194444444444405</v>
      </c>
      <c r="W644" s="14">
        <v>597</v>
      </c>
      <c r="X644" s="14">
        <v>80</v>
      </c>
      <c r="Y644" s="14">
        <v>517</v>
      </c>
      <c r="Z644" s="14">
        <v>1504</v>
      </c>
      <c r="AA644" s="14">
        <v>265</v>
      </c>
      <c r="AB644" s="14">
        <v>269</v>
      </c>
      <c r="AC644" s="14">
        <v>925</v>
      </c>
      <c r="AD644" s="14">
        <v>45</v>
      </c>
      <c r="AE644" s="14">
        <v>2100</v>
      </c>
      <c r="AF644" s="14">
        <v>5000</v>
      </c>
      <c r="AG644" s="14">
        <v>1885</v>
      </c>
      <c r="AH644" s="14">
        <v>0</v>
      </c>
      <c r="AI644" s="14">
        <v>40</v>
      </c>
      <c r="AJ644" s="14">
        <v>165</v>
      </c>
      <c r="AK644" s="14" t="s">
        <v>3647</v>
      </c>
      <c r="AL644" s="14" t="s">
        <v>3651</v>
      </c>
      <c r="AM644" s="14">
        <v>162.11000000000001</v>
      </c>
      <c r="AN644" s="14">
        <v>142.63999999999999</v>
      </c>
      <c r="AO644" s="14">
        <v>54.99</v>
      </c>
      <c r="AP644" s="14">
        <v>20100</v>
      </c>
      <c r="AQ644" s="14">
        <v>20020</v>
      </c>
      <c r="AR644" s="14">
        <v>23000</v>
      </c>
      <c r="AS644" s="14">
        <v>18000</v>
      </c>
      <c r="AT644" s="14">
        <v>19504</v>
      </c>
      <c r="AU644" s="14">
        <v>6</v>
      </c>
      <c r="AV644" s="14">
        <v>263.44</v>
      </c>
      <c r="AW644" s="14">
        <v>30.27</v>
      </c>
      <c r="AX644" s="14">
        <v>2.57</v>
      </c>
      <c r="AY644" s="14" t="b">
        <v>0</v>
      </c>
    </row>
    <row r="645" spans="1:51" hidden="1" x14ac:dyDescent="0.3">
      <c r="A645" t="str">
        <f>CONCATENATE(I645,E645,LEFT(G645,10))</f>
        <v>HFA802LCLK2026-02-26</v>
      </c>
      <c r="B645" s="14" t="s">
        <v>3540</v>
      </c>
      <c r="C645" s="14" t="s">
        <v>336</v>
      </c>
      <c r="D645" s="14" t="s">
        <v>337</v>
      </c>
      <c r="E645" s="14" t="s">
        <v>87</v>
      </c>
      <c r="F645" s="14" t="s">
        <v>43</v>
      </c>
      <c r="G645" s="14" t="s">
        <v>3541</v>
      </c>
      <c r="H645" s="14" t="s">
        <v>339</v>
      </c>
      <c r="I645" s="14" t="s">
        <v>135</v>
      </c>
      <c r="J645" s="14" t="s">
        <v>83</v>
      </c>
      <c r="K645" s="14" t="s">
        <v>340</v>
      </c>
      <c r="L645" s="14" t="s">
        <v>341</v>
      </c>
      <c r="M645" s="16" t="s">
        <v>543</v>
      </c>
      <c r="N645" s="14"/>
      <c r="O645" s="14" t="s">
        <v>3394</v>
      </c>
      <c r="P645" s="14">
        <v>130</v>
      </c>
      <c r="Q645" s="14">
        <v>2</v>
      </c>
      <c r="R645" s="14">
        <v>2800</v>
      </c>
      <c r="S645" s="14" t="s">
        <v>3542</v>
      </c>
      <c r="T645" s="14" t="s">
        <v>3543</v>
      </c>
      <c r="U645" s="14">
        <v>0.66805555555555496</v>
      </c>
      <c r="V645" s="14">
        <v>0.85777777777777697</v>
      </c>
      <c r="W645" s="14">
        <v>555</v>
      </c>
      <c r="X645" s="14">
        <v>80</v>
      </c>
      <c r="Y645" s="14">
        <v>475</v>
      </c>
      <c r="Z645" s="14">
        <v>1545</v>
      </c>
      <c r="AA645" s="14">
        <v>254</v>
      </c>
      <c r="AB645" s="14">
        <v>253</v>
      </c>
      <c r="AC645" s="14">
        <v>996</v>
      </c>
      <c r="AD645" s="14">
        <v>42</v>
      </c>
      <c r="AE645" s="14">
        <v>2100</v>
      </c>
      <c r="AF645" s="14">
        <v>5000</v>
      </c>
      <c r="AG645" s="14">
        <v>1752</v>
      </c>
      <c r="AH645" s="14">
        <v>0</v>
      </c>
      <c r="AI645" s="14">
        <v>37</v>
      </c>
      <c r="AJ645" s="14">
        <v>169</v>
      </c>
      <c r="AK645" s="14" t="s">
        <v>3541</v>
      </c>
      <c r="AL645" s="14" t="s">
        <v>3544</v>
      </c>
      <c r="AM645" s="14">
        <v>162.11000000000001</v>
      </c>
      <c r="AN645" s="14">
        <v>142.63999999999999</v>
      </c>
      <c r="AO645" s="14">
        <v>54.99</v>
      </c>
      <c r="AP645" s="14">
        <v>18225</v>
      </c>
      <c r="AQ645" s="14">
        <v>18145</v>
      </c>
      <c r="AR645" s="14">
        <v>23000</v>
      </c>
      <c r="AS645" s="14">
        <v>16125</v>
      </c>
      <c r="AT645" s="14">
        <v>17670</v>
      </c>
      <c r="AU645" s="14">
        <v>23</v>
      </c>
      <c r="AV645" s="14">
        <v>279.04000000000002</v>
      </c>
      <c r="AW645" s="14">
        <v>51.45</v>
      </c>
      <c r="AX645" s="14">
        <v>0.74</v>
      </c>
      <c r="AY645" s="14" t="b">
        <v>0</v>
      </c>
    </row>
    <row r="646" spans="1:51" hidden="1" x14ac:dyDescent="0.3">
      <c r="A646" t="str">
        <f>CONCATENATE(I646,E646,LEFT(G646,10))</f>
        <v>HFA802LCLK2026-02-27</v>
      </c>
      <c r="B646" s="14" t="s">
        <v>3422</v>
      </c>
      <c r="C646" s="14" t="s">
        <v>336</v>
      </c>
      <c r="D646" s="14" t="s">
        <v>337</v>
      </c>
      <c r="E646" s="14" t="s">
        <v>87</v>
      </c>
      <c r="F646" s="14" t="s">
        <v>43</v>
      </c>
      <c r="G646" s="14" t="s">
        <v>3423</v>
      </c>
      <c r="H646" s="14" t="s">
        <v>371</v>
      </c>
      <c r="I646" s="14" t="s">
        <v>135</v>
      </c>
      <c r="J646" s="14" t="s">
        <v>83</v>
      </c>
      <c r="K646" s="14" t="s">
        <v>340</v>
      </c>
      <c r="L646" s="14" t="s">
        <v>341</v>
      </c>
      <c r="M646" s="16" t="s">
        <v>1225</v>
      </c>
      <c r="N646" s="14"/>
      <c r="O646" s="14" t="s">
        <v>3394</v>
      </c>
      <c r="P646" s="14">
        <v>130</v>
      </c>
      <c r="Q646" s="14">
        <v>2</v>
      </c>
      <c r="R646" s="14">
        <v>2900</v>
      </c>
      <c r="S646" s="14" t="s">
        <v>3424</v>
      </c>
      <c r="T646" s="14" t="s">
        <v>3425</v>
      </c>
      <c r="U646" s="14">
        <v>0.57972222222222203</v>
      </c>
      <c r="V646" s="14">
        <v>0.85388888888888803</v>
      </c>
      <c r="W646" s="14">
        <v>563</v>
      </c>
      <c r="X646" s="14">
        <v>80</v>
      </c>
      <c r="Y646" s="14">
        <v>483</v>
      </c>
      <c r="Z646" s="14">
        <v>1537</v>
      </c>
      <c r="AA646" s="14">
        <v>249</v>
      </c>
      <c r="AB646" s="14">
        <v>255</v>
      </c>
      <c r="AC646" s="14">
        <v>989</v>
      </c>
      <c r="AD646" s="14">
        <v>43</v>
      </c>
      <c r="AE646" s="14">
        <v>2100</v>
      </c>
      <c r="AF646" s="14">
        <v>5000</v>
      </c>
      <c r="AG646" s="14">
        <v>1780</v>
      </c>
      <c r="AH646" s="14">
        <v>0</v>
      </c>
      <c r="AI646" s="14">
        <v>36</v>
      </c>
      <c r="AJ646" s="14">
        <v>161</v>
      </c>
      <c r="AK646" s="14" t="s">
        <v>3423</v>
      </c>
      <c r="AL646" s="14" t="s">
        <v>3426</v>
      </c>
      <c r="AM646" s="14">
        <v>162.11000000000001</v>
      </c>
      <c r="AN646" s="14">
        <v>142.63999999999999</v>
      </c>
      <c r="AO646" s="14">
        <v>54.99</v>
      </c>
      <c r="AP646" s="14">
        <v>18500</v>
      </c>
      <c r="AQ646" s="14">
        <v>18420</v>
      </c>
      <c r="AR646" s="14">
        <v>23000</v>
      </c>
      <c r="AS646" s="14">
        <v>16400</v>
      </c>
      <c r="AT646" s="14">
        <v>17937</v>
      </c>
      <c r="AU646" s="14">
        <v>30</v>
      </c>
      <c r="AV646" s="14">
        <v>314.74</v>
      </c>
      <c r="AW646" s="14">
        <v>42.27</v>
      </c>
      <c r="AX646" s="14">
        <v>-4.38</v>
      </c>
      <c r="AY646" s="14" t="b">
        <v>0</v>
      </c>
    </row>
    <row r="647" spans="1:51" hidden="1" x14ac:dyDescent="0.3">
      <c r="A647" t="str">
        <f>CONCATENATE(I647,E647,LEFT(G647,10))</f>
        <v>HFA803LLHA2026-01-01</v>
      </c>
      <c r="B647" s="14" t="s">
        <v>4535</v>
      </c>
      <c r="C647" s="14" t="s">
        <v>336</v>
      </c>
      <c r="D647" s="14" t="s">
        <v>337</v>
      </c>
      <c r="E647" s="14" t="s">
        <v>43</v>
      </c>
      <c r="F647" s="14" t="s">
        <v>87</v>
      </c>
      <c r="G647" s="14" t="s">
        <v>4536</v>
      </c>
      <c r="H647" s="14" t="s">
        <v>371</v>
      </c>
      <c r="I647" s="14" t="s">
        <v>116</v>
      </c>
      <c r="J647" s="14" t="s">
        <v>69</v>
      </c>
      <c r="K647" s="14" t="s">
        <v>349</v>
      </c>
      <c r="L647" s="14" t="s">
        <v>341</v>
      </c>
      <c r="M647" s="16" t="s">
        <v>4537</v>
      </c>
      <c r="N647" s="14"/>
      <c r="O647" s="14" t="s">
        <v>380</v>
      </c>
      <c r="P647" s="14">
        <v>50</v>
      </c>
      <c r="Q647" s="14">
        <v>2</v>
      </c>
      <c r="R647" s="14">
        <v>6900</v>
      </c>
      <c r="S647" s="14" t="s">
        <v>4538</v>
      </c>
      <c r="T647" s="14" t="s">
        <v>4539</v>
      </c>
      <c r="U647" s="14">
        <v>0.80861111111111095</v>
      </c>
      <c r="V647" s="14">
        <v>0.91416666666666602</v>
      </c>
      <c r="W647" s="14">
        <v>670</v>
      </c>
      <c r="X647" s="14">
        <v>50</v>
      </c>
      <c r="Y647" s="14">
        <v>620</v>
      </c>
      <c r="Z647" s="14">
        <v>830</v>
      </c>
      <c r="AA647" s="14">
        <v>382</v>
      </c>
      <c r="AB647" s="14">
        <v>284</v>
      </c>
      <c r="AC647" s="14">
        <v>117</v>
      </c>
      <c r="AD647" s="14">
        <v>47</v>
      </c>
      <c r="AE647" s="14">
        <v>1500</v>
      </c>
      <c r="AF647" s="14">
        <v>5000</v>
      </c>
      <c r="AG647" s="14">
        <v>2117</v>
      </c>
      <c r="AH647" s="14">
        <v>0</v>
      </c>
      <c r="AI647" s="14">
        <v>48</v>
      </c>
      <c r="AJ647" s="14">
        <v>115</v>
      </c>
      <c r="AK647" s="14" t="s">
        <v>4536</v>
      </c>
      <c r="AL647" s="14" t="s">
        <v>4540</v>
      </c>
      <c r="AM647" s="14">
        <v>179.36</v>
      </c>
      <c r="AN647" s="14">
        <v>142.63999999999999</v>
      </c>
      <c r="AO647" s="14">
        <v>73.5</v>
      </c>
      <c r="AP647" s="14">
        <v>21900</v>
      </c>
      <c r="AQ647" s="14">
        <v>21850</v>
      </c>
      <c r="AR647" s="14">
        <v>23000</v>
      </c>
      <c r="AS647" s="14">
        <v>20400</v>
      </c>
      <c r="AT647" s="14">
        <v>21230</v>
      </c>
      <c r="AU647" s="14">
        <v>-9</v>
      </c>
      <c r="AV647" s="14">
        <v>257.41000000000003</v>
      </c>
      <c r="AW647" s="14">
        <v>38.380000000000003</v>
      </c>
      <c r="AX647" s="14">
        <v>-0.6</v>
      </c>
      <c r="AY647" s="14" t="b">
        <v>0</v>
      </c>
    </row>
    <row r="648" spans="1:51" hidden="1" x14ac:dyDescent="0.3">
      <c r="A648" t="str">
        <f>CONCATENATE(I648,E648,LEFT(G648,10))</f>
        <v>HFA803LLHA2026-01-02</v>
      </c>
      <c r="B648" s="14" t="s">
        <v>6232</v>
      </c>
      <c r="C648" s="14" t="s">
        <v>336</v>
      </c>
      <c r="D648" s="14" t="s">
        <v>337</v>
      </c>
      <c r="E648" s="14" t="s">
        <v>43</v>
      </c>
      <c r="F648" s="14" t="s">
        <v>87</v>
      </c>
      <c r="G648" s="14" t="s">
        <v>6233</v>
      </c>
      <c r="H648" s="14" t="s">
        <v>371</v>
      </c>
      <c r="I648" s="14" t="s">
        <v>116</v>
      </c>
      <c r="J648" s="14" t="s">
        <v>69</v>
      </c>
      <c r="K648" s="14" t="s">
        <v>349</v>
      </c>
      <c r="L648" s="14" t="s">
        <v>341</v>
      </c>
      <c r="M648" s="16" t="s">
        <v>6234</v>
      </c>
      <c r="N648" s="14"/>
      <c r="O648" s="14" t="s">
        <v>430</v>
      </c>
      <c r="P648" s="14">
        <v>140</v>
      </c>
      <c r="Q648" s="14">
        <v>2</v>
      </c>
      <c r="R648" s="14">
        <v>6500</v>
      </c>
      <c r="S648" s="14" t="s">
        <v>6235</v>
      </c>
      <c r="T648" s="14" t="s">
        <v>6236</v>
      </c>
      <c r="U648" s="14">
        <v>0.75027777777777704</v>
      </c>
      <c r="V648" s="14">
        <v>0.98944444444444402</v>
      </c>
      <c r="W648" s="14">
        <v>669</v>
      </c>
      <c r="X648" s="14">
        <v>50</v>
      </c>
      <c r="Y648" s="14">
        <v>619</v>
      </c>
      <c r="Z648" s="14">
        <v>775</v>
      </c>
      <c r="AA648" s="14">
        <v>349</v>
      </c>
      <c r="AB648" s="14">
        <v>280</v>
      </c>
      <c r="AC648" s="14">
        <v>100</v>
      </c>
      <c r="AD648" s="14">
        <v>47</v>
      </c>
      <c r="AE648" s="14">
        <v>1444</v>
      </c>
      <c r="AF648" s="14">
        <v>5000</v>
      </c>
      <c r="AG648" s="14">
        <v>2113</v>
      </c>
      <c r="AH648" s="14">
        <v>0</v>
      </c>
      <c r="AI648" s="14">
        <v>47</v>
      </c>
      <c r="AJ648" s="14">
        <v>111</v>
      </c>
      <c r="AK648" s="14" t="s">
        <v>6233</v>
      </c>
      <c r="AL648" s="14" t="s">
        <v>6237</v>
      </c>
      <c r="AM648" s="14">
        <v>179.36</v>
      </c>
      <c r="AN648" s="14">
        <v>142.63999999999999</v>
      </c>
      <c r="AO648" s="14">
        <v>73.5</v>
      </c>
      <c r="AP648" s="14">
        <v>21444</v>
      </c>
      <c r="AQ648" s="14">
        <v>21394</v>
      </c>
      <c r="AR648" s="14">
        <v>23000</v>
      </c>
      <c r="AS648" s="14">
        <v>20000</v>
      </c>
      <c r="AT648" s="14">
        <v>20775</v>
      </c>
      <c r="AU648" s="14">
        <v>-14</v>
      </c>
      <c r="AV648" s="14">
        <v>292.73</v>
      </c>
      <c r="AW648" s="14">
        <v>24.38</v>
      </c>
      <c r="AX648" s="14">
        <v>-1.81</v>
      </c>
      <c r="AY648" s="14" t="b">
        <v>0</v>
      </c>
    </row>
    <row r="649" spans="1:51" hidden="1" x14ac:dyDescent="0.3">
      <c r="A649" t="str">
        <f>CONCATENATE(I649,E649,LEFT(G649,10))</f>
        <v>HFA803LLHA2026-01-04</v>
      </c>
      <c r="B649" s="14" t="s">
        <v>5383</v>
      </c>
      <c r="C649" s="14" t="s">
        <v>336</v>
      </c>
      <c r="D649" s="14" t="s">
        <v>337</v>
      </c>
      <c r="E649" s="14" t="s">
        <v>43</v>
      </c>
      <c r="F649" s="14" t="s">
        <v>87</v>
      </c>
      <c r="G649" s="14" t="s">
        <v>5384</v>
      </c>
      <c r="H649" s="14" t="s">
        <v>371</v>
      </c>
      <c r="I649" s="14" t="s">
        <v>116</v>
      </c>
      <c r="J649" s="14" t="s">
        <v>69</v>
      </c>
      <c r="K649" s="14" t="s">
        <v>349</v>
      </c>
      <c r="L649" s="14" t="s">
        <v>341</v>
      </c>
      <c r="M649" s="16" t="s">
        <v>5348</v>
      </c>
      <c r="N649" s="14"/>
      <c r="O649" s="14" t="s">
        <v>5385</v>
      </c>
      <c r="P649" s="14">
        <v>50</v>
      </c>
      <c r="Q649" s="14">
        <v>3</v>
      </c>
      <c r="R649" s="14">
        <v>4400</v>
      </c>
      <c r="S649" s="14" t="s">
        <v>5386</v>
      </c>
      <c r="T649" s="14" t="s">
        <v>5387</v>
      </c>
      <c r="U649" s="14">
        <v>0.68777777777777704</v>
      </c>
      <c r="V649" s="14">
        <v>0.781944444444444</v>
      </c>
      <c r="W649" s="14">
        <v>607</v>
      </c>
      <c r="X649" s="14">
        <v>50</v>
      </c>
      <c r="Y649" s="14">
        <v>557</v>
      </c>
      <c r="Z649" s="14">
        <v>736</v>
      </c>
      <c r="AA649" s="14">
        <v>332</v>
      </c>
      <c r="AB649" s="14">
        <v>261</v>
      </c>
      <c r="AC649" s="14">
        <v>100</v>
      </c>
      <c r="AD649" s="14">
        <v>44</v>
      </c>
      <c r="AE649" s="14">
        <v>1344</v>
      </c>
      <c r="AF649" s="14">
        <v>5000</v>
      </c>
      <c r="AG649" s="14">
        <v>1919</v>
      </c>
      <c r="AH649" s="14">
        <v>0</v>
      </c>
      <c r="AI649" s="14">
        <v>45</v>
      </c>
      <c r="AJ649" s="14">
        <v>108</v>
      </c>
      <c r="AK649" s="14" t="s">
        <v>5384</v>
      </c>
      <c r="AL649" s="14" t="s">
        <v>5388</v>
      </c>
      <c r="AM649" s="14">
        <v>179.36</v>
      </c>
      <c r="AN649" s="14">
        <v>142.63999999999999</v>
      </c>
      <c r="AO649" s="14">
        <v>73.5</v>
      </c>
      <c r="AP649" s="14">
        <v>19244</v>
      </c>
      <c r="AQ649" s="14">
        <v>19194</v>
      </c>
      <c r="AR649" s="14">
        <v>23000</v>
      </c>
      <c r="AS649" s="14">
        <v>17900</v>
      </c>
      <c r="AT649" s="14">
        <v>18636</v>
      </c>
      <c r="AU649" s="14">
        <v>7</v>
      </c>
      <c r="AV649" s="14">
        <v>200.51</v>
      </c>
      <c r="AW649" s="14">
        <v>12.14</v>
      </c>
      <c r="AX649" s="14">
        <v>4.5599999999999996</v>
      </c>
      <c r="AY649" s="14" t="b">
        <v>0</v>
      </c>
    </row>
    <row r="650" spans="1:51" hidden="1" x14ac:dyDescent="0.3">
      <c r="A650" t="str">
        <f>CONCATENATE(I650,E650,LEFT(G650,10))</f>
        <v>HFA803LLHA2026-01-05</v>
      </c>
      <c r="B650" s="14" t="s">
        <v>1717</v>
      </c>
      <c r="C650" s="14" t="s">
        <v>336</v>
      </c>
      <c r="D650" s="14" t="s">
        <v>337</v>
      </c>
      <c r="E650" s="14" t="s">
        <v>43</v>
      </c>
      <c r="F650" s="14" t="s">
        <v>87</v>
      </c>
      <c r="G650" s="14" t="s">
        <v>1718</v>
      </c>
      <c r="H650" s="14" t="s">
        <v>371</v>
      </c>
      <c r="I650" s="14" t="s">
        <v>116</v>
      </c>
      <c r="J650" s="14" t="s">
        <v>69</v>
      </c>
      <c r="K650" s="14" t="s">
        <v>349</v>
      </c>
      <c r="L650" s="14" t="s">
        <v>341</v>
      </c>
      <c r="M650" s="16" t="s">
        <v>1719</v>
      </c>
      <c r="N650" s="14"/>
      <c r="O650" s="14" t="s">
        <v>380</v>
      </c>
      <c r="P650" s="14">
        <v>50</v>
      </c>
      <c r="Q650" s="14">
        <v>2</v>
      </c>
      <c r="R650" s="14">
        <v>4200</v>
      </c>
      <c r="S650" s="14" t="s">
        <v>1720</v>
      </c>
      <c r="T650" s="14" t="s">
        <v>1721</v>
      </c>
      <c r="U650" s="14">
        <v>0.71916666666666595</v>
      </c>
      <c r="V650" s="14">
        <v>0.85777777777777697</v>
      </c>
      <c r="W650" s="14">
        <v>605</v>
      </c>
      <c r="X650" s="14">
        <v>50</v>
      </c>
      <c r="Y650" s="14">
        <v>555</v>
      </c>
      <c r="Z650" s="14">
        <v>726</v>
      </c>
      <c r="AA650" s="14">
        <v>323</v>
      </c>
      <c r="AB650" s="14">
        <v>259</v>
      </c>
      <c r="AC650" s="14">
        <v>100</v>
      </c>
      <c r="AD650" s="14">
        <v>43</v>
      </c>
      <c r="AE650" s="14">
        <v>1331</v>
      </c>
      <c r="AF650" s="14">
        <v>5000</v>
      </c>
      <c r="AG650" s="14">
        <v>1913</v>
      </c>
      <c r="AH650" s="14">
        <v>0</v>
      </c>
      <c r="AI650" s="14">
        <v>45</v>
      </c>
      <c r="AJ650" s="14">
        <v>108</v>
      </c>
      <c r="AK650" s="14" t="s">
        <v>1718</v>
      </c>
      <c r="AL650" s="14" t="s">
        <v>1722</v>
      </c>
      <c r="AM650" s="14">
        <v>179.36</v>
      </c>
      <c r="AN650" s="14">
        <v>142.63999999999999</v>
      </c>
      <c r="AO650" s="14">
        <v>73.5</v>
      </c>
      <c r="AP650" s="14">
        <v>19031</v>
      </c>
      <c r="AQ650" s="14">
        <v>18981</v>
      </c>
      <c r="AR650" s="14">
        <v>23000</v>
      </c>
      <c r="AS650" s="14">
        <v>17700</v>
      </c>
      <c r="AT650" s="14">
        <v>18426</v>
      </c>
      <c r="AU650" s="14">
        <v>5</v>
      </c>
      <c r="AV650" s="14">
        <v>212.34</v>
      </c>
      <c r="AW650" s="14">
        <v>8.24</v>
      </c>
      <c r="AX650" s="14">
        <v>6.5</v>
      </c>
      <c r="AY650" s="14" t="b">
        <v>0</v>
      </c>
    </row>
    <row r="651" spans="1:51" hidden="1" x14ac:dyDescent="0.3">
      <c r="A651" t="str">
        <f>CONCATENATE(I651,E651,LEFT(G651,10))</f>
        <v>HFA803LLHA2026-01-06</v>
      </c>
      <c r="B651" s="15" t="s">
        <v>4852</v>
      </c>
      <c r="C651" s="14" t="s">
        <v>336</v>
      </c>
      <c r="D651" s="14" t="s">
        <v>337</v>
      </c>
      <c r="E651" s="14" t="s">
        <v>43</v>
      </c>
      <c r="F651" s="14" t="s">
        <v>87</v>
      </c>
      <c r="G651" s="14" t="s">
        <v>4853</v>
      </c>
      <c r="H651" s="14" t="s">
        <v>339</v>
      </c>
      <c r="I651" s="14" t="s">
        <v>116</v>
      </c>
      <c r="J651" s="14" t="s">
        <v>69</v>
      </c>
      <c r="K651" s="14" t="s">
        <v>349</v>
      </c>
      <c r="L651" s="14" t="s">
        <v>341</v>
      </c>
      <c r="M651" s="16" t="s">
        <v>4854</v>
      </c>
      <c r="N651" s="14"/>
      <c r="O651" s="14" t="s">
        <v>1952</v>
      </c>
      <c r="P651" s="14">
        <v>50</v>
      </c>
      <c r="Q651" s="14">
        <v>2</v>
      </c>
      <c r="R651" s="14">
        <v>4050</v>
      </c>
      <c r="S651" s="14" t="s">
        <v>4855</v>
      </c>
      <c r="T651" s="14" t="s">
        <v>4856</v>
      </c>
      <c r="U651" s="14">
        <v>0.75333333333333297</v>
      </c>
      <c r="V651" s="14">
        <v>0.892777777777777</v>
      </c>
      <c r="W651" s="14">
        <v>613</v>
      </c>
      <c r="X651" s="14">
        <v>50</v>
      </c>
      <c r="Y651" s="14">
        <v>563</v>
      </c>
      <c r="Z651" s="14">
        <v>723</v>
      </c>
      <c r="AA651" s="14">
        <v>323</v>
      </c>
      <c r="AB651" s="14">
        <v>257</v>
      </c>
      <c r="AC651" s="14">
        <v>100</v>
      </c>
      <c r="AD651" s="14">
        <v>43</v>
      </c>
      <c r="AE651" s="14">
        <v>1336</v>
      </c>
      <c r="AF651" s="14">
        <v>5000</v>
      </c>
      <c r="AG651" s="14">
        <v>1937</v>
      </c>
      <c r="AH651" s="14">
        <v>0</v>
      </c>
      <c r="AI651" s="14">
        <v>46</v>
      </c>
      <c r="AJ651" s="14">
        <v>110</v>
      </c>
      <c r="AK651" s="14" t="s">
        <v>4853</v>
      </c>
      <c r="AL651" s="14" t="s">
        <v>4857</v>
      </c>
      <c r="AM651" s="14">
        <v>179.36</v>
      </c>
      <c r="AN651" s="14">
        <v>142.63999999999999</v>
      </c>
      <c r="AO651" s="14">
        <v>73.5</v>
      </c>
      <c r="AP651" s="14">
        <v>18711</v>
      </c>
      <c r="AQ651" s="14">
        <v>18661</v>
      </c>
      <c r="AR651" s="14">
        <v>23000</v>
      </c>
      <c r="AS651" s="14">
        <v>17375</v>
      </c>
      <c r="AT651" s="14">
        <v>18098</v>
      </c>
      <c r="AU651" s="14">
        <v>-3</v>
      </c>
      <c r="AV651" s="14">
        <v>254.46</v>
      </c>
      <c r="AW651" s="14">
        <v>18.78</v>
      </c>
      <c r="AX651" s="14">
        <v>5.48</v>
      </c>
      <c r="AY651" s="14" t="b">
        <v>0</v>
      </c>
    </row>
    <row r="652" spans="1:51" hidden="1" x14ac:dyDescent="0.3">
      <c r="A652" t="str">
        <f>CONCATENATE(I652,E652,LEFT(G652,10))</f>
        <v>HFA803LLHA2026-01-07</v>
      </c>
      <c r="B652" s="14" t="s">
        <v>1447</v>
      </c>
      <c r="C652" s="14" t="s">
        <v>336</v>
      </c>
      <c r="D652" s="14" t="s">
        <v>337</v>
      </c>
      <c r="E652" s="14" t="s">
        <v>43</v>
      </c>
      <c r="F652" s="14" t="s">
        <v>87</v>
      </c>
      <c r="G652" s="14" t="s">
        <v>1448</v>
      </c>
      <c r="H652" s="14" t="s">
        <v>371</v>
      </c>
      <c r="I652" s="14" t="s">
        <v>116</v>
      </c>
      <c r="J652" s="14" t="s">
        <v>69</v>
      </c>
      <c r="K652" s="14" t="s">
        <v>349</v>
      </c>
      <c r="L652" s="14" t="s">
        <v>341</v>
      </c>
      <c r="M652" s="16" t="s">
        <v>1449</v>
      </c>
      <c r="N652" s="14"/>
      <c r="O652" s="14" t="s">
        <v>1450</v>
      </c>
      <c r="P652" s="14">
        <v>50</v>
      </c>
      <c r="Q652" s="14">
        <v>2</v>
      </c>
      <c r="R652" s="14">
        <v>5300</v>
      </c>
      <c r="S652" s="14" t="s">
        <v>1451</v>
      </c>
      <c r="T652" s="14" t="s">
        <v>1452</v>
      </c>
      <c r="U652" s="14">
        <v>0.77805555555555495</v>
      </c>
      <c r="V652" s="14">
        <v>0.92055555555555502</v>
      </c>
      <c r="W652" s="14">
        <v>640</v>
      </c>
      <c r="X652" s="14">
        <v>50</v>
      </c>
      <c r="Y652" s="14">
        <v>590</v>
      </c>
      <c r="Z652" s="14">
        <v>750</v>
      </c>
      <c r="AA652" s="14">
        <v>337</v>
      </c>
      <c r="AB652" s="14">
        <v>269</v>
      </c>
      <c r="AC652" s="14">
        <v>100</v>
      </c>
      <c r="AD652" s="14">
        <v>45</v>
      </c>
      <c r="AE652" s="14">
        <v>1390</v>
      </c>
      <c r="AF652" s="14">
        <v>5000</v>
      </c>
      <c r="AG652" s="14">
        <v>2022</v>
      </c>
      <c r="AH652" s="14">
        <v>0</v>
      </c>
      <c r="AI652" s="14">
        <v>47</v>
      </c>
      <c r="AJ652" s="14">
        <v>111</v>
      </c>
      <c r="AK652" s="14" t="s">
        <v>1448</v>
      </c>
      <c r="AL652" s="14" t="s">
        <v>1453</v>
      </c>
      <c r="AM652" s="14">
        <v>179.36</v>
      </c>
      <c r="AN652" s="14">
        <v>142.63999999999999</v>
      </c>
      <c r="AO652" s="14">
        <v>73.5</v>
      </c>
      <c r="AP652" s="14">
        <v>20190</v>
      </c>
      <c r="AQ652" s="14">
        <v>20140</v>
      </c>
      <c r="AR652" s="14">
        <v>23000</v>
      </c>
      <c r="AS652" s="14">
        <v>18800</v>
      </c>
      <c r="AT652" s="14">
        <v>19550</v>
      </c>
      <c r="AU652" s="14">
        <v>-10</v>
      </c>
      <c r="AV652" s="14">
        <v>280.95999999999998</v>
      </c>
      <c r="AW652" s="14">
        <v>28.39</v>
      </c>
      <c r="AX652" s="14">
        <v>6.05</v>
      </c>
      <c r="AY652" s="14" t="b">
        <v>0</v>
      </c>
    </row>
    <row r="653" spans="1:51" hidden="1" x14ac:dyDescent="0.3">
      <c r="A653" t="str">
        <f>CONCATENATE(I653,E653,LEFT(G653,10))</f>
        <v>HFA803LLHA2026-01-08</v>
      </c>
      <c r="B653" s="14" t="s">
        <v>2889</v>
      </c>
      <c r="C653" s="14" t="s">
        <v>336</v>
      </c>
      <c r="D653" s="14" t="s">
        <v>337</v>
      </c>
      <c r="E653" s="14" t="s">
        <v>43</v>
      </c>
      <c r="F653" s="14" t="s">
        <v>87</v>
      </c>
      <c r="G653" s="14" t="s">
        <v>2890</v>
      </c>
      <c r="H653" s="14" t="s">
        <v>371</v>
      </c>
      <c r="I653" s="14" t="s">
        <v>116</v>
      </c>
      <c r="J653" s="14" t="s">
        <v>69</v>
      </c>
      <c r="K653" s="14" t="s">
        <v>349</v>
      </c>
      <c r="L653" s="14" t="s">
        <v>341</v>
      </c>
      <c r="M653" s="16" t="s">
        <v>2891</v>
      </c>
      <c r="N653" s="14"/>
      <c r="O653" s="14" t="s">
        <v>380</v>
      </c>
      <c r="P653" s="14">
        <v>50</v>
      </c>
      <c r="Q653" s="14">
        <v>3</v>
      </c>
      <c r="R653" s="14">
        <v>3900</v>
      </c>
      <c r="S653" s="14" t="s">
        <v>2892</v>
      </c>
      <c r="T653" s="14" t="s">
        <v>2893</v>
      </c>
      <c r="U653" s="14">
        <v>0.66888888888888798</v>
      </c>
      <c r="V653" s="14">
        <v>0.86527777777777704</v>
      </c>
      <c r="W653" s="14">
        <v>593</v>
      </c>
      <c r="X653" s="14">
        <v>50</v>
      </c>
      <c r="Y653" s="14">
        <v>543</v>
      </c>
      <c r="Z653" s="14">
        <v>731</v>
      </c>
      <c r="AA653" s="14">
        <v>331</v>
      </c>
      <c r="AB653" s="14">
        <v>257</v>
      </c>
      <c r="AC653" s="14">
        <v>100</v>
      </c>
      <c r="AD653" s="14">
        <v>43</v>
      </c>
      <c r="AE653" s="14">
        <v>1324</v>
      </c>
      <c r="AF653" s="14">
        <v>5000</v>
      </c>
      <c r="AG653" s="14">
        <v>1875</v>
      </c>
      <c r="AH653" s="14">
        <v>0</v>
      </c>
      <c r="AI653" s="14">
        <v>44</v>
      </c>
      <c r="AJ653" s="14">
        <v>108</v>
      </c>
      <c r="AK653" s="14" t="s">
        <v>2890</v>
      </c>
      <c r="AL653" s="14" t="s">
        <v>2894</v>
      </c>
      <c r="AM653" s="14">
        <v>179.36</v>
      </c>
      <c r="AN653" s="14">
        <v>142.63999999999999</v>
      </c>
      <c r="AO653" s="14">
        <v>73.5</v>
      </c>
      <c r="AP653" s="14">
        <v>18724</v>
      </c>
      <c r="AQ653" s="14">
        <v>18674</v>
      </c>
      <c r="AR653" s="14">
        <v>23000</v>
      </c>
      <c r="AS653" s="14">
        <v>17400</v>
      </c>
      <c r="AT653" s="14">
        <v>18131</v>
      </c>
      <c r="AU653" s="14">
        <v>10</v>
      </c>
      <c r="AV653" s="14">
        <v>214.29</v>
      </c>
      <c r="AW653" s="14">
        <v>23.8</v>
      </c>
      <c r="AX653" s="14">
        <v>7.42</v>
      </c>
      <c r="AY653" s="14" t="b">
        <v>0</v>
      </c>
    </row>
    <row r="654" spans="1:51" hidden="1" x14ac:dyDescent="0.3">
      <c r="A654" t="str">
        <f>CONCATENATE(I654,E654,LEFT(G654,10))</f>
        <v>HFA803LLHA2026-01-09</v>
      </c>
      <c r="B654" s="14" t="s">
        <v>2301</v>
      </c>
      <c r="C654" s="14" t="s">
        <v>336</v>
      </c>
      <c r="D654" s="14" t="s">
        <v>337</v>
      </c>
      <c r="E654" s="14" t="s">
        <v>43</v>
      </c>
      <c r="F654" s="14" t="s">
        <v>87</v>
      </c>
      <c r="G654" s="14" t="s">
        <v>2302</v>
      </c>
      <c r="H654" s="14" t="s">
        <v>371</v>
      </c>
      <c r="I654" s="14" t="s">
        <v>116</v>
      </c>
      <c r="J654" s="14" t="s">
        <v>69</v>
      </c>
      <c r="K654" s="14" t="s">
        <v>349</v>
      </c>
      <c r="L654" s="14" t="s">
        <v>341</v>
      </c>
      <c r="M654" s="16" t="s">
        <v>2303</v>
      </c>
      <c r="N654" s="14"/>
      <c r="O654" s="14" t="s">
        <v>2304</v>
      </c>
      <c r="P654" s="14">
        <v>50</v>
      </c>
      <c r="Q654" s="14">
        <v>2</v>
      </c>
      <c r="R654" s="14">
        <v>6000</v>
      </c>
      <c r="S654" s="14" t="s">
        <v>2305</v>
      </c>
      <c r="T654" s="14" t="s">
        <v>2306</v>
      </c>
      <c r="U654" s="14">
        <v>0.74444444444444402</v>
      </c>
      <c r="V654" s="14">
        <v>0.87138888888888799</v>
      </c>
      <c r="W654" s="14">
        <v>672</v>
      </c>
      <c r="X654" s="14">
        <v>50</v>
      </c>
      <c r="Y654" s="14">
        <v>622</v>
      </c>
      <c r="Z654" s="14">
        <v>1001</v>
      </c>
      <c r="AA654" s="14">
        <v>377</v>
      </c>
      <c r="AB654" s="14">
        <v>278</v>
      </c>
      <c r="AC654" s="14">
        <v>300</v>
      </c>
      <c r="AD654" s="14">
        <v>46</v>
      </c>
      <c r="AE654" s="14">
        <v>1673</v>
      </c>
      <c r="AF654" s="14">
        <v>5000</v>
      </c>
      <c r="AG654" s="14">
        <v>2125</v>
      </c>
      <c r="AH654" s="14">
        <v>0</v>
      </c>
      <c r="AI654" s="14">
        <v>47</v>
      </c>
      <c r="AJ654" s="14">
        <v>128</v>
      </c>
      <c r="AK654" s="14" t="s">
        <v>2302</v>
      </c>
      <c r="AL654" s="14" t="s">
        <v>2307</v>
      </c>
      <c r="AM654" s="14">
        <v>179.36</v>
      </c>
      <c r="AN654" s="14">
        <v>142.63999999999999</v>
      </c>
      <c r="AO654" s="14">
        <v>73.5</v>
      </c>
      <c r="AP654" s="14">
        <v>21173</v>
      </c>
      <c r="AQ654" s="14">
        <v>21123</v>
      </c>
      <c r="AR654" s="14">
        <v>23000</v>
      </c>
      <c r="AS654" s="14">
        <v>19500</v>
      </c>
      <c r="AT654" s="14">
        <v>20501</v>
      </c>
      <c r="AU654" s="14">
        <v>-15</v>
      </c>
      <c r="AV654" s="14">
        <v>262.42</v>
      </c>
      <c r="AW654" s="14">
        <v>46.08</v>
      </c>
      <c r="AX654" s="14">
        <v>-2.44</v>
      </c>
      <c r="AY654" s="14" t="b">
        <v>0</v>
      </c>
    </row>
    <row r="655" spans="1:51" hidden="1" x14ac:dyDescent="0.3">
      <c r="A655" t="str">
        <f>CONCATENATE(I655,E655,LEFT(G655,10))</f>
        <v>HFA803LLHA2026-01-12</v>
      </c>
      <c r="B655" s="14" t="s">
        <v>6051</v>
      </c>
      <c r="C655" s="14" t="s">
        <v>336</v>
      </c>
      <c r="D655" s="14" t="s">
        <v>337</v>
      </c>
      <c r="E655" s="14" t="s">
        <v>43</v>
      </c>
      <c r="F655" s="14" t="s">
        <v>87</v>
      </c>
      <c r="G655" s="14" t="s">
        <v>6052</v>
      </c>
      <c r="H655" s="14" t="s">
        <v>371</v>
      </c>
      <c r="I655" s="14" t="s">
        <v>116</v>
      </c>
      <c r="J655" s="14" t="s">
        <v>69</v>
      </c>
      <c r="K655" s="14" t="s">
        <v>349</v>
      </c>
      <c r="L655" s="14" t="s">
        <v>341</v>
      </c>
      <c r="M655" s="16" t="s">
        <v>6053</v>
      </c>
      <c r="N655" s="14"/>
      <c r="O655" s="14" t="s">
        <v>1568</v>
      </c>
      <c r="P655" s="14">
        <v>50</v>
      </c>
      <c r="Q655" s="14">
        <v>2</v>
      </c>
      <c r="R655" s="14">
        <v>5000</v>
      </c>
      <c r="S655" s="14" t="s">
        <v>6054</v>
      </c>
      <c r="T655" s="14" t="s">
        <v>6055</v>
      </c>
      <c r="U655" s="14">
        <v>0.88500000000000001</v>
      </c>
      <c r="V655" s="14">
        <v>0.98916666666666597</v>
      </c>
      <c r="W655" s="14">
        <v>636</v>
      </c>
      <c r="X655" s="14">
        <v>50</v>
      </c>
      <c r="Y655" s="14">
        <v>586</v>
      </c>
      <c r="Z655" s="14">
        <v>1064</v>
      </c>
      <c r="AA655" s="14">
        <v>363</v>
      </c>
      <c r="AB655" s="14">
        <v>269</v>
      </c>
      <c r="AC655" s="14">
        <v>387</v>
      </c>
      <c r="AD655" s="14">
        <v>45</v>
      </c>
      <c r="AE655" s="14">
        <v>1700</v>
      </c>
      <c r="AF655" s="14">
        <v>5000</v>
      </c>
      <c r="AG655" s="14">
        <v>2010</v>
      </c>
      <c r="AH655" s="14">
        <v>0</v>
      </c>
      <c r="AI655" s="14">
        <v>45</v>
      </c>
      <c r="AJ655" s="14">
        <v>133</v>
      </c>
      <c r="AK655" s="14" t="s">
        <v>6052</v>
      </c>
      <c r="AL655" s="14" t="s">
        <v>6056</v>
      </c>
      <c r="AM655" s="14">
        <v>179.36</v>
      </c>
      <c r="AN655" s="14">
        <v>142.63999999999999</v>
      </c>
      <c r="AO655" s="14">
        <v>73.5</v>
      </c>
      <c r="AP655" s="14">
        <v>20200</v>
      </c>
      <c r="AQ655" s="14">
        <v>20150</v>
      </c>
      <c r="AR655" s="14">
        <v>23000</v>
      </c>
      <c r="AS655" s="14">
        <v>18500</v>
      </c>
      <c r="AT655" s="14">
        <v>19564</v>
      </c>
      <c r="AU655" s="14">
        <v>1</v>
      </c>
      <c r="AV655" s="14">
        <v>239.15</v>
      </c>
      <c r="AW655" s="14">
        <v>43.59</v>
      </c>
      <c r="AX655" s="14">
        <v>-0.42</v>
      </c>
      <c r="AY655" s="14" t="b">
        <v>0</v>
      </c>
    </row>
    <row r="656" spans="1:51" hidden="1" x14ac:dyDescent="0.3">
      <c r="A656" t="str">
        <f>CONCATENATE(I656,E656,LEFT(G656,10))</f>
        <v>HFA803LLHA2026-01-14</v>
      </c>
      <c r="B656" s="14" t="s">
        <v>5757</v>
      </c>
      <c r="C656" s="14" t="s">
        <v>336</v>
      </c>
      <c r="D656" s="14" t="s">
        <v>337</v>
      </c>
      <c r="E656" s="14" t="s">
        <v>43</v>
      </c>
      <c r="F656" s="14" t="s">
        <v>87</v>
      </c>
      <c r="G656" s="14" t="s">
        <v>5758</v>
      </c>
      <c r="H656" s="14" t="s">
        <v>371</v>
      </c>
      <c r="I656" s="14" t="s">
        <v>116</v>
      </c>
      <c r="J656" s="14" t="s">
        <v>69</v>
      </c>
      <c r="K656" s="14" t="s">
        <v>349</v>
      </c>
      <c r="L656" s="14" t="s">
        <v>341</v>
      </c>
      <c r="M656" s="16" t="s">
        <v>5759</v>
      </c>
      <c r="N656" s="14"/>
      <c r="O656" s="14" t="s">
        <v>430</v>
      </c>
      <c r="P656" s="14">
        <v>140</v>
      </c>
      <c r="Q656" s="14">
        <v>2</v>
      </c>
      <c r="R656" s="14">
        <v>6600</v>
      </c>
      <c r="S656" s="14" t="s">
        <v>5760</v>
      </c>
      <c r="T656" s="14" t="s">
        <v>5761</v>
      </c>
      <c r="U656" s="14">
        <v>0.83499999999999996</v>
      </c>
      <c r="V656" s="14">
        <v>0.97333333333333305</v>
      </c>
      <c r="W656" s="14">
        <v>719</v>
      </c>
      <c r="X656" s="14">
        <v>50</v>
      </c>
      <c r="Y656" s="14">
        <v>669</v>
      </c>
      <c r="Z656" s="14">
        <v>789</v>
      </c>
      <c r="AA656" s="14">
        <v>361</v>
      </c>
      <c r="AB656" s="14">
        <v>281</v>
      </c>
      <c r="AC656" s="14">
        <v>100</v>
      </c>
      <c r="AD656" s="14">
        <v>47</v>
      </c>
      <c r="AE656" s="14">
        <v>1509</v>
      </c>
      <c r="AF656" s="14">
        <v>5000</v>
      </c>
      <c r="AG656" s="14">
        <v>2273</v>
      </c>
      <c r="AH656" s="14">
        <v>0</v>
      </c>
      <c r="AI656" s="14">
        <v>52</v>
      </c>
      <c r="AJ656" s="14">
        <v>116</v>
      </c>
      <c r="AK656" s="14" t="s">
        <v>5758</v>
      </c>
      <c r="AL656" s="14" t="s">
        <v>5762</v>
      </c>
      <c r="AM656" s="14">
        <v>179.36</v>
      </c>
      <c r="AN656" s="14">
        <v>142.63999999999999</v>
      </c>
      <c r="AO656" s="14">
        <v>73.5</v>
      </c>
      <c r="AP656" s="14">
        <v>21609</v>
      </c>
      <c r="AQ656" s="14">
        <v>21559</v>
      </c>
      <c r="AR656" s="14">
        <v>23000</v>
      </c>
      <c r="AS656" s="14">
        <v>20100</v>
      </c>
      <c r="AT656" s="14">
        <v>20889</v>
      </c>
      <c r="AU656" s="14">
        <v>-33</v>
      </c>
      <c r="AV656" s="14">
        <v>313.41000000000003</v>
      </c>
      <c r="AW656" s="14">
        <v>54.08</v>
      </c>
      <c r="AX656" s="14">
        <v>-0.56000000000000005</v>
      </c>
      <c r="AY656" s="14" t="b">
        <v>0</v>
      </c>
    </row>
    <row r="657" spans="1:51" hidden="1" x14ac:dyDescent="0.3">
      <c r="A657" t="str">
        <f>CONCATENATE(I657,E657,LEFT(G657,10))</f>
        <v>HFA803LLHA2026-01-15</v>
      </c>
      <c r="B657" s="14" t="s">
        <v>6166</v>
      </c>
      <c r="C657" s="14" t="s">
        <v>336</v>
      </c>
      <c r="D657" s="14" t="s">
        <v>337</v>
      </c>
      <c r="E657" s="14" t="s">
        <v>43</v>
      </c>
      <c r="F657" s="14" t="s">
        <v>87</v>
      </c>
      <c r="G657" s="14" t="s">
        <v>6167</v>
      </c>
      <c r="H657" s="14" t="s">
        <v>371</v>
      </c>
      <c r="I657" s="14" t="s">
        <v>116</v>
      </c>
      <c r="J657" s="14" t="s">
        <v>69</v>
      </c>
      <c r="K657" s="14" t="s">
        <v>349</v>
      </c>
      <c r="L657" s="14" t="s">
        <v>341</v>
      </c>
      <c r="M657" s="16" t="s">
        <v>6168</v>
      </c>
      <c r="N657" s="14"/>
      <c r="O657" s="14" t="s">
        <v>5066</v>
      </c>
      <c r="P657" s="14">
        <v>50</v>
      </c>
      <c r="Q657" s="14">
        <v>2</v>
      </c>
      <c r="R657" s="14">
        <v>5500</v>
      </c>
      <c r="S657" s="14" t="s">
        <v>6169</v>
      </c>
      <c r="T657" s="14" t="s">
        <v>6170</v>
      </c>
      <c r="U657" s="14">
        <v>0.78500000000000003</v>
      </c>
      <c r="V657" s="14">
        <v>0.94444444444444398</v>
      </c>
      <c r="W657" s="14">
        <v>670</v>
      </c>
      <c r="X657" s="14">
        <v>50</v>
      </c>
      <c r="Y657" s="14">
        <v>620</v>
      </c>
      <c r="Z657" s="14">
        <v>757</v>
      </c>
      <c r="AA657" s="14">
        <v>341</v>
      </c>
      <c r="AB657" s="14">
        <v>271</v>
      </c>
      <c r="AC657" s="14">
        <v>100</v>
      </c>
      <c r="AD657" s="14">
        <v>45</v>
      </c>
      <c r="AE657" s="14">
        <v>1427</v>
      </c>
      <c r="AF657" s="14">
        <v>5000</v>
      </c>
      <c r="AG657" s="14">
        <v>2119</v>
      </c>
      <c r="AH657" s="14">
        <v>0</v>
      </c>
      <c r="AI657" s="14">
        <v>49</v>
      </c>
      <c r="AJ657" s="14">
        <v>112</v>
      </c>
      <c r="AK657" s="14" t="s">
        <v>6167</v>
      </c>
      <c r="AL657" s="14" t="s">
        <v>6171</v>
      </c>
      <c r="AM657" s="14">
        <v>179.36</v>
      </c>
      <c r="AN657" s="14">
        <v>142.63999999999999</v>
      </c>
      <c r="AO657" s="14">
        <v>73.5</v>
      </c>
      <c r="AP657" s="14">
        <v>20427</v>
      </c>
      <c r="AQ657" s="14">
        <v>20377</v>
      </c>
      <c r="AR657" s="14">
        <v>23000</v>
      </c>
      <c r="AS657" s="14">
        <v>19000</v>
      </c>
      <c r="AT657" s="14">
        <v>19757</v>
      </c>
      <c r="AU657" s="14">
        <v>-20</v>
      </c>
      <c r="AV657" s="14">
        <v>324.67</v>
      </c>
      <c r="AW657" s="14">
        <v>30.56</v>
      </c>
      <c r="AX657" s="14">
        <v>2.38</v>
      </c>
      <c r="AY657" s="14" t="b">
        <v>0</v>
      </c>
    </row>
    <row r="658" spans="1:51" hidden="1" x14ac:dyDescent="0.3">
      <c r="A658" t="str">
        <f>CONCATENATE(I658,E658,LEFT(G658,10))</f>
        <v>HFA803LLHA2026-01-16</v>
      </c>
      <c r="B658" s="14" t="s">
        <v>5031</v>
      </c>
      <c r="C658" s="14" t="s">
        <v>336</v>
      </c>
      <c r="D658" s="14" t="s">
        <v>337</v>
      </c>
      <c r="E658" s="14" t="s">
        <v>43</v>
      </c>
      <c r="F658" s="14" t="s">
        <v>87</v>
      </c>
      <c r="G658" s="14" t="s">
        <v>5032</v>
      </c>
      <c r="H658" s="14" t="s">
        <v>371</v>
      </c>
      <c r="I658" s="14" t="s">
        <v>116</v>
      </c>
      <c r="J658" s="14" t="s">
        <v>69</v>
      </c>
      <c r="K658" s="14" t="s">
        <v>349</v>
      </c>
      <c r="L658" s="14" t="s">
        <v>341</v>
      </c>
      <c r="M658" s="16" t="s">
        <v>5033</v>
      </c>
      <c r="N658" s="14"/>
      <c r="O658" s="14" t="s">
        <v>380</v>
      </c>
      <c r="P658" s="14">
        <v>50</v>
      </c>
      <c r="Q658" s="14">
        <v>2</v>
      </c>
      <c r="R658" s="14">
        <v>4000</v>
      </c>
      <c r="S658" s="14" t="s">
        <v>5034</v>
      </c>
      <c r="T658" s="14" t="s">
        <v>5035</v>
      </c>
      <c r="U658" s="14">
        <v>0.68555555555555503</v>
      </c>
      <c r="V658" s="14">
        <v>0.82805555555555499</v>
      </c>
      <c r="W658" s="14">
        <v>645</v>
      </c>
      <c r="X658" s="14">
        <v>50</v>
      </c>
      <c r="Y658" s="14">
        <v>595</v>
      </c>
      <c r="Z658" s="14">
        <v>855</v>
      </c>
      <c r="AA658" s="14">
        <v>339</v>
      </c>
      <c r="AB658" s="14">
        <v>259</v>
      </c>
      <c r="AC658" s="14">
        <v>214</v>
      </c>
      <c r="AD658" s="14">
        <v>43</v>
      </c>
      <c r="AE658" s="14">
        <v>1500</v>
      </c>
      <c r="AF658" s="14">
        <v>5000</v>
      </c>
      <c r="AG658" s="14">
        <v>2040</v>
      </c>
      <c r="AH658" s="14">
        <v>0</v>
      </c>
      <c r="AI658" s="14">
        <v>48</v>
      </c>
      <c r="AJ658" s="14">
        <v>120</v>
      </c>
      <c r="AK658" s="14" t="s">
        <v>5032</v>
      </c>
      <c r="AL658" s="14" t="s">
        <v>5036</v>
      </c>
      <c r="AM658" s="14">
        <v>179.36</v>
      </c>
      <c r="AN658" s="14">
        <v>142.63999999999999</v>
      </c>
      <c r="AO658" s="14">
        <v>73.5</v>
      </c>
      <c r="AP658" s="14">
        <v>19000</v>
      </c>
      <c r="AQ658" s="14">
        <v>18950</v>
      </c>
      <c r="AR658" s="14">
        <v>23000</v>
      </c>
      <c r="AS658" s="14">
        <v>17500</v>
      </c>
      <c r="AT658" s="14">
        <v>18355</v>
      </c>
      <c r="AU658" s="14">
        <v>-9</v>
      </c>
      <c r="AV658" s="14">
        <v>287.32</v>
      </c>
      <c r="AW658" s="14">
        <v>17.739999999999998</v>
      </c>
      <c r="AX658" s="14">
        <v>1.98</v>
      </c>
      <c r="AY658" s="14" t="b">
        <v>0</v>
      </c>
    </row>
    <row r="659" spans="1:51" hidden="1" x14ac:dyDescent="0.3">
      <c r="A659" t="str">
        <f>CONCATENATE(I659,E659,LEFT(G659,10))</f>
        <v>HFA803LLHA2026-01-18</v>
      </c>
      <c r="B659" s="14" t="s">
        <v>5574</v>
      </c>
      <c r="C659" s="14" t="s">
        <v>336</v>
      </c>
      <c r="D659" s="14" t="s">
        <v>337</v>
      </c>
      <c r="E659" s="14" t="s">
        <v>43</v>
      </c>
      <c r="F659" s="14" t="s">
        <v>87</v>
      </c>
      <c r="G659" s="14" t="s">
        <v>5575</v>
      </c>
      <c r="H659" s="14" t="s">
        <v>339</v>
      </c>
      <c r="I659" s="14" t="s">
        <v>116</v>
      </c>
      <c r="J659" s="14" t="s">
        <v>69</v>
      </c>
      <c r="K659" s="14" t="s">
        <v>349</v>
      </c>
      <c r="L659" s="14" t="s">
        <v>341</v>
      </c>
      <c r="M659" s="16" t="s">
        <v>5576</v>
      </c>
      <c r="N659" s="14"/>
      <c r="O659" s="14" t="s">
        <v>3738</v>
      </c>
      <c r="P659" s="14">
        <v>50</v>
      </c>
      <c r="Q659" s="14">
        <v>2</v>
      </c>
      <c r="R659" s="14">
        <v>2300</v>
      </c>
      <c r="S659" s="14" t="s">
        <v>5577</v>
      </c>
      <c r="T659" s="14" t="s">
        <v>5578</v>
      </c>
      <c r="U659" s="14">
        <v>0.74916666666666598</v>
      </c>
      <c r="V659" s="14">
        <v>0.956666666666666</v>
      </c>
      <c r="W659" s="14">
        <v>640</v>
      </c>
      <c r="X659" s="14">
        <v>50</v>
      </c>
      <c r="Y659" s="14">
        <v>590</v>
      </c>
      <c r="Z659" s="14">
        <v>880</v>
      </c>
      <c r="AA659" s="14">
        <v>332</v>
      </c>
      <c r="AB659" s="14">
        <v>245</v>
      </c>
      <c r="AC659" s="14">
        <v>262</v>
      </c>
      <c r="AD659" s="14">
        <v>41</v>
      </c>
      <c r="AE659" s="14">
        <v>1520</v>
      </c>
      <c r="AF659" s="14">
        <v>5000</v>
      </c>
      <c r="AG659" s="14">
        <v>2023</v>
      </c>
      <c r="AH659" s="14">
        <v>0</v>
      </c>
      <c r="AI659" s="14">
        <v>46</v>
      </c>
      <c r="AJ659" s="14">
        <v>123</v>
      </c>
      <c r="AK659" s="14" t="s">
        <v>5575</v>
      </c>
      <c r="AL659" s="14" t="s">
        <v>5579</v>
      </c>
      <c r="AM659" s="14">
        <v>179.36</v>
      </c>
      <c r="AN659" s="14">
        <v>142.63999999999999</v>
      </c>
      <c r="AO659" s="14">
        <v>73.5</v>
      </c>
      <c r="AP659" s="14">
        <v>17145</v>
      </c>
      <c r="AQ659" s="14">
        <v>17095</v>
      </c>
      <c r="AR659" s="14">
        <v>23000</v>
      </c>
      <c r="AS659" s="14">
        <v>15625</v>
      </c>
      <c r="AT659" s="14">
        <v>16505</v>
      </c>
      <c r="AU659" s="14">
        <v>-12</v>
      </c>
      <c r="AV659" s="14">
        <v>273.3</v>
      </c>
      <c r="AW659" s="14">
        <v>27.79</v>
      </c>
      <c r="AX659" s="14">
        <v>-2.16</v>
      </c>
      <c r="AY659" s="14" t="b">
        <v>0</v>
      </c>
    </row>
    <row r="660" spans="1:51" hidden="1" x14ac:dyDescent="0.3">
      <c r="A660" t="str">
        <f>CONCATENATE(I660,E660,LEFT(G660,10))</f>
        <v>HFA803LLHA2026-01-19</v>
      </c>
      <c r="B660" s="14" t="s">
        <v>5954</v>
      </c>
      <c r="C660" s="14" t="s">
        <v>336</v>
      </c>
      <c r="D660" s="14" t="s">
        <v>337</v>
      </c>
      <c r="E660" s="14" t="s">
        <v>43</v>
      </c>
      <c r="F660" s="14" t="s">
        <v>87</v>
      </c>
      <c r="G660" s="14" t="s">
        <v>5955</v>
      </c>
      <c r="H660" s="14" t="s">
        <v>371</v>
      </c>
      <c r="I660" s="14" t="s">
        <v>116</v>
      </c>
      <c r="J660" s="14" t="s">
        <v>69</v>
      </c>
      <c r="K660" s="14" t="s">
        <v>349</v>
      </c>
      <c r="L660" s="14" t="s">
        <v>341</v>
      </c>
      <c r="M660" s="16" t="s">
        <v>1808</v>
      </c>
      <c r="N660" s="14"/>
      <c r="O660" s="14" t="s">
        <v>5956</v>
      </c>
      <c r="P660" s="14">
        <v>50</v>
      </c>
      <c r="Q660" s="14">
        <v>2</v>
      </c>
      <c r="R660" s="14">
        <v>1900</v>
      </c>
      <c r="S660" s="14" t="s">
        <v>5957</v>
      </c>
      <c r="T660" s="14" t="s">
        <v>5958</v>
      </c>
      <c r="U660" s="14">
        <v>0.74944444444444402</v>
      </c>
      <c r="V660" s="14">
        <v>0.85666666666666602</v>
      </c>
      <c r="W660" s="14">
        <v>676</v>
      </c>
      <c r="X660" s="14">
        <v>50</v>
      </c>
      <c r="Y660" s="14">
        <v>626</v>
      </c>
      <c r="Z660" s="14">
        <v>719</v>
      </c>
      <c r="AA660" s="14">
        <v>337</v>
      </c>
      <c r="AB660" s="14">
        <v>242</v>
      </c>
      <c r="AC660" s="14">
        <v>100</v>
      </c>
      <c r="AD660" s="14">
        <v>40</v>
      </c>
      <c r="AE660" s="14">
        <v>1394</v>
      </c>
      <c r="AF660" s="14">
        <v>5000</v>
      </c>
      <c r="AG660" s="14">
        <v>2135</v>
      </c>
      <c r="AH660" s="14">
        <v>0</v>
      </c>
      <c r="AI660" s="14">
        <v>48</v>
      </c>
      <c r="AJ660" s="14">
        <v>111</v>
      </c>
      <c r="AK660" s="14" t="s">
        <v>5955</v>
      </c>
      <c r="AL660" s="14" t="s">
        <v>5959</v>
      </c>
      <c r="AM660" s="14">
        <v>179.36</v>
      </c>
      <c r="AN660" s="14">
        <v>142.63999999999999</v>
      </c>
      <c r="AO660" s="14">
        <v>73.5</v>
      </c>
      <c r="AP660" s="14">
        <v>16794</v>
      </c>
      <c r="AQ660" s="14">
        <v>16744</v>
      </c>
      <c r="AR660" s="14">
        <v>23000</v>
      </c>
      <c r="AS660" s="14">
        <v>15400</v>
      </c>
      <c r="AT660" s="14">
        <v>16119</v>
      </c>
      <c r="AU660" s="14">
        <v>-23</v>
      </c>
      <c r="AV660" s="14">
        <v>292.24</v>
      </c>
      <c r="AW660" s="14">
        <v>39.21</v>
      </c>
      <c r="AX660" s="14">
        <v>-2.67</v>
      </c>
      <c r="AY660" s="14" t="b">
        <v>0</v>
      </c>
    </row>
    <row r="661" spans="1:51" hidden="1" x14ac:dyDescent="0.3">
      <c r="A661" t="str">
        <f>CONCATENATE(I661,E661,LEFT(G661,10))</f>
        <v>HFA803LLHA2026-01-21</v>
      </c>
      <c r="B661" s="14" t="s">
        <v>1565</v>
      </c>
      <c r="C661" s="14" t="s">
        <v>336</v>
      </c>
      <c r="D661" s="14" t="s">
        <v>337</v>
      </c>
      <c r="E661" s="14" t="s">
        <v>43</v>
      </c>
      <c r="F661" s="14" t="s">
        <v>87</v>
      </c>
      <c r="G661" s="14" t="s">
        <v>1566</v>
      </c>
      <c r="H661" s="14" t="s">
        <v>393</v>
      </c>
      <c r="I661" s="14" t="s">
        <v>116</v>
      </c>
      <c r="J661" s="14" t="s">
        <v>69</v>
      </c>
      <c r="K661" s="14" t="s">
        <v>349</v>
      </c>
      <c r="L661" s="14" t="s">
        <v>341</v>
      </c>
      <c r="M661" s="16" t="s">
        <v>1567</v>
      </c>
      <c r="N661" s="14"/>
      <c r="O661" s="14" t="s">
        <v>1568</v>
      </c>
      <c r="P661" s="14">
        <v>50</v>
      </c>
      <c r="Q661" s="14">
        <v>2</v>
      </c>
      <c r="R661" s="14">
        <v>6200</v>
      </c>
      <c r="S661" s="14" t="s">
        <v>1569</v>
      </c>
      <c r="T661" s="14" t="s">
        <v>1570</v>
      </c>
      <c r="U661" s="14">
        <v>0.868611111111111</v>
      </c>
      <c r="V661" s="14">
        <v>1.1897222222222199</v>
      </c>
      <c r="W661" s="14">
        <v>719</v>
      </c>
      <c r="X661" s="14">
        <v>50</v>
      </c>
      <c r="Y661" s="14">
        <v>669</v>
      </c>
      <c r="Z661" s="14">
        <v>1581</v>
      </c>
      <c r="AA661" s="14">
        <v>342</v>
      </c>
      <c r="AB661" s="14">
        <v>283</v>
      </c>
      <c r="AC661" s="14">
        <v>908</v>
      </c>
      <c r="AD661" s="14">
        <v>47</v>
      </c>
      <c r="AE661" s="14">
        <v>2300</v>
      </c>
      <c r="AF661" s="14">
        <v>5000</v>
      </c>
      <c r="AG661" s="14">
        <v>2273</v>
      </c>
      <c r="AH661" s="14">
        <v>0</v>
      </c>
      <c r="AI661" s="14">
        <v>48</v>
      </c>
      <c r="AJ661" s="14">
        <v>172</v>
      </c>
      <c r="AK661" s="14" t="s">
        <v>1566</v>
      </c>
      <c r="AL661" s="14" t="s">
        <v>1571</v>
      </c>
      <c r="AM661" s="14">
        <v>179.36</v>
      </c>
      <c r="AN661" s="14">
        <v>142.63999999999999</v>
      </c>
      <c r="AO661" s="14">
        <v>73.5</v>
      </c>
      <c r="AP661" s="14">
        <v>21811</v>
      </c>
      <c r="AQ661" s="14">
        <v>21761</v>
      </c>
      <c r="AR661" s="14">
        <v>23000</v>
      </c>
      <c r="AS661" s="14">
        <v>19511</v>
      </c>
      <c r="AT661" s="14">
        <v>21092</v>
      </c>
      <c r="AU661" s="14">
        <v>-10</v>
      </c>
      <c r="AV661" s="14">
        <v>295.57</v>
      </c>
      <c r="AW661" s="14">
        <v>16.36</v>
      </c>
      <c r="AX661" s="14">
        <v>2.2799999999999998</v>
      </c>
      <c r="AY661" s="14" t="b">
        <v>0</v>
      </c>
    </row>
    <row r="662" spans="1:51" hidden="1" x14ac:dyDescent="0.3">
      <c r="A662" t="str">
        <f>CONCATENATE(I662,E662,LEFT(G662,10))</f>
        <v>HFA803LLHA2026-01-22</v>
      </c>
      <c r="B662" s="14" t="s">
        <v>2110</v>
      </c>
      <c r="C662" s="14" t="s">
        <v>336</v>
      </c>
      <c r="D662" s="14" t="s">
        <v>337</v>
      </c>
      <c r="E662" s="14" t="s">
        <v>43</v>
      </c>
      <c r="F662" s="14" t="s">
        <v>87</v>
      </c>
      <c r="G662" s="14" t="s">
        <v>2111</v>
      </c>
      <c r="H662" s="14" t="s">
        <v>393</v>
      </c>
      <c r="I662" s="14" t="s">
        <v>116</v>
      </c>
      <c r="J662" s="14" t="s">
        <v>69</v>
      </c>
      <c r="K662" s="14" t="s">
        <v>349</v>
      </c>
      <c r="L662" s="14" t="s">
        <v>341</v>
      </c>
      <c r="M662" s="16" t="s">
        <v>2112</v>
      </c>
      <c r="N662" s="14"/>
      <c r="O662" s="14" t="s">
        <v>380</v>
      </c>
      <c r="P662" s="14">
        <v>50</v>
      </c>
      <c r="Q662" s="14">
        <v>2</v>
      </c>
      <c r="R662" s="14">
        <v>6500</v>
      </c>
      <c r="S662" s="14" t="s">
        <v>2113</v>
      </c>
      <c r="T662" s="14" t="s">
        <v>2114</v>
      </c>
      <c r="U662" s="14">
        <v>0.83833333333333304</v>
      </c>
      <c r="V662" s="14">
        <v>1.04416666666666</v>
      </c>
      <c r="W662" s="14">
        <v>690</v>
      </c>
      <c r="X662" s="14">
        <v>50</v>
      </c>
      <c r="Y662" s="14">
        <v>640</v>
      </c>
      <c r="Z662" s="14">
        <v>2110</v>
      </c>
      <c r="AA662" s="14">
        <v>370</v>
      </c>
      <c r="AB662" s="14">
        <v>292</v>
      </c>
      <c r="AC662" s="14">
        <v>1400</v>
      </c>
      <c r="AD662" s="14">
        <v>49</v>
      </c>
      <c r="AE662" s="14">
        <v>2800</v>
      </c>
      <c r="AF662" s="14">
        <v>5000</v>
      </c>
      <c r="AG662" s="14">
        <v>2181</v>
      </c>
      <c r="AH662" s="14">
        <v>0</v>
      </c>
      <c r="AI662" s="14">
        <v>46</v>
      </c>
      <c r="AJ662" s="14">
        <v>210</v>
      </c>
      <c r="AK662" s="14" t="s">
        <v>2111</v>
      </c>
      <c r="AL662" s="14" t="s">
        <v>2115</v>
      </c>
      <c r="AM662" s="14">
        <v>179.36</v>
      </c>
      <c r="AN662" s="14">
        <v>142.63999999999999</v>
      </c>
      <c r="AO662" s="14">
        <v>73.5</v>
      </c>
      <c r="AP662" s="14">
        <v>22611</v>
      </c>
      <c r="AQ662" s="14">
        <v>22561</v>
      </c>
      <c r="AR662" s="14">
        <v>23000</v>
      </c>
      <c r="AS662" s="14">
        <v>19811</v>
      </c>
      <c r="AT662" s="14">
        <v>21921</v>
      </c>
      <c r="AU662" s="14">
        <v>6</v>
      </c>
      <c r="AV662" s="14">
        <v>235.92</v>
      </c>
      <c r="AW662" s="14">
        <v>33.79</v>
      </c>
      <c r="AX662" s="14">
        <v>3.97</v>
      </c>
      <c r="AY662" s="14" t="b">
        <v>0</v>
      </c>
    </row>
    <row r="663" spans="1:51" hidden="1" x14ac:dyDescent="0.3">
      <c r="A663" t="str">
        <f>CONCATENATE(I663,E663,LEFT(G663,10))</f>
        <v>HFA803LLHA2026-01-23</v>
      </c>
      <c r="B663" s="14" t="s">
        <v>5099</v>
      </c>
      <c r="C663" s="14" t="s">
        <v>336</v>
      </c>
      <c r="D663" s="14" t="s">
        <v>337</v>
      </c>
      <c r="E663" s="14" t="s">
        <v>43</v>
      </c>
      <c r="F663" s="14" t="s">
        <v>87</v>
      </c>
      <c r="G663" s="14" t="s">
        <v>5100</v>
      </c>
      <c r="H663" s="14" t="s">
        <v>339</v>
      </c>
      <c r="I663" s="14" t="s">
        <v>116</v>
      </c>
      <c r="J663" s="14" t="s">
        <v>69</v>
      </c>
      <c r="K663" s="14" t="s">
        <v>349</v>
      </c>
      <c r="L663" s="14" t="s">
        <v>341</v>
      </c>
      <c r="M663" s="16" t="s">
        <v>5101</v>
      </c>
      <c r="N663" s="14"/>
      <c r="O663" s="14" t="s">
        <v>5102</v>
      </c>
      <c r="P663" s="14">
        <v>50</v>
      </c>
      <c r="Q663" s="14">
        <v>2</v>
      </c>
      <c r="R663" s="14">
        <v>5750</v>
      </c>
      <c r="S663" s="14" t="s">
        <v>5103</v>
      </c>
      <c r="T663" s="14" t="s">
        <v>5104</v>
      </c>
      <c r="U663" s="14">
        <v>0.77277777777777701</v>
      </c>
      <c r="V663" s="14">
        <v>0.918333333333333</v>
      </c>
      <c r="W663" s="14">
        <v>633</v>
      </c>
      <c r="X663" s="14">
        <v>50</v>
      </c>
      <c r="Y663" s="14">
        <v>583</v>
      </c>
      <c r="Z663" s="14">
        <v>759</v>
      </c>
      <c r="AA663" s="14">
        <v>342</v>
      </c>
      <c r="AB663" s="14">
        <v>272</v>
      </c>
      <c r="AC663" s="14">
        <v>100</v>
      </c>
      <c r="AD663" s="14">
        <v>45</v>
      </c>
      <c r="AE663" s="14">
        <v>1392</v>
      </c>
      <c r="AF663" s="14">
        <v>5000</v>
      </c>
      <c r="AG663" s="14">
        <v>2000</v>
      </c>
      <c r="AH663" s="14">
        <v>0</v>
      </c>
      <c r="AI663" s="14">
        <v>46</v>
      </c>
      <c r="AJ663" s="14">
        <v>110</v>
      </c>
      <c r="AK663" s="14" t="s">
        <v>5100</v>
      </c>
      <c r="AL663" s="14" t="s">
        <v>5105</v>
      </c>
      <c r="AM663" s="14">
        <v>179.36</v>
      </c>
      <c r="AN663" s="14">
        <v>142.63999999999999</v>
      </c>
      <c r="AO663" s="14">
        <v>73.5</v>
      </c>
      <c r="AP663" s="14">
        <v>20467</v>
      </c>
      <c r="AQ663" s="14">
        <v>20417</v>
      </c>
      <c r="AR663" s="14">
        <v>23000</v>
      </c>
      <c r="AS663" s="14">
        <v>19075</v>
      </c>
      <c r="AT663" s="14">
        <v>19834</v>
      </c>
      <c r="AU663" s="14">
        <v>-4</v>
      </c>
      <c r="AV663" s="14">
        <v>250.89</v>
      </c>
      <c r="AW663" s="14">
        <v>27.2</v>
      </c>
      <c r="AX663" s="14">
        <v>1.4</v>
      </c>
      <c r="AY663" s="14" t="b">
        <v>0</v>
      </c>
    </row>
    <row r="664" spans="1:51" hidden="1" x14ac:dyDescent="0.3">
      <c r="A664" t="str">
        <f>CONCATENATE(I664,E664,LEFT(G664,10))</f>
        <v>HFA803LLHA2026-01-25</v>
      </c>
      <c r="B664" s="14" t="s">
        <v>5239</v>
      </c>
      <c r="C664" s="14" t="s">
        <v>336</v>
      </c>
      <c r="D664" s="14" t="s">
        <v>337</v>
      </c>
      <c r="E664" s="14" t="s">
        <v>43</v>
      </c>
      <c r="F664" s="14" t="s">
        <v>87</v>
      </c>
      <c r="G664" s="14" t="s">
        <v>5240</v>
      </c>
      <c r="H664" s="14" t="s">
        <v>371</v>
      </c>
      <c r="I664" s="14" t="s">
        <v>116</v>
      </c>
      <c r="J664" s="14" t="s">
        <v>69</v>
      </c>
      <c r="K664" s="14" t="s">
        <v>349</v>
      </c>
      <c r="L664" s="14" t="s">
        <v>341</v>
      </c>
      <c r="M664" s="16" t="s">
        <v>5241</v>
      </c>
      <c r="N664" s="14"/>
      <c r="O664" s="14" t="s">
        <v>380</v>
      </c>
      <c r="P664" s="14">
        <v>50</v>
      </c>
      <c r="Q664" s="14">
        <v>2</v>
      </c>
      <c r="R664" s="14">
        <v>5500</v>
      </c>
      <c r="S664" s="14" t="s">
        <v>5242</v>
      </c>
      <c r="T664" s="14" t="s">
        <v>5243</v>
      </c>
      <c r="U664" s="14">
        <v>0.72083333333333299</v>
      </c>
      <c r="V664" s="14">
        <v>0.89361111111111102</v>
      </c>
      <c r="W664" s="14">
        <v>651</v>
      </c>
      <c r="X664" s="14">
        <v>50</v>
      </c>
      <c r="Y664" s="14">
        <v>601</v>
      </c>
      <c r="Z664" s="14">
        <v>779</v>
      </c>
      <c r="AA664" s="14">
        <v>336</v>
      </c>
      <c r="AB664" s="14">
        <v>271</v>
      </c>
      <c r="AC664" s="14">
        <v>127</v>
      </c>
      <c r="AD664" s="14">
        <v>45</v>
      </c>
      <c r="AE664" s="14">
        <v>1430</v>
      </c>
      <c r="AF664" s="14">
        <v>5000</v>
      </c>
      <c r="AG664" s="14">
        <v>2059</v>
      </c>
      <c r="AH664" s="14">
        <v>0</v>
      </c>
      <c r="AI664" s="14">
        <v>48</v>
      </c>
      <c r="AJ664" s="14">
        <v>113</v>
      </c>
      <c r="AK664" s="14" t="s">
        <v>5240</v>
      </c>
      <c r="AL664" s="14" t="s">
        <v>5244</v>
      </c>
      <c r="AM664" s="14">
        <v>179.36</v>
      </c>
      <c r="AN664" s="14">
        <v>142.63999999999999</v>
      </c>
      <c r="AO664" s="14">
        <v>73.5</v>
      </c>
      <c r="AP664" s="14">
        <v>20430</v>
      </c>
      <c r="AQ664" s="14">
        <v>20380</v>
      </c>
      <c r="AR664" s="14">
        <v>23000</v>
      </c>
      <c r="AS664" s="14">
        <v>19000</v>
      </c>
      <c r="AT664" s="14">
        <v>19779</v>
      </c>
      <c r="AU664" s="14">
        <v>-10</v>
      </c>
      <c r="AV664" s="14">
        <v>287.87</v>
      </c>
      <c r="AW664" s="14">
        <v>18.22</v>
      </c>
      <c r="AX664" s="14">
        <v>3.84</v>
      </c>
      <c r="AY664" s="14" t="b">
        <v>0</v>
      </c>
    </row>
    <row r="665" spans="1:51" hidden="1" x14ac:dyDescent="0.3">
      <c r="A665" t="str">
        <f>CONCATENATE(I665,E665,LEFT(G665,10))</f>
        <v>HFA803LLHA2026-01-27</v>
      </c>
      <c r="B665" s="14" t="s">
        <v>976</v>
      </c>
      <c r="C665" s="14" t="s">
        <v>336</v>
      </c>
      <c r="D665" s="14" t="s">
        <v>337</v>
      </c>
      <c r="E665" s="14" t="s">
        <v>43</v>
      </c>
      <c r="F665" s="14" t="s">
        <v>87</v>
      </c>
      <c r="G665" s="14" t="s">
        <v>977</v>
      </c>
      <c r="H665" s="14" t="s">
        <v>339</v>
      </c>
      <c r="I665" s="14" t="s">
        <v>116</v>
      </c>
      <c r="J665" s="14" t="s">
        <v>69</v>
      </c>
      <c r="K665" s="14" t="s">
        <v>349</v>
      </c>
      <c r="L665" s="14" t="s">
        <v>341</v>
      </c>
      <c r="M665" s="16" t="s">
        <v>978</v>
      </c>
      <c r="N665" s="14"/>
      <c r="O665" s="14" t="s">
        <v>380</v>
      </c>
      <c r="P665" s="14">
        <v>50</v>
      </c>
      <c r="Q665" s="14">
        <v>2</v>
      </c>
      <c r="R665" s="14">
        <v>3500</v>
      </c>
      <c r="S665" s="14" t="s">
        <v>979</v>
      </c>
      <c r="T665" s="14" t="s">
        <v>980</v>
      </c>
      <c r="U665" s="14">
        <v>0.75166666666666604</v>
      </c>
      <c r="V665" s="14">
        <v>0.84083333333333299</v>
      </c>
      <c r="W665" s="14">
        <v>598</v>
      </c>
      <c r="X665" s="14">
        <v>50</v>
      </c>
      <c r="Y665" s="14">
        <v>548</v>
      </c>
      <c r="Z665" s="14">
        <v>827</v>
      </c>
      <c r="AA665" s="14">
        <v>332</v>
      </c>
      <c r="AB665" s="14">
        <v>253</v>
      </c>
      <c r="AC665" s="14">
        <v>200</v>
      </c>
      <c r="AD665" s="14">
        <v>42</v>
      </c>
      <c r="AE665" s="14">
        <v>1425</v>
      </c>
      <c r="AF665" s="14">
        <v>5000</v>
      </c>
      <c r="AG665" s="14">
        <v>1890</v>
      </c>
      <c r="AH665" s="14">
        <v>0</v>
      </c>
      <c r="AI665" s="14">
        <v>44</v>
      </c>
      <c r="AJ665" s="14">
        <v>115</v>
      </c>
      <c r="AK665" s="14" t="s">
        <v>977</v>
      </c>
      <c r="AL665" s="14" t="s">
        <v>981</v>
      </c>
      <c r="AM665" s="14">
        <v>179.36</v>
      </c>
      <c r="AN665" s="14">
        <v>142.63999999999999</v>
      </c>
      <c r="AO665" s="14">
        <v>73.5</v>
      </c>
      <c r="AP665" s="14">
        <v>18250</v>
      </c>
      <c r="AQ665" s="14">
        <v>18200</v>
      </c>
      <c r="AR665" s="14">
        <v>23000</v>
      </c>
      <c r="AS665" s="14">
        <v>16825</v>
      </c>
      <c r="AT665" s="14">
        <v>17652</v>
      </c>
      <c r="AU665" s="14">
        <v>9</v>
      </c>
      <c r="AV665" s="14">
        <v>222.61</v>
      </c>
      <c r="AW665" s="14">
        <v>31.53</v>
      </c>
      <c r="AX665" s="14">
        <v>0.17</v>
      </c>
      <c r="AY665" s="14" t="b">
        <v>0</v>
      </c>
    </row>
    <row r="666" spans="1:51" hidden="1" x14ac:dyDescent="0.3">
      <c r="A666" t="str">
        <f>CONCATENATE(I666,E666,LEFT(G666,10))</f>
        <v>HFA803LLHA2026-01-29</v>
      </c>
      <c r="B666" s="14" t="s">
        <v>6321</v>
      </c>
      <c r="C666" s="14" t="s">
        <v>336</v>
      </c>
      <c r="D666" s="14" t="s">
        <v>337</v>
      </c>
      <c r="E666" s="14" t="s">
        <v>43</v>
      </c>
      <c r="F666" s="14" t="s">
        <v>87</v>
      </c>
      <c r="G666" s="14" t="s">
        <v>6322</v>
      </c>
      <c r="H666" s="14" t="s">
        <v>371</v>
      </c>
      <c r="I666" s="14" t="s">
        <v>116</v>
      </c>
      <c r="J666" s="14" t="s">
        <v>69</v>
      </c>
      <c r="K666" s="14" t="s">
        <v>349</v>
      </c>
      <c r="L666" s="14" t="s">
        <v>341</v>
      </c>
      <c r="M666" s="16" t="s">
        <v>6323</v>
      </c>
      <c r="N666" s="14"/>
      <c r="O666" s="14" t="s">
        <v>380</v>
      </c>
      <c r="P666" s="14">
        <v>50</v>
      </c>
      <c r="Q666" s="14">
        <v>3</v>
      </c>
      <c r="R666" s="14">
        <v>5500</v>
      </c>
      <c r="S666" s="14" t="s">
        <v>6324</v>
      </c>
      <c r="T666" s="14" t="s">
        <v>6325</v>
      </c>
      <c r="U666" s="14">
        <v>0.72527777777777702</v>
      </c>
      <c r="V666" s="14">
        <v>0.84194444444444405</v>
      </c>
      <c r="W666" s="14">
        <v>667</v>
      </c>
      <c r="X666" s="14">
        <v>50</v>
      </c>
      <c r="Y666" s="14">
        <v>617</v>
      </c>
      <c r="Z666" s="14">
        <v>761</v>
      </c>
      <c r="AA666" s="14">
        <v>345</v>
      </c>
      <c r="AB666" s="14">
        <v>271</v>
      </c>
      <c r="AC666" s="14">
        <v>100</v>
      </c>
      <c r="AD666" s="14">
        <v>45</v>
      </c>
      <c r="AE666" s="14">
        <v>1428</v>
      </c>
      <c r="AF666" s="14">
        <v>5000</v>
      </c>
      <c r="AG666" s="14">
        <v>2106</v>
      </c>
      <c r="AH666" s="14">
        <v>0</v>
      </c>
      <c r="AI666" s="14">
        <v>48</v>
      </c>
      <c r="AJ666" s="14">
        <v>112</v>
      </c>
      <c r="AK666" s="14" t="s">
        <v>6322</v>
      </c>
      <c r="AL666" s="14" t="s">
        <v>6326</v>
      </c>
      <c r="AM666" s="14">
        <v>179.36</v>
      </c>
      <c r="AN666" s="14">
        <v>142.63999999999999</v>
      </c>
      <c r="AO666" s="14">
        <v>73.5</v>
      </c>
      <c r="AP666" s="14">
        <v>20428</v>
      </c>
      <c r="AQ666" s="14">
        <v>20378</v>
      </c>
      <c r="AR666" s="14">
        <v>23000</v>
      </c>
      <c r="AS666" s="14">
        <v>19000</v>
      </c>
      <c r="AT666" s="14">
        <v>19761</v>
      </c>
      <c r="AU666" s="14">
        <v>-14</v>
      </c>
      <c r="AV666" s="14">
        <v>283.56</v>
      </c>
      <c r="AW666" s="14">
        <v>25.51</v>
      </c>
      <c r="AX666" s="14">
        <v>2.56</v>
      </c>
      <c r="AY666" s="14" t="b">
        <v>0</v>
      </c>
    </row>
    <row r="667" spans="1:51" hidden="1" x14ac:dyDescent="0.3">
      <c r="A667" t="str">
        <f>CONCATENATE(I667,E667,LEFT(G667,10))</f>
        <v>HFA803LLHA2026-01-30</v>
      </c>
      <c r="B667" s="14" t="s">
        <v>1161</v>
      </c>
      <c r="C667" s="14" t="s">
        <v>336</v>
      </c>
      <c r="D667" s="14" t="s">
        <v>337</v>
      </c>
      <c r="E667" s="14" t="s">
        <v>43</v>
      </c>
      <c r="F667" s="14" t="s">
        <v>87</v>
      </c>
      <c r="G667" s="14" t="s">
        <v>1162</v>
      </c>
      <c r="H667" s="14" t="s">
        <v>371</v>
      </c>
      <c r="I667" s="14" t="s">
        <v>116</v>
      </c>
      <c r="J667" s="14" t="s">
        <v>69</v>
      </c>
      <c r="K667" s="14" t="s">
        <v>349</v>
      </c>
      <c r="L667" s="14" t="s">
        <v>341</v>
      </c>
      <c r="M667" s="16" t="s">
        <v>1163</v>
      </c>
      <c r="N667" s="14"/>
      <c r="O667" s="14" t="s">
        <v>430</v>
      </c>
      <c r="P667" s="14">
        <v>140</v>
      </c>
      <c r="Q667" s="14">
        <v>2</v>
      </c>
      <c r="R667" s="14">
        <v>6700</v>
      </c>
      <c r="S667" s="14" t="s">
        <v>1164</v>
      </c>
      <c r="T667" s="14" t="s">
        <v>1165</v>
      </c>
      <c r="U667" s="14">
        <v>0.79305555555555496</v>
      </c>
      <c r="V667" s="14">
        <v>0.90777777777777702</v>
      </c>
      <c r="W667" s="14">
        <v>654</v>
      </c>
      <c r="X667" s="14">
        <v>50</v>
      </c>
      <c r="Y667" s="14">
        <v>604</v>
      </c>
      <c r="Z667" s="14">
        <v>894</v>
      </c>
      <c r="AA667" s="14">
        <v>364</v>
      </c>
      <c r="AB667" s="14">
        <v>283</v>
      </c>
      <c r="AC667" s="14">
        <v>200</v>
      </c>
      <c r="AD667" s="14">
        <v>47</v>
      </c>
      <c r="AE667" s="14">
        <v>1548</v>
      </c>
      <c r="AF667" s="14">
        <v>5000</v>
      </c>
      <c r="AG667" s="14">
        <v>2065</v>
      </c>
      <c r="AH667" s="14">
        <v>0</v>
      </c>
      <c r="AI667" s="14">
        <v>48</v>
      </c>
      <c r="AJ667" s="14">
        <v>121</v>
      </c>
      <c r="AK667" s="14" t="s">
        <v>1162</v>
      </c>
      <c r="AL667" s="14" t="s">
        <v>1166</v>
      </c>
      <c r="AM667" s="14">
        <v>179.36</v>
      </c>
      <c r="AN667" s="14">
        <v>142.63999999999999</v>
      </c>
      <c r="AO667" s="14">
        <v>73.5</v>
      </c>
      <c r="AP667" s="14">
        <v>21748</v>
      </c>
      <c r="AQ667" s="14">
        <v>21698</v>
      </c>
      <c r="AR667" s="14">
        <v>23000</v>
      </c>
      <c r="AS667" s="14">
        <v>20200</v>
      </c>
      <c r="AT667" s="14">
        <v>21094</v>
      </c>
      <c r="AU667" s="14">
        <v>-10</v>
      </c>
      <c r="AV667" s="14">
        <v>258.05</v>
      </c>
      <c r="AW667" s="14">
        <v>45.21</v>
      </c>
      <c r="AX667" s="14">
        <v>3.57</v>
      </c>
      <c r="AY667" s="14" t="b">
        <v>0</v>
      </c>
    </row>
    <row r="668" spans="1:51" hidden="1" x14ac:dyDescent="0.3">
      <c r="A668" t="str">
        <f>CONCATENATE(I668,E668,LEFT(G668,10))</f>
        <v>HFA803LLHA2026-02-01</v>
      </c>
      <c r="B668" s="14" t="s">
        <v>2032</v>
      </c>
      <c r="C668" s="14" t="s">
        <v>336</v>
      </c>
      <c r="D668" s="14" t="s">
        <v>337</v>
      </c>
      <c r="E668" s="14" t="s">
        <v>43</v>
      </c>
      <c r="F668" s="14" t="s">
        <v>87</v>
      </c>
      <c r="G668" s="14" t="s">
        <v>2027</v>
      </c>
      <c r="H668" s="14" t="s">
        <v>357</v>
      </c>
      <c r="I668" s="14" t="s">
        <v>116</v>
      </c>
      <c r="J668" s="14" t="s">
        <v>69</v>
      </c>
      <c r="K668" s="14" t="s">
        <v>349</v>
      </c>
      <c r="L668" s="14" t="s">
        <v>341</v>
      </c>
      <c r="M668" s="16" t="s">
        <v>2033</v>
      </c>
      <c r="N668" s="14" t="s">
        <v>359</v>
      </c>
      <c r="O668" s="14" t="s">
        <v>430</v>
      </c>
      <c r="P668" s="14">
        <v>140</v>
      </c>
      <c r="Q668" s="14">
        <v>2</v>
      </c>
      <c r="R668" s="14">
        <v>3700</v>
      </c>
      <c r="S668" s="14" t="s">
        <v>2034</v>
      </c>
      <c r="T668" s="14" t="s">
        <v>2035</v>
      </c>
      <c r="U668" s="14">
        <v>0.72388888888888803</v>
      </c>
      <c r="V668" s="14">
        <v>0.89694444444444399</v>
      </c>
      <c r="W668" s="14">
        <v>601</v>
      </c>
      <c r="X668" s="14">
        <v>50</v>
      </c>
      <c r="Y668" s="14">
        <v>551</v>
      </c>
      <c r="Z668" s="14">
        <v>1499</v>
      </c>
      <c r="AA668" s="14">
        <v>330</v>
      </c>
      <c r="AB668" s="14">
        <v>259</v>
      </c>
      <c r="AC668" s="14">
        <v>867</v>
      </c>
      <c r="AD668" s="14">
        <v>43</v>
      </c>
      <c r="AE668" s="14">
        <v>2100</v>
      </c>
      <c r="AF668" s="14">
        <v>5000</v>
      </c>
      <c r="AG668" s="14">
        <v>1899</v>
      </c>
      <c r="AH668" s="14">
        <v>0</v>
      </c>
      <c r="AI668" s="14">
        <v>45</v>
      </c>
      <c r="AJ668" s="14">
        <v>175</v>
      </c>
      <c r="AK668" s="14" t="s">
        <v>2027</v>
      </c>
      <c r="AL668" s="14" t="s">
        <v>2036</v>
      </c>
      <c r="AM668" s="14">
        <v>179.36</v>
      </c>
      <c r="AN668" s="14">
        <v>142.63999999999999</v>
      </c>
      <c r="AO668" s="14">
        <v>73.5</v>
      </c>
      <c r="AP668" s="14">
        <v>19025</v>
      </c>
      <c r="AQ668" s="14">
        <v>18975</v>
      </c>
      <c r="AR668" s="14">
        <v>23000</v>
      </c>
      <c r="AS668" s="14">
        <v>16925</v>
      </c>
      <c r="AT668" s="14">
        <v>18424</v>
      </c>
      <c r="AU668" s="14">
        <v>-1</v>
      </c>
      <c r="AV668" s="14">
        <v>246.14</v>
      </c>
      <c r="AW668" s="14">
        <v>32.17</v>
      </c>
      <c r="AX668" s="14">
        <v>4.9800000000000004</v>
      </c>
      <c r="AY668" s="14" t="b">
        <v>0</v>
      </c>
    </row>
    <row r="669" spans="1:51" hidden="1" x14ac:dyDescent="0.3">
      <c r="A669" t="str">
        <f>CONCATENATE(I669,E669,LEFT(G669,10))</f>
        <v>HFA803LLHA2026-02-02</v>
      </c>
      <c r="B669" s="14" t="s">
        <v>877</v>
      </c>
      <c r="C669" s="14" t="s">
        <v>336</v>
      </c>
      <c r="D669" s="14" t="s">
        <v>337</v>
      </c>
      <c r="E669" s="14" t="s">
        <v>43</v>
      </c>
      <c r="F669" s="14" t="s">
        <v>87</v>
      </c>
      <c r="G669" s="14" t="s">
        <v>878</v>
      </c>
      <c r="H669" s="14" t="s">
        <v>371</v>
      </c>
      <c r="I669" s="14" t="s">
        <v>116</v>
      </c>
      <c r="J669" s="14" t="s">
        <v>69</v>
      </c>
      <c r="K669" s="14" t="s">
        <v>349</v>
      </c>
      <c r="L669" s="14" t="s">
        <v>341</v>
      </c>
      <c r="M669" s="16" t="s">
        <v>879</v>
      </c>
      <c r="N669" s="14"/>
      <c r="O669" s="14" t="s">
        <v>380</v>
      </c>
      <c r="P669" s="14">
        <v>50</v>
      </c>
      <c r="Q669" s="14">
        <v>2</v>
      </c>
      <c r="R669" s="14">
        <v>2800</v>
      </c>
      <c r="S669" s="14" t="s">
        <v>880</v>
      </c>
      <c r="T669" s="14" t="s">
        <v>881</v>
      </c>
      <c r="U669" s="14">
        <v>0.82944444444444398</v>
      </c>
      <c r="V669" s="14">
        <v>0.99055555555555497</v>
      </c>
      <c r="W669" s="14">
        <v>614</v>
      </c>
      <c r="X669" s="14">
        <v>50</v>
      </c>
      <c r="Y669" s="14">
        <v>564</v>
      </c>
      <c r="Z669" s="14">
        <v>847</v>
      </c>
      <c r="AA669" s="14">
        <v>356</v>
      </c>
      <c r="AB669" s="14">
        <v>249</v>
      </c>
      <c r="AC669" s="14">
        <v>200</v>
      </c>
      <c r="AD669" s="14">
        <v>42</v>
      </c>
      <c r="AE669" s="14">
        <v>1461</v>
      </c>
      <c r="AF669" s="14">
        <v>5000</v>
      </c>
      <c r="AG669" s="14">
        <v>1939</v>
      </c>
      <c r="AH669" s="14">
        <v>0</v>
      </c>
      <c r="AI669" s="14">
        <v>45</v>
      </c>
      <c r="AJ669" s="14">
        <v>118</v>
      </c>
      <c r="AK669" s="14" t="s">
        <v>878</v>
      </c>
      <c r="AL669" s="14" t="s">
        <v>882</v>
      </c>
      <c r="AM669" s="14">
        <v>179.36</v>
      </c>
      <c r="AN669" s="14">
        <v>142.63999999999999</v>
      </c>
      <c r="AO669" s="14">
        <v>73.5</v>
      </c>
      <c r="AP669" s="14">
        <v>17761</v>
      </c>
      <c r="AQ669" s="14">
        <v>17711</v>
      </c>
      <c r="AR669" s="14">
        <v>23000</v>
      </c>
      <c r="AS669" s="14">
        <v>16300</v>
      </c>
      <c r="AT669" s="14">
        <v>17147</v>
      </c>
      <c r="AU669" s="14">
        <v>3</v>
      </c>
      <c r="AV669" s="14">
        <v>238.62</v>
      </c>
      <c r="AW669" s="14">
        <v>44.77</v>
      </c>
      <c r="AX669" s="14">
        <v>3.29</v>
      </c>
      <c r="AY669" s="14" t="b">
        <v>0</v>
      </c>
    </row>
    <row r="670" spans="1:51" hidden="1" x14ac:dyDescent="0.3">
      <c r="A670" t="str">
        <f>CONCATENATE(I670,E670,LEFT(G670,10))</f>
        <v>HFA803LLHA2026-02-03</v>
      </c>
      <c r="B670" s="15" t="s">
        <v>2456</v>
      </c>
      <c r="C670" s="14" t="s">
        <v>336</v>
      </c>
      <c r="D670" s="14" t="s">
        <v>337</v>
      </c>
      <c r="E670" s="14" t="s">
        <v>43</v>
      </c>
      <c r="F670" s="14" t="s">
        <v>87</v>
      </c>
      <c r="G670" s="14" t="s">
        <v>2457</v>
      </c>
      <c r="H670" s="14" t="s">
        <v>339</v>
      </c>
      <c r="I670" s="14" t="s">
        <v>116</v>
      </c>
      <c r="J670" s="14" t="s">
        <v>69</v>
      </c>
      <c r="K670" s="14" t="s">
        <v>349</v>
      </c>
      <c r="L670" s="14" t="s">
        <v>341</v>
      </c>
      <c r="M670" s="16" t="s">
        <v>2458</v>
      </c>
      <c r="N670" s="14"/>
      <c r="O670" s="14" t="s">
        <v>2459</v>
      </c>
      <c r="P670" s="14">
        <v>50</v>
      </c>
      <c r="Q670" s="14">
        <v>3</v>
      </c>
      <c r="R670" s="14">
        <v>3600</v>
      </c>
      <c r="S670" s="14" t="s">
        <v>2460</v>
      </c>
      <c r="T670" s="14" t="s">
        <v>2461</v>
      </c>
      <c r="U670" s="14">
        <v>0.80472222222222201</v>
      </c>
      <c r="V670" s="14">
        <v>0.95916666666666595</v>
      </c>
      <c r="W670" s="14">
        <v>663</v>
      </c>
      <c r="X670" s="14">
        <v>50</v>
      </c>
      <c r="Y670" s="14">
        <v>613</v>
      </c>
      <c r="Z670" s="14">
        <v>842</v>
      </c>
      <c r="AA670" s="14">
        <v>346</v>
      </c>
      <c r="AB670" s="14">
        <v>254</v>
      </c>
      <c r="AC670" s="14">
        <v>200</v>
      </c>
      <c r="AD670" s="14">
        <v>42</v>
      </c>
      <c r="AE670" s="14">
        <v>1505</v>
      </c>
      <c r="AF670" s="14">
        <v>5000</v>
      </c>
      <c r="AG670" s="14">
        <v>2094</v>
      </c>
      <c r="AH670" s="14">
        <v>0</v>
      </c>
      <c r="AI670" s="14">
        <v>49</v>
      </c>
      <c r="AJ670" s="14">
        <v>121</v>
      </c>
      <c r="AK670" s="14" t="s">
        <v>2457</v>
      </c>
      <c r="AL670" s="14" t="s">
        <v>2462</v>
      </c>
      <c r="AM670" s="14">
        <v>179.36</v>
      </c>
      <c r="AN670" s="14">
        <v>142.63999999999999</v>
      </c>
      <c r="AO670" s="14">
        <v>73.5</v>
      </c>
      <c r="AP670" s="14">
        <v>18430</v>
      </c>
      <c r="AQ670" s="14">
        <v>18380</v>
      </c>
      <c r="AR670" s="14">
        <v>23000</v>
      </c>
      <c r="AS670" s="14">
        <v>16925</v>
      </c>
      <c r="AT670" s="14">
        <v>17767</v>
      </c>
      <c r="AU670" s="14">
        <v>-19</v>
      </c>
      <c r="AV670" s="14">
        <v>294.05</v>
      </c>
      <c r="AW670" s="14">
        <v>33.43</v>
      </c>
      <c r="AX670" s="14">
        <v>-1.4</v>
      </c>
      <c r="AY670" s="14" t="b">
        <v>0</v>
      </c>
    </row>
    <row r="671" spans="1:51" hidden="1" x14ac:dyDescent="0.3">
      <c r="A671" t="str">
        <f>CONCATENATE(I671,E671,LEFT(G671,10))</f>
        <v>HFA803LLHA2026-02-05</v>
      </c>
      <c r="B671" s="14" t="s">
        <v>4672</v>
      </c>
      <c r="C671" s="14" t="s">
        <v>336</v>
      </c>
      <c r="D671" s="14" t="s">
        <v>337</v>
      </c>
      <c r="E671" s="14" t="s">
        <v>43</v>
      </c>
      <c r="F671" s="14" t="s">
        <v>87</v>
      </c>
      <c r="G671" s="14" t="s">
        <v>4673</v>
      </c>
      <c r="H671" s="14" t="s">
        <v>371</v>
      </c>
      <c r="I671" s="14" t="s">
        <v>116</v>
      </c>
      <c r="J671" s="14" t="s">
        <v>69</v>
      </c>
      <c r="K671" s="14" t="s">
        <v>349</v>
      </c>
      <c r="L671" s="14" t="s">
        <v>341</v>
      </c>
      <c r="M671" s="16" t="s">
        <v>4674</v>
      </c>
      <c r="N671" s="14"/>
      <c r="O671" s="14" t="s">
        <v>380</v>
      </c>
      <c r="P671" s="14">
        <v>50</v>
      </c>
      <c r="Q671" s="14">
        <v>2</v>
      </c>
      <c r="R671" s="14">
        <v>6700</v>
      </c>
      <c r="S671" s="14" t="s">
        <v>4675</v>
      </c>
      <c r="T671" s="14" t="s">
        <v>4676</v>
      </c>
      <c r="U671" s="14">
        <v>0.81833333333333302</v>
      </c>
      <c r="V671" s="14">
        <v>1.0919444444444399</v>
      </c>
      <c r="W671" s="14">
        <v>629</v>
      </c>
      <c r="X671" s="14">
        <v>50</v>
      </c>
      <c r="Y671" s="14">
        <v>579</v>
      </c>
      <c r="Z671" s="14">
        <v>768</v>
      </c>
      <c r="AA671" s="14">
        <v>339</v>
      </c>
      <c r="AB671" s="14">
        <v>282</v>
      </c>
      <c r="AC671" s="14">
        <v>100</v>
      </c>
      <c r="AD671" s="14">
        <v>47</v>
      </c>
      <c r="AE671" s="14">
        <v>1397</v>
      </c>
      <c r="AF671" s="14">
        <v>5000</v>
      </c>
      <c r="AG671" s="14">
        <v>1988</v>
      </c>
      <c r="AH671" s="14">
        <v>0</v>
      </c>
      <c r="AI671" s="14">
        <v>46</v>
      </c>
      <c r="AJ671" s="14">
        <v>109</v>
      </c>
      <c r="AK671" s="14" t="s">
        <v>4673</v>
      </c>
      <c r="AL671" s="14" t="s">
        <v>4677</v>
      </c>
      <c r="AM671" s="14">
        <v>179.36</v>
      </c>
      <c r="AN671" s="14">
        <v>142.63999999999999</v>
      </c>
      <c r="AO671" s="14">
        <v>73.5</v>
      </c>
      <c r="AP671" s="14">
        <v>21597</v>
      </c>
      <c r="AQ671" s="14">
        <v>21547</v>
      </c>
      <c r="AR671" s="14">
        <v>23000</v>
      </c>
      <c r="AS671" s="14">
        <v>20200</v>
      </c>
      <c r="AT671" s="14">
        <v>20968</v>
      </c>
      <c r="AU671" s="14">
        <v>3</v>
      </c>
      <c r="AV671" s="14">
        <v>231.05</v>
      </c>
      <c r="AW671" s="14">
        <v>14.29</v>
      </c>
      <c r="AX671" s="14">
        <v>4.3099999999999996</v>
      </c>
      <c r="AY671" s="14" t="b">
        <v>0</v>
      </c>
    </row>
    <row r="672" spans="1:51" hidden="1" x14ac:dyDescent="0.3">
      <c r="A672" t="str">
        <f>CONCATENATE(I672,E672,LEFT(G672,10))</f>
        <v>HFA803LLHA2026-02-06</v>
      </c>
      <c r="B672" s="14" t="s">
        <v>5458</v>
      </c>
      <c r="C672" s="14" t="s">
        <v>336</v>
      </c>
      <c r="D672" s="14" t="s">
        <v>337</v>
      </c>
      <c r="E672" s="14" t="s">
        <v>43</v>
      </c>
      <c r="F672" s="14" t="s">
        <v>87</v>
      </c>
      <c r="G672" s="14" t="s">
        <v>5459</v>
      </c>
      <c r="H672" s="14" t="s">
        <v>371</v>
      </c>
      <c r="I672" s="14" t="s">
        <v>116</v>
      </c>
      <c r="J672" s="14" t="s">
        <v>69</v>
      </c>
      <c r="K672" s="14" t="s">
        <v>349</v>
      </c>
      <c r="L672" s="14" t="s">
        <v>341</v>
      </c>
      <c r="M672" s="16" t="s">
        <v>5460</v>
      </c>
      <c r="N672" s="14"/>
      <c r="O672" s="14" t="s">
        <v>2459</v>
      </c>
      <c r="P672" s="14">
        <v>50</v>
      </c>
      <c r="Q672" s="14">
        <v>2</v>
      </c>
      <c r="R672" s="14">
        <v>6800</v>
      </c>
      <c r="S672" s="14" t="s">
        <v>5461</v>
      </c>
      <c r="T672" s="14" t="s">
        <v>5462</v>
      </c>
      <c r="U672" s="14">
        <v>0.74916666666666598</v>
      </c>
      <c r="V672" s="14">
        <v>0.90583333333333305</v>
      </c>
      <c r="W672" s="14">
        <v>643</v>
      </c>
      <c r="X672" s="14">
        <v>50</v>
      </c>
      <c r="Y672" s="14">
        <v>593</v>
      </c>
      <c r="Z672" s="14">
        <v>897</v>
      </c>
      <c r="AA672" s="14">
        <v>361</v>
      </c>
      <c r="AB672" s="14">
        <v>284</v>
      </c>
      <c r="AC672" s="14">
        <v>205</v>
      </c>
      <c r="AD672" s="14">
        <v>47</v>
      </c>
      <c r="AE672" s="14">
        <v>1540</v>
      </c>
      <c r="AF672" s="14">
        <v>5000</v>
      </c>
      <c r="AG672" s="14">
        <v>2032</v>
      </c>
      <c r="AH672" s="14">
        <v>0</v>
      </c>
      <c r="AI672" s="14">
        <v>47</v>
      </c>
      <c r="AJ672" s="14">
        <v>120</v>
      </c>
      <c r="AK672" s="14" t="s">
        <v>5459</v>
      </c>
      <c r="AL672" s="14" t="s">
        <v>5463</v>
      </c>
      <c r="AM672" s="14">
        <v>179.36</v>
      </c>
      <c r="AN672" s="14">
        <v>142.63999999999999</v>
      </c>
      <c r="AO672" s="14">
        <v>73.5</v>
      </c>
      <c r="AP672" s="14">
        <v>21840</v>
      </c>
      <c r="AQ672" s="14">
        <v>21790</v>
      </c>
      <c r="AR672" s="14">
        <v>23000</v>
      </c>
      <c r="AS672" s="14">
        <v>20300</v>
      </c>
      <c r="AT672" s="14">
        <v>21197</v>
      </c>
      <c r="AU672" s="14">
        <v>-2</v>
      </c>
      <c r="AV672" s="14">
        <v>247.17</v>
      </c>
      <c r="AW672" s="14">
        <v>29.31</v>
      </c>
      <c r="AX672" s="14">
        <v>3.64</v>
      </c>
      <c r="AY672" s="14" t="b">
        <v>0</v>
      </c>
    </row>
    <row r="673" spans="1:51" hidden="1" x14ac:dyDescent="0.3">
      <c r="A673" t="str">
        <f>CONCATENATE(I673,E673,LEFT(G673,10))</f>
        <v>HFA803LLHA2026-02-08</v>
      </c>
      <c r="B673" s="14" t="s">
        <v>427</v>
      </c>
      <c r="C673" s="14" t="s">
        <v>336</v>
      </c>
      <c r="D673" s="14" t="s">
        <v>337</v>
      </c>
      <c r="E673" s="14" t="s">
        <v>43</v>
      </c>
      <c r="F673" s="14" t="s">
        <v>87</v>
      </c>
      <c r="G673" s="14" t="s">
        <v>428</v>
      </c>
      <c r="H673" s="14" t="s">
        <v>371</v>
      </c>
      <c r="I673" s="14" t="s">
        <v>116</v>
      </c>
      <c r="J673" s="14" t="s">
        <v>69</v>
      </c>
      <c r="K673" s="14" t="s">
        <v>349</v>
      </c>
      <c r="L673" s="14" t="s">
        <v>341</v>
      </c>
      <c r="M673" s="16" t="s">
        <v>429</v>
      </c>
      <c r="N673" s="14"/>
      <c r="O673" s="14" t="s">
        <v>430</v>
      </c>
      <c r="P673" s="14">
        <v>140</v>
      </c>
      <c r="Q673" s="14">
        <v>2</v>
      </c>
      <c r="R673" s="14">
        <v>3200</v>
      </c>
      <c r="S673" s="14" t="s">
        <v>431</v>
      </c>
      <c r="T673" s="14" t="s">
        <v>432</v>
      </c>
      <c r="U673" s="14">
        <v>0.78472222222222199</v>
      </c>
      <c r="V673" s="14">
        <v>0.92777777777777704</v>
      </c>
      <c r="W673" s="14">
        <v>651</v>
      </c>
      <c r="X673" s="14">
        <v>50</v>
      </c>
      <c r="Y673" s="14">
        <v>601</v>
      </c>
      <c r="Z673" s="14">
        <v>929</v>
      </c>
      <c r="AA673" s="14">
        <v>350</v>
      </c>
      <c r="AB673" s="14">
        <v>253</v>
      </c>
      <c r="AC673" s="14">
        <v>285</v>
      </c>
      <c r="AD673" s="14">
        <v>42</v>
      </c>
      <c r="AE673" s="14">
        <v>1580</v>
      </c>
      <c r="AF673" s="14">
        <v>5000</v>
      </c>
      <c r="AG673" s="14">
        <v>2056</v>
      </c>
      <c r="AH673" s="14">
        <v>0</v>
      </c>
      <c r="AI673" s="14">
        <v>48</v>
      </c>
      <c r="AJ673" s="14">
        <v>128</v>
      </c>
      <c r="AK673" s="14" t="s">
        <v>428</v>
      </c>
      <c r="AL673" s="14" t="s">
        <v>433</v>
      </c>
      <c r="AM673" s="14">
        <v>179.36</v>
      </c>
      <c r="AN673" s="14">
        <v>142.63999999999999</v>
      </c>
      <c r="AO673" s="14">
        <v>73.5</v>
      </c>
      <c r="AP673" s="14">
        <v>18280</v>
      </c>
      <c r="AQ673" s="14">
        <v>18230</v>
      </c>
      <c r="AR673" s="14">
        <v>23000</v>
      </c>
      <c r="AS673" s="14">
        <v>16700</v>
      </c>
      <c r="AT673" s="14">
        <v>17629</v>
      </c>
      <c r="AU673" s="14">
        <v>-19</v>
      </c>
      <c r="AV673" s="14">
        <v>269.86</v>
      </c>
      <c r="AW673" s="14">
        <v>53.25</v>
      </c>
      <c r="AX673" s="14">
        <v>5.52</v>
      </c>
      <c r="AY673" s="14" t="b">
        <v>0</v>
      </c>
    </row>
    <row r="674" spans="1:51" hidden="1" x14ac:dyDescent="0.3">
      <c r="A674" t="str">
        <f>CONCATENATE(I674,E674,LEFT(G674,10))</f>
        <v>HFA803LLHA2026-02-10</v>
      </c>
      <c r="B674" s="14" t="s">
        <v>4438</v>
      </c>
      <c r="C674" s="14" t="s">
        <v>336</v>
      </c>
      <c r="D674" s="14" t="s">
        <v>337</v>
      </c>
      <c r="E674" s="14" t="s">
        <v>43</v>
      </c>
      <c r="F674" s="14" t="s">
        <v>87</v>
      </c>
      <c r="G674" s="14" t="s">
        <v>4439</v>
      </c>
      <c r="H674" s="14" t="s">
        <v>339</v>
      </c>
      <c r="I674" s="14" t="s">
        <v>116</v>
      </c>
      <c r="J674" s="14" t="s">
        <v>69</v>
      </c>
      <c r="K674" s="14" t="s">
        <v>349</v>
      </c>
      <c r="L674" s="14" t="s">
        <v>341</v>
      </c>
      <c r="M674" s="16" t="s">
        <v>4440</v>
      </c>
      <c r="N674" s="14"/>
      <c r="O674" s="14" t="s">
        <v>380</v>
      </c>
      <c r="P674" s="14">
        <v>50</v>
      </c>
      <c r="Q674" s="14">
        <v>2</v>
      </c>
      <c r="R674" s="14">
        <v>4400</v>
      </c>
      <c r="S674" s="14" t="s">
        <v>4441</v>
      </c>
      <c r="T674" s="14"/>
      <c r="U674" s="14"/>
      <c r="V674" s="14"/>
      <c r="W674" s="14">
        <v>621</v>
      </c>
      <c r="X674" s="14">
        <v>50</v>
      </c>
      <c r="Y674" s="14">
        <v>571</v>
      </c>
      <c r="Z674" s="14">
        <v>749</v>
      </c>
      <c r="AA674" s="14">
        <v>346</v>
      </c>
      <c r="AB674" s="14">
        <v>260</v>
      </c>
      <c r="AC674" s="14">
        <v>100</v>
      </c>
      <c r="AD674" s="14">
        <v>43</v>
      </c>
      <c r="AE674" s="14">
        <v>1370</v>
      </c>
      <c r="AF674" s="14">
        <v>5000</v>
      </c>
      <c r="AG674" s="14">
        <v>1963</v>
      </c>
      <c r="AH674" s="14">
        <v>0</v>
      </c>
      <c r="AI674" s="14">
        <v>47</v>
      </c>
      <c r="AJ674" s="14">
        <v>111</v>
      </c>
      <c r="AK674" s="14" t="s">
        <v>4439</v>
      </c>
      <c r="AL674" s="14" t="s">
        <v>4442</v>
      </c>
      <c r="AM674" s="14">
        <v>179.36</v>
      </c>
      <c r="AN674" s="14">
        <v>142.63999999999999</v>
      </c>
      <c r="AO674" s="14">
        <v>73.5</v>
      </c>
      <c r="AP674" s="14">
        <v>19095</v>
      </c>
      <c r="AQ674" s="14">
        <v>19045</v>
      </c>
      <c r="AR674" s="14">
        <v>23000</v>
      </c>
      <c r="AS674" s="14">
        <v>17725</v>
      </c>
      <c r="AT674" s="14">
        <v>18474</v>
      </c>
      <c r="AU674" s="14">
        <v>-3</v>
      </c>
      <c r="AV674" s="14">
        <v>247.14</v>
      </c>
      <c r="AW674" s="14">
        <v>41.51</v>
      </c>
      <c r="AX674" s="14">
        <v>3.45</v>
      </c>
      <c r="AY674" s="14" t="b">
        <v>0</v>
      </c>
    </row>
    <row r="675" spans="1:51" hidden="1" x14ac:dyDescent="0.3">
      <c r="A675" t="str">
        <f>CONCATENATE(I675,E675,LEFT(G675,10))</f>
        <v>HFA803LLHA2026-02-11</v>
      </c>
      <c r="B675" s="14" t="s">
        <v>2723</v>
      </c>
      <c r="C675" s="14" t="s">
        <v>336</v>
      </c>
      <c r="D675" s="14" t="s">
        <v>337</v>
      </c>
      <c r="E675" s="14" t="s">
        <v>43</v>
      </c>
      <c r="F675" s="14" t="s">
        <v>87</v>
      </c>
      <c r="G675" s="14" t="s">
        <v>2724</v>
      </c>
      <c r="H675" s="14" t="s">
        <v>371</v>
      </c>
      <c r="I675" s="14" t="s">
        <v>116</v>
      </c>
      <c r="J675" s="14" t="s">
        <v>69</v>
      </c>
      <c r="K675" s="14" t="s">
        <v>349</v>
      </c>
      <c r="L675" s="14" t="s">
        <v>341</v>
      </c>
      <c r="M675" s="16" t="s">
        <v>2725</v>
      </c>
      <c r="N675" s="14"/>
      <c r="O675" s="14" t="s">
        <v>2726</v>
      </c>
      <c r="P675" s="14">
        <v>50</v>
      </c>
      <c r="Q675" s="14">
        <v>2</v>
      </c>
      <c r="R675" s="14">
        <v>6700</v>
      </c>
      <c r="S675" s="14" t="s">
        <v>2727</v>
      </c>
      <c r="T675" s="14" t="s">
        <v>2728</v>
      </c>
      <c r="U675" s="14">
        <v>0.77194444444444399</v>
      </c>
      <c r="V675" s="14">
        <v>0.87444444444444402</v>
      </c>
      <c r="W675" s="14">
        <v>651</v>
      </c>
      <c r="X675" s="14">
        <v>50</v>
      </c>
      <c r="Y675" s="14">
        <v>601</v>
      </c>
      <c r="Z675" s="14">
        <v>809</v>
      </c>
      <c r="AA675" s="14">
        <v>357</v>
      </c>
      <c r="AB675" s="14">
        <v>282</v>
      </c>
      <c r="AC675" s="14">
        <v>122</v>
      </c>
      <c r="AD675" s="14">
        <v>47</v>
      </c>
      <c r="AE675" s="14">
        <v>1460</v>
      </c>
      <c r="AF675" s="14">
        <v>5000</v>
      </c>
      <c r="AG675" s="14">
        <v>2057</v>
      </c>
      <c r="AH675" s="14">
        <v>0</v>
      </c>
      <c r="AI675" s="14">
        <v>47</v>
      </c>
      <c r="AJ675" s="14">
        <v>113</v>
      </c>
      <c r="AK675" s="14" t="s">
        <v>2724</v>
      </c>
      <c r="AL675" s="14" t="s">
        <v>2729</v>
      </c>
      <c r="AM675" s="14">
        <v>179.36</v>
      </c>
      <c r="AN675" s="14">
        <v>142.63999999999999</v>
      </c>
      <c r="AO675" s="14">
        <v>73.5</v>
      </c>
      <c r="AP675" s="14">
        <v>21660</v>
      </c>
      <c r="AQ675" s="14">
        <v>21610</v>
      </c>
      <c r="AR675" s="14">
        <v>23000</v>
      </c>
      <c r="AS675" s="14">
        <v>20200</v>
      </c>
      <c r="AT675" s="14">
        <v>21009</v>
      </c>
      <c r="AU675" s="14">
        <v>-3</v>
      </c>
      <c r="AV675" s="14">
        <v>251.01</v>
      </c>
      <c r="AW675" s="14">
        <v>28.19</v>
      </c>
      <c r="AX675" s="14">
        <v>0.91</v>
      </c>
      <c r="AY675" s="14" t="b">
        <v>0</v>
      </c>
    </row>
    <row r="676" spans="1:51" hidden="1" x14ac:dyDescent="0.3">
      <c r="A676" t="str">
        <f>CONCATENATE(I676,E676,LEFT(G676,10))</f>
        <v>HFA803LLHA2026-02-12</v>
      </c>
      <c r="B676" s="14" t="s">
        <v>567</v>
      </c>
      <c r="C676" s="14" t="s">
        <v>336</v>
      </c>
      <c r="D676" s="14" t="s">
        <v>337</v>
      </c>
      <c r="E676" s="14" t="s">
        <v>43</v>
      </c>
      <c r="F676" s="14" t="s">
        <v>87</v>
      </c>
      <c r="G676" s="14" t="s">
        <v>568</v>
      </c>
      <c r="H676" s="14" t="s">
        <v>371</v>
      </c>
      <c r="I676" s="14" t="s">
        <v>116</v>
      </c>
      <c r="J676" s="14" t="s">
        <v>69</v>
      </c>
      <c r="K676" s="14" t="s">
        <v>349</v>
      </c>
      <c r="L676" s="14" t="s">
        <v>341</v>
      </c>
      <c r="M676" s="16" t="s">
        <v>569</v>
      </c>
      <c r="N676" s="14"/>
      <c r="O676" s="14" t="s">
        <v>556</v>
      </c>
      <c r="P676" s="14">
        <v>50</v>
      </c>
      <c r="Q676" s="14">
        <v>2</v>
      </c>
      <c r="R676" s="14">
        <v>7100</v>
      </c>
      <c r="S676" s="14" t="s">
        <v>570</v>
      </c>
      <c r="T676" s="14" t="s">
        <v>571</v>
      </c>
      <c r="U676" s="14">
        <v>0.86972222222222195</v>
      </c>
      <c r="V676" s="14">
        <v>0.97111111111111104</v>
      </c>
      <c r="W676" s="14">
        <v>634</v>
      </c>
      <c r="X676" s="14">
        <v>50</v>
      </c>
      <c r="Y676" s="14">
        <v>584</v>
      </c>
      <c r="Z676" s="14">
        <v>905</v>
      </c>
      <c r="AA676" s="14">
        <v>370</v>
      </c>
      <c r="AB676" s="14">
        <v>287</v>
      </c>
      <c r="AC676" s="14">
        <v>200</v>
      </c>
      <c r="AD676" s="14">
        <v>48</v>
      </c>
      <c r="AE676" s="14">
        <v>1539</v>
      </c>
      <c r="AF676" s="14">
        <v>5000</v>
      </c>
      <c r="AG676" s="14">
        <v>2004</v>
      </c>
      <c r="AH676" s="14">
        <v>0</v>
      </c>
      <c r="AI676" s="14">
        <v>46</v>
      </c>
      <c r="AJ676" s="14">
        <v>120</v>
      </c>
      <c r="AK676" s="14" t="s">
        <v>568</v>
      </c>
      <c r="AL676" s="14" t="s">
        <v>572</v>
      </c>
      <c r="AM676" s="14">
        <v>179.36</v>
      </c>
      <c r="AN676" s="14">
        <v>142.63999999999999</v>
      </c>
      <c r="AO676" s="14">
        <v>73.5</v>
      </c>
      <c r="AP676" s="14">
        <v>22139</v>
      </c>
      <c r="AQ676" s="14">
        <v>22089</v>
      </c>
      <c r="AR676" s="14">
        <v>23000</v>
      </c>
      <c r="AS676" s="14">
        <v>20600</v>
      </c>
      <c r="AT676" s="14">
        <v>21505</v>
      </c>
      <c r="AU676" s="14">
        <v>4</v>
      </c>
      <c r="AV676" s="14">
        <v>233.89</v>
      </c>
      <c r="AW676" s="14">
        <v>31.85</v>
      </c>
      <c r="AX676" s="14">
        <v>2.94</v>
      </c>
      <c r="AY676" s="14" t="b">
        <v>0</v>
      </c>
    </row>
    <row r="677" spans="1:51" hidden="1" x14ac:dyDescent="0.3">
      <c r="A677" t="str">
        <f>CONCATENATE(I677,E677,LEFT(G677,10))</f>
        <v>HFA803LLHA2026-02-13</v>
      </c>
      <c r="B677" s="14" t="s">
        <v>4342</v>
      </c>
      <c r="C677" s="14" t="s">
        <v>336</v>
      </c>
      <c r="D677" s="14" t="s">
        <v>337</v>
      </c>
      <c r="E677" s="14" t="s">
        <v>43</v>
      </c>
      <c r="F677" s="14" t="s">
        <v>87</v>
      </c>
      <c r="G677" s="14" t="s">
        <v>4343</v>
      </c>
      <c r="H677" s="14" t="s">
        <v>371</v>
      </c>
      <c r="I677" s="14" t="s">
        <v>116</v>
      </c>
      <c r="J677" s="14" t="s">
        <v>69</v>
      </c>
      <c r="K677" s="14" t="s">
        <v>349</v>
      </c>
      <c r="L677" s="14" t="s">
        <v>341</v>
      </c>
      <c r="M677" s="16" t="s">
        <v>4344</v>
      </c>
      <c r="N677" s="14"/>
      <c r="O677" s="14" t="s">
        <v>4345</v>
      </c>
      <c r="P677" s="14">
        <v>50</v>
      </c>
      <c r="Q677" s="14">
        <v>2</v>
      </c>
      <c r="R677" s="14">
        <v>7100</v>
      </c>
      <c r="S677" s="14" t="s">
        <v>4346</v>
      </c>
      <c r="T677" s="14" t="s">
        <v>4347</v>
      </c>
      <c r="U677" s="14">
        <v>0.68777777777777704</v>
      </c>
      <c r="V677" s="14">
        <v>0.875</v>
      </c>
      <c r="W677" s="14">
        <v>616</v>
      </c>
      <c r="X677" s="14">
        <v>50</v>
      </c>
      <c r="Y677" s="14">
        <v>566</v>
      </c>
      <c r="Z677" s="14">
        <v>907</v>
      </c>
      <c r="AA677" s="14">
        <v>372</v>
      </c>
      <c r="AB677" s="14">
        <v>287</v>
      </c>
      <c r="AC677" s="14">
        <v>200</v>
      </c>
      <c r="AD677" s="14">
        <v>48</v>
      </c>
      <c r="AE677" s="14">
        <v>1523</v>
      </c>
      <c r="AF677" s="14">
        <v>5000</v>
      </c>
      <c r="AG677" s="14">
        <v>1945</v>
      </c>
      <c r="AH677" s="14">
        <v>0</v>
      </c>
      <c r="AI677" s="14">
        <v>44</v>
      </c>
      <c r="AJ677" s="14">
        <v>116</v>
      </c>
      <c r="AK677" s="14" t="s">
        <v>4343</v>
      </c>
      <c r="AL677" s="14" t="s">
        <v>4348</v>
      </c>
      <c r="AM677" s="14">
        <v>179.36</v>
      </c>
      <c r="AN677" s="14">
        <v>142.63999999999999</v>
      </c>
      <c r="AO677" s="14">
        <v>73.5</v>
      </c>
      <c r="AP677" s="14">
        <v>22123</v>
      </c>
      <c r="AQ677" s="14">
        <v>22073</v>
      </c>
      <c r="AR677" s="14">
        <v>23000</v>
      </c>
      <c r="AS677" s="14">
        <v>20600</v>
      </c>
      <c r="AT677" s="14">
        <v>21507</v>
      </c>
      <c r="AU677" s="14">
        <v>18</v>
      </c>
      <c r="AV677" s="14">
        <v>206.79</v>
      </c>
      <c r="AW677" s="14">
        <v>45.34</v>
      </c>
      <c r="AX677" s="14">
        <v>4.34</v>
      </c>
      <c r="AY677" s="14" t="b">
        <v>0</v>
      </c>
    </row>
    <row r="678" spans="1:51" hidden="1" x14ac:dyDescent="0.3">
      <c r="A678" t="str">
        <f>CONCATENATE(I678,E678,LEFT(G678,10))</f>
        <v>HFA803LLHA2026-02-15</v>
      </c>
      <c r="B678" s="14" t="s">
        <v>4232</v>
      </c>
      <c r="C678" s="14" t="s">
        <v>336</v>
      </c>
      <c r="D678" s="14" t="s">
        <v>337</v>
      </c>
      <c r="E678" s="14" t="s">
        <v>43</v>
      </c>
      <c r="F678" s="14" t="s">
        <v>87</v>
      </c>
      <c r="G678" s="14" t="s">
        <v>4233</v>
      </c>
      <c r="H678" s="14" t="s">
        <v>371</v>
      </c>
      <c r="I678" s="14" t="s">
        <v>116</v>
      </c>
      <c r="J678" s="14" t="s">
        <v>69</v>
      </c>
      <c r="K678" s="14" t="s">
        <v>349</v>
      </c>
      <c r="L678" s="14" t="s">
        <v>341</v>
      </c>
      <c r="M678" s="16" t="s">
        <v>4234</v>
      </c>
      <c r="N678" s="14"/>
      <c r="O678" s="14" t="s">
        <v>380</v>
      </c>
      <c r="P678" s="14">
        <v>50</v>
      </c>
      <c r="Q678" s="14">
        <v>2</v>
      </c>
      <c r="R678" s="14">
        <v>4400</v>
      </c>
      <c r="S678" s="14" t="s">
        <v>4235</v>
      </c>
      <c r="T678" s="14" t="s">
        <v>4236</v>
      </c>
      <c r="U678" s="14">
        <v>0.76722222222222203</v>
      </c>
      <c r="V678" s="14">
        <v>0.93333333333333302</v>
      </c>
      <c r="W678" s="14">
        <v>617</v>
      </c>
      <c r="X678" s="14">
        <v>50</v>
      </c>
      <c r="Y678" s="14">
        <v>567</v>
      </c>
      <c r="Z678" s="14">
        <v>853</v>
      </c>
      <c r="AA678" s="14">
        <v>327</v>
      </c>
      <c r="AB678" s="14">
        <v>262</v>
      </c>
      <c r="AC678" s="14">
        <v>221</v>
      </c>
      <c r="AD678" s="14">
        <v>44</v>
      </c>
      <c r="AE678" s="14">
        <v>1470</v>
      </c>
      <c r="AF678" s="14">
        <v>5000</v>
      </c>
      <c r="AG678" s="14">
        <v>1949</v>
      </c>
      <c r="AH678" s="14">
        <v>0</v>
      </c>
      <c r="AI678" s="14">
        <v>46</v>
      </c>
      <c r="AJ678" s="14">
        <v>120</v>
      </c>
      <c r="AK678" s="14" t="s">
        <v>4233</v>
      </c>
      <c r="AL678" s="14" t="s">
        <v>4237</v>
      </c>
      <c r="AM678" s="14">
        <v>179.36</v>
      </c>
      <c r="AN678" s="14">
        <v>142.63999999999999</v>
      </c>
      <c r="AO678" s="14">
        <v>73.5</v>
      </c>
      <c r="AP678" s="14">
        <v>19370</v>
      </c>
      <c r="AQ678" s="14">
        <v>19320</v>
      </c>
      <c r="AR678" s="14">
        <v>23000</v>
      </c>
      <c r="AS678" s="14">
        <v>17900</v>
      </c>
      <c r="AT678" s="14">
        <v>18753</v>
      </c>
      <c r="AU678" s="14">
        <v>-1</v>
      </c>
      <c r="AV678" s="14">
        <v>246.13</v>
      </c>
      <c r="AW678" s="14">
        <v>14.36</v>
      </c>
      <c r="AX678" s="14">
        <v>8.94</v>
      </c>
      <c r="AY678" s="14" t="b">
        <v>0</v>
      </c>
    </row>
    <row r="679" spans="1:51" hidden="1" x14ac:dyDescent="0.3">
      <c r="A679" t="str">
        <f>CONCATENATE(I679,E679,LEFT(G679,10))</f>
        <v>HFA803LLHA2026-02-16</v>
      </c>
      <c r="B679" s="14" t="s">
        <v>4125</v>
      </c>
      <c r="C679" s="14" t="s">
        <v>336</v>
      </c>
      <c r="D679" s="14" t="s">
        <v>337</v>
      </c>
      <c r="E679" s="14" t="s">
        <v>43</v>
      </c>
      <c r="F679" s="14" t="s">
        <v>87</v>
      </c>
      <c r="G679" s="14" t="s">
        <v>4126</v>
      </c>
      <c r="H679" s="14" t="s">
        <v>339</v>
      </c>
      <c r="I679" s="14" t="s">
        <v>116</v>
      </c>
      <c r="J679" s="14" t="s">
        <v>69</v>
      </c>
      <c r="K679" s="14" t="s">
        <v>349</v>
      </c>
      <c r="L679" s="14" t="s">
        <v>341</v>
      </c>
      <c r="M679" s="16" t="s">
        <v>4127</v>
      </c>
      <c r="N679" s="14"/>
      <c r="O679" s="14" t="s">
        <v>4128</v>
      </c>
      <c r="P679" s="14">
        <v>50</v>
      </c>
      <c r="Q679" s="14">
        <v>2</v>
      </c>
      <c r="R679" s="14">
        <v>3850</v>
      </c>
      <c r="S679" s="14" t="s">
        <v>4129</v>
      </c>
      <c r="T679" s="14" t="s">
        <v>4130</v>
      </c>
      <c r="U679" s="14">
        <v>0.73388888888888804</v>
      </c>
      <c r="V679" s="14">
        <v>0.85222222222222199</v>
      </c>
      <c r="W679" s="14">
        <v>577</v>
      </c>
      <c r="X679" s="14">
        <v>50</v>
      </c>
      <c r="Y679" s="14">
        <v>527</v>
      </c>
      <c r="Z679" s="14">
        <v>715</v>
      </c>
      <c r="AA679" s="14">
        <v>318</v>
      </c>
      <c r="AB679" s="14">
        <v>255</v>
      </c>
      <c r="AC679" s="14">
        <v>100</v>
      </c>
      <c r="AD679" s="14">
        <v>43</v>
      </c>
      <c r="AE679" s="14">
        <v>1292</v>
      </c>
      <c r="AF679" s="14">
        <v>5000</v>
      </c>
      <c r="AG679" s="14">
        <v>1824</v>
      </c>
      <c r="AH679" s="14">
        <v>0</v>
      </c>
      <c r="AI679" s="14">
        <v>44</v>
      </c>
      <c r="AJ679" s="14">
        <v>108</v>
      </c>
      <c r="AK679" s="14" t="s">
        <v>4126</v>
      </c>
      <c r="AL679" s="14" t="s">
        <v>4131</v>
      </c>
      <c r="AM679" s="14">
        <v>179.36</v>
      </c>
      <c r="AN679" s="14">
        <v>142.63999999999999</v>
      </c>
      <c r="AO679" s="14">
        <v>73.5</v>
      </c>
      <c r="AP679" s="14">
        <v>18467</v>
      </c>
      <c r="AQ679" s="14">
        <v>18417</v>
      </c>
      <c r="AR679" s="14">
        <v>23000</v>
      </c>
      <c r="AS679" s="14">
        <v>17175</v>
      </c>
      <c r="AT679" s="14">
        <v>17890</v>
      </c>
      <c r="AU679" s="14">
        <v>11</v>
      </c>
      <c r="AV679" s="14">
        <v>211.47</v>
      </c>
      <c r="AW679" s="14">
        <v>23.87</v>
      </c>
      <c r="AX679" s="14">
        <v>9.6300000000000008</v>
      </c>
      <c r="AY679" s="14" t="b">
        <v>0</v>
      </c>
    </row>
    <row r="680" spans="1:51" hidden="1" x14ac:dyDescent="0.3">
      <c r="A680" t="str">
        <f>CONCATENATE(I680,E680,LEFT(G680,10))</f>
        <v>HFA803LLHA2026-02-17</v>
      </c>
      <c r="B680" s="14" t="s">
        <v>4050</v>
      </c>
      <c r="C680" s="14" t="s">
        <v>336</v>
      </c>
      <c r="D680" s="14" t="s">
        <v>337</v>
      </c>
      <c r="E680" s="14" t="s">
        <v>43</v>
      </c>
      <c r="F680" s="14" t="s">
        <v>87</v>
      </c>
      <c r="G680" s="14" t="s">
        <v>4051</v>
      </c>
      <c r="H680" s="14" t="s">
        <v>339</v>
      </c>
      <c r="I680" s="14" t="s">
        <v>116</v>
      </c>
      <c r="J680" s="14" t="s">
        <v>69</v>
      </c>
      <c r="K680" s="14" t="s">
        <v>349</v>
      </c>
      <c r="L680" s="14" t="s">
        <v>341</v>
      </c>
      <c r="M680" s="16" t="s">
        <v>4052</v>
      </c>
      <c r="N680" s="14"/>
      <c r="O680" s="14" t="s">
        <v>430</v>
      </c>
      <c r="P680" s="14">
        <v>140</v>
      </c>
      <c r="Q680" s="14">
        <v>2</v>
      </c>
      <c r="R680" s="14">
        <v>3400</v>
      </c>
      <c r="S680" s="14" t="s">
        <v>4053</v>
      </c>
      <c r="T680" s="14" t="s">
        <v>4054</v>
      </c>
      <c r="U680" s="14">
        <v>0.71222222222222198</v>
      </c>
      <c r="V680" s="14">
        <v>0.83388888888888801</v>
      </c>
      <c r="W680" s="14">
        <v>592</v>
      </c>
      <c r="X680" s="14">
        <v>50</v>
      </c>
      <c r="Y680" s="14">
        <v>542</v>
      </c>
      <c r="Z680" s="14">
        <v>729</v>
      </c>
      <c r="AA680" s="14">
        <v>336</v>
      </c>
      <c r="AB680" s="14">
        <v>252</v>
      </c>
      <c r="AC680" s="14">
        <v>100</v>
      </c>
      <c r="AD680" s="14">
        <v>42</v>
      </c>
      <c r="AE680" s="14">
        <v>1321</v>
      </c>
      <c r="AF680" s="14">
        <v>5000</v>
      </c>
      <c r="AG680" s="14">
        <v>1870</v>
      </c>
      <c r="AH680" s="14">
        <v>0</v>
      </c>
      <c r="AI680" s="14">
        <v>44</v>
      </c>
      <c r="AJ680" s="14">
        <v>108</v>
      </c>
      <c r="AK680" s="14" t="s">
        <v>4051</v>
      </c>
      <c r="AL680" s="14" t="s">
        <v>4055</v>
      </c>
      <c r="AM680" s="14">
        <v>179.36</v>
      </c>
      <c r="AN680" s="14">
        <v>142.63999999999999</v>
      </c>
      <c r="AO680" s="14">
        <v>73.5</v>
      </c>
      <c r="AP680" s="14">
        <v>18046</v>
      </c>
      <c r="AQ680" s="14">
        <v>17996</v>
      </c>
      <c r="AR680" s="14">
        <v>23000</v>
      </c>
      <c r="AS680" s="14">
        <v>16725</v>
      </c>
      <c r="AT680" s="14">
        <v>17454</v>
      </c>
      <c r="AU680" s="14">
        <v>5</v>
      </c>
      <c r="AV680" s="14">
        <v>223.71</v>
      </c>
      <c r="AW680" s="14">
        <v>51.86</v>
      </c>
      <c r="AX680" s="14">
        <v>3.24</v>
      </c>
      <c r="AY680" s="14" t="b">
        <v>0</v>
      </c>
    </row>
    <row r="681" spans="1:51" hidden="1" x14ac:dyDescent="0.3">
      <c r="A681" t="str">
        <f>CONCATENATE(I681,E681,LEFT(G681,10))</f>
        <v>HFA803LLHA2026-02-18</v>
      </c>
      <c r="B681" s="14" t="s">
        <v>1949</v>
      </c>
      <c r="C681" s="14" t="s">
        <v>336</v>
      </c>
      <c r="D681" s="14" t="s">
        <v>337</v>
      </c>
      <c r="E681" s="14" t="s">
        <v>43</v>
      </c>
      <c r="F681" s="14" t="s">
        <v>87</v>
      </c>
      <c r="G681" s="14" t="s">
        <v>1950</v>
      </c>
      <c r="H681" s="14" t="s">
        <v>371</v>
      </c>
      <c r="I681" s="14" t="s">
        <v>116</v>
      </c>
      <c r="J681" s="14" t="s">
        <v>69</v>
      </c>
      <c r="K681" s="14" t="s">
        <v>349</v>
      </c>
      <c r="L681" s="14" t="s">
        <v>341</v>
      </c>
      <c r="M681" s="16" t="s">
        <v>1951</v>
      </c>
      <c r="N681" s="14"/>
      <c r="O681" s="14" t="s">
        <v>1952</v>
      </c>
      <c r="P681" s="14">
        <v>50</v>
      </c>
      <c r="Q681" s="14">
        <v>2</v>
      </c>
      <c r="R681" s="14">
        <v>5100</v>
      </c>
      <c r="S681" s="14" t="s">
        <v>1953</v>
      </c>
      <c r="T681" s="14" t="s">
        <v>1954</v>
      </c>
      <c r="U681" s="14">
        <v>0.73250000000000004</v>
      </c>
      <c r="V681" s="14">
        <v>0.94083333333333297</v>
      </c>
      <c r="W681" s="14">
        <v>626</v>
      </c>
      <c r="X681" s="14">
        <v>50</v>
      </c>
      <c r="Y681" s="14">
        <v>576</v>
      </c>
      <c r="Z681" s="14">
        <v>814</v>
      </c>
      <c r="AA681" s="14">
        <v>373</v>
      </c>
      <c r="AB681" s="14">
        <v>268</v>
      </c>
      <c r="AC681" s="14">
        <v>129</v>
      </c>
      <c r="AD681" s="14">
        <v>45</v>
      </c>
      <c r="AE681" s="14">
        <v>1440</v>
      </c>
      <c r="AF681" s="14">
        <v>5000</v>
      </c>
      <c r="AG681" s="14">
        <v>1978</v>
      </c>
      <c r="AH681" s="14">
        <v>0</v>
      </c>
      <c r="AI681" s="14">
        <v>46</v>
      </c>
      <c r="AJ681" s="14">
        <v>114</v>
      </c>
      <c r="AK681" s="14" t="s">
        <v>1950</v>
      </c>
      <c r="AL681" s="14" t="s">
        <v>1955</v>
      </c>
      <c r="AM681" s="14">
        <v>179.36</v>
      </c>
      <c r="AN681" s="14">
        <v>142.63999999999999</v>
      </c>
      <c r="AO681" s="14">
        <v>73.5</v>
      </c>
      <c r="AP681" s="14">
        <v>20040</v>
      </c>
      <c r="AQ681" s="14">
        <v>19990</v>
      </c>
      <c r="AR681" s="14">
        <v>23000</v>
      </c>
      <c r="AS681" s="14">
        <v>18600</v>
      </c>
      <c r="AT681" s="14">
        <v>19414</v>
      </c>
      <c r="AU681" s="14">
        <v>3</v>
      </c>
      <c r="AV681" s="14">
        <v>237.94</v>
      </c>
      <c r="AW681" s="14">
        <v>56.65</v>
      </c>
      <c r="AX681" s="14">
        <v>3.18</v>
      </c>
      <c r="AY681" s="14" t="b">
        <v>0</v>
      </c>
    </row>
    <row r="682" spans="1:51" hidden="1" x14ac:dyDescent="0.3">
      <c r="A682" t="str">
        <f>CONCATENATE(I682,E682,LEFT(G682,10))</f>
        <v>HFA803LLHA2026-02-19</v>
      </c>
      <c r="B682" s="14" t="s">
        <v>3961</v>
      </c>
      <c r="C682" s="14" t="s">
        <v>336</v>
      </c>
      <c r="D682" s="14" t="s">
        <v>337</v>
      </c>
      <c r="E682" s="14" t="s">
        <v>43</v>
      </c>
      <c r="F682" s="14" t="s">
        <v>87</v>
      </c>
      <c r="G682" s="14" t="s">
        <v>3962</v>
      </c>
      <c r="H682" s="14" t="s">
        <v>371</v>
      </c>
      <c r="I682" s="14" t="s">
        <v>116</v>
      </c>
      <c r="J682" s="14" t="s">
        <v>69</v>
      </c>
      <c r="K682" s="14" t="s">
        <v>349</v>
      </c>
      <c r="L682" s="14" t="s">
        <v>341</v>
      </c>
      <c r="M682" s="16" t="s">
        <v>3963</v>
      </c>
      <c r="N682" s="14"/>
      <c r="O682" s="14" t="s">
        <v>3964</v>
      </c>
      <c r="P682" s="14">
        <v>50</v>
      </c>
      <c r="Q682" s="14">
        <v>2</v>
      </c>
      <c r="R682" s="14">
        <v>6800</v>
      </c>
      <c r="S682" s="14" t="s">
        <v>3965</v>
      </c>
      <c r="T682" s="14" t="s">
        <v>3966</v>
      </c>
      <c r="U682" s="14">
        <v>0.76027777777777705</v>
      </c>
      <c r="V682" s="14">
        <v>0.92111111111111099</v>
      </c>
      <c r="W682" s="14">
        <v>668</v>
      </c>
      <c r="X682" s="14">
        <v>50</v>
      </c>
      <c r="Y682" s="14">
        <v>618</v>
      </c>
      <c r="Z682" s="14">
        <v>777</v>
      </c>
      <c r="AA682" s="14">
        <v>347</v>
      </c>
      <c r="AB682" s="14">
        <v>283</v>
      </c>
      <c r="AC682" s="14">
        <v>100</v>
      </c>
      <c r="AD682" s="14">
        <v>47</v>
      </c>
      <c r="AE682" s="14">
        <v>1445</v>
      </c>
      <c r="AF682" s="14">
        <v>5000</v>
      </c>
      <c r="AG682" s="14">
        <v>2112</v>
      </c>
      <c r="AH682" s="14">
        <v>0</v>
      </c>
      <c r="AI682" s="14">
        <v>49</v>
      </c>
      <c r="AJ682" s="14">
        <v>113</v>
      </c>
      <c r="AK682" s="14" t="s">
        <v>3962</v>
      </c>
      <c r="AL682" s="14" t="s">
        <v>3967</v>
      </c>
      <c r="AM682" s="14">
        <v>179.36</v>
      </c>
      <c r="AN682" s="14">
        <v>142.63999999999999</v>
      </c>
      <c r="AO682" s="14">
        <v>73.5</v>
      </c>
      <c r="AP682" s="14">
        <v>21745</v>
      </c>
      <c r="AQ682" s="14">
        <v>21695</v>
      </c>
      <c r="AR682" s="14">
        <v>23000</v>
      </c>
      <c r="AS682" s="14">
        <v>20300</v>
      </c>
      <c r="AT682" s="14">
        <v>21077</v>
      </c>
      <c r="AU682" s="14">
        <v>-14</v>
      </c>
      <c r="AV682" s="14">
        <v>294.32</v>
      </c>
      <c r="AW682" s="14">
        <v>22.44</v>
      </c>
      <c r="AX682" s="14">
        <v>3.23</v>
      </c>
      <c r="AY682" s="14" t="b">
        <v>0</v>
      </c>
    </row>
    <row r="683" spans="1:51" hidden="1" x14ac:dyDescent="0.3">
      <c r="A683" t="str">
        <f>CONCATENATE(I683,E683,LEFT(G683,10))</f>
        <v>HFA803LLHA2026-02-20</v>
      </c>
      <c r="B683" s="14" t="s">
        <v>710</v>
      </c>
      <c r="C683" s="14" t="s">
        <v>336</v>
      </c>
      <c r="D683" s="14" t="s">
        <v>337</v>
      </c>
      <c r="E683" s="14" t="s">
        <v>43</v>
      </c>
      <c r="F683" s="14" t="s">
        <v>87</v>
      </c>
      <c r="G683" s="14" t="s">
        <v>711</v>
      </c>
      <c r="H683" s="14" t="s">
        <v>371</v>
      </c>
      <c r="I683" s="14" t="s">
        <v>116</v>
      </c>
      <c r="J683" s="14" t="s">
        <v>69</v>
      </c>
      <c r="K683" s="14" t="s">
        <v>349</v>
      </c>
      <c r="L683" s="14" t="s">
        <v>341</v>
      </c>
      <c r="M683" s="16" t="s">
        <v>712</v>
      </c>
      <c r="N683" s="14"/>
      <c r="O683" s="14" t="s">
        <v>380</v>
      </c>
      <c r="P683" s="14">
        <v>50</v>
      </c>
      <c r="Q683" s="14">
        <v>2</v>
      </c>
      <c r="R683" s="14">
        <v>6600</v>
      </c>
      <c r="S683" s="14" t="s">
        <v>713</v>
      </c>
      <c r="T683" s="14" t="s">
        <v>714</v>
      </c>
      <c r="U683" s="14">
        <v>0.71833333333333305</v>
      </c>
      <c r="V683" s="14">
        <v>0.92555555555555502</v>
      </c>
      <c r="W683" s="14">
        <v>620</v>
      </c>
      <c r="X683" s="14">
        <v>50</v>
      </c>
      <c r="Y683" s="14">
        <v>570</v>
      </c>
      <c r="Z683" s="14">
        <v>762</v>
      </c>
      <c r="AA683" s="14">
        <v>334</v>
      </c>
      <c r="AB683" s="14">
        <v>281</v>
      </c>
      <c r="AC683" s="14">
        <v>100</v>
      </c>
      <c r="AD683" s="14">
        <v>47</v>
      </c>
      <c r="AE683" s="14">
        <v>1381</v>
      </c>
      <c r="AF683" s="14">
        <v>5000</v>
      </c>
      <c r="AG683" s="14">
        <v>1958</v>
      </c>
      <c r="AH683" s="14">
        <v>0</v>
      </c>
      <c r="AI683" s="14">
        <v>45</v>
      </c>
      <c r="AJ683" s="14">
        <v>109</v>
      </c>
      <c r="AK683" s="14" t="s">
        <v>711</v>
      </c>
      <c r="AL683" s="14" t="s">
        <v>715</v>
      </c>
      <c r="AM683" s="14">
        <v>179.36</v>
      </c>
      <c r="AN683" s="14">
        <v>142.63999999999999</v>
      </c>
      <c r="AO683" s="14">
        <v>73.5</v>
      </c>
      <c r="AP683" s="14">
        <v>21481</v>
      </c>
      <c r="AQ683" s="14">
        <v>21431</v>
      </c>
      <c r="AR683" s="14">
        <v>23000</v>
      </c>
      <c r="AS683" s="14">
        <v>20100</v>
      </c>
      <c r="AT683" s="14">
        <v>20862</v>
      </c>
      <c r="AU683" s="14">
        <v>6</v>
      </c>
      <c r="AV683" s="14">
        <v>194.64</v>
      </c>
      <c r="AW683" s="14">
        <v>12.38</v>
      </c>
      <c r="AX683" s="14">
        <v>4.8099999999999996</v>
      </c>
      <c r="AY683" s="14" t="b">
        <v>0</v>
      </c>
    </row>
    <row r="684" spans="1:51" hidden="1" x14ac:dyDescent="0.3">
      <c r="A684" t="str">
        <f>CONCATENATE(I684,E684,LEFT(G684,10))</f>
        <v>HFA803LLHA2026-02-22</v>
      </c>
      <c r="B684" s="14" t="s">
        <v>1052</v>
      </c>
      <c r="C684" s="14" t="s">
        <v>336</v>
      </c>
      <c r="D684" s="14" t="s">
        <v>337</v>
      </c>
      <c r="E684" s="14" t="s">
        <v>43</v>
      </c>
      <c r="F684" s="14" t="s">
        <v>87</v>
      </c>
      <c r="G684" s="14" t="s">
        <v>1053</v>
      </c>
      <c r="H684" s="14" t="s">
        <v>371</v>
      </c>
      <c r="I684" s="14" t="s">
        <v>116</v>
      </c>
      <c r="J684" s="14" t="s">
        <v>69</v>
      </c>
      <c r="K684" s="14" t="s">
        <v>349</v>
      </c>
      <c r="L684" s="14" t="s">
        <v>341</v>
      </c>
      <c r="M684" s="16" t="s">
        <v>1054</v>
      </c>
      <c r="N684" s="14"/>
      <c r="O684" s="14" t="s">
        <v>380</v>
      </c>
      <c r="P684" s="14">
        <v>50</v>
      </c>
      <c r="Q684" s="14">
        <v>2</v>
      </c>
      <c r="R684" s="14">
        <v>3700</v>
      </c>
      <c r="S684" s="14" t="s">
        <v>1055</v>
      </c>
      <c r="T684" s="14" t="s">
        <v>1056</v>
      </c>
      <c r="U684" s="14">
        <v>0.79916666666666603</v>
      </c>
      <c r="V684" s="14">
        <v>0.89500000000000002</v>
      </c>
      <c r="W684" s="14">
        <v>633</v>
      </c>
      <c r="X684" s="14">
        <v>50</v>
      </c>
      <c r="Y684" s="14">
        <v>583</v>
      </c>
      <c r="Z684" s="14">
        <v>867</v>
      </c>
      <c r="AA684" s="14">
        <v>340</v>
      </c>
      <c r="AB684" s="14">
        <v>257</v>
      </c>
      <c r="AC684" s="14">
        <v>228</v>
      </c>
      <c r="AD684" s="14">
        <v>43</v>
      </c>
      <c r="AE684" s="14">
        <v>1500</v>
      </c>
      <c r="AF684" s="14">
        <v>5000</v>
      </c>
      <c r="AG684" s="14">
        <v>1999</v>
      </c>
      <c r="AH684" s="14">
        <v>0</v>
      </c>
      <c r="AI684" s="14">
        <v>46</v>
      </c>
      <c r="AJ684" s="14">
        <v>120</v>
      </c>
      <c r="AK684" s="14" t="s">
        <v>1053</v>
      </c>
      <c r="AL684" s="14" t="s">
        <v>1057</v>
      </c>
      <c r="AM684" s="14">
        <v>179.36</v>
      </c>
      <c r="AN684" s="14">
        <v>142.63999999999999</v>
      </c>
      <c r="AO684" s="14">
        <v>73.5</v>
      </c>
      <c r="AP684" s="14">
        <v>18700</v>
      </c>
      <c r="AQ684" s="14">
        <v>18650</v>
      </c>
      <c r="AR684" s="14">
        <v>23000</v>
      </c>
      <c r="AS684" s="14">
        <v>17200</v>
      </c>
      <c r="AT684" s="14">
        <v>18067</v>
      </c>
      <c r="AU684" s="14">
        <v>-3</v>
      </c>
      <c r="AV684" s="14">
        <v>252.74</v>
      </c>
      <c r="AW684" s="14">
        <v>29.21</v>
      </c>
      <c r="AX684" s="14">
        <v>1.78</v>
      </c>
      <c r="AY684" s="14" t="b">
        <v>0</v>
      </c>
    </row>
    <row r="685" spans="1:51" hidden="1" x14ac:dyDescent="0.3">
      <c r="A685" t="str">
        <f>CONCATENATE(I685,E685,LEFT(G685,10))</f>
        <v>HFA803LLHA2026-02-23</v>
      </c>
      <c r="B685" s="14" t="s">
        <v>3786</v>
      </c>
      <c r="C685" s="14" t="s">
        <v>336</v>
      </c>
      <c r="D685" s="14" t="s">
        <v>337</v>
      </c>
      <c r="E685" s="14" t="s">
        <v>43</v>
      </c>
      <c r="F685" s="14" t="s">
        <v>87</v>
      </c>
      <c r="G685" s="14" t="s">
        <v>3787</v>
      </c>
      <c r="H685" s="14" t="s">
        <v>371</v>
      </c>
      <c r="I685" s="14" t="s">
        <v>116</v>
      </c>
      <c r="J685" s="14" t="s">
        <v>69</v>
      </c>
      <c r="K685" s="14" t="s">
        <v>349</v>
      </c>
      <c r="L685" s="14" t="s">
        <v>341</v>
      </c>
      <c r="M685" s="16" t="s">
        <v>3788</v>
      </c>
      <c r="N685" s="14"/>
      <c r="O685" s="14" t="s">
        <v>1002</v>
      </c>
      <c r="P685" s="14">
        <v>50</v>
      </c>
      <c r="Q685" s="14">
        <v>2</v>
      </c>
      <c r="R685" s="14">
        <v>2400</v>
      </c>
      <c r="S685" s="14" t="s">
        <v>3789</v>
      </c>
      <c r="T685" s="14" t="s">
        <v>3790</v>
      </c>
      <c r="U685" s="14">
        <v>0.67749999999999999</v>
      </c>
      <c r="V685" s="14">
        <v>0.83388888888888801</v>
      </c>
      <c r="W685" s="14">
        <v>624</v>
      </c>
      <c r="X685" s="14">
        <v>50</v>
      </c>
      <c r="Y685" s="14">
        <v>574</v>
      </c>
      <c r="Z685" s="14">
        <v>716</v>
      </c>
      <c r="AA685" s="14">
        <v>329</v>
      </c>
      <c r="AB685" s="14">
        <v>245</v>
      </c>
      <c r="AC685" s="14">
        <v>100</v>
      </c>
      <c r="AD685" s="14">
        <v>41</v>
      </c>
      <c r="AE685" s="14">
        <v>1340</v>
      </c>
      <c r="AF685" s="14">
        <v>5000</v>
      </c>
      <c r="AG685" s="14">
        <v>1973</v>
      </c>
      <c r="AH685" s="14">
        <v>0</v>
      </c>
      <c r="AI685" s="14">
        <v>44</v>
      </c>
      <c r="AJ685" s="14">
        <v>107</v>
      </c>
      <c r="AK685" s="14" t="s">
        <v>3787</v>
      </c>
      <c r="AL685" s="14" t="s">
        <v>3791</v>
      </c>
      <c r="AM685" s="14">
        <v>179.36</v>
      </c>
      <c r="AN685" s="14">
        <v>142.63999999999999</v>
      </c>
      <c r="AO685" s="14">
        <v>73.5</v>
      </c>
      <c r="AP685" s="14">
        <v>17240</v>
      </c>
      <c r="AQ685" s="14">
        <v>17190</v>
      </c>
      <c r="AR685" s="14">
        <v>23000</v>
      </c>
      <c r="AS685" s="14">
        <v>15900</v>
      </c>
      <c r="AT685" s="14">
        <v>16616</v>
      </c>
      <c r="AU685" s="14">
        <v>0</v>
      </c>
      <c r="AV685" s="14">
        <v>241.03</v>
      </c>
      <c r="AW685" s="14">
        <v>14.6</v>
      </c>
      <c r="AX685" s="14">
        <v>-1.54</v>
      </c>
      <c r="AY685" s="14" t="b">
        <v>0</v>
      </c>
    </row>
    <row r="686" spans="1:51" hidden="1" x14ac:dyDescent="0.3">
      <c r="A686" t="str">
        <f>CONCATENATE(I686,E686,LEFT(G686,10))</f>
        <v>HFA803LLHA2026-02-24</v>
      </c>
      <c r="B686" s="14" t="s">
        <v>3711</v>
      </c>
      <c r="C686" s="14" t="s">
        <v>336</v>
      </c>
      <c r="D686" s="14" t="s">
        <v>337</v>
      </c>
      <c r="E686" s="14" t="s">
        <v>43</v>
      </c>
      <c r="F686" s="14" t="s">
        <v>87</v>
      </c>
      <c r="G686" s="14" t="s">
        <v>3712</v>
      </c>
      <c r="H686" s="14" t="s">
        <v>339</v>
      </c>
      <c r="I686" s="14" t="s">
        <v>116</v>
      </c>
      <c r="J686" s="14" t="s">
        <v>69</v>
      </c>
      <c r="K686" s="14" t="s">
        <v>349</v>
      </c>
      <c r="L686" s="14" t="s">
        <v>341</v>
      </c>
      <c r="M686" s="16" t="s">
        <v>3713</v>
      </c>
      <c r="N686" s="14"/>
      <c r="O686" s="14" t="s">
        <v>430</v>
      </c>
      <c r="P686" s="14">
        <v>140</v>
      </c>
      <c r="Q686" s="14">
        <v>2</v>
      </c>
      <c r="R686" s="14">
        <v>4400</v>
      </c>
      <c r="S686" s="14" t="s">
        <v>3714</v>
      </c>
      <c r="T686" s="14" t="s">
        <v>3715</v>
      </c>
      <c r="U686" s="14">
        <v>0.80388888888888799</v>
      </c>
      <c r="V686" s="14">
        <v>0.96222222222222198</v>
      </c>
      <c r="W686" s="14">
        <v>645</v>
      </c>
      <c r="X686" s="14">
        <v>50</v>
      </c>
      <c r="Y686" s="14">
        <v>595</v>
      </c>
      <c r="Z686" s="14">
        <v>915</v>
      </c>
      <c r="AA686" s="14">
        <v>336</v>
      </c>
      <c r="AB686" s="14">
        <v>261</v>
      </c>
      <c r="AC686" s="14">
        <v>274</v>
      </c>
      <c r="AD686" s="14">
        <v>44</v>
      </c>
      <c r="AE686" s="14">
        <v>1560</v>
      </c>
      <c r="AF686" s="14">
        <v>5000</v>
      </c>
      <c r="AG686" s="14">
        <v>2038</v>
      </c>
      <c r="AH686" s="14">
        <v>0</v>
      </c>
      <c r="AI686" s="14">
        <v>47</v>
      </c>
      <c r="AJ686" s="14">
        <v>125</v>
      </c>
      <c r="AK686" s="14" t="s">
        <v>3712</v>
      </c>
      <c r="AL686" s="14" t="s">
        <v>3716</v>
      </c>
      <c r="AM686" s="14">
        <v>179.36</v>
      </c>
      <c r="AN686" s="14">
        <v>142.63999999999999</v>
      </c>
      <c r="AO686" s="14">
        <v>73.5</v>
      </c>
      <c r="AP686" s="14">
        <v>19285</v>
      </c>
      <c r="AQ686" s="14">
        <v>19235</v>
      </c>
      <c r="AR686" s="14">
        <v>23000</v>
      </c>
      <c r="AS686" s="14">
        <v>17725</v>
      </c>
      <c r="AT686" s="14">
        <v>18640</v>
      </c>
      <c r="AU686" s="14">
        <v>-15</v>
      </c>
      <c r="AV686" s="14">
        <v>317.89999999999998</v>
      </c>
      <c r="AW686" s="14">
        <v>22.74</v>
      </c>
      <c r="AX686" s="14">
        <v>0.85</v>
      </c>
      <c r="AY686" s="14" t="b">
        <v>0</v>
      </c>
    </row>
    <row r="687" spans="1:51" hidden="1" x14ac:dyDescent="0.3">
      <c r="A687" t="str">
        <f>CONCATENATE(I687,E687,LEFT(G687,10))</f>
        <v>HFA803LLHA2026-02-25</v>
      </c>
      <c r="B687" s="14" t="s">
        <v>3633</v>
      </c>
      <c r="C687" s="14" t="s">
        <v>336</v>
      </c>
      <c r="D687" s="14" t="s">
        <v>337</v>
      </c>
      <c r="E687" s="14" t="s">
        <v>43</v>
      </c>
      <c r="F687" s="14" t="s">
        <v>87</v>
      </c>
      <c r="G687" s="14" t="s">
        <v>3634</v>
      </c>
      <c r="H687" s="14" t="s">
        <v>371</v>
      </c>
      <c r="I687" s="14" t="s">
        <v>116</v>
      </c>
      <c r="J687" s="14" t="s">
        <v>69</v>
      </c>
      <c r="K687" s="14" t="s">
        <v>349</v>
      </c>
      <c r="L687" s="14" t="s">
        <v>341</v>
      </c>
      <c r="M687" s="16" t="s">
        <v>3629</v>
      </c>
      <c r="N687" s="14"/>
      <c r="O687" s="14" t="s">
        <v>3635</v>
      </c>
      <c r="P687" s="14">
        <v>140</v>
      </c>
      <c r="Q687" s="14">
        <v>2</v>
      </c>
      <c r="R687" s="14">
        <v>4300</v>
      </c>
      <c r="S687" s="14" t="s">
        <v>3636</v>
      </c>
      <c r="T687" s="14" t="s">
        <v>3637</v>
      </c>
      <c r="U687" s="14">
        <v>0.83305555555555499</v>
      </c>
      <c r="V687" s="14">
        <v>1.00555555555555</v>
      </c>
      <c r="W687" s="14">
        <v>640</v>
      </c>
      <c r="X687" s="14">
        <v>50</v>
      </c>
      <c r="Y687" s="14">
        <v>590</v>
      </c>
      <c r="Z687" s="14">
        <v>754</v>
      </c>
      <c r="AA687" s="14">
        <v>350</v>
      </c>
      <c r="AB687" s="14">
        <v>260</v>
      </c>
      <c r="AC687" s="14">
        <v>100</v>
      </c>
      <c r="AD687" s="14">
        <v>43</v>
      </c>
      <c r="AE687" s="14">
        <v>1394</v>
      </c>
      <c r="AF687" s="14">
        <v>5000</v>
      </c>
      <c r="AG687" s="14">
        <v>2021</v>
      </c>
      <c r="AH687" s="14">
        <v>0</v>
      </c>
      <c r="AI687" s="14">
        <v>47</v>
      </c>
      <c r="AJ687" s="14">
        <v>111</v>
      </c>
      <c r="AK687" s="14" t="s">
        <v>3634</v>
      </c>
      <c r="AL687" s="14" t="s">
        <v>3638</v>
      </c>
      <c r="AM687" s="14">
        <v>179.36</v>
      </c>
      <c r="AN687" s="14">
        <v>142.63999999999999</v>
      </c>
      <c r="AO687" s="14">
        <v>73.5</v>
      </c>
      <c r="AP687" s="14">
        <v>19194</v>
      </c>
      <c r="AQ687" s="14">
        <v>19144</v>
      </c>
      <c r="AR687" s="14">
        <v>23000</v>
      </c>
      <c r="AS687" s="14">
        <v>17800</v>
      </c>
      <c r="AT687" s="14">
        <v>18554</v>
      </c>
      <c r="AU687" s="14">
        <v>-10</v>
      </c>
      <c r="AV687" s="14">
        <v>265.88</v>
      </c>
      <c r="AW687" s="14">
        <v>31.73</v>
      </c>
      <c r="AX687" s="14">
        <v>2.88</v>
      </c>
      <c r="AY687" s="14" t="b">
        <v>0</v>
      </c>
    </row>
    <row r="688" spans="1:51" hidden="1" x14ac:dyDescent="0.3">
      <c r="A688" t="str">
        <f>CONCATENATE(I688,E688,LEFT(G688,10))</f>
        <v>HFA803LLHA2026-02-26</v>
      </c>
      <c r="B688" s="14" t="s">
        <v>3515</v>
      </c>
      <c r="C688" s="14" t="s">
        <v>336</v>
      </c>
      <c r="D688" s="14" t="s">
        <v>337</v>
      </c>
      <c r="E688" s="14" t="s">
        <v>43</v>
      </c>
      <c r="F688" s="14" t="s">
        <v>87</v>
      </c>
      <c r="G688" s="14" t="s">
        <v>3516</v>
      </c>
      <c r="H688" s="14" t="s">
        <v>339</v>
      </c>
      <c r="I688" s="14" t="s">
        <v>116</v>
      </c>
      <c r="J688" s="14" t="s">
        <v>69</v>
      </c>
      <c r="K688" s="14" t="s">
        <v>349</v>
      </c>
      <c r="L688" s="14" t="s">
        <v>341</v>
      </c>
      <c r="M688" s="16" t="s">
        <v>3506</v>
      </c>
      <c r="N688" s="14"/>
      <c r="O688" s="14" t="s">
        <v>3517</v>
      </c>
      <c r="P688" s="14">
        <v>50</v>
      </c>
      <c r="Q688" s="14">
        <v>2</v>
      </c>
      <c r="R688" s="14">
        <v>7100</v>
      </c>
      <c r="S688" s="14" t="s">
        <v>3518</v>
      </c>
      <c r="T688" s="14" t="s">
        <v>3519</v>
      </c>
      <c r="U688" s="14">
        <v>0.786944444444444</v>
      </c>
      <c r="V688" s="14">
        <v>0.90527777777777696</v>
      </c>
      <c r="W688" s="14">
        <v>691</v>
      </c>
      <c r="X688" s="14">
        <v>50</v>
      </c>
      <c r="Y688" s="14">
        <v>641</v>
      </c>
      <c r="Z688" s="14">
        <v>795</v>
      </c>
      <c r="AA688" s="14">
        <v>363</v>
      </c>
      <c r="AB688" s="14">
        <v>284</v>
      </c>
      <c r="AC688" s="14">
        <v>100</v>
      </c>
      <c r="AD688" s="14">
        <v>47</v>
      </c>
      <c r="AE688" s="14">
        <v>1485</v>
      </c>
      <c r="AF688" s="14">
        <v>5000</v>
      </c>
      <c r="AG688" s="14">
        <v>2182</v>
      </c>
      <c r="AH688" s="14">
        <v>0</v>
      </c>
      <c r="AI688" s="14">
        <v>51</v>
      </c>
      <c r="AJ688" s="14">
        <v>116</v>
      </c>
      <c r="AK688" s="14" t="s">
        <v>3516</v>
      </c>
      <c r="AL688" s="14" t="s">
        <v>3520</v>
      </c>
      <c r="AM688" s="14">
        <v>179.36</v>
      </c>
      <c r="AN688" s="14">
        <v>142.63999999999999</v>
      </c>
      <c r="AO688" s="14">
        <v>73.5</v>
      </c>
      <c r="AP688" s="14">
        <v>21910</v>
      </c>
      <c r="AQ688" s="14">
        <v>21860</v>
      </c>
      <c r="AR688" s="14">
        <v>23000</v>
      </c>
      <c r="AS688" s="14">
        <v>20425</v>
      </c>
      <c r="AT688" s="14">
        <v>21220</v>
      </c>
      <c r="AU688" s="14">
        <v>-23</v>
      </c>
      <c r="AV688" s="14">
        <v>278.08999999999997</v>
      </c>
      <c r="AW688" s="14">
        <v>49.41</v>
      </c>
      <c r="AX688" s="14">
        <v>-0.21</v>
      </c>
      <c r="AY688" s="14" t="b">
        <v>0</v>
      </c>
    </row>
    <row r="689" spans="1:51" hidden="1" x14ac:dyDescent="0.3">
      <c r="A689" t="str">
        <f>CONCATENATE(I689,E689,LEFT(G689,10))</f>
        <v>HFA803LLHA2026-02-27</v>
      </c>
      <c r="B689" s="14" t="s">
        <v>3403</v>
      </c>
      <c r="C689" s="14" t="s">
        <v>336</v>
      </c>
      <c r="D689" s="14" t="s">
        <v>337</v>
      </c>
      <c r="E689" s="14" t="s">
        <v>43</v>
      </c>
      <c r="F689" s="14" t="s">
        <v>87</v>
      </c>
      <c r="G689" s="14" t="s">
        <v>3404</v>
      </c>
      <c r="H689" s="14" t="s">
        <v>371</v>
      </c>
      <c r="I689" s="14" t="s">
        <v>116</v>
      </c>
      <c r="J689" s="14" t="s">
        <v>69</v>
      </c>
      <c r="K689" s="14" t="s">
        <v>349</v>
      </c>
      <c r="L689" s="14" t="s">
        <v>341</v>
      </c>
      <c r="M689" s="16" t="s">
        <v>3405</v>
      </c>
      <c r="N689" s="14"/>
      <c r="O689" s="14" t="s">
        <v>380</v>
      </c>
      <c r="P689" s="14">
        <v>50</v>
      </c>
      <c r="Q689" s="14">
        <v>2</v>
      </c>
      <c r="R689" s="14">
        <v>6100</v>
      </c>
      <c r="S689" s="14" t="s">
        <v>3406</v>
      </c>
      <c r="T689" s="14" t="s">
        <v>3407</v>
      </c>
      <c r="U689" s="14">
        <v>0.80861111111111095</v>
      </c>
      <c r="V689" s="14">
        <v>0.94861111111111096</v>
      </c>
      <c r="W689" s="14">
        <v>717</v>
      </c>
      <c r="X689" s="14">
        <v>50</v>
      </c>
      <c r="Y689" s="14">
        <v>667</v>
      </c>
      <c r="Z689" s="14">
        <v>783</v>
      </c>
      <c r="AA689" s="14">
        <v>342</v>
      </c>
      <c r="AB689" s="14">
        <v>276</v>
      </c>
      <c r="AC689" s="14">
        <v>118</v>
      </c>
      <c r="AD689" s="14">
        <v>46</v>
      </c>
      <c r="AE689" s="14">
        <v>1500</v>
      </c>
      <c r="AF689" s="14">
        <v>5000</v>
      </c>
      <c r="AG689" s="14">
        <v>2266</v>
      </c>
      <c r="AH689" s="14">
        <v>0</v>
      </c>
      <c r="AI689" s="14">
        <v>51</v>
      </c>
      <c r="AJ689" s="14">
        <v>115</v>
      </c>
      <c r="AK689" s="14" t="s">
        <v>3404</v>
      </c>
      <c r="AL689" s="14" t="s">
        <v>3408</v>
      </c>
      <c r="AM689" s="14">
        <v>179.36</v>
      </c>
      <c r="AN689" s="14">
        <v>142.63999999999999</v>
      </c>
      <c r="AO689" s="14">
        <v>73.5</v>
      </c>
      <c r="AP689" s="14">
        <v>21100</v>
      </c>
      <c r="AQ689" s="14">
        <v>21050</v>
      </c>
      <c r="AR689" s="14">
        <v>23000</v>
      </c>
      <c r="AS689" s="14">
        <v>19600</v>
      </c>
      <c r="AT689" s="14">
        <v>20383</v>
      </c>
      <c r="AU689" s="14">
        <v>-29</v>
      </c>
      <c r="AV689" s="14">
        <v>306.72000000000003</v>
      </c>
      <c r="AW689" s="14">
        <v>36.19</v>
      </c>
      <c r="AX689" s="14">
        <v>-4.5599999999999996</v>
      </c>
      <c r="AY689" s="14" t="b">
        <v>0</v>
      </c>
    </row>
    <row r="690" spans="1:51" hidden="1" x14ac:dyDescent="0.3">
      <c r="A690" t="str">
        <f>CONCATENATE(I690,E690,LEFT(G690,10))</f>
        <v>HFA804LCLK2026-01-01</v>
      </c>
      <c r="B690" s="14" t="s">
        <v>4515</v>
      </c>
      <c r="C690" s="14" t="s">
        <v>336</v>
      </c>
      <c r="D690" s="14" t="s">
        <v>337</v>
      </c>
      <c r="E690" s="14" t="s">
        <v>87</v>
      </c>
      <c r="F690" s="14" t="s">
        <v>43</v>
      </c>
      <c r="G690" s="14" t="s">
        <v>4516</v>
      </c>
      <c r="H690" s="14" t="s">
        <v>371</v>
      </c>
      <c r="I690" s="14" t="s">
        <v>117</v>
      </c>
      <c r="J690" s="14" t="s">
        <v>83</v>
      </c>
      <c r="K690" s="14" t="s">
        <v>340</v>
      </c>
      <c r="L690" s="14" t="s">
        <v>341</v>
      </c>
      <c r="M690" s="16" t="s">
        <v>4517</v>
      </c>
      <c r="N690" s="14"/>
      <c r="O690" s="14" t="s">
        <v>627</v>
      </c>
      <c r="P690" s="14">
        <v>130</v>
      </c>
      <c r="Q690" s="14">
        <v>2</v>
      </c>
      <c r="R690" s="14">
        <v>3200</v>
      </c>
      <c r="S690" s="14" t="s">
        <v>4518</v>
      </c>
      <c r="T690" s="14" t="s">
        <v>4519</v>
      </c>
      <c r="U690" s="14">
        <v>0.77222222222222203</v>
      </c>
      <c r="V690" s="14">
        <v>0.96250000000000002</v>
      </c>
      <c r="W690" s="14">
        <v>588</v>
      </c>
      <c r="X690" s="14">
        <v>80</v>
      </c>
      <c r="Y690" s="14">
        <v>508</v>
      </c>
      <c r="Z690" s="14">
        <v>1512</v>
      </c>
      <c r="AA690" s="14">
        <v>264</v>
      </c>
      <c r="AB690" s="14">
        <v>258</v>
      </c>
      <c r="AC690" s="14">
        <v>947</v>
      </c>
      <c r="AD690" s="14">
        <v>43</v>
      </c>
      <c r="AE690" s="14">
        <v>2100</v>
      </c>
      <c r="AF690" s="14">
        <v>5000</v>
      </c>
      <c r="AG690" s="14">
        <v>1859</v>
      </c>
      <c r="AH690" s="14">
        <v>0</v>
      </c>
      <c r="AI690" s="14">
        <v>39</v>
      </c>
      <c r="AJ690" s="14">
        <v>164</v>
      </c>
      <c r="AK690" s="14" t="s">
        <v>4516</v>
      </c>
      <c r="AL690" s="14" t="s">
        <v>4520</v>
      </c>
      <c r="AM690" s="14">
        <v>162.11000000000001</v>
      </c>
      <c r="AN690" s="14">
        <v>142.63999999999999</v>
      </c>
      <c r="AO690" s="14">
        <v>54.99</v>
      </c>
      <c r="AP690" s="14">
        <v>18800</v>
      </c>
      <c r="AQ690" s="14">
        <v>18720</v>
      </c>
      <c r="AR690" s="14">
        <v>23000</v>
      </c>
      <c r="AS690" s="14">
        <v>16700</v>
      </c>
      <c r="AT690" s="14">
        <v>18212</v>
      </c>
      <c r="AU690" s="14">
        <v>11</v>
      </c>
      <c r="AV690" s="14">
        <v>259.72000000000003</v>
      </c>
      <c r="AW690" s="14">
        <v>45.57</v>
      </c>
      <c r="AX690" s="14">
        <v>-0.33</v>
      </c>
      <c r="AY690" s="14" t="b">
        <v>0</v>
      </c>
    </row>
    <row r="691" spans="1:51" hidden="1" x14ac:dyDescent="0.3">
      <c r="A691" t="str">
        <f>CONCATENATE(I691,E691,LEFT(G691,10))</f>
        <v>HFA804LCLK2026-01-02</v>
      </c>
      <c r="B691" s="14" t="s">
        <v>6221</v>
      </c>
      <c r="C691" s="14" t="s">
        <v>336</v>
      </c>
      <c r="D691" s="14" t="s">
        <v>337</v>
      </c>
      <c r="E691" s="14" t="s">
        <v>87</v>
      </c>
      <c r="F691" s="14" t="s">
        <v>43</v>
      </c>
      <c r="G691" s="14" t="s">
        <v>6222</v>
      </c>
      <c r="H691" s="14" t="s">
        <v>371</v>
      </c>
      <c r="I691" s="14" t="s">
        <v>117</v>
      </c>
      <c r="J691" s="14" t="s">
        <v>83</v>
      </c>
      <c r="K691" s="14" t="s">
        <v>340</v>
      </c>
      <c r="L691" s="14" t="s">
        <v>341</v>
      </c>
      <c r="M691" s="16" t="s">
        <v>6217</v>
      </c>
      <c r="N691" s="14"/>
      <c r="O691" s="14" t="s">
        <v>410</v>
      </c>
      <c r="P691" s="14">
        <v>130</v>
      </c>
      <c r="Q691" s="14">
        <v>2</v>
      </c>
      <c r="R691" s="14">
        <v>6500</v>
      </c>
      <c r="S691" s="14" t="s">
        <v>6223</v>
      </c>
      <c r="T691" s="14" t="s">
        <v>6224</v>
      </c>
      <c r="U691" s="14">
        <v>0.70583333333333298</v>
      </c>
      <c r="V691" s="14">
        <v>0.90972222222222199</v>
      </c>
      <c r="W691" s="14">
        <v>599</v>
      </c>
      <c r="X691" s="14">
        <v>80</v>
      </c>
      <c r="Y691" s="14">
        <v>519</v>
      </c>
      <c r="Z691" s="14">
        <v>1501</v>
      </c>
      <c r="AA691" s="14">
        <v>267</v>
      </c>
      <c r="AB691" s="14">
        <v>287</v>
      </c>
      <c r="AC691" s="14">
        <v>899</v>
      </c>
      <c r="AD691" s="14">
        <v>48</v>
      </c>
      <c r="AE691" s="14">
        <v>2100</v>
      </c>
      <c r="AF691" s="14">
        <v>5000</v>
      </c>
      <c r="AG691" s="14">
        <v>1894</v>
      </c>
      <c r="AH691" s="14">
        <v>0</v>
      </c>
      <c r="AI691" s="14">
        <v>39</v>
      </c>
      <c r="AJ691" s="14">
        <v>160</v>
      </c>
      <c r="AK691" s="14" t="s">
        <v>6222</v>
      </c>
      <c r="AL691" s="14" t="s">
        <v>6225</v>
      </c>
      <c r="AM691" s="14">
        <v>162.11000000000001</v>
      </c>
      <c r="AN691" s="14">
        <v>142.63999999999999</v>
      </c>
      <c r="AO691" s="14">
        <v>54.99</v>
      </c>
      <c r="AP691" s="14">
        <v>22100</v>
      </c>
      <c r="AQ691" s="14">
        <v>22020</v>
      </c>
      <c r="AR691" s="14">
        <v>23000</v>
      </c>
      <c r="AS691" s="14">
        <v>20000</v>
      </c>
      <c r="AT691" s="14">
        <v>21501</v>
      </c>
      <c r="AU691" s="14">
        <v>15</v>
      </c>
      <c r="AV691" s="14">
        <v>294.69</v>
      </c>
      <c r="AW691" s="14">
        <v>22.9</v>
      </c>
      <c r="AX691" s="14">
        <v>-1.76</v>
      </c>
      <c r="AY691" s="14" t="b">
        <v>0</v>
      </c>
    </row>
    <row r="692" spans="1:51" hidden="1" x14ac:dyDescent="0.3">
      <c r="A692" t="str">
        <f>CONCATENATE(I692,E692,LEFT(G692,10))</f>
        <v>HFA804LCLK2026-01-04</v>
      </c>
      <c r="B692" s="14" t="s">
        <v>5372</v>
      </c>
      <c r="C692" s="14" t="s">
        <v>336</v>
      </c>
      <c r="D692" s="14" t="s">
        <v>337</v>
      </c>
      <c r="E692" s="14" t="s">
        <v>87</v>
      </c>
      <c r="F692" s="14" t="s">
        <v>43</v>
      </c>
      <c r="G692" s="14" t="s">
        <v>5373</v>
      </c>
      <c r="H692" s="14" t="s">
        <v>371</v>
      </c>
      <c r="I692" s="14" t="s">
        <v>117</v>
      </c>
      <c r="J692" s="14" t="s">
        <v>83</v>
      </c>
      <c r="K692" s="14" t="s">
        <v>340</v>
      </c>
      <c r="L692" s="14" t="s">
        <v>341</v>
      </c>
      <c r="M692" s="16" t="s">
        <v>731</v>
      </c>
      <c r="N692" s="14"/>
      <c r="O692" s="14" t="s">
        <v>4656</v>
      </c>
      <c r="P692" s="14">
        <v>130</v>
      </c>
      <c r="Q692" s="14">
        <v>3</v>
      </c>
      <c r="R692" s="14">
        <v>6800</v>
      </c>
      <c r="S692" s="14" t="s">
        <v>5374</v>
      </c>
      <c r="T692" s="14" t="s">
        <v>5375</v>
      </c>
      <c r="U692" s="14">
        <v>0.719444444444444</v>
      </c>
      <c r="V692" s="14">
        <v>0.93805555555555498</v>
      </c>
      <c r="W692" s="14">
        <v>633</v>
      </c>
      <c r="X692" s="14">
        <v>80</v>
      </c>
      <c r="Y692" s="14">
        <v>553</v>
      </c>
      <c r="Z692" s="14">
        <v>1367</v>
      </c>
      <c r="AA692" s="14">
        <v>273</v>
      </c>
      <c r="AB692" s="14">
        <v>289</v>
      </c>
      <c r="AC692" s="14">
        <v>757</v>
      </c>
      <c r="AD692" s="14">
        <v>48</v>
      </c>
      <c r="AE692" s="14">
        <v>2000</v>
      </c>
      <c r="AF692" s="14">
        <v>5000</v>
      </c>
      <c r="AG692" s="14">
        <v>1999</v>
      </c>
      <c r="AH692" s="14">
        <v>0</v>
      </c>
      <c r="AI692" s="14">
        <v>43</v>
      </c>
      <c r="AJ692" s="14">
        <v>157</v>
      </c>
      <c r="AK692" s="14" t="s">
        <v>5373</v>
      </c>
      <c r="AL692" s="14" t="s">
        <v>5376</v>
      </c>
      <c r="AM692" s="14">
        <v>162.11000000000001</v>
      </c>
      <c r="AN692" s="14">
        <v>142.63999999999999</v>
      </c>
      <c r="AO692" s="14">
        <v>54.99</v>
      </c>
      <c r="AP692" s="14">
        <v>22300</v>
      </c>
      <c r="AQ692" s="14">
        <v>22220</v>
      </c>
      <c r="AR692" s="14">
        <v>23000</v>
      </c>
      <c r="AS692" s="14">
        <v>20300</v>
      </c>
      <c r="AT692" s="14">
        <v>21667</v>
      </c>
      <c r="AU692" s="14">
        <v>-8</v>
      </c>
      <c r="AV692" s="14">
        <v>214.44</v>
      </c>
      <c r="AW692" s="14">
        <v>15.87</v>
      </c>
      <c r="AX692" s="14">
        <v>4.95</v>
      </c>
      <c r="AY692" s="14" t="b">
        <v>0</v>
      </c>
    </row>
    <row r="693" spans="1:51" hidden="1" x14ac:dyDescent="0.3">
      <c r="A693" t="str">
        <f>CONCATENATE(I693,E693,LEFT(G693,10))</f>
        <v>HFA804LCLK2026-01-05</v>
      </c>
      <c r="B693" s="14" t="s">
        <v>1705</v>
      </c>
      <c r="C693" s="14" t="s">
        <v>336</v>
      </c>
      <c r="D693" s="14" t="s">
        <v>337</v>
      </c>
      <c r="E693" s="14" t="s">
        <v>87</v>
      </c>
      <c r="F693" s="14" t="s">
        <v>43</v>
      </c>
      <c r="G693" s="14" t="s">
        <v>1706</v>
      </c>
      <c r="H693" s="14" t="s">
        <v>371</v>
      </c>
      <c r="I693" s="14" t="s">
        <v>117</v>
      </c>
      <c r="J693" s="14" t="s">
        <v>83</v>
      </c>
      <c r="K693" s="14" t="s">
        <v>340</v>
      </c>
      <c r="L693" s="14" t="s">
        <v>341</v>
      </c>
      <c r="M693" s="16" t="s">
        <v>1707</v>
      </c>
      <c r="N693" s="14"/>
      <c r="O693" s="14" t="s">
        <v>627</v>
      </c>
      <c r="P693" s="14">
        <v>130</v>
      </c>
      <c r="Q693" s="14">
        <v>2</v>
      </c>
      <c r="R693" s="14">
        <v>6700</v>
      </c>
      <c r="S693" s="14" t="s">
        <v>1708</v>
      </c>
      <c r="T693" s="14" t="s">
        <v>1709</v>
      </c>
      <c r="U693" s="14">
        <v>0.77583333333333304</v>
      </c>
      <c r="V693" s="14">
        <v>1.0336111111111099</v>
      </c>
      <c r="W693" s="14">
        <v>627</v>
      </c>
      <c r="X693" s="14">
        <v>80</v>
      </c>
      <c r="Y693" s="14">
        <v>547</v>
      </c>
      <c r="Z693" s="14">
        <v>1773</v>
      </c>
      <c r="AA693" s="14">
        <v>265</v>
      </c>
      <c r="AB693" s="14">
        <v>292</v>
      </c>
      <c r="AC693" s="14">
        <v>1166</v>
      </c>
      <c r="AD693" s="14">
        <v>49</v>
      </c>
      <c r="AE693" s="14">
        <v>2400</v>
      </c>
      <c r="AF693" s="14">
        <v>5000</v>
      </c>
      <c r="AG693" s="14">
        <v>1982</v>
      </c>
      <c r="AH693" s="14">
        <v>0</v>
      </c>
      <c r="AI693" s="14">
        <v>43</v>
      </c>
      <c r="AJ693" s="14">
        <v>191</v>
      </c>
      <c r="AK693" s="14" t="s">
        <v>1706</v>
      </c>
      <c r="AL693" s="14" t="s">
        <v>1710</v>
      </c>
      <c r="AM693" s="14">
        <v>162.11000000000001</v>
      </c>
      <c r="AN693" s="14">
        <v>142.63999999999999</v>
      </c>
      <c r="AO693" s="14">
        <v>54.99</v>
      </c>
      <c r="AP693" s="14">
        <v>22600</v>
      </c>
      <c r="AQ693" s="14">
        <v>22520</v>
      </c>
      <c r="AR693" s="14">
        <v>23000</v>
      </c>
      <c r="AS693" s="14">
        <v>20200</v>
      </c>
      <c r="AT693" s="14">
        <v>21973</v>
      </c>
      <c r="AU693" s="14">
        <v>-6</v>
      </c>
      <c r="AV693" s="14">
        <v>220.22</v>
      </c>
      <c r="AW693" s="14">
        <v>12.32</v>
      </c>
      <c r="AX693" s="14">
        <v>7.19</v>
      </c>
      <c r="AY693" s="14" t="b">
        <v>0</v>
      </c>
    </row>
    <row r="694" spans="1:51" hidden="1" x14ac:dyDescent="0.3">
      <c r="A694" t="str">
        <f>CONCATENATE(I694,E694,LEFT(G694,10))</f>
        <v>HFA804LCLK2026-01-06</v>
      </c>
      <c r="B694" s="14" t="s">
        <v>4847</v>
      </c>
      <c r="C694" s="14" t="s">
        <v>336</v>
      </c>
      <c r="D694" s="14" t="s">
        <v>337</v>
      </c>
      <c r="E694" s="14" t="s">
        <v>87</v>
      </c>
      <c r="F694" s="14" t="s">
        <v>43</v>
      </c>
      <c r="G694" s="14" t="s">
        <v>4848</v>
      </c>
      <c r="H694" s="14" t="s">
        <v>339</v>
      </c>
      <c r="I694" s="14" t="s">
        <v>117</v>
      </c>
      <c r="J694" s="14" t="s">
        <v>83</v>
      </c>
      <c r="K694" s="14" t="s">
        <v>340</v>
      </c>
      <c r="L694" s="14" t="s">
        <v>341</v>
      </c>
      <c r="M694" s="16" t="s">
        <v>1352</v>
      </c>
      <c r="N694" s="14"/>
      <c r="O694" s="14" t="s">
        <v>627</v>
      </c>
      <c r="P694" s="14">
        <v>130</v>
      </c>
      <c r="Q694" s="14">
        <v>2</v>
      </c>
      <c r="R694" s="14">
        <v>6700</v>
      </c>
      <c r="S694" s="14" t="s">
        <v>4849</v>
      </c>
      <c r="T694" s="14" t="s">
        <v>4850</v>
      </c>
      <c r="U694" s="14">
        <v>0.77055555555555499</v>
      </c>
      <c r="V694" s="14">
        <v>0.99666666666666603</v>
      </c>
      <c r="W694" s="14">
        <v>598</v>
      </c>
      <c r="X694" s="14">
        <v>80</v>
      </c>
      <c r="Y694" s="14">
        <v>518</v>
      </c>
      <c r="Z694" s="14">
        <v>1802</v>
      </c>
      <c r="AA694" s="14">
        <v>262</v>
      </c>
      <c r="AB694" s="14">
        <v>291</v>
      </c>
      <c r="AC694" s="14">
        <v>1201</v>
      </c>
      <c r="AD694" s="14">
        <v>48</v>
      </c>
      <c r="AE694" s="14">
        <v>2400</v>
      </c>
      <c r="AF694" s="14">
        <v>5000</v>
      </c>
      <c r="AG694" s="14">
        <v>1889</v>
      </c>
      <c r="AH694" s="14">
        <v>0</v>
      </c>
      <c r="AI694" s="14">
        <v>41</v>
      </c>
      <c r="AJ694" s="14">
        <v>194</v>
      </c>
      <c r="AK694" s="14" t="s">
        <v>4848</v>
      </c>
      <c r="AL694" s="14" t="s">
        <v>4851</v>
      </c>
      <c r="AM694" s="14">
        <v>162.11000000000001</v>
      </c>
      <c r="AN694" s="14">
        <v>142.63999999999999</v>
      </c>
      <c r="AO694" s="14">
        <v>54.99</v>
      </c>
      <c r="AP694" s="14">
        <v>22425</v>
      </c>
      <c r="AQ694" s="14">
        <v>22345</v>
      </c>
      <c r="AR694" s="14">
        <v>23000</v>
      </c>
      <c r="AS694" s="14">
        <v>20025</v>
      </c>
      <c r="AT694" s="14">
        <v>21827</v>
      </c>
      <c r="AU694" s="14">
        <v>4</v>
      </c>
      <c r="AV694" s="14">
        <v>265.02</v>
      </c>
      <c r="AW694" s="14">
        <v>22.56</v>
      </c>
      <c r="AX694" s="14">
        <v>6.13</v>
      </c>
      <c r="AY694" s="14" t="b">
        <v>0</v>
      </c>
    </row>
    <row r="695" spans="1:51" hidden="1" x14ac:dyDescent="0.3">
      <c r="A695" t="str">
        <f>CONCATENATE(I695,E695,LEFT(G695,10))</f>
        <v>HFA804LCLK2026-01-07</v>
      </c>
      <c r="B695" s="14" t="s">
        <v>1434</v>
      </c>
      <c r="C695" s="14" t="s">
        <v>336</v>
      </c>
      <c r="D695" s="14" t="s">
        <v>337</v>
      </c>
      <c r="E695" s="14" t="s">
        <v>87</v>
      </c>
      <c r="F695" s="14" t="s">
        <v>43</v>
      </c>
      <c r="G695" s="14" t="s">
        <v>1435</v>
      </c>
      <c r="H695" s="14" t="s">
        <v>371</v>
      </c>
      <c r="I695" s="14" t="s">
        <v>117</v>
      </c>
      <c r="J695" s="14" t="s">
        <v>83</v>
      </c>
      <c r="K695" s="14" t="s">
        <v>340</v>
      </c>
      <c r="L695" s="14" t="s">
        <v>341</v>
      </c>
      <c r="M695" s="16" t="s">
        <v>543</v>
      </c>
      <c r="N695" s="14"/>
      <c r="O695" s="14" t="s">
        <v>1436</v>
      </c>
      <c r="P695" s="14">
        <v>130</v>
      </c>
      <c r="Q695" s="14">
        <v>2</v>
      </c>
      <c r="R695" s="14">
        <v>4100</v>
      </c>
      <c r="S695" s="14" t="s">
        <v>1437</v>
      </c>
      <c r="T695" s="14" t="s">
        <v>1438</v>
      </c>
      <c r="U695" s="14">
        <v>0.67944444444444396</v>
      </c>
      <c r="V695" s="14">
        <v>0.900555555555555</v>
      </c>
      <c r="W695" s="14">
        <v>583</v>
      </c>
      <c r="X695" s="14">
        <v>80</v>
      </c>
      <c r="Y695" s="14">
        <v>503</v>
      </c>
      <c r="Z695" s="14">
        <v>1717</v>
      </c>
      <c r="AA695" s="14">
        <v>250</v>
      </c>
      <c r="AB695" s="14">
        <v>267</v>
      </c>
      <c r="AC695" s="14">
        <v>1156</v>
      </c>
      <c r="AD695" s="14">
        <v>44</v>
      </c>
      <c r="AE695" s="14">
        <v>2300</v>
      </c>
      <c r="AF695" s="14">
        <v>5000</v>
      </c>
      <c r="AG695" s="14">
        <v>1842</v>
      </c>
      <c r="AH695" s="14">
        <v>0</v>
      </c>
      <c r="AI695" s="14">
        <v>39</v>
      </c>
      <c r="AJ695" s="14">
        <v>183</v>
      </c>
      <c r="AK695" s="14" t="s">
        <v>1435</v>
      </c>
      <c r="AL695" s="14" t="s">
        <v>1439</v>
      </c>
      <c r="AM695" s="14">
        <v>162.11000000000001</v>
      </c>
      <c r="AN695" s="14">
        <v>142.63999999999999</v>
      </c>
      <c r="AO695" s="14">
        <v>54.99</v>
      </c>
      <c r="AP695" s="14">
        <v>19900</v>
      </c>
      <c r="AQ695" s="14">
        <v>19820</v>
      </c>
      <c r="AR695" s="14">
        <v>23000</v>
      </c>
      <c r="AS695" s="14">
        <v>17600</v>
      </c>
      <c r="AT695" s="14">
        <v>19317</v>
      </c>
      <c r="AU695" s="14">
        <v>11</v>
      </c>
      <c r="AV695" s="14">
        <v>288.49</v>
      </c>
      <c r="AW695" s="14">
        <v>26.13</v>
      </c>
      <c r="AX695" s="14">
        <v>5.72</v>
      </c>
      <c r="AY695" s="14" t="b">
        <v>0</v>
      </c>
    </row>
    <row r="696" spans="1:51" hidden="1" x14ac:dyDescent="0.3">
      <c r="A696" t="str">
        <f>CONCATENATE(I696,E696,LEFT(G696,10))</f>
        <v>HFA804LCLK2026-01-08</v>
      </c>
      <c r="B696" s="14" t="s">
        <v>2873</v>
      </c>
      <c r="C696" s="14" t="s">
        <v>336</v>
      </c>
      <c r="D696" s="14" t="s">
        <v>337</v>
      </c>
      <c r="E696" s="14" t="s">
        <v>87</v>
      </c>
      <c r="F696" s="14" t="s">
        <v>43</v>
      </c>
      <c r="G696" s="14" t="s">
        <v>2874</v>
      </c>
      <c r="H696" s="14" t="s">
        <v>371</v>
      </c>
      <c r="I696" s="14" t="s">
        <v>117</v>
      </c>
      <c r="J696" s="14" t="s">
        <v>83</v>
      </c>
      <c r="K696" s="14" t="s">
        <v>340</v>
      </c>
      <c r="L696" s="14" t="s">
        <v>341</v>
      </c>
      <c r="M696" s="16" t="s">
        <v>1688</v>
      </c>
      <c r="N696" s="14"/>
      <c r="O696" s="14" t="s">
        <v>627</v>
      </c>
      <c r="P696" s="14">
        <v>130</v>
      </c>
      <c r="Q696" s="14">
        <v>3</v>
      </c>
      <c r="R696" s="14">
        <v>4200</v>
      </c>
      <c r="S696" s="14" t="s">
        <v>2875</v>
      </c>
      <c r="T696" s="14" t="s">
        <v>2876</v>
      </c>
      <c r="U696" s="14">
        <v>0.76388888888888795</v>
      </c>
      <c r="V696" s="14">
        <v>0.9325</v>
      </c>
      <c r="W696" s="14">
        <v>633</v>
      </c>
      <c r="X696" s="14">
        <v>80</v>
      </c>
      <c r="Y696" s="14">
        <v>553</v>
      </c>
      <c r="Z696" s="14">
        <v>1967</v>
      </c>
      <c r="AA696" s="14">
        <v>270</v>
      </c>
      <c r="AB696" s="14">
        <v>270</v>
      </c>
      <c r="AC696" s="14">
        <v>1382</v>
      </c>
      <c r="AD696" s="14">
        <v>45</v>
      </c>
      <c r="AE696" s="14">
        <v>2600</v>
      </c>
      <c r="AF696" s="14">
        <v>5000</v>
      </c>
      <c r="AG696" s="14">
        <v>1999</v>
      </c>
      <c r="AH696" s="14">
        <v>0</v>
      </c>
      <c r="AI696" s="14">
        <v>44</v>
      </c>
      <c r="AJ696" s="14">
        <v>210</v>
      </c>
      <c r="AK696" s="14" t="s">
        <v>2874</v>
      </c>
      <c r="AL696" s="14" t="s">
        <v>2877</v>
      </c>
      <c r="AM696" s="14">
        <v>162.11000000000001</v>
      </c>
      <c r="AN696" s="14">
        <v>142.63999999999999</v>
      </c>
      <c r="AO696" s="14">
        <v>54.99</v>
      </c>
      <c r="AP696" s="14">
        <v>20300</v>
      </c>
      <c r="AQ696" s="14">
        <v>20220</v>
      </c>
      <c r="AR696" s="14">
        <v>23000</v>
      </c>
      <c r="AS696" s="14">
        <v>17700</v>
      </c>
      <c r="AT696" s="14">
        <v>19667</v>
      </c>
      <c r="AU696" s="14">
        <v>-15</v>
      </c>
      <c r="AV696" s="14">
        <v>208.71</v>
      </c>
      <c r="AW696" s="14">
        <v>32.18</v>
      </c>
      <c r="AX696" s="14">
        <v>7.72</v>
      </c>
      <c r="AY696" s="14" t="b">
        <v>0</v>
      </c>
    </row>
    <row r="697" spans="1:51" hidden="1" x14ac:dyDescent="0.3">
      <c r="A697" t="str">
        <f>CONCATENATE(I697,E697,LEFT(G697,10))</f>
        <v>HFA804LCLK2026-01-09</v>
      </c>
      <c r="B697" s="14" t="s">
        <v>2282</v>
      </c>
      <c r="C697" s="14" t="s">
        <v>336</v>
      </c>
      <c r="D697" s="14" t="s">
        <v>337</v>
      </c>
      <c r="E697" s="14" t="s">
        <v>87</v>
      </c>
      <c r="F697" s="14" t="s">
        <v>43</v>
      </c>
      <c r="G697" s="14" t="s">
        <v>2283</v>
      </c>
      <c r="H697" s="14" t="s">
        <v>371</v>
      </c>
      <c r="I697" s="14" t="s">
        <v>117</v>
      </c>
      <c r="J697" s="14" t="s">
        <v>83</v>
      </c>
      <c r="K697" s="14" t="s">
        <v>340</v>
      </c>
      <c r="L697" s="14" t="s">
        <v>341</v>
      </c>
      <c r="M697" s="16" t="s">
        <v>1090</v>
      </c>
      <c r="N697" s="14"/>
      <c r="O697" s="14" t="s">
        <v>2284</v>
      </c>
      <c r="P697" s="14">
        <v>130</v>
      </c>
      <c r="Q697" s="14">
        <v>2</v>
      </c>
      <c r="R697" s="14">
        <v>4600</v>
      </c>
      <c r="S697" s="14" t="s">
        <v>2285</v>
      </c>
      <c r="T697" s="14" t="s">
        <v>2286</v>
      </c>
      <c r="U697" s="14">
        <v>0.72472222222222205</v>
      </c>
      <c r="V697" s="14">
        <v>0.911944444444444</v>
      </c>
      <c r="W697" s="14">
        <v>594</v>
      </c>
      <c r="X697" s="14">
        <v>80</v>
      </c>
      <c r="Y697" s="14">
        <v>514</v>
      </c>
      <c r="Z697" s="14">
        <v>1606</v>
      </c>
      <c r="AA697" s="14">
        <v>273</v>
      </c>
      <c r="AB697" s="14">
        <v>270</v>
      </c>
      <c r="AC697" s="14">
        <v>1018</v>
      </c>
      <c r="AD697" s="14">
        <v>45</v>
      </c>
      <c r="AE697" s="14">
        <v>2200</v>
      </c>
      <c r="AF697" s="14">
        <v>5000</v>
      </c>
      <c r="AG697" s="14">
        <v>1877</v>
      </c>
      <c r="AH697" s="14">
        <v>0</v>
      </c>
      <c r="AI697" s="14">
        <v>38</v>
      </c>
      <c r="AJ697" s="14">
        <v>169</v>
      </c>
      <c r="AK697" s="14" t="s">
        <v>2283</v>
      </c>
      <c r="AL697" s="14" t="s">
        <v>2287</v>
      </c>
      <c r="AM697" s="14">
        <v>162.11000000000001</v>
      </c>
      <c r="AN697" s="14">
        <v>142.63999999999999</v>
      </c>
      <c r="AO697" s="14">
        <v>54.99</v>
      </c>
      <c r="AP697" s="14">
        <v>20300</v>
      </c>
      <c r="AQ697" s="14">
        <v>20220</v>
      </c>
      <c r="AR697" s="14">
        <v>23000</v>
      </c>
      <c r="AS697" s="14">
        <v>18100</v>
      </c>
      <c r="AT697" s="14">
        <v>19706</v>
      </c>
      <c r="AU697" s="14">
        <v>13</v>
      </c>
      <c r="AV697" s="14">
        <v>264.08999999999997</v>
      </c>
      <c r="AW697" s="14">
        <v>38.15</v>
      </c>
      <c r="AX697" s="14">
        <v>-2.04</v>
      </c>
      <c r="AY697" s="14" t="b">
        <v>0</v>
      </c>
    </row>
    <row r="698" spans="1:51" hidden="1" x14ac:dyDescent="0.3">
      <c r="A698" t="str">
        <f>CONCATENATE(I698,E698,LEFT(G698,10))</f>
        <v>HFA804LCLK2026-01-12</v>
      </c>
      <c r="B698" s="14" t="s">
        <v>6041</v>
      </c>
      <c r="C698" s="14" t="s">
        <v>336</v>
      </c>
      <c r="D698" s="14" t="s">
        <v>337</v>
      </c>
      <c r="E698" s="14" t="s">
        <v>87</v>
      </c>
      <c r="F698" s="14" t="s">
        <v>43</v>
      </c>
      <c r="G698" s="14" t="s">
        <v>6042</v>
      </c>
      <c r="H698" s="14" t="s">
        <v>371</v>
      </c>
      <c r="I698" s="14" t="s">
        <v>117</v>
      </c>
      <c r="J698" s="14" t="s">
        <v>83</v>
      </c>
      <c r="K698" s="14" t="s">
        <v>340</v>
      </c>
      <c r="L698" s="14" t="s">
        <v>341</v>
      </c>
      <c r="M698" s="16" t="s">
        <v>543</v>
      </c>
      <c r="N698" s="14"/>
      <c r="O698" s="14" t="s">
        <v>627</v>
      </c>
      <c r="P698" s="14">
        <v>130</v>
      </c>
      <c r="Q698" s="14">
        <v>2</v>
      </c>
      <c r="R698" s="14">
        <v>3400</v>
      </c>
      <c r="S698" s="14" t="s">
        <v>6043</v>
      </c>
      <c r="T698" s="14" t="s">
        <v>6044</v>
      </c>
      <c r="U698" s="14">
        <v>0.91138888888888803</v>
      </c>
      <c r="V698" s="14">
        <v>1.1669444444444399</v>
      </c>
      <c r="W698" s="14">
        <v>623</v>
      </c>
      <c r="X698" s="14">
        <v>80</v>
      </c>
      <c r="Y698" s="14">
        <v>543</v>
      </c>
      <c r="Z698" s="14">
        <v>1877</v>
      </c>
      <c r="AA698" s="14">
        <v>277</v>
      </c>
      <c r="AB698" s="14">
        <v>262</v>
      </c>
      <c r="AC698" s="14">
        <v>1295</v>
      </c>
      <c r="AD698" s="14">
        <v>44</v>
      </c>
      <c r="AE698" s="14">
        <v>2500</v>
      </c>
      <c r="AF698" s="14">
        <v>5000</v>
      </c>
      <c r="AG698" s="14">
        <v>1968</v>
      </c>
      <c r="AH698" s="14">
        <v>0</v>
      </c>
      <c r="AI698" s="14">
        <v>41</v>
      </c>
      <c r="AJ698" s="14">
        <v>195</v>
      </c>
      <c r="AK698" s="14" t="s">
        <v>6042</v>
      </c>
      <c r="AL698" s="14" t="s">
        <v>6045</v>
      </c>
      <c r="AM698" s="14">
        <v>162.11000000000001</v>
      </c>
      <c r="AN698" s="14">
        <v>142.63999999999999</v>
      </c>
      <c r="AO698" s="14">
        <v>54.99</v>
      </c>
      <c r="AP698" s="14">
        <v>19400</v>
      </c>
      <c r="AQ698" s="14">
        <v>19320</v>
      </c>
      <c r="AR698" s="14">
        <v>23000</v>
      </c>
      <c r="AS698" s="14">
        <v>16900</v>
      </c>
      <c r="AT698" s="14">
        <v>18777</v>
      </c>
      <c r="AU698" s="14">
        <v>-6</v>
      </c>
      <c r="AV698" s="14">
        <v>232.29</v>
      </c>
      <c r="AW698" s="14">
        <v>44.98</v>
      </c>
      <c r="AX698" s="14">
        <v>-0.41</v>
      </c>
      <c r="AY698" s="14" t="b">
        <v>0</v>
      </c>
    </row>
    <row r="699" spans="1:51" hidden="1" x14ac:dyDescent="0.3">
      <c r="A699" t="str">
        <f>CONCATENATE(I699,E699,LEFT(G699,10))</f>
        <v>HFA804LCLK2026-01-14</v>
      </c>
      <c r="B699" s="14" t="s">
        <v>5738</v>
      </c>
      <c r="C699" s="14" t="s">
        <v>336</v>
      </c>
      <c r="D699" s="14" t="s">
        <v>337</v>
      </c>
      <c r="E699" s="14" t="s">
        <v>87</v>
      </c>
      <c r="F699" s="14" t="s">
        <v>43</v>
      </c>
      <c r="G699" s="14" t="s">
        <v>5739</v>
      </c>
      <c r="H699" s="14" t="s">
        <v>371</v>
      </c>
      <c r="I699" s="14" t="s">
        <v>117</v>
      </c>
      <c r="J699" s="14" t="s">
        <v>83</v>
      </c>
      <c r="K699" s="14" t="s">
        <v>340</v>
      </c>
      <c r="L699" s="14" t="s">
        <v>341</v>
      </c>
      <c r="M699" s="16" t="s">
        <v>5740</v>
      </c>
      <c r="N699" s="14"/>
      <c r="O699" s="14" t="s">
        <v>410</v>
      </c>
      <c r="P699" s="14">
        <v>130</v>
      </c>
      <c r="Q699" s="14">
        <v>2</v>
      </c>
      <c r="R699" s="14">
        <v>4000</v>
      </c>
      <c r="S699" s="14" t="s">
        <v>5741</v>
      </c>
      <c r="T699" s="14" t="s">
        <v>5742</v>
      </c>
      <c r="U699" s="14">
        <v>0.65611111111111098</v>
      </c>
      <c r="V699" s="14">
        <v>0.87166666666666603</v>
      </c>
      <c r="W699" s="14">
        <v>551</v>
      </c>
      <c r="X699" s="14">
        <v>80</v>
      </c>
      <c r="Y699" s="14">
        <v>471</v>
      </c>
      <c r="Z699" s="14">
        <v>1849</v>
      </c>
      <c r="AA699" s="14">
        <v>255</v>
      </c>
      <c r="AB699" s="14">
        <v>267</v>
      </c>
      <c r="AC699" s="14">
        <v>1283</v>
      </c>
      <c r="AD699" s="14">
        <v>44</v>
      </c>
      <c r="AE699" s="14">
        <v>2400</v>
      </c>
      <c r="AF699" s="14">
        <v>5000</v>
      </c>
      <c r="AG699" s="14">
        <v>1741</v>
      </c>
      <c r="AH699" s="14">
        <v>0</v>
      </c>
      <c r="AI699" s="14">
        <v>35</v>
      </c>
      <c r="AJ699" s="14">
        <v>185</v>
      </c>
      <c r="AK699" s="14" t="s">
        <v>5739</v>
      </c>
      <c r="AL699" s="14" t="s">
        <v>5743</v>
      </c>
      <c r="AM699" s="14">
        <v>162.11000000000001</v>
      </c>
      <c r="AN699" s="14">
        <v>142.63999999999999</v>
      </c>
      <c r="AO699" s="14">
        <v>54.99</v>
      </c>
      <c r="AP699" s="14">
        <v>19900</v>
      </c>
      <c r="AQ699" s="14">
        <v>19820</v>
      </c>
      <c r="AR699" s="14">
        <v>23000</v>
      </c>
      <c r="AS699" s="14">
        <v>17500</v>
      </c>
      <c r="AT699" s="14">
        <v>19349</v>
      </c>
      <c r="AU699" s="14">
        <v>38</v>
      </c>
      <c r="AV699" s="14">
        <v>316.3</v>
      </c>
      <c r="AW699" s="14">
        <v>54.31</v>
      </c>
      <c r="AX699" s="14">
        <v>-0.51</v>
      </c>
      <c r="AY699" s="14" t="b">
        <v>0</v>
      </c>
    </row>
    <row r="700" spans="1:51" hidden="1" x14ac:dyDescent="0.3">
      <c r="A700" t="str">
        <f>CONCATENATE(I700,E700,LEFT(G700,10))</f>
        <v>HFA804LCLK2026-01-15</v>
      </c>
      <c r="B700" s="14" t="s">
        <v>6148</v>
      </c>
      <c r="C700" s="14" t="s">
        <v>336</v>
      </c>
      <c r="D700" s="14" t="s">
        <v>337</v>
      </c>
      <c r="E700" s="14" t="s">
        <v>87</v>
      </c>
      <c r="F700" s="14" t="s">
        <v>43</v>
      </c>
      <c r="G700" s="14" t="s">
        <v>6149</v>
      </c>
      <c r="H700" s="14" t="s">
        <v>371</v>
      </c>
      <c r="I700" s="14" t="s">
        <v>117</v>
      </c>
      <c r="J700" s="14" t="s">
        <v>83</v>
      </c>
      <c r="K700" s="14" t="s">
        <v>340</v>
      </c>
      <c r="L700" s="14" t="s">
        <v>341</v>
      </c>
      <c r="M700" s="16" t="s">
        <v>1352</v>
      </c>
      <c r="N700" s="14"/>
      <c r="O700" s="14" t="s">
        <v>549</v>
      </c>
      <c r="P700" s="14">
        <v>130</v>
      </c>
      <c r="Q700" s="14">
        <v>2</v>
      </c>
      <c r="R700" s="14">
        <v>2600</v>
      </c>
      <c r="S700" s="14" t="s">
        <v>6150</v>
      </c>
      <c r="T700" s="14" t="s">
        <v>6151</v>
      </c>
      <c r="U700" s="14">
        <v>0.64861111111111103</v>
      </c>
      <c r="V700" s="14">
        <v>0.86583333333333301</v>
      </c>
      <c r="W700" s="14">
        <v>565</v>
      </c>
      <c r="X700" s="14">
        <v>80</v>
      </c>
      <c r="Y700" s="14">
        <v>485</v>
      </c>
      <c r="Z700" s="14">
        <v>1735</v>
      </c>
      <c r="AA700" s="14">
        <v>252</v>
      </c>
      <c r="AB700" s="14">
        <v>255</v>
      </c>
      <c r="AC700" s="14">
        <v>1186</v>
      </c>
      <c r="AD700" s="14">
        <v>42</v>
      </c>
      <c r="AE700" s="14">
        <v>2300</v>
      </c>
      <c r="AF700" s="14">
        <v>5000</v>
      </c>
      <c r="AG700" s="14">
        <v>1786</v>
      </c>
      <c r="AH700" s="14">
        <v>0</v>
      </c>
      <c r="AI700" s="14">
        <v>38</v>
      </c>
      <c r="AJ700" s="14">
        <v>182</v>
      </c>
      <c r="AK700" s="14" t="s">
        <v>6149</v>
      </c>
      <c r="AL700" s="14" t="s">
        <v>6152</v>
      </c>
      <c r="AM700" s="14">
        <v>162.11000000000001</v>
      </c>
      <c r="AN700" s="14">
        <v>142.63999999999999</v>
      </c>
      <c r="AO700" s="14">
        <v>54.99</v>
      </c>
      <c r="AP700" s="14">
        <v>18400</v>
      </c>
      <c r="AQ700" s="14">
        <v>18320</v>
      </c>
      <c r="AR700" s="14">
        <v>23000</v>
      </c>
      <c r="AS700" s="14">
        <v>16100</v>
      </c>
      <c r="AT700" s="14">
        <v>17835</v>
      </c>
      <c r="AU700" s="14">
        <v>20</v>
      </c>
      <c r="AV700" s="14">
        <v>324.29000000000002</v>
      </c>
      <c r="AW700" s="14">
        <v>27.84</v>
      </c>
      <c r="AX700" s="14">
        <v>2.12</v>
      </c>
      <c r="AY700" s="14" t="b">
        <v>0</v>
      </c>
    </row>
    <row r="701" spans="1:51" hidden="1" x14ac:dyDescent="0.3">
      <c r="A701" t="str">
        <f>CONCATENATE(I701,E701,LEFT(G701,10))</f>
        <v>HFA804LCLK2026-01-16</v>
      </c>
      <c r="B701" s="14" t="s">
        <v>5012</v>
      </c>
      <c r="C701" s="14" t="s">
        <v>336</v>
      </c>
      <c r="D701" s="14" t="s">
        <v>337</v>
      </c>
      <c r="E701" s="14" t="s">
        <v>87</v>
      </c>
      <c r="F701" s="14" t="s">
        <v>43</v>
      </c>
      <c r="G701" s="14" t="s">
        <v>5013</v>
      </c>
      <c r="H701" s="14" t="s">
        <v>371</v>
      </c>
      <c r="I701" s="14" t="s">
        <v>117</v>
      </c>
      <c r="J701" s="14" t="s">
        <v>83</v>
      </c>
      <c r="K701" s="14" t="s">
        <v>340</v>
      </c>
      <c r="L701" s="14" t="s">
        <v>341</v>
      </c>
      <c r="M701" s="16" t="s">
        <v>5014</v>
      </c>
      <c r="N701" s="14"/>
      <c r="O701" s="14" t="s">
        <v>549</v>
      </c>
      <c r="P701" s="14">
        <v>130</v>
      </c>
      <c r="Q701" s="14">
        <v>2</v>
      </c>
      <c r="R701" s="14">
        <v>4950</v>
      </c>
      <c r="S701" s="14" t="s">
        <v>5015</v>
      </c>
      <c r="T701" s="14" t="s">
        <v>5016</v>
      </c>
      <c r="U701" s="14">
        <v>0.62166666666666603</v>
      </c>
      <c r="V701" s="14">
        <v>0.84138888888888796</v>
      </c>
      <c r="W701" s="14">
        <v>592</v>
      </c>
      <c r="X701" s="14">
        <v>80</v>
      </c>
      <c r="Y701" s="14">
        <v>512</v>
      </c>
      <c r="Z701" s="14">
        <v>1508</v>
      </c>
      <c r="AA701" s="14">
        <v>261</v>
      </c>
      <c r="AB701" s="14">
        <v>273</v>
      </c>
      <c r="AC701" s="14">
        <v>930</v>
      </c>
      <c r="AD701" s="14">
        <v>45</v>
      </c>
      <c r="AE701" s="14">
        <v>2100</v>
      </c>
      <c r="AF701" s="14">
        <v>5000</v>
      </c>
      <c r="AG701" s="14">
        <v>1869</v>
      </c>
      <c r="AH701" s="14">
        <v>0</v>
      </c>
      <c r="AI701" s="14">
        <v>39</v>
      </c>
      <c r="AJ701" s="14">
        <v>165</v>
      </c>
      <c r="AK701" s="14" t="s">
        <v>5013</v>
      </c>
      <c r="AL701" s="14" t="s">
        <v>5017</v>
      </c>
      <c r="AM701" s="14">
        <v>162.11000000000001</v>
      </c>
      <c r="AN701" s="14">
        <v>142.63999999999999</v>
      </c>
      <c r="AO701" s="14">
        <v>54.99</v>
      </c>
      <c r="AP701" s="14">
        <v>20550</v>
      </c>
      <c r="AQ701" s="14">
        <v>20470</v>
      </c>
      <c r="AR701" s="14">
        <v>23000</v>
      </c>
      <c r="AS701" s="14">
        <v>18450</v>
      </c>
      <c r="AT701" s="14">
        <v>19958</v>
      </c>
      <c r="AU701" s="14">
        <v>10</v>
      </c>
      <c r="AV701" s="14">
        <v>285.23</v>
      </c>
      <c r="AW701" s="14">
        <v>22.1</v>
      </c>
      <c r="AX701" s="14">
        <v>2.71</v>
      </c>
      <c r="AY701" s="14" t="b">
        <v>0</v>
      </c>
    </row>
    <row r="702" spans="1:51" hidden="1" x14ac:dyDescent="0.3">
      <c r="A702" t="str">
        <f>CONCATENATE(I702,E702,LEFT(G702,10))</f>
        <v>HFA804LCLK2026-01-18</v>
      </c>
      <c r="B702" s="14" t="s">
        <v>5548</v>
      </c>
      <c r="C702" s="14" t="s">
        <v>336</v>
      </c>
      <c r="D702" s="14" t="s">
        <v>337</v>
      </c>
      <c r="E702" s="14" t="s">
        <v>87</v>
      </c>
      <c r="F702" s="14" t="s">
        <v>43</v>
      </c>
      <c r="G702" s="14" t="s">
        <v>5549</v>
      </c>
      <c r="H702" s="14" t="s">
        <v>339</v>
      </c>
      <c r="I702" s="14" t="s">
        <v>117</v>
      </c>
      <c r="J702" s="14" t="s">
        <v>83</v>
      </c>
      <c r="K702" s="14" t="s">
        <v>340</v>
      </c>
      <c r="L702" s="14" t="s">
        <v>341</v>
      </c>
      <c r="M702" s="16" t="s">
        <v>5550</v>
      </c>
      <c r="N702" s="14"/>
      <c r="O702" s="14" t="s">
        <v>2452</v>
      </c>
      <c r="P702" s="14">
        <v>130</v>
      </c>
      <c r="Q702" s="14">
        <v>2</v>
      </c>
      <c r="R702" s="14">
        <v>5100</v>
      </c>
      <c r="S702" s="14" t="s">
        <v>5551</v>
      </c>
      <c r="T702" s="14" t="s">
        <v>5552</v>
      </c>
      <c r="U702" s="14">
        <v>0.72611111111111104</v>
      </c>
      <c r="V702" s="14">
        <v>0.91638888888888803</v>
      </c>
      <c r="W702" s="14">
        <v>587</v>
      </c>
      <c r="X702" s="14">
        <v>80</v>
      </c>
      <c r="Y702" s="14">
        <v>507</v>
      </c>
      <c r="Z702" s="14">
        <v>1513</v>
      </c>
      <c r="AA702" s="14">
        <v>653</v>
      </c>
      <c r="AB702" s="14">
        <v>272</v>
      </c>
      <c r="AC702" s="14">
        <v>541</v>
      </c>
      <c r="AD702" s="14">
        <v>45</v>
      </c>
      <c r="AE702" s="14">
        <v>2100</v>
      </c>
      <c r="AF702" s="14">
        <v>5000</v>
      </c>
      <c r="AG702" s="14">
        <v>1856</v>
      </c>
      <c r="AH702" s="14">
        <v>0</v>
      </c>
      <c r="AI702" s="14">
        <v>38</v>
      </c>
      <c r="AJ702" s="14">
        <v>162</v>
      </c>
      <c r="AK702" s="14" t="s">
        <v>5549</v>
      </c>
      <c r="AL702" s="14" t="s">
        <v>5553</v>
      </c>
      <c r="AM702" s="14">
        <v>162.11000000000001</v>
      </c>
      <c r="AN702" s="14">
        <v>142.63999999999999</v>
      </c>
      <c r="AO702" s="14">
        <v>54.99</v>
      </c>
      <c r="AP702" s="14">
        <v>20525</v>
      </c>
      <c r="AQ702" s="14">
        <v>20445</v>
      </c>
      <c r="AR702" s="14">
        <v>23000</v>
      </c>
      <c r="AS702" s="14">
        <v>18425</v>
      </c>
      <c r="AT702" s="14">
        <v>19938</v>
      </c>
      <c r="AU702" s="14">
        <v>13</v>
      </c>
      <c r="AV702" s="14">
        <v>272.44</v>
      </c>
      <c r="AW702" s="14">
        <v>34.44</v>
      </c>
      <c r="AX702" s="14">
        <v>-2.39</v>
      </c>
      <c r="AY702" s="14" t="b">
        <v>0</v>
      </c>
    </row>
    <row r="703" spans="1:51" hidden="1" x14ac:dyDescent="0.3">
      <c r="A703" t="str">
        <f>CONCATENATE(I703,E703,LEFT(G703,10))</f>
        <v>HFA804LCLK2026-01-19</v>
      </c>
      <c r="B703" s="14" t="s">
        <v>5948</v>
      </c>
      <c r="C703" s="14" t="s">
        <v>336</v>
      </c>
      <c r="D703" s="14" t="s">
        <v>337</v>
      </c>
      <c r="E703" s="14" t="s">
        <v>87</v>
      </c>
      <c r="F703" s="14" t="s">
        <v>43</v>
      </c>
      <c r="G703" s="14" t="s">
        <v>5949</v>
      </c>
      <c r="H703" s="14" t="s">
        <v>371</v>
      </c>
      <c r="I703" s="14" t="s">
        <v>117</v>
      </c>
      <c r="J703" s="14" t="s">
        <v>83</v>
      </c>
      <c r="K703" s="14" t="s">
        <v>340</v>
      </c>
      <c r="L703" s="14" t="s">
        <v>341</v>
      </c>
      <c r="M703" s="16" t="s">
        <v>5950</v>
      </c>
      <c r="N703" s="14"/>
      <c r="O703" s="14" t="s">
        <v>627</v>
      </c>
      <c r="P703" s="14">
        <v>130</v>
      </c>
      <c r="Q703" s="14">
        <v>2</v>
      </c>
      <c r="R703" s="14">
        <v>4500</v>
      </c>
      <c r="S703" s="14" t="s">
        <v>5951</v>
      </c>
      <c r="T703" s="14" t="s">
        <v>5952</v>
      </c>
      <c r="U703" s="14">
        <v>0.66277777777777702</v>
      </c>
      <c r="V703" s="14">
        <v>0.80500000000000005</v>
      </c>
      <c r="W703" s="14">
        <v>578</v>
      </c>
      <c r="X703" s="14">
        <v>80</v>
      </c>
      <c r="Y703" s="14">
        <v>498</v>
      </c>
      <c r="Z703" s="14">
        <v>1522</v>
      </c>
      <c r="AA703" s="14">
        <v>251</v>
      </c>
      <c r="AB703" s="14">
        <v>269</v>
      </c>
      <c r="AC703" s="14">
        <v>957</v>
      </c>
      <c r="AD703" s="14">
        <v>45</v>
      </c>
      <c r="AE703" s="14">
        <v>2100</v>
      </c>
      <c r="AF703" s="14">
        <v>5000</v>
      </c>
      <c r="AG703" s="14">
        <v>1826</v>
      </c>
      <c r="AH703" s="14">
        <v>0</v>
      </c>
      <c r="AI703" s="14">
        <v>37</v>
      </c>
      <c r="AJ703" s="14">
        <v>161</v>
      </c>
      <c r="AK703" s="14" t="s">
        <v>5949</v>
      </c>
      <c r="AL703" s="14" t="s">
        <v>5953</v>
      </c>
      <c r="AM703" s="14">
        <v>162.11000000000001</v>
      </c>
      <c r="AN703" s="14">
        <v>142.63999999999999</v>
      </c>
      <c r="AO703" s="14">
        <v>54.99</v>
      </c>
      <c r="AP703" s="14">
        <v>20100</v>
      </c>
      <c r="AQ703" s="14">
        <v>20020</v>
      </c>
      <c r="AR703" s="14">
        <v>23000</v>
      </c>
      <c r="AS703" s="14">
        <v>18000</v>
      </c>
      <c r="AT703" s="14">
        <v>19522</v>
      </c>
      <c r="AU703" s="14">
        <v>23</v>
      </c>
      <c r="AV703" s="14">
        <v>287.73</v>
      </c>
      <c r="AW703" s="14">
        <v>48.9</v>
      </c>
      <c r="AX703" s="14">
        <v>-1.85</v>
      </c>
      <c r="AY703" s="14" t="b">
        <v>0</v>
      </c>
    </row>
    <row r="704" spans="1:51" hidden="1" x14ac:dyDescent="0.3">
      <c r="A704" t="str">
        <f>CONCATENATE(I704,E704,LEFT(G704,10))</f>
        <v>HFA804LCLK2026-01-21</v>
      </c>
      <c r="B704" s="14" t="s">
        <v>1552</v>
      </c>
      <c r="C704" s="14" t="s">
        <v>336</v>
      </c>
      <c r="D704" s="14" t="s">
        <v>337</v>
      </c>
      <c r="E704" s="14" t="s">
        <v>87</v>
      </c>
      <c r="F704" s="14" t="s">
        <v>43</v>
      </c>
      <c r="G704" s="14" t="s">
        <v>1553</v>
      </c>
      <c r="H704" s="14" t="s">
        <v>393</v>
      </c>
      <c r="I704" s="14" t="s">
        <v>117</v>
      </c>
      <c r="J704" s="14" t="s">
        <v>83</v>
      </c>
      <c r="K704" s="14" t="s">
        <v>340</v>
      </c>
      <c r="L704" s="14" t="s">
        <v>341</v>
      </c>
      <c r="M704" s="16" t="s">
        <v>1554</v>
      </c>
      <c r="N704" s="14"/>
      <c r="O704" s="14" t="s">
        <v>627</v>
      </c>
      <c r="P704" s="14">
        <v>130</v>
      </c>
      <c r="Q704" s="14">
        <v>2</v>
      </c>
      <c r="R704" s="14">
        <v>4400</v>
      </c>
      <c r="S704" s="14" t="s">
        <v>1555</v>
      </c>
      <c r="T704" s="14" t="s">
        <v>1556</v>
      </c>
      <c r="U704" s="14">
        <v>0.68416666666666603</v>
      </c>
      <c r="V704" s="14">
        <v>0.94944444444444398</v>
      </c>
      <c r="W704" s="14">
        <v>641</v>
      </c>
      <c r="X704" s="14">
        <v>80</v>
      </c>
      <c r="Y704" s="14">
        <v>561</v>
      </c>
      <c r="Z704" s="14">
        <v>859</v>
      </c>
      <c r="AA704" s="14">
        <v>263</v>
      </c>
      <c r="AB704" s="14">
        <v>261</v>
      </c>
      <c r="AC704" s="14">
        <v>292</v>
      </c>
      <c r="AD704" s="14">
        <v>43</v>
      </c>
      <c r="AE704" s="14">
        <v>1500</v>
      </c>
      <c r="AF704" s="14">
        <v>5000</v>
      </c>
      <c r="AG704" s="14">
        <v>2026</v>
      </c>
      <c r="AH704" s="14">
        <v>0</v>
      </c>
      <c r="AI704" s="14">
        <v>39</v>
      </c>
      <c r="AJ704" s="14">
        <v>113</v>
      </c>
      <c r="AK704" s="14" t="s">
        <v>1553</v>
      </c>
      <c r="AL704" s="14" t="s">
        <v>1557</v>
      </c>
      <c r="AM704" s="14">
        <v>162.11000000000001</v>
      </c>
      <c r="AN704" s="14">
        <v>142.63999999999999</v>
      </c>
      <c r="AO704" s="14">
        <v>54.99</v>
      </c>
      <c r="AP704" s="14">
        <v>19211</v>
      </c>
      <c r="AQ704" s="14">
        <v>19131</v>
      </c>
      <c r="AR704" s="14">
        <v>23000</v>
      </c>
      <c r="AS704" s="14">
        <v>17711</v>
      </c>
      <c r="AT704" s="14">
        <v>18570</v>
      </c>
      <c r="AU704" s="14">
        <v>10</v>
      </c>
      <c r="AV704" s="14">
        <v>289.70999999999998</v>
      </c>
      <c r="AW704" s="14">
        <v>25.49</v>
      </c>
      <c r="AX704" s="14">
        <v>3.5</v>
      </c>
      <c r="AY704" s="14" t="b">
        <v>0</v>
      </c>
    </row>
    <row r="705" spans="1:51" hidden="1" x14ac:dyDescent="0.3">
      <c r="A705" t="str">
        <f>CONCATENATE(I705,E705,LEFT(G705,10))</f>
        <v>HFA804LCLK2026-01-22</v>
      </c>
      <c r="B705" s="14" t="s">
        <v>2074</v>
      </c>
      <c r="C705" s="14" t="s">
        <v>336</v>
      </c>
      <c r="D705" s="14" t="s">
        <v>337</v>
      </c>
      <c r="E705" s="14" t="s">
        <v>87</v>
      </c>
      <c r="F705" s="14" t="s">
        <v>43</v>
      </c>
      <c r="G705" s="14" t="s">
        <v>2075</v>
      </c>
      <c r="H705" s="14" t="s">
        <v>393</v>
      </c>
      <c r="I705" s="14" t="s">
        <v>117</v>
      </c>
      <c r="J705" s="14" t="s">
        <v>83</v>
      </c>
      <c r="K705" s="14" t="s">
        <v>340</v>
      </c>
      <c r="L705" s="14" t="s">
        <v>341</v>
      </c>
      <c r="M705" s="16" t="s">
        <v>2076</v>
      </c>
      <c r="N705" s="14"/>
      <c r="O705" s="14" t="s">
        <v>410</v>
      </c>
      <c r="P705" s="14">
        <v>130</v>
      </c>
      <c r="Q705" s="14">
        <v>2</v>
      </c>
      <c r="R705" s="14">
        <v>0</v>
      </c>
      <c r="S705" s="14"/>
      <c r="T705" s="14"/>
      <c r="U705" s="14"/>
      <c r="V705" s="14"/>
      <c r="W705" s="14">
        <v>679</v>
      </c>
      <c r="X705" s="14">
        <v>80</v>
      </c>
      <c r="Y705" s="14">
        <v>599</v>
      </c>
      <c r="Z705" s="14">
        <v>1521</v>
      </c>
      <c r="AA705" s="14">
        <v>263</v>
      </c>
      <c r="AB705" s="14">
        <v>238</v>
      </c>
      <c r="AC705" s="14">
        <v>981</v>
      </c>
      <c r="AD705" s="14">
        <v>40</v>
      </c>
      <c r="AE705" s="14">
        <v>2200</v>
      </c>
      <c r="AF705" s="14">
        <v>5000</v>
      </c>
      <c r="AG705" s="14">
        <v>2147</v>
      </c>
      <c r="AH705" s="14">
        <v>0</v>
      </c>
      <c r="AI705" s="14">
        <v>42</v>
      </c>
      <c r="AJ705" s="14">
        <v>168</v>
      </c>
      <c r="AK705" s="14" t="s">
        <v>2075</v>
      </c>
      <c r="AL705" s="14" t="s">
        <v>2077</v>
      </c>
      <c r="AM705" s="14">
        <v>162.11000000000001</v>
      </c>
      <c r="AN705" s="14">
        <v>142.63999999999999</v>
      </c>
      <c r="AO705" s="14">
        <v>54.99</v>
      </c>
      <c r="AP705" s="14">
        <v>16192</v>
      </c>
      <c r="AQ705" s="14">
        <v>16112</v>
      </c>
      <c r="AR705" s="14">
        <v>23000</v>
      </c>
      <c r="AS705" s="14">
        <v>13992</v>
      </c>
      <c r="AT705" s="14">
        <v>15513</v>
      </c>
      <c r="AU705" s="14">
        <v>-14</v>
      </c>
      <c r="AV705" s="14">
        <v>231.27</v>
      </c>
      <c r="AW705" s="14">
        <v>54.32</v>
      </c>
      <c r="AX705" s="14">
        <v>3.12</v>
      </c>
      <c r="AY705" s="14" t="b">
        <v>0</v>
      </c>
    </row>
    <row r="706" spans="1:51" hidden="1" x14ac:dyDescent="0.3">
      <c r="A706" t="str">
        <f>CONCATENATE(I706,E706,LEFT(G706,10))</f>
        <v>HFA804LCLK2026-01-23</v>
      </c>
      <c r="B706" s="14" t="s">
        <v>5086</v>
      </c>
      <c r="C706" s="14" t="s">
        <v>336</v>
      </c>
      <c r="D706" s="14" t="s">
        <v>337</v>
      </c>
      <c r="E706" s="14" t="s">
        <v>87</v>
      </c>
      <c r="F706" s="14" t="s">
        <v>43</v>
      </c>
      <c r="G706" s="14" t="s">
        <v>5087</v>
      </c>
      <c r="H706" s="14" t="s">
        <v>339</v>
      </c>
      <c r="I706" s="14" t="s">
        <v>117</v>
      </c>
      <c r="J706" s="14" t="s">
        <v>83</v>
      </c>
      <c r="K706" s="14" t="s">
        <v>340</v>
      </c>
      <c r="L706" s="14" t="s">
        <v>341</v>
      </c>
      <c r="M706" s="16" t="s">
        <v>5088</v>
      </c>
      <c r="N706" s="14"/>
      <c r="O706" s="14" t="s">
        <v>5089</v>
      </c>
      <c r="P706" s="14">
        <v>130</v>
      </c>
      <c r="Q706" s="14">
        <v>2</v>
      </c>
      <c r="R706" s="14">
        <v>3300</v>
      </c>
      <c r="S706" s="14" t="s">
        <v>5090</v>
      </c>
      <c r="T706" s="14" t="s">
        <v>5091</v>
      </c>
      <c r="U706" s="14">
        <v>0.66111111111111098</v>
      </c>
      <c r="V706" s="14">
        <v>0.87166666666666603</v>
      </c>
      <c r="W706" s="14">
        <v>584</v>
      </c>
      <c r="X706" s="14">
        <v>80</v>
      </c>
      <c r="Y706" s="14">
        <v>504</v>
      </c>
      <c r="Z706" s="14">
        <v>1416</v>
      </c>
      <c r="AA706" s="14">
        <v>254</v>
      </c>
      <c r="AB706" s="14">
        <v>256</v>
      </c>
      <c r="AC706" s="14">
        <v>863</v>
      </c>
      <c r="AD706" s="14">
        <v>43</v>
      </c>
      <c r="AE706" s="14">
        <v>2000</v>
      </c>
      <c r="AF706" s="14">
        <v>5000</v>
      </c>
      <c r="AG706" s="14">
        <v>1847</v>
      </c>
      <c r="AH706" s="14">
        <v>0</v>
      </c>
      <c r="AI706" s="14">
        <v>40</v>
      </c>
      <c r="AJ706" s="14">
        <v>161</v>
      </c>
      <c r="AK706" s="14" t="s">
        <v>5087</v>
      </c>
      <c r="AL706" s="14" t="s">
        <v>5092</v>
      </c>
      <c r="AM706" s="14">
        <v>162.11000000000001</v>
      </c>
      <c r="AN706" s="14">
        <v>142.63999999999999</v>
      </c>
      <c r="AO706" s="14">
        <v>54.99</v>
      </c>
      <c r="AP706" s="14">
        <v>18625</v>
      </c>
      <c r="AQ706" s="14">
        <v>18545</v>
      </c>
      <c r="AR706" s="14">
        <v>23000</v>
      </c>
      <c r="AS706" s="14">
        <v>16625</v>
      </c>
      <c r="AT706" s="14">
        <v>18041</v>
      </c>
      <c r="AU706" s="14">
        <v>5</v>
      </c>
      <c r="AV706" s="14">
        <v>254.25</v>
      </c>
      <c r="AW706" s="14">
        <v>31.23</v>
      </c>
      <c r="AX706" s="14">
        <v>1.85</v>
      </c>
      <c r="AY706" s="14" t="b">
        <v>0</v>
      </c>
    </row>
    <row r="707" spans="1:51" hidden="1" x14ac:dyDescent="0.3">
      <c r="A707" t="str">
        <f>CONCATENATE(I707,E707,LEFT(G707,10))</f>
        <v>HFA804LCLK2026-01-25</v>
      </c>
      <c r="B707" s="14" t="s">
        <v>5211</v>
      </c>
      <c r="C707" s="14" t="s">
        <v>336</v>
      </c>
      <c r="D707" s="14" t="s">
        <v>337</v>
      </c>
      <c r="E707" s="14" t="s">
        <v>87</v>
      </c>
      <c r="F707" s="14" t="s">
        <v>43</v>
      </c>
      <c r="G707" s="14" t="s">
        <v>5212</v>
      </c>
      <c r="H707" s="14" t="s">
        <v>371</v>
      </c>
      <c r="I707" s="14" t="s">
        <v>117</v>
      </c>
      <c r="J707" s="14" t="s">
        <v>83</v>
      </c>
      <c r="K707" s="14" t="s">
        <v>340</v>
      </c>
      <c r="L707" s="14" t="s">
        <v>341</v>
      </c>
      <c r="M707" s="16" t="s">
        <v>5213</v>
      </c>
      <c r="N707" s="14"/>
      <c r="O707" s="14" t="s">
        <v>2179</v>
      </c>
      <c r="P707" s="14">
        <v>130</v>
      </c>
      <c r="Q707" s="14">
        <v>2</v>
      </c>
      <c r="R707" s="14">
        <v>7050</v>
      </c>
      <c r="S707" s="14" t="s">
        <v>5214</v>
      </c>
      <c r="T707" s="14" t="s">
        <v>5215</v>
      </c>
      <c r="U707" s="14">
        <v>0.65777777777777702</v>
      </c>
      <c r="V707" s="14">
        <v>0.91055555555555501</v>
      </c>
      <c r="W707" s="14">
        <v>601</v>
      </c>
      <c r="X707" s="14">
        <v>80</v>
      </c>
      <c r="Y707" s="14">
        <v>521</v>
      </c>
      <c r="Z707" s="14">
        <v>1499</v>
      </c>
      <c r="AA707" s="14">
        <v>268</v>
      </c>
      <c r="AB707" s="14">
        <v>293</v>
      </c>
      <c r="AC707" s="14">
        <v>889</v>
      </c>
      <c r="AD707" s="14">
        <v>49</v>
      </c>
      <c r="AE707" s="14">
        <v>2100</v>
      </c>
      <c r="AF707" s="14">
        <v>5000</v>
      </c>
      <c r="AG707" s="14">
        <v>1900</v>
      </c>
      <c r="AH707" s="14">
        <v>0</v>
      </c>
      <c r="AI707" s="14">
        <v>41</v>
      </c>
      <c r="AJ707" s="14">
        <v>164</v>
      </c>
      <c r="AK707" s="14" t="s">
        <v>5212</v>
      </c>
      <c r="AL707" s="14" t="s">
        <v>5216</v>
      </c>
      <c r="AM707" s="14">
        <v>162.11000000000001</v>
      </c>
      <c r="AN707" s="14">
        <v>142.63999999999999</v>
      </c>
      <c r="AO707" s="14">
        <v>54.99</v>
      </c>
      <c r="AP707" s="14">
        <v>22650</v>
      </c>
      <c r="AQ707" s="14">
        <v>22570</v>
      </c>
      <c r="AR707" s="14">
        <v>23000</v>
      </c>
      <c r="AS707" s="14">
        <v>20550</v>
      </c>
      <c r="AT707" s="14">
        <v>22049</v>
      </c>
      <c r="AU707" s="14">
        <v>9</v>
      </c>
      <c r="AV707" s="14">
        <v>290.12</v>
      </c>
      <c r="AW707" s="14">
        <v>20.93</v>
      </c>
      <c r="AX707" s="14">
        <v>4.62</v>
      </c>
      <c r="AY707" s="14" t="b">
        <v>0</v>
      </c>
    </row>
    <row r="708" spans="1:51" hidden="1" x14ac:dyDescent="0.3">
      <c r="A708" t="str">
        <f>CONCATENATE(I708,E708,LEFT(G708,10))</f>
        <v>HFA804LCLK2026-01-27</v>
      </c>
      <c r="B708" s="14" t="s">
        <v>970</v>
      </c>
      <c r="C708" s="14" t="s">
        <v>336</v>
      </c>
      <c r="D708" s="14" t="s">
        <v>337</v>
      </c>
      <c r="E708" s="14" t="s">
        <v>87</v>
      </c>
      <c r="F708" s="14" t="s">
        <v>43</v>
      </c>
      <c r="G708" s="14" t="s">
        <v>971</v>
      </c>
      <c r="H708" s="14" t="s">
        <v>339</v>
      </c>
      <c r="I708" s="14" t="s">
        <v>117</v>
      </c>
      <c r="J708" s="14" t="s">
        <v>83</v>
      </c>
      <c r="K708" s="14" t="s">
        <v>340</v>
      </c>
      <c r="L708" s="14" t="s">
        <v>341</v>
      </c>
      <c r="M708" s="16" t="s">
        <v>972</v>
      </c>
      <c r="N708" s="14"/>
      <c r="O708" s="14" t="s">
        <v>627</v>
      </c>
      <c r="P708" s="14">
        <v>130</v>
      </c>
      <c r="Q708" s="14">
        <v>2</v>
      </c>
      <c r="R708" s="14">
        <v>0</v>
      </c>
      <c r="S708" s="14" t="s">
        <v>973</v>
      </c>
      <c r="T708" s="14" t="s">
        <v>974</v>
      </c>
      <c r="U708" s="14">
        <v>0.66138888888888803</v>
      </c>
      <c r="V708" s="14">
        <v>0.93694444444444402</v>
      </c>
      <c r="W708" s="14">
        <v>615</v>
      </c>
      <c r="X708" s="14">
        <v>80</v>
      </c>
      <c r="Y708" s="14">
        <v>535</v>
      </c>
      <c r="Z708" s="14">
        <v>1885</v>
      </c>
      <c r="AA708" s="14">
        <v>256</v>
      </c>
      <c r="AB708" s="14">
        <v>251</v>
      </c>
      <c r="AC708" s="14">
        <v>1337</v>
      </c>
      <c r="AD708" s="14">
        <v>42</v>
      </c>
      <c r="AE708" s="14">
        <v>2500</v>
      </c>
      <c r="AF708" s="14">
        <v>5000</v>
      </c>
      <c r="AG708" s="14">
        <v>1944</v>
      </c>
      <c r="AH708" s="14">
        <v>0</v>
      </c>
      <c r="AI708" s="14">
        <v>42</v>
      </c>
      <c r="AJ708" s="14">
        <v>201</v>
      </c>
      <c r="AK708" s="14" t="s">
        <v>971</v>
      </c>
      <c r="AL708" s="14" t="s">
        <v>975</v>
      </c>
      <c r="AM708" s="14">
        <v>162.11000000000001</v>
      </c>
      <c r="AN708" s="14">
        <v>142.63999999999999</v>
      </c>
      <c r="AO708" s="14">
        <v>54.99</v>
      </c>
      <c r="AP708" s="14">
        <v>17956</v>
      </c>
      <c r="AQ708" s="14">
        <v>17876</v>
      </c>
      <c r="AR708" s="14">
        <v>23000</v>
      </c>
      <c r="AS708" s="14">
        <v>15456</v>
      </c>
      <c r="AT708" s="14">
        <v>17341</v>
      </c>
      <c r="AU708" s="14">
        <v>-11</v>
      </c>
      <c r="AV708" s="14">
        <v>218.55</v>
      </c>
      <c r="AW708" s="14">
        <v>35.479999999999997</v>
      </c>
      <c r="AX708" s="14">
        <v>0.1</v>
      </c>
      <c r="AY708" s="14" t="b">
        <v>0</v>
      </c>
    </row>
    <row r="709" spans="1:51" hidden="1" x14ac:dyDescent="0.3">
      <c r="A709" t="str">
        <f>CONCATENATE(I709,E709,LEFT(G709,10))</f>
        <v>HFA804LCLK2026-01-29</v>
      </c>
      <c r="B709" s="14" t="s">
        <v>6305</v>
      </c>
      <c r="C709" s="14" t="s">
        <v>336</v>
      </c>
      <c r="D709" s="14" t="s">
        <v>337</v>
      </c>
      <c r="E709" s="14" t="s">
        <v>87</v>
      </c>
      <c r="F709" s="14" t="s">
        <v>43</v>
      </c>
      <c r="G709" s="14" t="s">
        <v>6306</v>
      </c>
      <c r="H709" s="14" t="s">
        <v>371</v>
      </c>
      <c r="I709" s="14" t="s">
        <v>117</v>
      </c>
      <c r="J709" s="14" t="s">
        <v>83</v>
      </c>
      <c r="K709" s="14" t="s">
        <v>340</v>
      </c>
      <c r="L709" s="14" t="s">
        <v>341</v>
      </c>
      <c r="M709" s="16" t="s">
        <v>1352</v>
      </c>
      <c r="N709" s="14"/>
      <c r="O709" s="14" t="s">
        <v>1289</v>
      </c>
      <c r="P709" s="14">
        <v>130</v>
      </c>
      <c r="Q709" s="14">
        <v>3</v>
      </c>
      <c r="R709" s="14">
        <v>3300</v>
      </c>
      <c r="S709" s="14" t="s">
        <v>6307</v>
      </c>
      <c r="T709" s="14" t="s">
        <v>6308</v>
      </c>
      <c r="U709" s="14">
        <v>0.71777777777777696</v>
      </c>
      <c r="V709" s="14">
        <v>0.98027777777777703</v>
      </c>
      <c r="W709" s="14">
        <v>581</v>
      </c>
      <c r="X709" s="14">
        <v>80</v>
      </c>
      <c r="Y709" s="14">
        <v>501</v>
      </c>
      <c r="Z709" s="14">
        <v>1719</v>
      </c>
      <c r="AA709" s="14">
        <v>262</v>
      </c>
      <c r="AB709" s="14">
        <v>260</v>
      </c>
      <c r="AC709" s="14">
        <v>1153</v>
      </c>
      <c r="AD709" s="14">
        <v>43</v>
      </c>
      <c r="AE709" s="14">
        <v>2300</v>
      </c>
      <c r="AF709" s="14">
        <v>5000</v>
      </c>
      <c r="AG709" s="14">
        <v>1836</v>
      </c>
      <c r="AH709" s="14">
        <v>0</v>
      </c>
      <c r="AI709" s="14">
        <v>39</v>
      </c>
      <c r="AJ709" s="14">
        <v>183</v>
      </c>
      <c r="AK709" s="14" t="s">
        <v>6306</v>
      </c>
      <c r="AL709" s="14" t="s">
        <v>6309</v>
      </c>
      <c r="AM709" s="14">
        <v>162.11000000000001</v>
      </c>
      <c r="AN709" s="14">
        <v>142.63999999999999</v>
      </c>
      <c r="AO709" s="14">
        <v>54.99</v>
      </c>
      <c r="AP709" s="14">
        <v>19100</v>
      </c>
      <c r="AQ709" s="14">
        <v>19020</v>
      </c>
      <c r="AR709" s="14">
        <v>23000</v>
      </c>
      <c r="AS709" s="14">
        <v>16800</v>
      </c>
      <c r="AT709" s="14">
        <v>18519</v>
      </c>
      <c r="AU709" s="14">
        <v>12</v>
      </c>
      <c r="AV709" s="14">
        <v>274.35000000000002</v>
      </c>
      <c r="AW709" s="14">
        <v>34.06</v>
      </c>
      <c r="AX709" s="14">
        <v>3.32</v>
      </c>
      <c r="AY709" s="14" t="b">
        <v>0</v>
      </c>
    </row>
    <row r="710" spans="1:51" hidden="1" x14ac:dyDescent="0.3">
      <c r="A710" t="str">
        <f>CONCATENATE(I710,E710,LEFT(G710,10))</f>
        <v>HFA804LCLK2026-01-30</v>
      </c>
      <c r="B710" s="14" t="s">
        <v>1148</v>
      </c>
      <c r="C710" s="14" t="s">
        <v>336</v>
      </c>
      <c r="D710" s="14" t="s">
        <v>337</v>
      </c>
      <c r="E710" s="14" t="s">
        <v>87</v>
      </c>
      <c r="F710" s="14" t="s">
        <v>43</v>
      </c>
      <c r="G710" s="14" t="s">
        <v>1149</v>
      </c>
      <c r="H710" s="14" t="s">
        <v>371</v>
      </c>
      <c r="I710" s="14" t="s">
        <v>117</v>
      </c>
      <c r="J710" s="14" t="s">
        <v>83</v>
      </c>
      <c r="K710" s="14" t="s">
        <v>340</v>
      </c>
      <c r="L710" s="14" t="s">
        <v>341</v>
      </c>
      <c r="M710" s="16" t="s">
        <v>1150</v>
      </c>
      <c r="N710" s="14"/>
      <c r="O710" s="14" t="s">
        <v>410</v>
      </c>
      <c r="P710" s="14">
        <v>150</v>
      </c>
      <c r="Q710" s="14">
        <v>2</v>
      </c>
      <c r="R710" s="14">
        <v>6300</v>
      </c>
      <c r="S710" s="14" t="s">
        <v>1151</v>
      </c>
      <c r="T710" s="14" t="s">
        <v>1152</v>
      </c>
      <c r="U710" s="14">
        <v>0.69944444444444398</v>
      </c>
      <c r="V710" s="14">
        <v>0.90444444444444405</v>
      </c>
      <c r="W710" s="14">
        <v>589</v>
      </c>
      <c r="X710" s="14">
        <v>80</v>
      </c>
      <c r="Y710" s="14">
        <v>509</v>
      </c>
      <c r="Z710" s="14">
        <v>1511</v>
      </c>
      <c r="AA710" s="14">
        <v>280</v>
      </c>
      <c r="AB710" s="14">
        <v>285</v>
      </c>
      <c r="AC710" s="14">
        <v>899</v>
      </c>
      <c r="AD710" s="14">
        <v>48</v>
      </c>
      <c r="AE710" s="14">
        <v>2100</v>
      </c>
      <c r="AF710" s="14">
        <v>5000</v>
      </c>
      <c r="AG710" s="14">
        <v>1860</v>
      </c>
      <c r="AH710" s="14">
        <v>0</v>
      </c>
      <c r="AI710" s="14">
        <v>41</v>
      </c>
      <c r="AJ710" s="14">
        <v>169</v>
      </c>
      <c r="AK710" s="14" t="s">
        <v>1149</v>
      </c>
      <c r="AL710" s="14" t="s">
        <v>1153</v>
      </c>
      <c r="AM710" s="14">
        <v>162.11000000000001</v>
      </c>
      <c r="AN710" s="14">
        <v>142.63999999999999</v>
      </c>
      <c r="AO710" s="14">
        <v>54.99</v>
      </c>
      <c r="AP710" s="14">
        <v>21900</v>
      </c>
      <c r="AQ710" s="14">
        <v>21820</v>
      </c>
      <c r="AR710" s="14">
        <v>23000</v>
      </c>
      <c r="AS710" s="14">
        <v>19800</v>
      </c>
      <c r="AT710" s="14">
        <v>21311</v>
      </c>
      <c r="AU710" s="14">
        <v>11</v>
      </c>
      <c r="AV710" s="14">
        <v>266.33999999999997</v>
      </c>
      <c r="AW710" s="14">
        <v>47.28</v>
      </c>
      <c r="AX710" s="14">
        <v>4.3899999999999997</v>
      </c>
      <c r="AY710" s="14" t="b">
        <v>0</v>
      </c>
    </row>
    <row r="711" spans="1:51" hidden="1" x14ac:dyDescent="0.3">
      <c r="A711" t="str">
        <f>CONCATENATE(I711,E711,LEFT(G711,10))</f>
        <v>HFA804LCLK2026-02-01</v>
      </c>
      <c r="B711" s="14" t="s">
        <v>2007</v>
      </c>
      <c r="C711" s="14" t="s">
        <v>336</v>
      </c>
      <c r="D711" s="14" t="s">
        <v>337</v>
      </c>
      <c r="E711" s="14" t="s">
        <v>87</v>
      </c>
      <c r="F711" s="14" t="s">
        <v>43</v>
      </c>
      <c r="G711" s="14" t="s">
        <v>2008</v>
      </c>
      <c r="H711" s="14" t="s">
        <v>357</v>
      </c>
      <c r="I711" s="14" t="s">
        <v>117</v>
      </c>
      <c r="J711" s="14" t="s">
        <v>83</v>
      </c>
      <c r="K711" s="14" t="s">
        <v>340</v>
      </c>
      <c r="L711" s="14" t="s">
        <v>341</v>
      </c>
      <c r="M711" s="16" t="s">
        <v>2009</v>
      </c>
      <c r="N711" s="14" t="s">
        <v>359</v>
      </c>
      <c r="O711" s="14" t="s">
        <v>410</v>
      </c>
      <c r="P711" s="14">
        <v>130</v>
      </c>
      <c r="Q711" s="14">
        <v>2</v>
      </c>
      <c r="R711" s="14">
        <v>6400</v>
      </c>
      <c r="S711" s="14" t="s">
        <v>2010</v>
      </c>
      <c r="T711" s="14" t="s">
        <v>2011</v>
      </c>
      <c r="U711" s="14">
        <v>0.74277777777777698</v>
      </c>
      <c r="V711" s="14">
        <v>0.97972222222222205</v>
      </c>
      <c r="W711" s="14">
        <v>608</v>
      </c>
      <c r="X711" s="14">
        <v>80</v>
      </c>
      <c r="Y711" s="14">
        <v>528</v>
      </c>
      <c r="Z711" s="14">
        <v>1792</v>
      </c>
      <c r="AA711" s="14">
        <v>266</v>
      </c>
      <c r="AB711" s="14">
        <v>286</v>
      </c>
      <c r="AC711" s="14">
        <v>1192</v>
      </c>
      <c r="AD711" s="14">
        <v>48</v>
      </c>
      <c r="AE711" s="14">
        <v>2400</v>
      </c>
      <c r="AF711" s="14">
        <v>5000</v>
      </c>
      <c r="AG711" s="14">
        <v>1921</v>
      </c>
      <c r="AH711" s="14">
        <v>0</v>
      </c>
      <c r="AI711" s="14">
        <v>42</v>
      </c>
      <c r="AJ711" s="14">
        <v>195</v>
      </c>
      <c r="AK711" s="14" t="s">
        <v>2008</v>
      </c>
      <c r="AL711" s="14" t="s">
        <v>2012</v>
      </c>
      <c r="AM711" s="14">
        <v>162.11000000000001</v>
      </c>
      <c r="AN711" s="14">
        <v>142.63999999999999</v>
      </c>
      <c r="AO711" s="14">
        <v>54.99</v>
      </c>
      <c r="AP711" s="14">
        <v>22025</v>
      </c>
      <c r="AQ711" s="14">
        <v>21945</v>
      </c>
      <c r="AR711" s="14">
        <v>23000</v>
      </c>
      <c r="AS711" s="14">
        <v>19625</v>
      </c>
      <c r="AT711" s="14">
        <v>21417</v>
      </c>
      <c r="AU711" s="14">
        <v>-3</v>
      </c>
      <c r="AV711" s="14">
        <v>238.79</v>
      </c>
      <c r="AW711" s="14">
        <v>30.91</v>
      </c>
      <c r="AX711" s="14">
        <v>4.9000000000000004</v>
      </c>
      <c r="AY711" s="14" t="b">
        <v>0</v>
      </c>
    </row>
    <row r="712" spans="1:51" hidden="1" x14ac:dyDescent="0.3">
      <c r="A712" t="str">
        <f>CONCATENATE(I712,E712,LEFT(G712,10))</f>
        <v>HFA804LCLK2026-02-02</v>
      </c>
      <c r="B712" s="14" t="s">
        <v>834</v>
      </c>
      <c r="C712" s="14" t="s">
        <v>336</v>
      </c>
      <c r="D712" s="14" t="s">
        <v>337</v>
      </c>
      <c r="E712" s="14" t="s">
        <v>87</v>
      </c>
      <c r="F712" s="14" t="s">
        <v>43</v>
      </c>
      <c r="G712" s="14" t="s">
        <v>835</v>
      </c>
      <c r="H712" s="14" t="s">
        <v>371</v>
      </c>
      <c r="I712" s="14" t="s">
        <v>117</v>
      </c>
      <c r="J712" s="14" t="s">
        <v>83</v>
      </c>
      <c r="K712" s="14" t="s">
        <v>340</v>
      </c>
      <c r="L712" s="14" t="s">
        <v>341</v>
      </c>
      <c r="M712" s="16" t="s">
        <v>836</v>
      </c>
      <c r="N712" s="14"/>
      <c r="O712" s="14" t="s">
        <v>837</v>
      </c>
      <c r="P712" s="14">
        <v>130</v>
      </c>
      <c r="Q712" s="14">
        <v>2</v>
      </c>
      <c r="R712" s="14">
        <v>0</v>
      </c>
      <c r="S712" s="14" t="s">
        <v>838</v>
      </c>
      <c r="T712" s="14" t="s">
        <v>839</v>
      </c>
      <c r="U712" s="14">
        <v>0.69111111111111101</v>
      </c>
      <c r="V712" s="14">
        <v>0.99861111111111101</v>
      </c>
      <c r="W712" s="14">
        <v>608</v>
      </c>
      <c r="X712" s="14">
        <v>80</v>
      </c>
      <c r="Y712" s="14">
        <v>528</v>
      </c>
      <c r="Z712" s="14">
        <v>1892</v>
      </c>
      <c r="AA712" s="14">
        <v>731</v>
      </c>
      <c r="AB712" s="14">
        <v>276</v>
      </c>
      <c r="AC712" s="14">
        <v>838</v>
      </c>
      <c r="AD712" s="14">
        <v>46</v>
      </c>
      <c r="AE712" s="14">
        <v>2500</v>
      </c>
      <c r="AF712" s="14">
        <v>5000</v>
      </c>
      <c r="AG712" s="14">
        <v>1923</v>
      </c>
      <c r="AH712" s="14">
        <v>0</v>
      </c>
      <c r="AI712" s="14">
        <v>41</v>
      </c>
      <c r="AJ712" s="14">
        <v>200</v>
      </c>
      <c r="AK712" s="14" t="s">
        <v>835</v>
      </c>
      <c r="AL712" s="14" t="s">
        <v>840</v>
      </c>
      <c r="AM712" s="14">
        <v>162.11000000000001</v>
      </c>
      <c r="AN712" s="14">
        <v>142.63999999999999</v>
      </c>
      <c r="AO712" s="14">
        <v>54.99</v>
      </c>
      <c r="AP712" s="14">
        <v>20995</v>
      </c>
      <c r="AQ712" s="14">
        <v>20915</v>
      </c>
      <c r="AR712" s="14">
        <v>23000</v>
      </c>
      <c r="AS712" s="14">
        <v>18495</v>
      </c>
      <c r="AT712" s="14">
        <v>20387</v>
      </c>
      <c r="AU712" s="14">
        <v>3</v>
      </c>
      <c r="AV712" s="14">
        <v>248.95</v>
      </c>
      <c r="AW712" s="14">
        <v>43.91</v>
      </c>
      <c r="AX712" s="14">
        <v>2.02</v>
      </c>
      <c r="AY712" s="14" t="b">
        <v>0</v>
      </c>
    </row>
    <row r="713" spans="1:51" hidden="1" x14ac:dyDescent="0.3">
      <c r="A713" t="str">
        <f>CONCATENATE(I713,E713,LEFT(G713,10))</f>
        <v>HFA804LCLK2026-02-03</v>
      </c>
      <c r="B713" s="14" t="s">
        <v>2450</v>
      </c>
      <c r="C713" s="14" t="s">
        <v>336</v>
      </c>
      <c r="D713" s="14" t="s">
        <v>337</v>
      </c>
      <c r="E713" s="14" t="s">
        <v>87</v>
      </c>
      <c r="F713" s="14" t="s">
        <v>43</v>
      </c>
      <c r="G713" s="14" t="s">
        <v>2451</v>
      </c>
      <c r="H713" s="14" t="s">
        <v>339</v>
      </c>
      <c r="I713" s="14" t="s">
        <v>117</v>
      </c>
      <c r="J713" s="14" t="s">
        <v>83</v>
      </c>
      <c r="K713" s="14" t="s">
        <v>340</v>
      </c>
      <c r="L713" s="14" t="s">
        <v>341</v>
      </c>
      <c r="M713" s="16" t="s">
        <v>543</v>
      </c>
      <c r="N713" s="14"/>
      <c r="O713" s="14" t="s">
        <v>2452</v>
      </c>
      <c r="P713" s="14">
        <v>130</v>
      </c>
      <c r="Q713" s="14">
        <v>3</v>
      </c>
      <c r="R713" s="14">
        <v>3900</v>
      </c>
      <c r="S713" s="14" t="s">
        <v>2453</v>
      </c>
      <c r="T713" s="14" t="s">
        <v>2454</v>
      </c>
      <c r="U713" s="14">
        <v>0.62972222222222196</v>
      </c>
      <c r="V713" s="14">
        <v>0.88749999999999996</v>
      </c>
      <c r="W713" s="14">
        <v>557</v>
      </c>
      <c r="X713" s="14">
        <v>80</v>
      </c>
      <c r="Y713" s="14">
        <v>477</v>
      </c>
      <c r="Z713" s="14">
        <v>1843</v>
      </c>
      <c r="AA713" s="14">
        <v>252</v>
      </c>
      <c r="AB713" s="14">
        <v>265</v>
      </c>
      <c r="AC713" s="14">
        <v>1282</v>
      </c>
      <c r="AD713" s="14">
        <v>44</v>
      </c>
      <c r="AE713" s="14">
        <v>2400</v>
      </c>
      <c r="AF713" s="14">
        <v>5000</v>
      </c>
      <c r="AG713" s="14">
        <v>1760</v>
      </c>
      <c r="AH713" s="14">
        <v>0</v>
      </c>
      <c r="AI713" s="14">
        <v>37</v>
      </c>
      <c r="AJ713" s="14">
        <v>190</v>
      </c>
      <c r="AK713" s="14" t="s">
        <v>2451</v>
      </c>
      <c r="AL713" s="14" t="s">
        <v>2455</v>
      </c>
      <c r="AM713" s="14">
        <v>162.11000000000001</v>
      </c>
      <c r="AN713" s="14">
        <v>142.63999999999999</v>
      </c>
      <c r="AO713" s="14">
        <v>54.99</v>
      </c>
      <c r="AP713" s="14">
        <v>19625</v>
      </c>
      <c r="AQ713" s="14">
        <v>19545</v>
      </c>
      <c r="AR713" s="14">
        <v>23000</v>
      </c>
      <c r="AS713" s="14">
        <v>17225</v>
      </c>
      <c r="AT713" s="14">
        <v>19068</v>
      </c>
      <c r="AU713" s="14">
        <v>27</v>
      </c>
      <c r="AV713" s="14">
        <v>307.76</v>
      </c>
      <c r="AW713" s="14">
        <v>37.950000000000003</v>
      </c>
      <c r="AX713" s="14">
        <v>-0.67</v>
      </c>
      <c r="AY713" s="14" t="b">
        <v>0</v>
      </c>
    </row>
    <row r="714" spans="1:51" hidden="1" x14ac:dyDescent="0.3">
      <c r="A714" t="str">
        <f>CONCATENATE(I714,E714,LEFT(G714,10))</f>
        <v>HFA804LCLK2026-02-05</v>
      </c>
      <c r="B714" s="14" t="s">
        <v>4653</v>
      </c>
      <c r="C714" s="14" t="s">
        <v>336</v>
      </c>
      <c r="D714" s="14" t="s">
        <v>337</v>
      </c>
      <c r="E714" s="14" t="s">
        <v>87</v>
      </c>
      <c r="F714" s="14" t="s">
        <v>43</v>
      </c>
      <c r="G714" s="14" t="s">
        <v>4654</v>
      </c>
      <c r="H714" s="14" t="s">
        <v>371</v>
      </c>
      <c r="I714" s="14" t="s">
        <v>117</v>
      </c>
      <c r="J714" s="14" t="s">
        <v>83</v>
      </c>
      <c r="K714" s="14" t="s">
        <v>340</v>
      </c>
      <c r="L714" s="14" t="s">
        <v>341</v>
      </c>
      <c r="M714" s="16" t="s">
        <v>4655</v>
      </c>
      <c r="N714" s="14"/>
      <c r="O714" s="14" t="s">
        <v>4656</v>
      </c>
      <c r="P714" s="14">
        <v>130</v>
      </c>
      <c r="Q714" s="14">
        <v>2</v>
      </c>
      <c r="R714" s="14">
        <v>2000</v>
      </c>
      <c r="S714" s="14" t="s">
        <v>4657</v>
      </c>
      <c r="T714" s="14" t="s">
        <v>4658</v>
      </c>
      <c r="U714" s="14">
        <v>0.68416666666666603</v>
      </c>
      <c r="V714" s="14">
        <v>0.95388888888888801</v>
      </c>
      <c r="W714" s="14">
        <v>598</v>
      </c>
      <c r="X714" s="14">
        <v>80</v>
      </c>
      <c r="Y714" s="14">
        <v>518</v>
      </c>
      <c r="Z714" s="14">
        <v>1502</v>
      </c>
      <c r="AA714" s="14">
        <v>252</v>
      </c>
      <c r="AB714" s="14">
        <v>248</v>
      </c>
      <c r="AC714" s="14">
        <v>960</v>
      </c>
      <c r="AD714" s="14">
        <v>41</v>
      </c>
      <c r="AE714" s="14">
        <v>2100</v>
      </c>
      <c r="AF714" s="14">
        <v>5000</v>
      </c>
      <c r="AG714" s="14">
        <v>1890</v>
      </c>
      <c r="AH714" s="14">
        <v>0</v>
      </c>
      <c r="AI714" s="14">
        <v>41</v>
      </c>
      <c r="AJ714" s="14">
        <v>169</v>
      </c>
      <c r="AK714" s="14" t="s">
        <v>4654</v>
      </c>
      <c r="AL714" s="14" t="s">
        <v>4659</v>
      </c>
      <c r="AM714" s="14">
        <v>162.11000000000001</v>
      </c>
      <c r="AN714" s="14">
        <v>142.63999999999999</v>
      </c>
      <c r="AO714" s="14">
        <v>54.99</v>
      </c>
      <c r="AP714" s="14">
        <v>17600</v>
      </c>
      <c r="AQ714" s="14">
        <v>17520</v>
      </c>
      <c r="AR714" s="14">
        <v>23000</v>
      </c>
      <c r="AS714" s="14">
        <v>15500</v>
      </c>
      <c r="AT714" s="14">
        <v>17002</v>
      </c>
      <c r="AU714" s="14">
        <v>-3</v>
      </c>
      <c r="AV714" s="14">
        <v>239.03</v>
      </c>
      <c r="AW714" s="14">
        <v>20.99</v>
      </c>
      <c r="AX714" s="14">
        <v>4.63</v>
      </c>
      <c r="AY714" s="14" t="b">
        <v>0</v>
      </c>
    </row>
    <row r="715" spans="1:51" hidden="1" x14ac:dyDescent="0.3">
      <c r="A715" t="str">
        <f>CONCATENATE(I715,E715,LEFT(G715,10))</f>
        <v>HFA804LCLK2026-02-06</v>
      </c>
      <c r="B715" s="14" t="s">
        <v>5440</v>
      </c>
      <c r="C715" s="14" t="s">
        <v>336</v>
      </c>
      <c r="D715" s="14" t="s">
        <v>337</v>
      </c>
      <c r="E715" s="14" t="s">
        <v>87</v>
      </c>
      <c r="F715" s="14" t="s">
        <v>43</v>
      </c>
      <c r="G715" s="14" t="s">
        <v>5441</v>
      </c>
      <c r="H715" s="14" t="s">
        <v>371</v>
      </c>
      <c r="I715" s="14" t="s">
        <v>117</v>
      </c>
      <c r="J715" s="14" t="s">
        <v>83</v>
      </c>
      <c r="K715" s="14" t="s">
        <v>340</v>
      </c>
      <c r="L715" s="14" t="s">
        <v>341</v>
      </c>
      <c r="M715" s="16" t="s">
        <v>731</v>
      </c>
      <c r="N715" s="14"/>
      <c r="O715" s="14" t="s">
        <v>627</v>
      </c>
      <c r="P715" s="14">
        <v>130</v>
      </c>
      <c r="Q715" s="14">
        <v>2</v>
      </c>
      <c r="R715" s="14">
        <v>5600</v>
      </c>
      <c r="S715" s="14" t="s">
        <v>5442</v>
      </c>
      <c r="T715" s="14" t="s">
        <v>5443</v>
      </c>
      <c r="U715" s="14">
        <v>0.69833333333333303</v>
      </c>
      <c r="V715" s="14">
        <v>0.99861111111111101</v>
      </c>
      <c r="W715" s="14">
        <v>608</v>
      </c>
      <c r="X715" s="14">
        <v>80</v>
      </c>
      <c r="Y715" s="14">
        <v>528</v>
      </c>
      <c r="Z715" s="14">
        <v>1392</v>
      </c>
      <c r="AA715" s="14">
        <v>270</v>
      </c>
      <c r="AB715" s="14">
        <v>277</v>
      </c>
      <c r="AC715" s="14">
        <v>798</v>
      </c>
      <c r="AD715" s="14">
        <v>46</v>
      </c>
      <c r="AE715" s="14">
        <v>2000</v>
      </c>
      <c r="AF715" s="14">
        <v>5000</v>
      </c>
      <c r="AG715" s="14">
        <v>1920</v>
      </c>
      <c r="AH715" s="14">
        <v>0</v>
      </c>
      <c r="AI715" s="14">
        <v>41</v>
      </c>
      <c r="AJ715" s="14">
        <v>157</v>
      </c>
      <c r="AK715" s="14" t="s">
        <v>5441</v>
      </c>
      <c r="AL715" s="14" t="s">
        <v>5444</v>
      </c>
      <c r="AM715" s="14">
        <v>162.11000000000001</v>
      </c>
      <c r="AN715" s="14">
        <v>142.63999999999999</v>
      </c>
      <c r="AO715" s="14">
        <v>54.99</v>
      </c>
      <c r="AP715" s="14">
        <v>21100</v>
      </c>
      <c r="AQ715" s="14">
        <v>21020</v>
      </c>
      <c r="AR715" s="14">
        <v>23000</v>
      </c>
      <c r="AS715" s="14">
        <v>19100</v>
      </c>
      <c r="AT715" s="14">
        <v>20492</v>
      </c>
      <c r="AU715" s="14">
        <v>2</v>
      </c>
      <c r="AV715" s="14">
        <v>250.5</v>
      </c>
      <c r="AW715" s="14">
        <v>36.35</v>
      </c>
      <c r="AX715" s="14">
        <v>3.33</v>
      </c>
      <c r="AY715" s="14" t="b">
        <v>0</v>
      </c>
    </row>
    <row r="716" spans="1:51" hidden="1" x14ac:dyDescent="0.3">
      <c r="A716" t="str">
        <f>CONCATENATE(I716,E716,LEFT(G716,10))</f>
        <v>HFA804LCLK2026-02-08</v>
      </c>
      <c r="B716" s="14" t="s">
        <v>407</v>
      </c>
      <c r="C716" s="14" t="s">
        <v>336</v>
      </c>
      <c r="D716" s="14" t="s">
        <v>337</v>
      </c>
      <c r="E716" s="14" t="s">
        <v>87</v>
      </c>
      <c r="F716" s="14" t="s">
        <v>43</v>
      </c>
      <c r="G716" s="14" t="s">
        <v>408</v>
      </c>
      <c r="H716" s="14" t="s">
        <v>371</v>
      </c>
      <c r="I716" s="14" t="s">
        <v>117</v>
      </c>
      <c r="J716" s="14" t="s">
        <v>83</v>
      </c>
      <c r="K716" s="14" t="s">
        <v>340</v>
      </c>
      <c r="L716" s="14" t="s">
        <v>341</v>
      </c>
      <c r="M716" s="16" t="s">
        <v>409</v>
      </c>
      <c r="N716" s="14"/>
      <c r="O716" s="14" t="s">
        <v>410</v>
      </c>
      <c r="P716" s="14">
        <v>130</v>
      </c>
      <c r="Q716" s="14">
        <v>2</v>
      </c>
      <c r="R716" s="14">
        <v>6100</v>
      </c>
      <c r="S716" s="14" t="s">
        <v>411</v>
      </c>
      <c r="T716" s="14" t="s">
        <v>412</v>
      </c>
      <c r="U716" s="14">
        <v>0.68861111111111095</v>
      </c>
      <c r="V716" s="14">
        <v>1.01416666666666</v>
      </c>
      <c r="W716" s="14">
        <v>587</v>
      </c>
      <c r="X716" s="14">
        <v>80</v>
      </c>
      <c r="Y716" s="14">
        <v>507</v>
      </c>
      <c r="Z716" s="14">
        <v>1713</v>
      </c>
      <c r="AA716" s="14">
        <v>269</v>
      </c>
      <c r="AB716" s="14">
        <v>285</v>
      </c>
      <c r="AC716" s="14">
        <v>1111</v>
      </c>
      <c r="AD716" s="14">
        <v>48</v>
      </c>
      <c r="AE716" s="14">
        <v>2300</v>
      </c>
      <c r="AF716" s="14">
        <v>5000</v>
      </c>
      <c r="AG716" s="14">
        <v>1855</v>
      </c>
      <c r="AH716" s="14">
        <v>0</v>
      </c>
      <c r="AI716" s="14">
        <v>40</v>
      </c>
      <c r="AJ716" s="14">
        <v>182</v>
      </c>
      <c r="AK716" s="14" t="s">
        <v>408</v>
      </c>
      <c r="AL716" s="14" t="s">
        <v>413</v>
      </c>
      <c r="AM716" s="14">
        <v>162.11000000000001</v>
      </c>
      <c r="AN716" s="14">
        <v>142.63999999999999</v>
      </c>
      <c r="AO716" s="14">
        <v>54.99</v>
      </c>
      <c r="AP716" s="14">
        <v>21900</v>
      </c>
      <c r="AQ716" s="14">
        <v>21820</v>
      </c>
      <c r="AR716" s="14">
        <v>23000</v>
      </c>
      <c r="AS716" s="14">
        <v>19600</v>
      </c>
      <c r="AT716" s="14">
        <v>21313</v>
      </c>
      <c r="AU716" s="14">
        <v>14</v>
      </c>
      <c r="AV716" s="14">
        <v>268.39999999999998</v>
      </c>
      <c r="AW716" s="14">
        <v>50.93</v>
      </c>
      <c r="AX716" s="14">
        <v>5.56</v>
      </c>
      <c r="AY716" s="14" t="b">
        <v>0</v>
      </c>
    </row>
    <row r="717" spans="1:51" hidden="1" x14ac:dyDescent="0.3">
      <c r="A717" t="str">
        <f>CONCATENATE(I717,E717,LEFT(G717,10))</f>
        <v>HFA804LCLK2026-02-10</v>
      </c>
      <c r="B717" s="14" t="s">
        <v>4426</v>
      </c>
      <c r="C717" s="14" t="s">
        <v>336</v>
      </c>
      <c r="D717" s="14" t="s">
        <v>337</v>
      </c>
      <c r="E717" s="14" t="s">
        <v>87</v>
      </c>
      <c r="F717" s="14" t="s">
        <v>43</v>
      </c>
      <c r="G717" s="14" t="s">
        <v>4427</v>
      </c>
      <c r="H717" s="14" t="s">
        <v>339</v>
      </c>
      <c r="I717" s="14" t="s">
        <v>117</v>
      </c>
      <c r="J717" s="14" t="s">
        <v>83</v>
      </c>
      <c r="K717" s="14" t="s">
        <v>340</v>
      </c>
      <c r="L717" s="14" t="s">
        <v>341</v>
      </c>
      <c r="M717" s="16" t="s">
        <v>4428</v>
      </c>
      <c r="N717" s="14"/>
      <c r="O717" s="14" t="s">
        <v>627</v>
      </c>
      <c r="P717" s="14">
        <v>130</v>
      </c>
      <c r="Q717" s="14">
        <v>2</v>
      </c>
      <c r="R717" s="14">
        <v>1700</v>
      </c>
      <c r="S717" s="14" t="s">
        <v>4429</v>
      </c>
      <c r="T717" s="14" t="s">
        <v>4430</v>
      </c>
      <c r="U717" s="14">
        <v>0.65444444444444405</v>
      </c>
      <c r="V717" s="14">
        <v>0.95416666666666605</v>
      </c>
      <c r="W717" s="14">
        <v>581</v>
      </c>
      <c r="X717" s="14">
        <v>80</v>
      </c>
      <c r="Y717" s="14">
        <v>501</v>
      </c>
      <c r="Z717" s="14">
        <v>1719</v>
      </c>
      <c r="AA717" s="14">
        <v>252</v>
      </c>
      <c r="AB717" s="14">
        <v>246</v>
      </c>
      <c r="AC717" s="14">
        <v>1180</v>
      </c>
      <c r="AD717" s="14">
        <v>41</v>
      </c>
      <c r="AE717" s="14">
        <v>2300</v>
      </c>
      <c r="AF717" s="14">
        <v>5000</v>
      </c>
      <c r="AG717" s="14">
        <v>1836</v>
      </c>
      <c r="AH717" s="14">
        <v>0</v>
      </c>
      <c r="AI717" s="14">
        <v>40</v>
      </c>
      <c r="AJ717" s="14">
        <v>188</v>
      </c>
      <c r="AK717" s="14" t="s">
        <v>4427</v>
      </c>
      <c r="AL717" s="14" t="s">
        <v>4431</v>
      </c>
      <c r="AM717" s="14">
        <v>162.11000000000001</v>
      </c>
      <c r="AN717" s="14">
        <v>142.63999999999999</v>
      </c>
      <c r="AO717" s="14">
        <v>54.99</v>
      </c>
      <c r="AP717" s="14">
        <v>17325</v>
      </c>
      <c r="AQ717" s="14">
        <v>17245</v>
      </c>
      <c r="AR717" s="14">
        <v>23000</v>
      </c>
      <c r="AS717" s="14">
        <v>15025</v>
      </c>
      <c r="AT717" s="14">
        <v>16744</v>
      </c>
      <c r="AU717" s="14">
        <v>2</v>
      </c>
      <c r="AV717" s="14">
        <v>246.9</v>
      </c>
      <c r="AW717" s="14">
        <v>48.49</v>
      </c>
      <c r="AX717" s="14">
        <v>3.4</v>
      </c>
      <c r="AY717" s="14" t="b">
        <v>0</v>
      </c>
    </row>
    <row r="718" spans="1:51" hidden="1" x14ac:dyDescent="0.3">
      <c r="A718" t="str">
        <f>CONCATENATE(I718,E718,LEFT(G718,10))</f>
        <v>HFA804LCLK2026-02-11</v>
      </c>
      <c r="B718" s="14" t="s">
        <v>2712</v>
      </c>
      <c r="C718" s="14" t="s">
        <v>336</v>
      </c>
      <c r="D718" s="14" t="s">
        <v>2713</v>
      </c>
      <c r="E718" s="14" t="s">
        <v>87</v>
      </c>
      <c r="F718" s="14" t="s">
        <v>43</v>
      </c>
      <c r="G718" s="14" t="s">
        <v>2714</v>
      </c>
      <c r="H718" s="14" t="s">
        <v>371</v>
      </c>
      <c r="I718" s="14" t="s">
        <v>117</v>
      </c>
      <c r="J718" s="14" t="s">
        <v>83</v>
      </c>
      <c r="K718" s="14" t="s">
        <v>340</v>
      </c>
      <c r="L718" s="14" t="s">
        <v>341</v>
      </c>
      <c r="M718" s="16" t="s">
        <v>2683</v>
      </c>
      <c r="N718" s="14"/>
      <c r="O718" s="14" t="s">
        <v>549</v>
      </c>
      <c r="P718" s="14">
        <v>130</v>
      </c>
      <c r="Q718" s="14">
        <v>2</v>
      </c>
      <c r="R718" s="14">
        <v>3000</v>
      </c>
      <c r="S718" s="14"/>
      <c r="T718" s="14"/>
      <c r="U718" s="14"/>
      <c r="V718" s="14"/>
      <c r="W718" s="14">
        <v>601</v>
      </c>
      <c r="X718" s="14">
        <v>80</v>
      </c>
      <c r="Y718" s="14">
        <v>521</v>
      </c>
      <c r="Z718" s="14">
        <v>1899</v>
      </c>
      <c r="AA718" s="14">
        <v>264</v>
      </c>
      <c r="AB718" s="14">
        <v>259</v>
      </c>
      <c r="AC718" s="14">
        <v>1332</v>
      </c>
      <c r="AD718" s="14">
        <v>43</v>
      </c>
      <c r="AE718" s="14">
        <v>2500</v>
      </c>
      <c r="AF718" s="14">
        <v>5000</v>
      </c>
      <c r="AG718" s="14">
        <v>1900</v>
      </c>
      <c r="AH718" s="14">
        <v>0</v>
      </c>
      <c r="AI718" s="14">
        <v>40</v>
      </c>
      <c r="AJ718" s="14">
        <v>196</v>
      </c>
      <c r="AK718" s="14" t="s">
        <v>2714</v>
      </c>
      <c r="AL718" s="14" t="s">
        <v>2715</v>
      </c>
      <c r="AM718" s="14">
        <v>162.11000000000001</v>
      </c>
      <c r="AN718" s="14">
        <v>142.63999999999999</v>
      </c>
      <c r="AO718" s="14">
        <v>54.99</v>
      </c>
      <c r="AP718" s="14">
        <v>19000</v>
      </c>
      <c r="AQ718" s="14">
        <v>18920</v>
      </c>
      <c r="AR718" s="14">
        <v>23000</v>
      </c>
      <c r="AS718" s="14">
        <v>16500</v>
      </c>
      <c r="AT718" s="14">
        <v>18399</v>
      </c>
      <c r="AU718" s="14">
        <v>3</v>
      </c>
      <c r="AV718" s="14">
        <v>248.04</v>
      </c>
      <c r="AW718" s="14">
        <v>30.32</v>
      </c>
      <c r="AX718" s="14">
        <v>0.95</v>
      </c>
      <c r="AY718" s="14" t="b">
        <v>0</v>
      </c>
    </row>
    <row r="719" spans="1:51" hidden="1" x14ac:dyDescent="0.3">
      <c r="A719" t="str">
        <f>CONCATENATE(I719,E719,LEFT(G719,10))</f>
        <v>HFA804LCLK2026-02-12</v>
      </c>
      <c r="B719" s="14" t="s">
        <v>547</v>
      </c>
      <c r="C719" s="14" t="s">
        <v>336</v>
      </c>
      <c r="D719" s="14" t="s">
        <v>337</v>
      </c>
      <c r="E719" s="14" t="s">
        <v>87</v>
      </c>
      <c r="F719" s="14" t="s">
        <v>43</v>
      </c>
      <c r="G719" s="14" t="s">
        <v>548</v>
      </c>
      <c r="H719" s="14" t="s">
        <v>371</v>
      </c>
      <c r="I719" s="14" t="s">
        <v>117</v>
      </c>
      <c r="J719" s="14" t="s">
        <v>83</v>
      </c>
      <c r="K719" s="14" t="s">
        <v>340</v>
      </c>
      <c r="L719" s="14" t="s">
        <v>341</v>
      </c>
      <c r="M719" s="16" t="s">
        <v>543</v>
      </c>
      <c r="N719" s="14"/>
      <c r="O719" s="14" t="s">
        <v>549</v>
      </c>
      <c r="P719" s="14">
        <v>130</v>
      </c>
      <c r="Q719" s="14">
        <v>2</v>
      </c>
      <c r="R719" s="14">
        <v>2800</v>
      </c>
      <c r="S719" s="14" t="s">
        <v>550</v>
      </c>
      <c r="T719" s="14" t="s">
        <v>551</v>
      </c>
      <c r="U719" s="14">
        <v>0.761388888888888</v>
      </c>
      <c r="V719" s="14">
        <v>0.93</v>
      </c>
      <c r="W719" s="14">
        <v>613</v>
      </c>
      <c r="X719" s="14">
        <v>80</v>
      </c>
      <c r="Y719" s="14">
        <v>533</v>
      </c>
      <c r="Z719" s="14">
        <v>1487</v>
      </c>
      <c r="AA719" s="14">
        <v>265</v>
      </c>
      <c r="AB719" s="14">
        <v>254</v>
      </c>
      <c r="AC719" s="14">
        <v>925</v>
      </c>
      <c r="AD719" s="14">
        <v>42</v>
      </c>
      <c r="AE719" s="14">
        <v>2100</v>
      </c>
      <c r="AF719" s="14">
        <v>5000</v>
      </c>
      <c r="AG719" s="14">
        <v>1939</v>
      </c>
      <c r="AH719" s="14">
        <v>0</v>
      </c>
      <c r="AI719" s="14">
        <v>42</v>
      </c>
      <c r="AJ719" s="14">
        <v>167</v>
      </c>
      <c r="AK719" s="14" t="s">
        <v>548</v>
      </c>
      <c r="AL719" s="14" t="s">
        <v>552</v>
      </c>
      <c r="AM719" s="14">
        <v>162.11000000000001</v>
      </c>
      <c r="AN719" s="14">
        <v>142.63999999999999</v>
      </c>
      <c r="AO719" s="14">
        <v>54.99</v>
      </c>
      <c r="AP719" s="14">
        <v>18400</v>
      </c>
      <c r="AQ719" s="14">
        <v>18320</v>
      </c>
      <c r="AR719" s="14">
        <v>23000</v>
      </c>
      <c r="AS719" s="14">
        <v>16300</v>
      </c>
      <c r="AT719" s="14">
        <v>17787</v>
      </c>
      <c r="AU719" s="14">
        <v>-7</v>
      </c>
      <c r="AV719" s="14">
        <v>232.87</v>
      </c>
      <c r="AW719" s="14">
        <v>41.36</v>
      </c>
      <c r="AX719" s="14">
        <v>2.66</v>
      </c>
      <c r="AY719" s="14" t="b">
        <v>0</v>
      </c>
    </row>
    <row r="720" spans="1:51" hidden="1" x14ac:dyDescent="0.3">
      <c r="A720" t="str">
        <f>CONCATENATE(I720,E720,LEFT(G720,10))</f>
        <v>HFA804LCLK2026-02-13</v>
      </c>
      <c r="B720" s="14" t="s">
        <v>4329</v>
      </c>
      <c r="C720" s="14" t="s">
        <v>336</v>
      </c>
      <c r="D720" s="14" t="s">
        <v>337</v>
      </c>
      <c r="E720" s="14" t="s">
        <v>87</v>
      </c>
      <c r="F720" s="14" t="s">
        <v>43</v>
      </c>
      <c r="G720" s="14" t="s">
        <v>4330</v>
      </c>
      <c r="H720" s="14" t="s">
        <v>371</v>
      </c>
      <c r="I720" s="14" t="s">
        <v>117</v>
      </c>
      <c r="J720" s="14" t="s">
        <v>83</v>
      </c>
      <c r="K720" s="14" t="s">
        <v>340</v>
      </c>
      <c r="L720" s="14" t="s">
        <v>341</v>
      </c>
      <c r="M720" s="16" t="s">
        <v>4331</v>
      </c>
      <c r="N720" s="14"/>
      <c r="O720" s="14" t="s">
        <v>410</v>
      </c>
      <c r="P720" s="14">
        <v>90</v>
      </c>
      <c r="Q720" s="14">
        <v>2</v>
      </c>
      <c r="R720" s="14">
        <v>5900</v>
      </c>
      <c r="S720" s="14" t="s">
        <v>4332</v>
      </c>
      <c r="T720" s="14" t="s">
        <v>4333</v>
      </c>
      <c r="U720" s="14">
        <v>0.711666666666666</v>
      </c>
      <c r="V720" s="14">
        <v>0.97388888888888803</v>
      </c>
      <c r="W720" s="14">
        <v>689</v>
      </c>
      <c r="X720" s="14">
        <v>80</v>
      </c>
      <c r="Y720" s="14">
        <v>609</v>
      </c>
      <c r="Z720" s="14">
        <v>1511</v>
      </c>
      <c r="AA720" s="14">
        <v>846</v>
      </c>
      <c r="AB720" s="14">
        <v>281</v>
      </c>
      <c r="AC720" s="14">
        <v>337</v>
      </c>
      <c r="AD720" s="14">
        <v>47</v>
      </c>
      <c r="AE720" s="14">
        <v>2200</v>
      </c>
      <c r="AF720" s="14">
        <v>5000</v>
      </c>
      <c r="AG720" s="14">
        <v>2177</v>
      </c>
      <c r="AH720" s="14">
        <v>0</v>
      </c>
      <c r="AI720" s="14">
        <v>44</v>
      </c>
      <c r="AJ720" s="14">
        <v>166</v>
      </c>
      <c r="AK720" s="14" t="s">
        <v>4330</v>
      </c>
      <c r="AL720" s="14" t="s">
        <v>4334</v>
      </c>
      <c r="AM720" s="14">
        <v>162.11000000000001</v>
      </c>
      <c r="AN720" s="14">
        <v>142.63999999999999</v>
      </c>
      <c r="AO720" s="14">
        <v>54.99</v>
      </c>
      <c r="AP720" s="14">
        <v>21600</v>
      </c>
      <c r="AQ720" s="14">
        <v>21520</v>
      </c>
      <c r="AR720" s="14">
        <v>23000</v>
      </c>
      <c r="AS720" s="14">
        <v>19400</v>
      </c>
      <c r="AT720" s="14">
        <v>20911</v>
      </c>
      <c r="AU720" s="14">
        <v>-22</v>
      </c>
      <c r="AV720" s="14">
        <v>213.74</v>
      </c>
      <c r="AW720" s="14">
        <v>53.49</v>
      </c>
      <c r="AX720" s="14">
        <v>3.21</v>
      </c>
      <c r="AY720" s="14" t="b">
        <v>0</v>
      </c>
    </row>
    <row r="721" spans="1:51" hidden="1" x14ac:dyDescent="0.3">
      <c r="A721" t="str">
        <f>CONCATENATE(I721,E721,LEFT(G721,10))</f>
        <v>HFA804LCLK2026-02-15</v>
      </c>
      <c r="B721" s="14" t="s">
        <v>4216</v>
      </c>
      <c r="C721" s="14" t="s">
        <v>336</v>
      </c>
      <c r="D721" s="14" t="s">
        <v>337</v>
      </c>
      <c r="E721" s="14" t="s">
        <v>87</v>
      </c>
      <c r="F721" s="14" t="s">
        <v>43</v>
      </c>
      <c r="G721" s="14" t="s">
        <v>4217</v>
      </c>
      <c r="H721" s="14" t="s">
        <v>371</v>
      </c>
      <c r="I721" s="14" t="s">
        <v>117</v>
      </c>
      <c r="J721" s="14" t="s">
        <v>83</v>
      </c>
      <c r="K721" s="14" t="s">
        <v>340</v>
      </c>
      <c r="L721" s="14" t="s">
        <v>341</v>
      </c>
      <c r="M721" s="16" t="s">
        <v>731</v>
      </c>
      <c r="N721" s="14"/>
      <c r="O721" s="14" t="s">
        <v>837</v>
      </c>
      <c r="P721" s="14">
        <v>130</v>
      </c>
      <c r="Q721" s="14">
        <v>2</v>
      </c>
      <c r="R721" s="14">
        <v>6900</v>
      </c>
      <c r="S721" s="14" t="s">
        <v>4218</v>
      </c>
      <c r="T721" s="14" t="s">
        <v>4219</v>
      </c>
      <c r="U721" s="14">
        <v>0.72138888888888797</v>
      </c>
      <c r="V721" s="14">
        <v>1.02138888888888</v>
      </c>
      <c r="W721" s="14">
        <v>613</v>
      </c>
      <c r="X721" s="14">
        <v>80</v>
      </c>
      <c r="Y721" s="14">
        <v>533</v>
      </c>
      <c r="Z721" s="14">
        <v>1787</v>
      </c>
      <c r="AA721" s="14">
        <v>266</v>
      </c>
      <c r="AB721" s="14">
        <v>294</v>
      </c>
      <c r="AC721" s="14">
        <v>1178</v>
      </c>
      <c r="AD721" s="14">
        <v>49</v>
      </c>
      <c r="AE721" s="14">
        <v>2400</v>
      </c>
      <c r="AF721" s="14">
        <v>5000</v>
      </c>
      <c r="AG721" s="14">
        <v>1937</v>
      </c>
      <c r="AH721" s="14">
        <v>0</v>
      </c>
      <c r="AI721" s="14">
        <v>42</v>
      </c>
      <c r="AJ721" s="14">
        <v>193</v>
      </c>
      <c r="AK721" s="14" t="s">
        <v>4217</v>
      </c>
      <c r="AL721" s="14" t="s">
        <v>4220</v>
      </c>
      <c r="AM721" s="14">
        <v>162.11000000000001</v>
      </c>
      <c r="AN721" s="14">
        <v>142.63999999999999</v>
      </c>
      <c r="AO721" s="14">
        <v>54.99</v>
      </c>
      <c r="AP721" s="14">
        <v>22800</v>
      </c>
      <c r="AQ721" s="14">
        <v>22720</v>
      </c>
      <c r="AR721" s="14">
        <v>23000</v>
      </c>
      <c r="AS721" s="14">
        <v>20400</v>
      </c>
      <c r="AT721" s="14">
        <v>22187</v>
      </c>
      <c r="AU721" s="14">
        <v>0</v>
      </c>
      <c r="AV721" s="14">
        <v>250.23</v>
      </c>
      <c r="AW721" s="14">
        <v>23.36</v>
      </c>
      <c r="AX721" s="14">
        <v>9.5</v>
      </c>
      <c r="AY721" s="14" t="b">
        <v>0</v>
      </c>
    </row>
    <row r="722" spans="1:51" hidden="1" x14ac:dyDescent="0.3">
      <c r="A722" t="str">
        <f>CONCATENATE(I722,E722,LEFT(G722,10))</f>
        <v>HFA804LCLK2026-02-16</v>
      </c>
      <c r="B722" s="14" t="s">
        <v>4113</v>
      </c>
      <c r="C722" s="14" t="s">
        <v>336</v>
      </c>
      <c r="D722" s="14" t="s">
        <v>337</v>
      </c>
      <c r="E722" s="14" t="s">
        <v>87</v>
      </c>
      <c r="F722" s="14" t="s">
        <v>43</v>
      </c>
      <c r="G722" s="14" t="s">
        <v>4114</v>
      </c>
      <c r="H722" s="14" t="s">
        <v>339</v>
      </c>
      <c r="I722" s="14" t="s">
        <v>117</v>
      </c>
      <c r="J722" s="14" t="s">
        <v>83</v>
      </c>
      <c r="K722" s="14" t="s">
        <v>340</v>
      </c>
      <c r="L722" s="14" t="s">
        <v>341</v>
      </c>
      <c r="M722" s="16" t="s">
        <v>1352</v>
      </c>
      <c r="N722" s="14"/>
      <c r="O722" s="14" t="s">
        <v>4115</v>
      </c>
      <c r="P722" s="14">
        <v>130</v>
      </c>
      <c r="Q722" s="14">
        <v>2</v>
      </c>
      <c r="R722" s="14">
        <v>7000</v>
      </c>
      <c r="S722" s="14" t="s">
        <v>4116</v>
      </c>
      <c r="T722" s="14" t="s">
        <v>4117</v>
      </c>
      <c r="U722" s="14">
        <v>0.77611111111111097</v>
      </c>
      <c r="V722" s="14">
        <v>1.0288888888888801</v>
      </c>
      <c r="W722" s="14">
        <v>628</v>
      </c>
      <c r="X722" s="14">
        <v>80</v>
      </c>
      <c r="Y722" s="14">
        <v>548</v>
      </c>
      <c r="Z722" s="14">
        <v>1772</v>
      </c>
      <c r="AA722" s="14">
        <v>264</v>
      </c>
      <c r="AB722" s="14">
        <v>294</v>
      </c>
      <c r="AC722" s="14">
        <v>1166</v>
      </c>
      <c r="AD722" s="14">
        <v>49</v>
      </c>
      <c r="AE722" s="14">
        <v>2400</v>
      </c>
      <c r="AF722" s="14">
        <v>5000</v>
      </c>
      <c r="AG722" s="14">
        <v>1984</v>
      </c>
      <c r="AH722" s="14">
        <v>0</v>
      </c>
      <c r="AI722" s="14">
        <v>44</v>
      </c>
      <c r="AJ722" s="14">
        <v>197</v>
      </c>
      <c r="AK722" s="14" t="s">
        <v>4114</v>
      </c>
      <c r="AL722" s="14" t="s">
        <v>4118</v>
      </c>
      <c r="AM722" s="14">
        <v>162.11000000000001</v>
      </c>
      <c r="AN722" s="14">
        <v>142.63999999999999</v>
      </c>
      <c r="AO722" s="14">
        <v>54.99</v>
      </c>
      <c r="AP722" s="14">
        <v>22725</v>
      </c>
      <c r="AQ722" s="14">
        <v>22645</v>
      </c>
      <c r="AR722" s="14">
        <v>23000</v>
      </c>
      <c r="AS722" s="14">
        <v>20325</v>
      </c>
      <c r="AT722" s="14">
        <v>22097</v>
      </c>
      <c r="AU722" s="14">
        <v>-12</v>
      </c>
      <c r="AV722" s="14">
        <v>208.95</v>
      </c>
      <c r="AW722" s="14">
        <v>27.39</v>
      </c>
      <c r="AX722" s="14">
        <v>9.89</v>
      </c>
      <c r="AY722" s="14" t="b">
        <v>0</v>
      </c>
    </row>
    <row r="723" spans="1:51" hidden="1" x14ac:dyDescent="0.3">
      <c r="A723" t="str">
        <f>CONCATENATE(I723,E723,LEFT(G723,10))</f>
        <v>HFA804LCLK2026-02-17</v>
      </c>
      <c r="B723" s="14" t="s">
        <v>4045</v>
      </c>
      <c r="C723" s="14" t="s">
        <v>336</v>
      </c>
      <c r="D723" s="14" t="s">
        <v>337</v>
      </c>
      <c r="E723" s="14" t="s">
        <v>87</v>
      </c>
      <c r="F723" s="14" t="s">
        <v>43</v>
      </c>
      <c r="G723" s="14" t="s">
        <v>4046</v>
      </c>
      <c r="H723" s="14" t="s">
        <v>339</v>
      </c>
      <c r="I723" s="14" t="s">
        <v>117</v>
      </c>
      <c r="J723" s="14" t="s">
        <v>83</v>
      </c>
      <c r="K723" s="14" t="s">
        <v>340</v>
      </c>
      <c r="L723" s="14" t="s">
        <v>341</v>
      </c>
      <c r="M723" s="16" t="s">
        <v>1867</v>
      </c>
      <c r="N723" s="14"/>
      <c r="O723" s="14" t="s">
        <v>410</v>
      </c>
      <c r="P723" s="14">
        <v>130</v>
      </c>
      <c r="Q723" s="14">
        <v>2</v>
      </c>
      <c r="R723" s="14">
        <v>5300</v>
      </c>
      <c r="S723" s="14" t="s">
        <v>4047</v>
      </c>
      <c r="T723" s="14" t="s">
        <v>4048</v>
      </c>
      <c r="U723" s="14">
        <v>0.70472222222222203</v>
      </c>
      <c r="V723" s="14">
        <v>0.91</v>
      </c>
      <c r="W723" s="14">
        <v>617</v>
      </c>
      <c r="X723" s="14">
        <v>80</v>
      </c>
      <c r="Y723" s="14">
        <v>537</v>
      </c>
      <c r="Z723" s="14">
        <v>1783</v>
      </c>
      <c r="AA723" s="14">
        <v>266</v>
      </c>
      <c r="AB723" s="14">
        <v>277</v>
      </c>
      <c r="AC723" s="14">
        <v>1195</v>
      </c>
      <c r="AD723" s="14">
        <v>46</v>
      </c>
      <c r="AE723" s="14">
        <v>2400</v>
      </c>
      <c r="AF723" s="14">
        <v>5000</v>
      </c>
      <c r="AG723" s="14">
        <v>1948</v>
      </c>
      <c r="AH723" s="14">
        <v>0</v>
      </c>
      <c r="AI723" s="14">
        <v>42</v>
      </c>
      <c r="AJ723" s="14">
        <v>193</v>
      </c>
      <c r="AK723" s="14" t="s">
        <v>4046</v>
      </c>
      <c r="AL723" s="14" t="s">
        <v>4049</v>
      </c>
      <c r="AM723" s="14">
        <v>162.11000000000001</v>
      </c>
      <c r="AN723" s="14">
        <v>142.63999999999999</v>
      </c>
      <c r="AO723" s="14">
        <v>54.99</v>
      </c>
      <c r="AP723" s="14">
        <v>21025</v>
      </c>
      <c r="AQ723" s="14">
        <v>20945</v>
      </c>
      <c r="AR723" s="14">
        <v>23000</v>
      </c>
      <c r="AS723" s="14">
        <v>18625</v>
      </c>
      <c r="AT723" s="14">
        <v>20408</v>
      </c>
      <c r="AU723" s="14">
        <v>-7</v>
      </c>
      <c r="AV723" s="14">
        <v>230.44</v>
      </c>
      <c r="AW723" s="14">
        <v>45.54</v>
      </c>
      <c r="AX723" s="14">
        <v>3.13</v>
      </c>
      <c r="AY723" s="14" t="b">
        <v>0</v>
      </c>
    </row>
    <row r="724" spans="1:51" hidden="1" x14ac:dyDescent="0.3">
      <c r="A724" t="str">
        <f>CONCATENATE(I724,E724,LEFT(G724,10))</f>
        <v>HFA804LCLK2026-02-18</v>
      </c>
      <c r="B724" s="14" t="s">
        <v>1929</v>
      </c>
      <c r="C724" s="14" t="s">
        <v>336</v>
      </c>
      <c r="D724" s="14" t="s">
        <v>337</v>
      </c>
      <c r="E724" s="14" t="s">
        <v>87</v>
      </c>
      <c r="F724" s="14" t="s">
        <v>43</v>
      </c>
      <c r="G724" s="14" t="s">
        <v>1930</v>
      </c>
      <c r="H724" s="14" t="s">
        <v>371</v>
      </c>
      <c r="I724" s="14" t="s">
        <v>117</v>
      </c>
      <c r="J724" s="14" t="s">
        <v>83</v>
      </c>
      <c r="K724" s="14" t="s">
        <v>340</v>
      </c>
      <c r="L724" s="14" t="s">
        <v>341</v>
      </c>
      <c r="M724" s="16" t="s">
        <v>1931</v>
      </c>
      <c r="N724" s="14"/>
      <c r="O724" s="14" t="s">
        <v>1932</v>
      </c>
      <c r="P724" s="14">
        <v>130</v>
      </c>
      <c r="Q724" s="14">
        <v>2</v>
      </c>
      <c r="R724" s="14">
        <v>4450</v>
      </c>
      <c r="S724" s="14" t="s">
        <v>1933</v>
      </c>
      <c r="T724" s="14" t="s">
        <v>1934</v>
      </c>
      <c r="U724" s="14">
        <v>0.713055555555555</v>
      </c>
      <c r="V724" s="14">
        <v>1.0222222222222199</v>
      </c>
      <c r="W724" s="14">
        <v>618</v>
      </c>
      <c r="X724" s="14">
        <v>80</v>
      </c>
      <c r="Y724" s="14">
        <v>538</v>
      </c>
      <c r="Z724" s="14">
        <v>1882</v>
      </c>
      <c r="AA724" s="14">
        <v>279</v>
      </c>
      <c r="AB724" s="14">
        <v>271</v>
      </c>
      <c r="AC724" s="14">
        <v>1285</v>
      </c>
      <c r="AD724" s="14">
        <v>45</v>
      </c>
      <c r="AE724" s="14">
        <v>2500</v>
      </c>
      <c r="AF724" s="14">
        <v>5000</v>
      </c>
      <c r="AG724" s="14">
        <v>1954</v>
      </c>
      <c r="AH724" s="14">
        <v>0</v>
      </c>
      <c r="AI724" s="14">
        <v>41</v>
      </c>
      <c r="AJ724" s="14">
        <v>198</v>
      </c>
      <c r="AK724" s="14" t="s">
        <v>1930</v>
      </c>
      <c r="AL724" s="14" t="s">
        <v>1935</v>
      </c>
      <c r="AM724" s="14">
        <v>162.11000000000001</v>
      </c>
      <c r="AN724" s="14">
        <v>142.63999999999999</v>
      </c>
      <c r="AO724" s="14">
        <v>54.99</v>
      </c>
      <c r="AP724" s="14">
        <v>20450</v>
      </c>
      <c r="AQ724" s="14">
        <v>20370</v>
      </c>
      <c r="AR724" s="14">
        <v>23000</v>
      </c>
      <c r="AS724" s="14">
        <v>17950</v>
      </c>
      <c r="AT724" s="14">
        <v>19832</v>
      </c>
      <c r="AU724" s="14">
        <v>-5</v>
      </c>
      <c r="AV724" s="14">
        <v>241.51</v>
      </c>
      <c r="AW724" s="14">
        <v>64.22</v>
      </c>
      <c r="AX724" s="14">
        <v>3.31</v>
      </c>
      <c r="AY724" s="14" t="b">
        <v>0</v>
      </c>
    </row>
    <row r="725" spans="1:51" hidden="1" x14ac:dyDescent="0.3">
      <c r="A725" t="str">
        <f>CONCATENATE(I725,E725,LEFT(G725,10))</f>
        <v>HFA804LCLK2026-02-19</v>
      </c>
      <c r="B725" s="14" t="s">
        <v>3941</v>
      </c>
      <c r="C725" s="14" t="s">
        <v>336</v>
      </c>
      <c r="D725" s="14" t="s">
        <v>337</v>
      </c>
      <c r="E725" s="14" t="s">
        <v>87</v>
      </c>
      <c r="F725" s="14" t="s">
        <v>43</v>
      </c>
      <c r="G725" s="14" t="s">
        <v>3942</v>
      </c>
      <c r="H725" s="14" t="s">
        <v>371</v>
      </c>
      <c r="I725" s="14" t="s">
        <v>117</v>
      </c>
      <c r="J725" s="14" t="s">
        <v>83</v>
      </c>
      <c r="K725" s="14" t="s">
        <v>340</v>
      </c>
      <c r="L725" s="14" t="s">
        <v>341</v>
      </c>
      <c r="M725" s="16" t="s">
        <v>3943</v>
      </c>
      <c r="N725" s="14"/>
      <c r="O725" s="14" t="s">
        <v>3944</v>
      </c>
      <c r="P725" s="14">
        <v>130</v>
      </c>
      <c r="Q725" s="14">
        <v>2</v>
      </c>
      <c r="R725" s="14">
        <v>3400</v>
      </c>
      <c r="S725" s="14" t="s">
        <v>3945</v>
      </c>
      <c r="T725" s="14" t="s">
        <v>3946</v>
      </c>
      <c r="U725" s="14">
        <v>0.68222222222222195</v>
      </c>
      <c r="V725" s="14">
        <v>0.95555555555555505</v>
      </c>
      <c r="W725" s="14">
        <v>575</v>
      </c>
      <c r="X725" s="14">
        <v>80</v>
      </c>
      <c r="Y725" s="14">
        <v>495</v>
      </c>
      <c r="Z725" s="14">
        <v>1725</v>
      </c>
      <c r="AA725" s="14">
        <v>254</v>
      </c>
      <c r="AB725" s="14">
        <v>261</v>
      </c>
      <c r="AC725" s="14">
        <v>1166</v>
      </c>
      <c r="AD725" s="14">
        <v>44</v>
      </c>
      <c r="AE725" s="14">
        <v>2300</v>
      </c>
      <c r="AF725" s="14">
        <v>5000</v>
      </c>
      <c r="AG725" s="14">
        <v>1817</v>
      </c>
      <c r="AH725" s="14">
        <v>0</v>
      </c>
      <c r="AI725" s="14">
        <v>39</v>
      </c>
      <c r="AJ725" s="14">
        <v>184</v>
      </c>
      <c r="AK725" s="14" t="s">
        <v>3942</v>
      </c>
      <c r="AL725" s="14" t="s">
        <v>3947</v>
      </c>
      <c r="AM725" s="14">
        <v>162.11000000000001</v>
      </c>
      <c r="AN725" s="14">
        <v>142.63999999999999</v>
      </c>
      <c r="AO725" s="14">
        <v>54.99</v>
      </c>
      <c r="AP725" s="14">
        <v>19200</v>
      </c>
      <c r="AQ725" s="14">
        <v>19120</v>
      </c>
      <c r="AR725" s="14">
        <v>23000</v>
      </c>
      <c r="AS725" s="14">
        <v>16900</v>
      </c>
      <c r="AT725" s="14">
        <v>18625</v>
      </c>
      <c r="AU725" s="14">
        <v>14</v>
      </c>
      <c r="AV725" s="14">
        <v>297.66000000000003</v>
      </c>
      <c r="AW725" s="14">
        <v>21.2</v>
      </c>
      <c r="AX725" s="14">
        <v>4.93</v>
      </c>
      <c r="AY725" s="14" t="b">
        <v>0</v>
      </c>
    </row>
    <row r="726" spans="1:51" hidden="1" x14ac:dyDescent="0.3">
      <c r="A726" t="str">
        <f>CONCATENATE(I726,E726,LEFT(G726,10))</f>
        <v>HFA804LCLK2026-02-20</v>
      </c>
      <c r="B726" s="14" t="s">
        <v>695</v>
      </c>
      <c r="C726" s="14" t="s">
        <v>336</v>
      </c>
      <c r="D726" s="14" t="s">
        <v>337</v>
      </c>
      <c r="E726" s="14" t="s">
        <v>87</v>
      </c>
      <c r="F726" s="14" t="s">
        <v>43</v>
      </c>
      <c r="G726" s="14" t="s">
        <v>696</v>
      </c>
      <c r="H726" s="14" t="s">
        <v>371</v>
      </c>
      <c r="I726" s="14" t="s">
        <v>117</v>
      </c>
      <c r="J726" s="14" t="s">
        <v>83</v>
      </c>
      <c r="K726" s="14" t="s">
        <v>340</v>
      </c>
      <c r="L726" s="14" t="s">
        <v>341</v>
      </c>
      <c r="M726" s="16" t="s">
        <v>697</v>
      </c>
      <c r="N726" s="14"/>
      <c r="O726" s="14" t="s">
        <v>698</v>
      </c>
      <c r="P726" s="14">
        <v>130</v>
      </c>
      <c r="Q726" s="14">
        <v>2</v>
      </c>
      <c r="R726" s="14">
        <v>4800</v>
      </c>
      <c r="S726" s="14" t="s">
        <v>699</v>
      </c>
      <c r="T726" s="14" t="s">
        <v>700</v>
      </c>
      <c r="U726" s="14">
        <v>0.69611111111111101</v>
      </c>
      <c r="V726" s="14">
        <v>0.9325</v>
      </c>
      <c r="W726" s="14">
        <v>615</v>
      </c>
      <c r="X726" s="14">
        <v>80</v>
      </c>
      <c r="Y726" s="14">
        <v>535</v>
      </c>
      <c r="Z726" s="14">
        <v>1485</v>
      </c>
      <c r="AA726" s="14">
        <v>263</v>
      </c>
      <c r="AB726" s="14">
        <v>271</v>
      </c>
      <c r="AC726" s="14">
        <v>906</v>
      </c>
      <c r="AD726" s="14">
        <v>45</v>
      </c>
      <c r="AE726" s="14">
        <v>2100</v>
      </c>
      <c r="AF726" s="14">
        <v>5000</v>
      </c>
      <c r="AG726" s="14">
        <v>1942</v>
      </c>
      <c r="AH726" s="14">
        <v>0</v>
      </c>
      <c r="AI726" s="14">
        <v>42</v>
      </c>
      <c r="AJ726" s="14">
        <v>168</v>
      </c>
      <c r="AK726" s="14" t="s">
        <v>696</v>
      </c>
      <c r="AL726" s="14" t="s">
        <v>701</v>
      </c>
      <c r="AM726" s="14">
        <v>162.11000000000001</v>
      </c>
      <c r="AN726" s="14">
        <v>142.63999999999999</v>
      </c>
      <c r="AO726" s="14">
        <v>54.99</v>
      </c>
      <c r="AP726" s="14">
        <v>20400</v>
      </c>
      <c r="AQ726" s="14">
        <v>20320</v>
      </c>
      <c r="AR726" s="14">
        <v>23000</v>
      </c>
      <c r="AS726" s="14">
        <v>18300</v>
      </c>
      <c r="AT726" s="14">
        <v>19785</v>
      </c>
      <c r="AU726" s="14">
        <v>-5</v>
      </c>
      <c r="AV726" s="14">
        <v>227.1</v>
      </c>
      <c r="AW726" s="14">
        <v>15.24</v>
      </c>
      <c r="AX726" s="14">
        <v>5.82</v>
      </c>
      <c r="AY726" s="14" t="b">
        <v>0</v>
      </c>
    </row>
    <row r="727" spans="1:51" hidden="1" x14ac:dyDescent="0.3">
      <c r="A727" t="str">
        <f>CONCATENATE(I727,E727,LEFT(G727,10))</f>
        <v>HFA804LCLK2026-02-22</v>
      </c>
      <c r="B727" s="14" t="s">
        <v>1042</v>
      </c>
      <c r="C727" s="14" t="s">
        <v>336</v>
      </c>
      <c r="D727" s="14" t="s">
        <v>337</v>
      </c>
      <c r="E727" s="14" t="s">
        <v>87</v>
      </c>
      <c r="F727" s="14" t="s">
        <v>43</v>
      </c>
      <c r="G727" s="14" t="s">
        <v>1043</v>
      </c>
      <c r="H727" s="14" t="s">
        <v>371</v>
      </c>
      <c r="I727" s="14" t="s">
        <v>117</v>
      </c>
      <c r="J727" s="14" t="s">
        <v>83</v>
      </c>
      <c r="K727" s="14" t="s">
        <v>340</v>
      </c>
      <c r="L727" s="14" t="s">
        <v>341</v>
      </c>
      <c r="M727" s="16" t="s">
        <v>731</v>
      </c>
      <c r="N727" s="14"/>
      <c r="O727" s="14" t="s">
        <v>627</v>
      </c>
      <c r="P727" s="14">
        <v>130</v>
      </c>
      <c r="Q727" s="14">
        <v>2</v>
      </c>
      <c r="R727" s="14">
        <v>4600</v>
      </c>
      <c r="S727" s="14" t="s">
        <v>1044</v>
      </c>
      <c r="T727" s="14" t="s">
        <v>1045</v>
      </c>
      <c r="U727" s="14">
        <v>0.75694444444444398</v>
      </c>
      <c r="V727" s="14">
        <v>0.94277777777777705</v>
      </c>
      <c r="W727" s="14">
        <v>602</v>
      </c>
      <c r="X727" s="14">
        <v>80</v>
      </c>
      <c r="Y727" s="14">
        <v>522</v>
      </c>
      <c r="Z727" s="14">
        <v>1798</v>
      </c>
      <c r="AA727" s="14">
        <v>262</v>
      </c>
      <c r="AB727" s="14">
        <v>272</v>
      </c>
      <c r="AC727" s="14">
        <v>1218</v>
      </c>
      <c r="AD727" s="14">
        <v>45</v>
      </c>
      <c r="AE727" s="14">
        <v>2400</v>
      </c>
      <c r="AF727" s="14">
        <v>5000</v>
      </c>
      <c r="AG727" s="14">
        <v>1903</v>
      </c>
      <c r="AH727" s="14">
        <v>0</v>
      </c>
      <c r="AI727" s="14">
        <v>40</v>
      </c>
      <c r="AJ727" s="14">
        <v>188</v>
      </c>
      <c r="AK727" s="14" t="s">
        <v>1043</v>
      </c>
      <c r="AL727" s="14" t="s">
        <v>1046</v>
      </c>
      <c r="AM727" s="14">
        <v>162.11000000000001</v>
      </c>
      <c r="AN727" s="14">
        <v>142.63999999999999</v>
      </c>
      <c r="AO727" s="14">
        <v>54.99</v>
      </c>
      <c r="AP727" s="14">
        <v>20500</v>
      </c>
      <c r="AQ727" s="14">
        <v>20420</v>
      </c>
      <c r="AR727" s="14">
        <v>23000</v>
      </c>
      <c r="AS727" s="14">
        <v>18100</v>
      </c>
      <c r="AT727" s="14">
        <v>19898</v>
      </c>
      <c r="AU727" s="14">
        <v>5</v>
      </c>
      <c r="AV727" s="14">
        <v>257.58</v>
      </c>
      <c r="AW727" s="14">
        <v>27.87</v>
      </c>
      <c r="AX727" s="14">
        <v>2.0099999999999998</v>
      </c>
      <c r="AY727" s="14" t="b">
        <v>0</v>
      </c>
    </row>
    <row r="728" spans="1:51" hidden="1" x14ac:dyDescent="0.3">
      <c r="A728" t="str">
        <f>CONCATENATE(I728,E728,LEFT(G728,10))</f>
        <v>HFA804LCLK2026-02-23</v>
      </c>
      <c r="B728" s="14" t="s">
        <v>3773</v>
      </c>
      <c r="C728" s="14" t="s">
        <v>336</v>
      </c>
      <c r="D728" s="14" t="s">
        <v>337</v>
      </c>
      <c r="E728" s="14" t="s">
        <v>87</v>
      </c>
      <c r="F728" s="14" t="s">
        <v>43</v>
      </c>
      <c r="G728" s="14" t="s">
        <v>3774</v>
      </c>
      <c r="H728" s="14" t="s">
        <v>371</v>
      </c>
      <c r="I728" s="14" t="s">
        <v>117</v>
      </c>
      <c r="J728" s="14" t="s">
        <v>83</v>
      </c>
      <c r="K728" s="14" t="s">
        <v>340</v>
      </c>
      <c r="L728" s="14" t="s">
        <v>341</v>
      </c>
      <c r="M728" s="16" t="s">
        <v>3775</v>
      </c>
      <c r="N728" s="14"/>
      <c r="O728" s="14" t="s">
        <v>995</v>
      </c>
      <c r="P728" s="14">
        <v>130</v>
      </c>
      <c r="Q728" s="14">
        <v>2</v>
      </c>
      <c r="R728" s="14">
        <v>6200</v>
      </c>
      <c r="S728" s="14" t="s">
        <v>3776</v>
      </c>
      <c r="T728" s="14" t="s">
        <v>3777</v>
      </c>
      <c r="U728" s="14">
        <v>0.698888888888888</v>
      </c>
      <c r="V728" s="14">
        <v>0.93638888888888805</v>
      </c>
      <c r="W728" s="14">
        <v>623</v>
      </c>
      <c r="X728" s="14">
        <v>80</v>
      </c>
      <c r="Y728" s="14">
        <v>543</v>
      </c>
      <c r="Z728" s="14">
        <v>1877</v>
      </c>
      <c r="AA728" s="14">
        <v>269</v>
      </c>
      <c r="AB728" s="14">
        <v>288</v>
      </c>
      <c r="AC728" s="14">
        <v>1272</v>
      </c>
      <c r="AD728" s="14">
        <v>48</v>
      </c>
      <c r="AE728" s="14">
        <v>2500</v>
      </c>
      <c r="AF728" s="14">
        <v>5000</v>
      </c>
      <c r="AG728" s="14">
        <v>1967</v>
      </c>
      <c r="AH728" s="14">
        <v>0</v>
      </c>
      <c r="AI728" s="14">
        <v>41</v>
      </c>
      <c r="AJ728" s="14">
        <v>191</v>
      </c>
      <c r="AK728" s="14" t="s">
        <v>3774</v>
      </c>
      <c r="AL728" s="14" t="s">
        <v>3778</v>
      </c>
      <c r="AM728" s="14">
        <v>162.11000000000001</v>
      </c>
      <c r="AN728" s="14">
        <v>142.63999999999999</v>
      </c>
      <c r="AO728" s="14">
        <v>54.99</v>
      </c>
      <c r="AP728" s="14">
        <v>22200</v>
      </c>
      <c r="AQ728" s="14">
        <v>22120</v>
      </c>
      <c r="AR728" s="14">
        <v>23000</v>
      </c>
      <c r="AS728" s="14">
        <v>19700</v>
      </c>
      <c r="AT728" s="14">
        <v>21577</v>
      </c>
      <c r="AU728" s="14">
        <v>2</v>
      </c>
      <c r="AV728" s="14">
        <v>248.2</v>
      </c>
      <c r="AW728" s="14">
        <v>15.87</v>
      </c>
      <c r="AX728" s="14">
        <v>-1.4</v>
      </c>
      <c r="AY728" s="14" t="b">
        <v>0</v>
      </c>
    </row>
    <row r="729" spans="1:51" hidden="1" x14ac:dyDescent="0.3">
      <c r="A729" t="str">
        <f>CONCATENATE(I729,E729,LEFT(G729,10))</f>
        <v>HFA804LCLK2026-02-24</v>
      </c>
      <c r="B729" s="14" t="s">
        <v>3706</v>
      </c>
      <c r="C729" s="14" t="s">
        <v>336</v>
      </c>
      <c r="D729" s="14" t="s">
        <v>337</v>
      </c>
      <c r="E729" s="14" t="s">
        <v>87</v>
      </c>
      <c r="F729" s="14" t="s">
        <v>43</v>
      </c>
      <c r="G729" s="14" t="s">
        <v>3707</v>
      </c>
      <c r="H729" s="14" t="s">
        <v>339</v>
      </c>
      <c r="I729" s="14" t="s">
        <v>117</v>
      </c>
      <c r="J729" s="14" t="s">
        <v>83</v>
      </c>
      <c r="K729" s="14" t="s">
        <v>340</v>
      </c>
      <c r="L729" s="14" t="s">
        <v>341</v>
      </c>
      <c r="M729" s="16" t="s">
        <v>1090</v>
      </c>
      <c r="N729" s="14"/>
      <c r="O729" s="14" t="s">
        <v>410</v>
      </c>
      <c r="P729" s="14">
        <v>130</v>
      </c>
      <c r="Q729" s="14">
        <v>2</v>
      </c>
      <c r="R729" s="14">
        <v>5000</v>
      </c>
      <c r="S729" s="14" t="s">
        <v>3708</v>
      </c>
      <c r="T729" s="14" t="s">
        <v>3709</v>
      </c>
      <c r="U729" s="14">
        <v>0.72194444444444394</v>
      </c>
      <c r="V729" s="14">
        <v>0.96833333333333305</v>
      </c>
      <c r="W729" s="14">
        <v>577</v>
      </c>
      <c r="X729" s="14">
        <v>80</v>
      </c>
      <c r="Y729" s="14">
        <v>497</v>
      </c>
      <c r="Z729" s="14">
        <v>1823</v>
      </c>
      <c r="AA729" s="14">
        <v>258</v>
      </c>
      <c r="AB729" s="14">
        <v>274</v>
      </c>
      <c r="AC729" s="14">
        <v>1245</v>
      </c>
      <c r="AD729" s="14">
        <v>46</v>
      </c>
      <c r="AE729" s="14">
        <v>2400</v>
      </c>
      <c r="AF729" s="14">
        <v>5000</v>
      </c>
      <c r="AG729" s="14">
        <v>1823</v>
      </c>
      <c r="AH729" s="14">
        <v>0</v>
      </c>
      <c r="AI729" s="14">
        <v>39</v>
      </c>
      <c r="AJ729" s="14">
        <v>191</v>
      </c>
      <c r="AK729" s="14" t="s">
        <v>3707</v>
      </c>
      <c r="AL729" s="14" t="s">
        <v>3710</v>
      </c>
      <c r="AM729" s="14">
        <v>162.11000000000001</v>
      </c>
      <c r="AN729" s="14">
        <v>142.63999999999999</v>
      </c>
      <c r="AO729" s="14">
        <v>54.99</v>
      </c>
      <c r="AP729" s="14">
        <v>20725</v>
      </c>
      <c r="AQ729" s="14">
        <v>20645</v>
      </c>
      <c r="AR729" s="14">
        <v>23000</v>
      </c>
      <c r="AS729" s="14">
        <v>18325</v>
      </c>
      <c r="AT729" s="14">
        <v>20148</v>
      </c>
      <c r="AU729" s="14">
        <v>15</v>
      </c>
      <c r="AV729" s="14">
        <v>308.74</v>
      </c>
      <c r="AW729" s="14">
        <v>21.78</v>
      </c>
      <c r="AX729" s="14">
        <v>0.94</v>
      </c>
      <c r="AY729" s="14" t="b">
        <v>0</v>
      </c>
    </row>
    <row r="730" spans="1:51" hidden="1" x14ac:dyDescent="0.3">
      <c r="A730" t="str">
        <f>CONCATENATE(I730,E730,LEFT(G730,10))</f>
        <v>HFA804LCLK2026-02-25</v>
      </c>
      <c r="B730" s="14" t="s">
        <v>3621</v>
      </c>
      <c r="C730" s="14" t="s">
        <v>336</v>
      </c>
      <c r="D730" s="14" t="s">
        <v>337</v>
      </c>
      <c r="E730" s="14" t="s">
        <v>87</v>
      </c>
      <c r="F730" s="14" t="s">
        <v>43</v>
      </c>
      <c r="G730" s="14" t="s">
        <v>3622</v>
      </c>
      <c r="H730" s="14" t="s">
        <v>371</v>
      </c>
      <c r="I730" s="14" t="s">
        <v>117</v>
      </c>
      <c r="J730" s="14" t="s">
        <v>83</v>
      </c>
      <c r="K730" s="14" t="s">
        <v>340</v>
      </c>
      <c r="L730" s="14" t="s">
        <v>341</v>
      </c>
      <c r="M730" s="16" t="s">
        <v>3623</v>
      </c>
      <c r="N730" s="14"/>
      <c r="O730" s="14" t="s">
        <v>627</v>
      </c>
      <c r="P730" s="14">
        <v>130</v>
      </c>
      <c r="Q730" s="14">
        <v>2</v>
      </c>
      <c r="R730" s="14">
        <v>2800</v>
      </c>
      <c r="S730" s="14" t="s">
        <v>3624</v>
      </c>
      <c r="T730" s="14" t="s">
        <v>3625</v>
      </c>
      <c r="U730" s="14">
        <v>0.68166666666666598</v>
      </c>
      <c r="V730" s="14">
        <v>0.9425</v>
      </c>
      <c r="W730" s="14">
        <v>592</v>
      </c>
      <c r="X730" s="14">
        <v>80</v>
      </c>
      <c r="Y730" s="14">
        <v>512</v>
      </c>
      <c r="Z730" s="14">
        <v>2508</v>
      </c>
      <c r="AA730" s="14">
        <v>262</v>
      </c>
      <c r="AB730" s="14">
        <v>262</v>
      </c>
      <c r="AC730" s="14">
        <v>1940</v>
      </c>
      <c r="AD730" s="14">
        <v>44</v>
      </c>
      <c r="AE730" s="14">
        <v>3100</v>
      </c>
      <c r="AF730" s="14">
        <v>5000</v>
      </c>
      <c r="AG730" s="14">
        <v>1870</v>
      </c>
      <c r="AH730" s="14">
        <v>0</v>
      </c>
      <c r="AI730" s="14">
        <v>40</v>
      </c>
      <c r="AJ730" s="14">
        <v>244</v>
      </c>
      <c r="AK730" s="14" t="s">
        <v>3622</v>
      </c>
      <c r="AL730" s="14" t="s">
        <v>3626</v>
      </c>
      <c r="AM730" s="14">
        <v>162.11000000000001</v>
      </c>
      <c r="AN730" s="14">
        <v>142.63999999999999</v>
      </c>
      <c r="AO730" s="14">
        <v>54.99</v>
      </c>
      <c r="AP730" s="14">
        <v>19400</v>
      </c>
      <c r="AQ730" s="14">
        <v>19320</v>
      </c>
      <c r="AR730" s="14">
        <v>23000</v>
      </c>
      <c r="AS730" s="14">
        <v>16300</v>
      </c>
      <c r="AT730" s="14">
        <v>18808</v>
      </c>
      <c r="AU730" s="14">
        <v>7</v>
      </c>
      <c r="AV730" s="14">
        <v>262.75</v>
      </c>
      <c r="AW730" s="14">
        <v>32.5</v>
      </c>
      <c r="AX730" s="14">
        <v>2.59</v>
      </c>
      <c r="AY730" s="14" t="b">
        <v>0</v>
      </c>
    </row>
    <row r="731" spans="1:51" hidden="1" x14ac:dyDescent="0.3">
      <c r="A731" t="str">
        <f>CONCATENATE(I731,E731,LEFT(G731,10))</f>
        <v>HFA804LCLK2026-02-26</v>
      </c>
      <c r="B731" s="14" t="s">
        <v>3499</v>
      </c>
      <c r="C731" s="14" t="s">
        <v>336</v>
      </c>
      <c r="D731" s="14" t="s">
        <v>337</v>
      </c>
      <c r="E731" s="14" t="s">
        <v>87</v>
      </c>
      <c r="F731" s="14" t="s">
        <v>43</v>
      </c>
      <c r="G731" s="14" t="s">
        <v>3500</v>
      </c>
      <c r="H731" s="14" t="s">
        <v>339</v>
      </c>
      <c r="I731" s="14" t="s">
        <v>117</v>
      </c>
      <c r="J731" s="14" t="s">
        <v>83</v>
      </c>
      <c r="K731" s="14" t="s">
        <v>340</v>
      </c>
      <c r="L731" s="14" t="s">
        <v>341</v>
      </c>
      <c r="M731" s="16" t="s">
        <v>1225</v>
      </c>
      <c r="N731" s="14"/>
      <c r="O731" s="14" t="s">
        <v>3394</v>
      </c>
      <c r="P731" s="14">
        <v>130</v>
      </c>
      <c r="Q731" s="14">
        <v>2</v>
      </c>
      <c r="R731" s="14">
        <v>3400</v>
      </c>
      <c r="S731" s="14" t="s">
        <v>3501</v>
      </c>
      <c r="T731" s="14" t="s">
        <v>3502</v>
      </c>
      <c r="U731" s="14">
        <v>0.67055555555555502</v>
      </c>
      <c r="V731" s="14">
        <v>0.868611111111111</v>
      </c>
      <c r="W731" s="14">
        <v>558</v>
      </c>
      <c r="X731" s="14">
        <v>80</v>
      </c>
      <c r="Y731" s="14">
        <v>478</v>
      </c>
      <c r="Z731" s="14">
        <v>1542</v>
      </c>
      <c r="AA731" s="14">
        <v>254</v>
      </c>
      <c r="AB731" s="14">
        <v>258</v>
      </c>
      <c r="AC731" s="14">
        <v>987</v>
      </c>
      <c r="AD731" s="14">
        <v>43</v>
      </c>
      <c r="AE731" s="14">
        <v>2100</v>
      </c>
      <c r="AF731" s="14">
        <v>5000</v>
      </c>
      <c r="AG731" s="14">
        <v>1763</v>
      </c>
      <c r="AH731" s="14">
        <v>0</v>
      </c>
      <c r="AI731" s="14">
        <v>37</v>
      </c>
      <c r="AJ731" s="14">
        <v>168</v>
      </c>
      <c r="AK731" s="14" t="s">
        <v>3500</v>
      </c>
      <c r="AL731" s="14" t="s">
        <v>3503</v>
      </c>
      <c r="AM731" s="14">
        <v>162.11000000000001</v>
      </c>
      <c r="AN731" s="14">
        <v>142.63999999999999</v>
      </c>
      <c r="AO731" s="14">
        <v>54.99</v>
      </c>
      <c r="AP731" s="14">
        <v>18825</v>
      </c>
      <c r="AQ731" s="14">
        <v>18745</v>
      </c>
      <c r="AR731" s="14">
        <v>23000</v>
      </c>
      <c r="AS731" s="14">
        <v>16725</v>
      </c>
      <c r="AT731" s="14">
        <v>18267</v>
      </c>
      <c r="AU731" s="14">
        <v>24</v>
      </c>
      <c r="AV731" s="14">
        <v>279.7</v>
      </c>
      <c r="AW731" s="14">
        <v>54.48</v>
      </c>
      <c r="AX731" s="14">
        <v>-0.04</v>
      </c>
      <c r="AY731" s="14" t="b">
        <v>0</v>
      </c>
    </row>
    <row r="732" spans="1:51" hidden="1" x14ac:dyDescent="0.3">
      <c r="A732" t="str">
        <f>CONCATENATE(I732,E732,LEFT(G732,10))</f>
        <v>HFA804LCLK2026-02-27</v>
      </c>
      <c r="B732" s="14" t="s">
        <v>3392</v>
      </c>
      <c r="C732" s="14" t="s">
        <v>336</v>
      </c>
      <c r="D732" s="14" t="s">
        <v>337</v>
      </c>
      <c r="E732" s="14" t="s">
        <v>87</v>
      </c>
      <c r="F732" s="14" t="s">
        <v>43</v>
      </c>
      <c r="G732" s="14" t="s">
        <v>3393</v>
      </c>
      <c r="H732" s="14" t="s">
        <v>371</v>
      </c>
      <c r="I732" s="14" t="s">
        <v>117</v>
      </c>
      <c r="J732" s="14" t="s">
        <v>83</v>
      </c>
      <c r="K732" s="14" t="s">
        <v>340</v>
      </c>
      <c r="L732" s="14" t="s">
        <v>341</v>
      </c>
      <c r="M732" s="16" t="s">
        <v>682</v>
      </c>
      <c r="N732" s="14"/>
      <c r="O732" s="14" t="s">
        <v>3394</v>
      </c>
      <c r="P732" s="14">
        <v>130</v>
      </c>
      <c r="Q732" s="14">
        <v>2</v>
      </c>
      <c r="R732" s="14">
        <v>4000</v>
      </c>
      <c r="S732" s="14" t="s">
        <v>3395</v>
      </c>
      <c r="T732" s="14" t="s">
        <v>3396</v>
      </c>
      <c r="U732" s="14">
        <v>0.62749999999999995</v>
      </c>
      <c r="V732" s="14">
        <v>0.77333333333333298</v>
      </c>
      <c r="W732" s="14">
        <v>577</v>
      </c>
      <c r="X732" s="14">
        <v>80</v>
      </c>
      <c r="Y732" s="14">
        <v>497</v>
      </c>
      <c r="Z732" s="14">
        <v>1523</v>
      </c>
      <c r="AA732" s="14">
        <v>250</v>
      </c>
      <c r="AB732" s="14">
        <v>264</v>
      </c>
      <c r="AC732" s="14">
        <v>964</v>
      </c>
      <c r="AD732" s="14">
        <v>44</v>
      </c>
      <c r="AE732" s="14">
        <v>2100</v>
      </c>
      <c r="AF732" s="14">
        <v>5000</v>
      </c>
      <c r="AG732" s="14">
        <v>1824</v>
      </c>
      <c r="AH732" s="14">
        <v>0</v>
      </c>
      <c r="AI732" s="14">
        <v>36</v>
      </c>
      <c r="AJ732" s="14">
        <v>160</v>
      </c>
      <c r="AK732" s="14" t="s">
        <v>3393</v>
      </c>
      <c r="AL732" s="14" t="s">
        <v>3397</v>
      </c>
      <c r="AM732" s="14">
        <v>162.11000000000001</v>
      </c>
      <c r="AN732" s="14">
        <v>142.63999999999999</v>
      </c>
      <c r="AO732" s="14">
        <v>54.99</v>
      </c>
      <c r="AP732" s="14">
        <v>19600</v>
      </c>
      <c r="AQ732" s="14">
        <v>19520</v>
      </c>
      <c r="AR732" s="14">
        <v>23000</v>
      </c>
      <c r="AS732" s="14">
        <v>17500</v>
      </c>
      <c r="AT732" s="14">
        <v>19023</v>
      </c>
      <c r="AU732" s="14">
        <v>25</v>
      </c>
      <c r="AV732" s="14">
        <v>306.27999999999997</v>
      </c>
      <c r="AW732" s="14">
        <v>37.85</v>
      </c>
      <c r="AX732" s="14">
        <v>-4.67</v>
      </c>
      <c r="AY732" s="14" t="b">
        <v>0</v>
      </c>
    </row>
    <row r="733" spans="1:51" hidden="1" x14ac:dyDescent="0.3">
      <c r="A733" t="str">
        <f>CONCATENATE(I733,E733,LEFT(G733,10))</f>
        <v>HFA805LLHA2026-01-01</v>
      </c>
      <c r="B733" s="14" t="s">
        <v>4488</v>
      </c>
      <c r="C733" s="14" t="s">
        <v>336</v>
      </c>
      <c r="D733" s="14" t="s">
        <v>337</v>
      </c>
      <c r="E733" s="14" t="s">
        <v>43</v>
      </c>
      <c r="F733" s="14" t="s">
        <v>87</v>
      </c>
      <c r="G733" s="14" t="s">
        <v>4489</v>
      </c>
      <c r="H733" s="14" t="s">
        <v>371</v>
      </c>
      <c r="I733" s="14" t="s">
        <v>114</v>
      </c>
      <c r="J733" s="14" t="s">
        <v>69</v>
      </c>
      <c r="K733" s="14" t="s">
        <v>349</v>
      </c>
      <c r="L733" s="14" t="s">
        <v>341</v>
      </c>
      <c r="M733" s="16" t="s">
        <v>4490</v>
      </c>
      <c r="N733" s="14"/>
      <c r="O733" s="14" t="s">
        <v>380</v>
      </c>
      <c r="P733" s="14">
        <v>50</v>
      </c>
      <c r="Q733" s="14">
        <v>2</v>
      </c>
      <c r="R733" s="14">
        <v>6700</v>
      </c>
      <c r="S733" s="14" t="s">
        <v>4491</v>
      </c>
      <c r="T733" s="14" t="s">
        <v>4492</v>
      </c>
      <c r="U733" s="14">
        <v>0.76361111111111102</v>
      </c>
      <c r="V733" s="14">
        <v>0.87027777777777704</v>
      </c>
      <c r="W733" s="14">
        <v>672</v>
      </c>
      <c r="X733" s="14">
        <v>50</v>
      </c>
      <c r="Y733" s="14">
        <v>622</v>
      </c>
      <c r="Z733" s="14">
        <v>878</v>
      </c>
      <c r="AA733" s="14">
        <v>386</v>
      </c>
      <c r="AB733" s="14">
        <v>283</v>
      </c>
      <c r="AC733" s="14">
        <v>162</v>
      </c>
      <c r="AD733" s="14">
        <v>47</v>
      </c>
      <c r="AE733" s="14">
        <v>1550</v>
      </c>
      <c r="AF733" s="14">
        <v>5000</v>
      </c>
      <c r="AG733" s="14">
        <v>2124</v>
      </c>
      <c r="AH733" s="14">
        <v>0</v>
      </c>
      <c r="AI733" s="14">
        <v>48</v>
      </c>
      <c r="AJ733" s="14">
        <v>119</v>
      </c>
      <c r="AK733" s="14" t="s">
        <v>4489</v>
      </c>
      <c r="AL733" s="14" t="s">
        <v>4493</v>
      </c>
      <c r="AM733" s="14">
        <v>179.36</v>
      </c>
      <c r="AN733" s="14">
        <v>142.63999999999999</v>
      </c>
      <c r="AO733" s="14">
        <v>73.5</v>
      </c>
      <c r="AP733" s="14">
        <v>21750</v>
      </c>
      <c r="AQ733" s="14">
        <v>21700</v>
      </c>
      <c r="AR733" s="14">
        <v>23000</v>
      </c>
      <c r="AS733" s="14">
        <v>20200</v>
      </c>
      <c r="AT733" s="14">
        <v>21078</v>
      </c>
      <c r="AU733" s="14">
        <v>-10</v>
      </c>
      <c r="AV733" s="14">
        <v>260.75</v>
      </c>
      <c r="AW733" s="14">
        <v>39.31</v>
      </c>
      <c r="AX733" s="14">
        <v>-0.74</v>
      </c>
      <c r="AY733" s="14" t="b">
        <v>0</v>
      </c>
    </row>
    <row r="734" spans="1:51" hidden="1" x14ac:dyDescent="0.3">
      <c r="A734" t="str">
        <f>CONCATENATE(I734,E734,LEFT(G734,10))</f>
        <v>HFA805LLHA2026-01-03</v>
      </c>
      <c r="B734" s="14" t="s">
        <v>4993</v>
      </c>
      <c r="C734" s="14" t="s">
        <v>336</v>
      </c>
      <c r="D734" s="14" t="s">
        <v>337</v>
      </c>
      <c r="E734" s="14" t="s">
        <v>43</v>
      </c>
      <c r="F734" s="14" t="s">
        <v>87</v>
      </c>
      <c r="G734" s="14" t="s">
        <v>4994</v>
      </c>
      <c r="H734" s="14" t="s">
        <v>371</v>
      </c>
      <c r="I734" s="14" t="s">
        <v>114</v>
      </c>
      <c r="J734" s="14" t="s">
        <v>69</v>
      </c>
      <c r="K734" s="14" t="s">
        <v>349</v>
      </c>
      <c r="L734" s="14" t="s">
        <v>341</v>
      </c>
      <c r="M734" s="16" t="s">
        <v>4995</v>
      </c>
      <c r="N734" s="14"/>
      <c r="O734" s="14" t="s">
        <v>430</v>
      </c>
      <c r="P734" s="14">
        <v>140</v>
      </c>
      <c r="Q734" s="14">
        <v>2</v>
      </c>
      <c r="R734" s="14">
        <v>6600</v>
      </c>
      <c r="S734" s="14" t="s">
        <v>4996</v>
      </c>
      <c r="T734" s="14" t="s">
        <v>4997</v>
      </c>
      <c r="U734" s="14">
        <v>0.78722222222222205</v>
      </c>
      <c r="V734" s="14">
        <v>0.96222222222222198</v>
      </c>
      <c r="W734" s="14">
        <v>650</v>
      </c>
      <c r="X734" s="14">
        <v>50</v>
      </c>
      <c r="Y734" s="14">
        <v>600</v>
      </c>
      <c r="Z734" s="14">
        <v>920</v>
      </c>
      <c r="AA734" s="14">
        <v>351</v>
      </c>
      <c r="AB734" s="14">
        <v>282</v>
      </c>
      <c r="AC734" s="14">
        <v>240</v>
      </c>
      <c r="AD734" s="14">
        <v>47</v>
      </c>
      <c r="AE734" s="14">
        <v>1570</v>
      </c>
      <c r="AF734" s="14">
        <v>5000</v>
      </c>
      <c r="AG734" s="14">
        <v>2054</v>
      </c>
      <c r="AH734" s="14">
        <v>0</v>
      </c>
      <c r="AI734" s="14">
        <v>47</v>
      </c>
      <c r="AJ734" s="14">
        <v>122</v>
      </c>
      <c r="AK734" s="14" t="s">
        <v>4994</v>
      </c>
      <c r="AL734" s="14" t="s">
        <v>4998</v>
      </c>
      <c r="AM734" s="14">
        <v>179.36</v>
      </c>
      <c r="AN734" s="14">
        <v>142.63999999999999</v>
      </c>
      <c r="AO734" s="14">
        <v>73.5</v>
      </c>
      <c r="AP734" s="14">
        <v>21670</v>
      </c>
      <c r="AQ734" s="14">
        <v>21620</v>
      </c>
      <c r="AR734" s="14">
        <v>23000</v>
      </c>
      <c r="AS734" s="14">
        <v>20100</v>
      </c>
      <c r="AT734" s="14">
        <v>21020</v>
      </c>
      <c r="AU734" s="14">
        <v>-7</v>
      </c>
      <c r="AV734" s="14">
        <v>280.12</v>
      </c>
      <c r="AW734" s="14">
        <v>18.27</v>
      </c>
      <c r="AX734" s="14">
        <v>1.41</v>
      </c>
      <c r="AY734" s="14" t="b">
        <v>0</v>
      </c>
    </row>
    <row r="735" spans="1:51" hidden="1" x14ac:dyDescent="0.3">
      <c r="A735" t="str">
        <f>CONCATENATE(I735,E735,LEFT(G735,10))</f>
        <v>HFA805LLHA2026-01-04</v>
      </c>
      <c r="B735" s="14" t="s">
        <v>5346</v>
      </c>
      <c r="C735" s="14" t="s">
        <v>336</v>
      </c>
      <c r="D735" s="14" t="s">
        <v>337</v>
      </c>
      <c r="E735" s="14" t="s">
        <v>43</v>
      </c>
      <c r="F735" s="14" t="s">
        <v>87</v>
      </c>
      <c r="G735" s="14" t="s">
        <v>5347</v>
      </c>
      <c r="H735" s="14" t="s">
        <v>371</v>
      </c>
      <c r="I735" s="14" t="s">
        <v>114</v>
      </c>
      <c r="J735" s="14" t="s">
        <v>69</v>
      </c>
      <c r="K735" s="14" t="s">
        <v>349</v>
      </c>
      <c r="L735" s="14" t="s">
        <v>341</v>
      </c>
      <c r="M735" s="16" t="s">
        <v>5348</v>
      </c>
      <c r="N735" s="14"/>
      <c r="O735" s="14" t="s">
        <v>5330</v>
      </c>
      <c r="P735" s="14">
        <v>50</v>
      </c>
      <c r="Q735" s="14">
        <v>2</v>
      </c>
      <c r="R735" s="14">
        <v>6100</v>
      </c>
      <c r="S735" s="14" t="s">
        <v>5349</v>
      </c>
      <c r="T735" s="14" t="s">
        <v>5350</v>
      </c>
      <c r="U735" s="14">
        <v>0.70805555555555499</v>
      </c>
      <c r="V735" s="14">
        <v>0.90111111111111097</v>
      </c>
      <c r="W735" s="14">
        <v>607</v>
      </c>
      <c r="X735" s="14">
        <v>50</v>
      </c>
      <c r="Y735" s="14">
        <v>557</v>
      </c>
      <c r="Z735" s="14">
        <v>757</v>
      </c>
      <c r="AA735" s="14">
        <v>334</v>
      </c>
      <c r="AB735" s="14">
        <v>276</v>
      </c>
      <c r="AC735" s="14">
        <v>100</v>
      </c>
      <c r="AD735" s="14">
        <v>46</v>
      </c>
      <c r="AE735" s="14">
        <v>1363</v>
      </c>
      <c r="AF735" s="14">
        <v>5000</v>
      </c>
      <c r="AG735" s="14">
        <v>1917</v>
      </c>
      <c r="AH735" s="14">
        <v>0</v>
      </c>
      <c r="AI735" s="14">
        <v>44</v>
      </c>
      <c r="AJ735" s="14">
        <v>107</v>
      </c>
      <c r="AK735" s="14" t="s">
        <v>5347</v>
      </c>
      <c r="AL735" s="14" t="s">
        <v>5351</v>
      </c>
      <c r="AM735" s="14">
        <v>179.36</v>
      </c>
      <c r="AN735" s="14">
        <v>142.63999999999999</v>
      </c>
      <c r="AO735" s="14">
        <v>73.5</v>
      </c>
      <c r="AP735" s="14">
        <v>20963</v>
      </c>
      <c r="AQ735" s="14">
        <v>20913</v>
      </c>
      <c r="AR735" s="14">
        <v>23000</v>
      </c>
      <c r="AS735" s="14">
        <v>19600</v>
      </c>
      <c r="AT735" s="14">
        <v>20357</v>
      </c>
      <c r="AU735" s="14">
        <v>8</v>
      </c>
      <c r="AV735" s="14">
        <v>216.72</v>
      </c>
      <c r="AW735" s="14">
        <v>17.16</v>
      </c>
      <c r="AX735" s="14">
        <v>5.04</v>
      </c>
      <c r="AY735" s="14" t="b">
        <v>0</v>
      </c>
    </row>
    <row r="736" spans="1:51" hidden="1" x14ac:dyDescent="0.3">
      <c r="A736" t="str">
        <f>CONCATENATE(I736,E736,LEFT(G736,10))</f>
        <v>HFA805LLHA2026-01-08</v>
      </c>
      <c r="B736" s="14" t="s">
        <v>2849</v>
      </c>
      <c r="C736" s="14" t="s">
        <v>336</v>
      </c>
      <c r="D736" s="14" t="s">
        <v>337</v>
      </c>
      <c r="E736" s="14" t="s">
        <v>43</v>
      </c>
      <c r="F736" s="14" t="s">
        <v>87</v>
      </c>
      <c r="G736" s="14" t="s">
        <v>2850</v>
      </c>
      <c r="H736" s="14" t="s">
        <v>339</v>
      </c>
      <c r="I736" s="14" t="s">
        <v>114</v>
      </c>
      <c r="J736" s="14" t="s">
        <v>69</v>
      </c>
      <c r="K736" s="14" t="s">
        <v>349</v>
      </c>
      <c r="L736" s="14" t="s">
        <v>341</v>
      </c>
      <c r="M736" s="16" t="s">
        <v>2851</v>
      </c>
      <c r="N736" s="14"/>
      <c r="O736" s="14" t="s">
        <v>1568</v>
      </c>
      <c r="P736" s="14">
        <v>140</v>
      </c>
      <c r="Q736" s="14">
        <v>2</v>
      </c>
      <c r="R736" s="14">
        <v>3200</v>
      </c>
      <c r="S736" s="14" t="s">
        <v>2852</v>
      </c>
      <c r="T736" s="14" t="s">
        <v>2853</v>
      </c>
      <c r="U736" s="14">
        <v>0.70472222222222203</v>
      </c>
      <c r="V736" s="14">
        <v>0.81111111111111101</v>
      </c>
      <c r="W736" s="14">
        <v>577</v>
      </c>
      <c r="X736" s="14">
        <v>50</v>
      </c>
      <c r="Y736" s="14">
        <v>527</v>
      </c>
      <c r="Z736" s="14">
        <v>726</v>
      </c>
      <c r="AA736" s="14">
        <v>334</v>
      </c>
      <c r="AB736" s="14">
        <v>250</v>
      </c>
      <c r="AC736" s="14">
        <v>100</v>
      </c>
      <c r="AD736" s="14">
        <v>42</v>
      </c>
      <c r="AE736" s="14">
        <v>1303</v>
      </c>
      <c r="AF736" s="14">
        <v>5000</v>
      </c>
      <c r="AG736" s="14">
        <v>1825</v>
      </c>
      <c r="AH736" s="14">
        <v>0</v>
      </c>
      <c r="AI736" s="14">
        <v>43</v>
      </c>
      <c r="AJ736" s="14">
        <v>108</v>
      </c>
      <c r="AK736" s="14" t="s">
        <v>2850</v>
      </c>
      <c r="AL736" s="14" t="s">
        <v>2854</v>
      </c>
      <c r="AM736" s="14">
        <v>179.36</v>
      </c>
      <c r="AN736" s="14">
        <v>142.63999999999999</v>
      </c>
      <c r="AO736" s="14">
        <v>73.5</v>
      </c>
      <c r="AP736" s="14">
        <v>17828</v>
      </c>
      <c r="AQ736" s="14">
        <v>17778</v>
      </c>
      <c r="AR736" s="14">
        <v>23000</v>
      </c>
      <c r="AS736" s="14">
        <v>16525</v>
      </c>
      <c r="AT736" s="14">
        <v>17251</v>
      </c>
      <c r="AU736" s="14">
        <v>12</v>
      </c>
      <c r="AV736" s="14">
        <v>214.45</v>
      </c>
      <c r="AW736" s="14">
        <v>31.86</v>
      </c>
      <c r="AX736" s="14">
        <v>7.44</v>
      </c>
      <c r="AY736" s="14" t="b">
        <v>0</v>
      </c>
    </row>
    <row r="737" spans="1:51" hidden="1" x14ac:dyDescent="0.3">
      <c r="A737" t="str">
        <f>CONCATENATE(I737,E737,LEFT(G737,10))</f>
        <v>HFA805LLHA2026-01-10</v>
      </c>
      <c r="B737" s="14" t="s">
        <v>1135</v>
      </c>
      <c r="C737" s="14" t="s">
        <v>336</v>
      </c>
      <c r="D737" s="14" t="s">
        <v>337</v>
      </c>
      <c r="E737" s="14" t="s">
        <v>43</v>
      </c>
      <c r="F737" s="14" t="s">
        <v>87</v>
      </c>
      <c r="G737" s="14" t="s">
        <v>1136</v>
      </c>
      <c r="H737" s="14" t="s">
        <v>371</v>
      </c>
      <c r="I737" s="14" t="s">
        <v>114</v>
      </c>
      <c r="J737" s="14" t="s">
        <v>69</v>
      </c>
      <c r="K737" s="14" t="s">
        <v>349</v>
      </c>
      <c r="L737" s="14" t="s">
        <v>341</v>
      </c>
      <c r="M737" s="16" t="s">
        <v>1137</v>
      </c>
      <c r="N737" s="14"/>
      <c r="O737" s="14" t="s">
        <v>430</v>
      </c>
      <c r="P737" s="14">
        <v>140</v>
      </c>
      <c r="Q737" s="14">
        <v>2</v>
      </c>
      <c r="R737" s="14">
        <v>4200</v>
      </c>
      <c r="S737" s="14" t="s">
        <v>1138</v>
      </c>
      <c r="T737" s="14" t="s">
        <v>1139</v>
      </c>
      <c r="U737" s="14">
        <v>0.719444444444444</v>
      </c>
      <c r="V737" s="14">
        <v>0.89749999999999996</v>
      </c>
      <c r="W737" s="14">
        <v>654</v>
      </c>
      <c r="X737" s="14">
        <v>50</v>
      </c>
      <c r="Y737" s="14">
        <v>604</v>
      </c>
      <c r="Z737" s="14">
        <v>1016</v>
      </c>
      <c r="AA737" s="14">
        <v>352</v>
      </c>
      <c r="AB737" s="14">
        <v>262</v>
      </c>
      <c r="AC737" s="14">
        <v>359</v>
      </c>
      <c r="AD737" s="14">
        <v>44</v>
      </c>
      <c r="AE737" s="14">
        <v>1670</v>
      </c>
      <c r="AF737" s="14">
        <v>5000</v>
      </c>
      <c r="AG737" s="14">
        <v>2065</v>
      </c>
      <c r="AH737" s="14">
        <v>0</v>
      </c>
      <c r="AI737" s="14">
        <v>48</v>
      </c>
      <c r="AJ737" s="14">
        <v>133</v>
      </c>
      <c r="AK737" s="14" t="s">
        <v>1136</v>
      </c>
      <c r="AL737" s="14" t="s">
        <v>1140</v>
      </c>
      <c r="AM737" s="14">
        <v>179.36</v>
      </c>
      <c r="AN737" s="14">
        <v>142.63999999999999</v>
      </c>
      <c r="AO737" s="14">
        <v>73.5</v>
      </c>
      <c r="AP737" s="14">
        <v>19370</v>
      </c>
      <c r="AQ737" s="14">
        <v>19320</v>
      </c>
      <c r="AR737" s="14">
        <v>23000</v>
      </c>
      <c r="AS737" s="14">
        <v>17700</v>
      </c>
      <c r="AT737" s="14">
        <v>18716</v>
      </c>
      <c r="AU737" s="14">
        <v>-15</v>
      </c>
      <c r="AV737" s="14">
        <v>281.77</v>
      </c>
      <c r="AW737" s="14">
        <v>34.75</v>
      </c>
      <c r="AX737" s="14">
        <v>2.5</v>
      </c>
      <c r="AY737" s="14" t="b">
        <v>0</v>
      </c>
    </row>
    <row r="738" spans="1:51" hidden="1" x14ac:dyDescent="0.3">
      <c r="A738" t="str">
        <f>CONCATENATE(I738,E738,LEFT(G738,10))</f>
        <v>HFA805LLHA2026-01-11</v>
      </c>
      <c r="B738" s="14" t="s">
        <v>2189</v>
      </c>
      <c r="C738" s="14" t="s">
        <v>336</v>
      </c>
      <c r="D738" s="14" t="s">
        <v>337</v>
      </c>
      <c r="E738" s="14" t="s">
        <v>43</v>
      </c>
      <c r="F738" s="14" t="s">
        <v>87</v>
      </c>
      <c r="G738" s="14" t="s">
        <v>2190</v>
      </c>
      <c r="H738" s="14" t="s">
        <v>371</v>
      </c>
      <c r="I738" s="14" t="s">
        <v>114</v>
      </c>
      <c r="J738" s="14" t="s">
        <v>69</v>
      </c>
      <c r="K738" s="14" t="s">
        <v>349</v>
      </c>
      <c r="L738" s="14" t="s">
        <v>341</v>
      </c>
      <c r="M738" s="16" t="s">
        <v>2191</v>
      </c>
      <c r="N738" s="14"/>
      <c r="O738" s="14" t="s">
        <v>430</v>
      </c>
      <c r="P738" s="14">
        <v>140</v>
      </c>
      <c r="Q738" s="14">
        <v>2</v>
      </c>
      <c r="R738" s="14">
        <v>4700</v>
      </c>
      <c r="S738" s="14" t="s">
        <v>2192</v>
      </c>
      <c r="T738" s="14" t="s">
        <v>2193</v>
      </c>
      <c r="U738" s="14">
        <v>0.74055555555555497</v>
      </c>
      <c r="V738" s="14">
        <v>0.87111111111111095</v>
      </c>
      <c r="W738" s="14">
        <v>620</v>
      </c>
      <c r="X738" s="14">
        <v>50</v>
      </c>
      <c r="Y738" s="14">
        <v>570</v>
      </c>
      <c r="Z738" s="14">
        <v>800</v>
      </c>
      <c r="AA738" s="14">
        <v>353</v>
      </c>
      <c r="AB738" s="14">
        <v>264</v>
      </c>
      <c r="AC738" s="14">
        <v>139</v>
      </c>
      <c r="AD738" s="14">
        <v>44</v>
      </c>
      <c r="AE738" s="14">
        <v>1420</v>
      </c>
      <c r="AF738" s="14">
        <v>5000</v>
      </c>
      <c r="AG738" s="14">
        <v>1960</v>
      </c>
      <c r="AH738" s="14">
        <v>0</v>
      </c>
      <c r="AI738" s="14">
        <v>45</v>
      </c>
      <c r="AJ738" s="14">
        <v>112</v>
      </c>
      <c r="AK738" s="14" t="s">
        <v>2190</v>
      </c>
      <c r="AL738" s="14" t="s">
        <v>2194</v>
      </c>
      <c r="AM738" s="14">
        <v>179.36</v>
      </c>
      <c r="AN738" s="14">
        <v>142.63999999999999</v>
      </c>
      <c r="AO738" s="14">
        <v>73.5</v>
      </c>
      <c r="AP738" s="14">
        <v>19620</v>
      </c>
      <c r="AQ738" s="14">
        <v>19570</v>
      </c>
      <c r="AR738" s="14">
        <v>23000</v>
      </c>
      <c r="AS738" s="14">
        <v>18200</v>
      </c>
      <c r="AT738" s="14">
        <v>19000</v>
      </c>
      <c r="AU738" s="14">
        <v>1</v>
      </c>
      <c r="AV738" s="14">
        <v>241.02</v>
      </c>
      <c r="AW738" s="14">
        <v>37.97</v>
      </c>
      <c r="AX738" s="14">
        <v>2.66</v>
      </c>
      <c r="AY738" s="14" t="b">
        <v>0</v>
      </c>
    </row>
    <row r="739" spans="1:51" hidden="1" x14ac:dyDescent="0.3">
      <c r="A739" t="str">
        <f>CONCATENATE(I739,E739,LEFT(G739,10))</f>
        <v>HFA805LLHA2026-01-15</v>
      </c>
      <c r="B739" s="14" t="s">
        <v>6123</v>
      </c>
      <c r="C739" s="14" t="s">
        <v>336</v>
      </c>
      <c r="D739" s="14" t="s">
        <v>337</v>
      </c>
      <c r="E739" s="14" t="s">
        <v>43</v>
      </c>
      <c r="F739" s="14" t="s">
        <v>87</v>
      </c>
      <c r="G739" s="14" t="s">
        <v>6124</v>
      </c>
      <c r="H739" s="14" t="s">
        <v>339</v>
      </c>
      <c r="I739" s="14" t="s">
        <v>114</v>
      </c>
      <c r="J739" s="14" t="s">
        <v>69</v>
      </c>
      <c r="K739" s="14" t="s">
        <v>349</v>
      </c>
      <c r="L739" s="14" t="s">
        <v>341</v>
      </c>
      <c r="M739" s="16" t="s">
        <v>6125</v>
      </c>
      <c r="N739" s="14"/>
      <c r="O739" s="14" t="s">
        <v>6126</v>
      </c>
      <c r="P739" s="14">
        <v>50</v>
      </c>
      <c r="Q739" s="14">
        <v>2</v>
      </c>
      <c r="R739" s="14">
        <v>5050</v>
      </c>
      <c r="S739" s="14" t="s">
        <v>6127</v>
      </c>
      <c r="T739" s="14" t="s">
        <v>6128</v>
      </c>
      <c r="U739" s="14">
        <v>0.81499999999999995</v>
      </c>
      <c r="V739" s="14">
        <v>0.97472222222222205</v>
      </c>
      <c r="W739" s="14">
        <v>648</v>
      </c>
      <c r="X739" s="14">
        <v>50</v>
      </c>
      <c r="Y739" s="14">
        <v>598</v>
      </c>
      <c r="Z739" s="14">
        <v>812</v>
      </c>
      <c r="AA739" s="14">
        <v>334</v>
      </c>
      <c r="AB739" s="14">
        <v>266</v>
      </c>
      <c r="AC739" s="14">
        <v>168</v>
      </c>
      <c r="AD739" s="14">
        <v>44</v>
      </c>
      <c r="AE739" s="14">
        <v>1460</v>
      </c>
      <c r="AF739" s="14">
        <v>5000</v>
      </c>
      <c r="AG739" s="14">
        <v>2049</v>
      </c>
      <c r="AH739" s="14">
        <v>0</v>
      </c>
      <c r="AI739" s="14">
        <v>48</v>
      </c>
      <c r="AJ739" s="14">
        <v>117</v>
      </c>
      <c r="AK739" s="14" t="s">
        <v>6124</v>
      </c>
      <c r="AL739" s="14" t="s">
        <v>6129</v>
      </c>
      <c r="AM739" s="14">
        <v>179.36</v>
      </c>
      <c r="AN739" s="14">
        <v>142.63999999999999</v>
      </c>
      <c r="AO739" s="14">
        <v>73.5</v>
      </c>
      <c r="AP739" s="14">
        <v>19835</v>
      </c>
      <c r="AQ739" s="14">
        <v>19785</v>
      </c>
      <c r="AR739" s="14">
        <v>23000</v>
      </c>
      <c r="AS739" s="14">
        <v>18375</v>
      </c>
      <c r="AT739" s="14">
        <v>19187</v>
      </c>
      <c r="AU739" s="14">
        <v>-17</v>
      </c>
      <c r="AV739" s="14">
        <v>316.7</v>
      </c>
      <c r="AW739" s="14">
        <v>26.81</v>
      </c>
      <c r="AX739" s="14">
        <v>2.2400000000000002</v>
      </c>
      <c r="AY739" s="14" t="b">
        <v>0</v>
      </c>
    </row>
    <row r="740" spans="1:51" hidden="1" x14ac:dyDescent="0.3">
      <c r="A740" t="str">
        <f>CONCATENATE(I740,E740,LEFT(G740,10))</f>
        <v>HFA805LLHA2026-01-17</v>
      </c>
      <c r="B740" s="14" t="s">
        <v>6447</v>
      </c>
      <c r="C740" s="14" t="s">
        <v>336</v>
      </c>
      <c r="D740" s="14" t="s">
        <v>337</v>
      </c>
      <c r="E740" s="14" t="s">
        <v>43</v>
      </c>
      <c r="F740" s="14" t="s">
        <v>87</v>
      </c>
      <c r="G740" s="14" t="s">
        <v>6448</v>
      </c>
      <c r="H740" s="14" t="s">
        <v>371</v>
      </c>
      <c r="I740" s="14" t="s">
        <v>114</v>
      </c>
      <c r="J740" s="14" t="s">
        <v>69</v>
      </c>
      <c r="K740" s="14" t="s">
        <v>349</v>
      </c>
      <c r="L740" s="14" t="s">
        <v>341</v>
      </c>
      <c r="M740" s="16" t="s">
        <v>6449</v>
      </c>
      <c r="N740" s="14"/>
      <c r="O740" s="14" t="s">
        <v>5066</v>
      </c>
      <c r="P740" s="14">
        <v>50</v>
      </c>
      <c r="Q740" s="14">
        <v>2</v>
      </c>
      <c r="R740" s="14">
        <v>4000</v>
      </c>
      <c r="S740" s="14" t="s">
        <v>6450</v>
      </c>
      <c r="T740" s="14" t="s">
        <v>6451</v>
      </c>
      <c r="U740" s="14">
        <v>0.72638888888888797</v>
      </c>
      <c r="V740" s="14">
        <v>0.93277777777777704</v>
      </c>
      <c r="W740" s="14">
        <v>657</v>
      </c>
      <c r="X740" s="14">
        <v>50</v>
      </c>
      <c r="Y740" s="14">
        <v>607</v>
      </c>
      <c r="Z740" s="14">
        <v>943</v>
      </c>
      <c r="AA740" s="14">
        <v>342</v>
      </c>
      <c r="AB740" s="14">
        <v>260</v>
      </c>
      <c r="AC740" s="14">
        <v>299</v>
      </c>
      <c r="AD740" s="14">
        <v>43</v>
      </c>
      <c r="AE740" s="14">
        <v>1600</v>
      </c>
      <c r="AF740" s="14">
        <v>5000</v>
      </c>
      <c r="AG740" s="14">
        <v>2075</v>
      </c>
      <c r="AH740" s="14">
        <v>0</v>
      </c>
      <c r="AI740" s="14">
        <v>47</v>
      </c>
      <c r="AJ740" s="14">
        <v>126</v>
      </c>
      <c r="AK740" s="14" t="s">
        <v>6448</v>
      </c>
      <c r="AL740" s="14" t="s">
        <v>6452</v>
      </c>
      <c r="AM740" s="14">
        <v>179.36</v>
      </c>
      <c r="AN740" s="14">
        <v>142.63999999999999</v>
      </c>
      <c r="AO740" s="14">
        <v>73.5</v>
      </c>
      <c r="AP740" s="14">
        <v>19100</v>
      </c>
      <c r="AQ740" s="14">
        <v>19050</v>
      </c>
      <c r="AR740" s="14">
        <v>23000</v>
      </c>
      <c r="AS740" s="14">
        <v>17500</v>
      </c>
      <c r="AT740" s="14">
        <v>18443</v>
      </c>
      <c r="AU740" s="14">
        <v>-14</v>
      </c>
      <c r="AV740" s="14">
        <v>276.99</v>
      </c>
      <c r="AW740" s="14">
        <v>32.630000000000003</v>
      </c>
      <c r="AX740" s="14">
        <v>-0.17</v>
      </c>
      <c r="AY740" s="14" t="b">
        <v>0</v>
      </c>
    </row>
    <row r="741" spans="1:51" hidden="1" x14ac:dyDescent="0.3">
      <c r="A741" t="str">
        <f>CONCATENATE(I741,E741,LEFT(G741,10))</f>
        <v>HFA805LLHA2026-01-18</v>
      </c>
      <c r="B741" s="14" t="s">
        <v>5522</v>
      </c>
      <c r="C741" s="14" t="s">
        <v>336</v>
      </c>
      <c r="D741" s="14" t="s">
        <v>337</v>
      </c>
      <c r="E741" s="14" t="s">
        <v>43</v>
      </c>
      <c r="F741" s="14" t="s">
        <v>87</v>
      </c>
      <c r="G741" s="14" t="s">
        <v>5523</v>
      </c>
      <c r="H741" s="14" t="s">
        <v>339</v>
      </c>
      <c r="I741" s="14" t="s">
        <v>114</v>
      </c>
      <c r="J741" s="14" t="s">
        <v>69</v>
      </c>
      <c r="K741" s="14" t="s">
        <v>349</v>
      </c>
      <c r="L741" s="14" t="s">
        <v>341</v>
      </c>
      <c r="M741" s="16" t="s">
        <v>5524</v>
      </c>
      <c r="N741" s="14"/>
      <c r="O741" s="14" t="s">
        <v>380</v>
      </c>
      <c r="P741" s="14">
        <v>50</v>
      </c>
      <c r="Q741" s="14">
        <v>2</v>
      </c>
      <c r="R741" s="14">
        <v>1600</v>
      </c>
      <c r="S741" s="14" t="s">
        <v>5525</v>
      </c>
      <c r="T741" s="14" t="s">
        <v>5526</v>
      </c>
      <c r="U741" s="14">
        <v>0.77500000000000002</v>
      </c>
      <c r="V741" s="14">
        <v>0.88861111111111102</v>
      </c>
      <c r="W741" s="14">
        <v>645</v>
      </c>
      <c r="X741" s="14">
        <v>50</v>
      </c>
      <c r="Y741" s="14">
        <v>595</v>
      </c>
      <c r="Z741" s="14">
        <v>955</v>
      </c>
      <c r="AA741" s="14">
        <v>331</v>
      </c>
      <c r="AB741" s="14">
        <v>240</v>
      </c>
      <c r="AC741" s="14">
        <v>343</v>
      </c>
      <c r="AD741" s="14">
        <v>40</v>
      </c>
      <c r="AE741" s="14">
        <v>1600</v>
      </c>
      <c r="AF741" s="14">
        <v>5000</v>
      </c>
      <c r="AG741" s="14">
        <v>2039</v>
      </c>
      <c r="AH741" s="14">
        <v>0</v>
      </c>
      <c r="AI741" s="14">
        <v>47</v>
      </c>
      <c r="AJ741" s="14">
        <v>130</v>
      </c>
      <c r="AK741" s="14" t="s">
        <v>5523</v>
      </c>
      <c r="AL741" s="14" t="s">
        <v>5527</v>
      </c>
      <c r="AM741" s="14">
        <v>179.36</v>
      </c>
      <c r="AN741" s="14">
        <v>142.63999999999999</v>
      </c>
      <c r="AO741" s="14">
        <v>73.5</v>
      </c>
      <c r="AP741" s="14">
        <v>16525</v>
      </c>
      <c r="AQ741" s="14">
        <v>16475</v>
      </c>
      <c r="AR741" s="14">
        <v>23000</v>
      </c>
      <c r="AS741" s="14">
        <v>14925</v>
      </c>
      <c r="AT741" s="14">
        <v>15880</v>
      </c>
      <c r="AU741" s="14">
        <v>-15</v>
      </c>
      <c r="AV741" s="14">
        <v>278.14999999999998</v>
      </c>
      <c r="AW741" s="14">
        <v>32.93</v>
      </c>
      <c r="AX741" s="14">
        <v>-2.71</v>
      </c>
      <c r="AY741" s="14" t="b">
        <v>0</v>
      </c>
    </row>
    <row r="742" spans="1:51" hidden="1" x14ac:dyDescent="0.3">
      <c r="A742" t="str">
        <f>CONCATENATE(I742,E742,LEFT(G742,10))</f>
        <v>HFA805LLHA2026-01-20</v>
      </c>
      <c r="B742" s="14" t="s">
        <v>4736</v>
      </c>
      <c r="C742" s="14" t="s">
        <v>336</v>
      </c>
      <c r="D742" s="14" t="s">
        <v>337</v>
      </c>
      <c r="E742" s="14" t="s">
        <v>43</v>
      </c>
      <c r="F742" s="14" t="s">
        <v>87</v>
      </c>
      <c r="G742" s="14" t="s">
        <v>4737</v>
      </c>
      <c r="H742" s="14" t="s">
        <v>393</v>
      </c>
      <c r="I742" s="14" t="s">
        <v>114</v>
      </c>
      <c r="J742" s="14" t="s">
        <v>69</v>
      </c>
      <c r="K742" s="14" t="s">
        <v>349</v>
      </c>
      <c r="L742" s="14" t="s">
        <v>341</v>
      </c>
      <c r="M742" s="16" t="s">
        <v>4738</v>
      </c>
      <c r="N742" s="14"/>
      <c r="O742" s="14" t="s">
        <v>4739</v>
      </c>
      <c r="P742" s="14">
        <v>50</v>
      </c>
      <c r="Q742" s="14">
        <v>2</v>
      </c>
      <c r="R742" s="14">
        <v>3900</v>
      </c>
      <c r="S742" s="14" t="s">
        <v>4740</v>
      </c>
      <c r="T742" s="14" t="s">
        <v>4741</v>
      </c>
      <c r="U742" s="14">
        <v>0.72194444444444394</v>
      </c>
      <c r="V742" s="14">
        <v>0.84</v>
      </c>
      <c r="W742" s="14">
        <v>758</v>
      </c>
      <c r="X742" s="14">
        <v>50</v>
      </c>
      <c r="Y742" s="14">
        <v>708</v>
      </c>
      <c r="Z742" s="14">
        <v>1442</v>
      </c>
      <c r="AA742" s="14">
        <v>341</v>
      </c>
      <c r="AB742" s="14">
        <v>261</v>
      </c>
      <c r="AC742" s="14">
        <v>796</v>
      </c>
      <c r="AD742" s="14">
        <v>44</v>
      </c>
      <c r="AE742" s="14">
        <v>2200</v>
      </c>
      <c r="AF742" s="14">
        <v>5000</v>
      </c>
      <c r="AG742" s="14">
        <v>2394</v>
      </c>
      <c r="AH742" s="14">
        <v>0</v>
      </c>
      <c r="AI742" s="14">
        <v>47</v>
      </c>
      <c r="AJ742" s="14">
        <v>155</v>
      </c>
      <c r="AK742" s="14" t="s">
        <v>4737</v>
      </c>
      <c r="AL742" s="14" t="s">
        <v>4742</v>
      </c>
      <c r="AM742" s="14">
        <v>179.36</v>
      </c>
      <c r="AN742" s="14">
        <v>142.63999999999999</v>
      </c>
      <c r="AO742" s="14">
        <v>73.5</v>
      </c>
      <c r="AP742" s="14">
        <v>19411</v>
      </c>
      <c r="AQ742" s="14">
        <v>19361</v>
      </c>
      <c r="AR742" s="14">
        <v>23000</v>
      </c>
      <c r="AS742" s="14">
        <v>17211</v>
      </c>
      <c r="AT742" s="14">
        <v>18653</v>
      </c>
      <c r="AU742" s="14">
        <v>-14</v>
      </c>
      <c r="AV742" s="14">
        <v>331.4</v>
      </c>
      <c r="AW742" s="14">
        <v>14.65</v>
      </c>
      <c r="AX742" s="14">
        <v>-4.3499999999999996</v>
      </c>
      <c r="AY742" s="14" t="b">
        <v>0</v>
      </c>
    </row>
    <row r="743" spans="1:51" hidden="1" x14ac:dyDescent="0.3">
      <c r="A743" t="str">
        <f>CONCATENATE(I743,E743,LEFT(G743,10))</f>
        <v>HFA805LLHA2026-01-22</v>
      </c>
      <c r="B743" s="14" t="s">
        <v>2091</v>
      </c>
      <c r="C743" s="14" t="s">
        <v>336</v>
      </c>
      <c r="D743" s="14" t="s">
        <v>337</v>
      </c>
      <c r="E743" s="14" t="s">
        <v>43</v>
      </c>
      <c r="F743" s="14" t="s">
        <v>87</v>
      </c>
      <c r="G743" s="14" t="s">
        <v>2092</v>
      </c>
      <c r="H743" s="14" t="s">
        <v>339</v>
      </c>
      <c r="I743" s="14" t="s">
        <v>114</v>
      </c>
      <c r="J743" s="14" t="s">
        <v>69</v>
      </c>
      <c r="K743" s="14" t="s">
        <v>349</v>
      </c>
      <c r="L743" s="14" t="s">
        <v>341</v>
      </c>
      <c r="M743" s="16" t="s">
        <v>2093</v>
      </c>
      <c r="N743" s="14"/>
      <c r="O743" s="14" t="s">
        <v>380</v>
      </c>
      <c r="P743" s="14">
        <v>50</v>
      </c>
      <c r="Q743" s="14">
        <v>3</v>
      </c>
      <c r="R743" s="14">
        <v>4900</v>
      </c>
      <c r="S743" s="14" t="s">
        <v>2094</v>
      </c>
      <c r="T743" s="14" t="s">
        <v>2095</v>
      </c>
      <c r="U743" s="14">
        <v>0.75388888888888805</v>
      </c>
      <c r="V743" s="14">
        <v>0.90500000000000003</v>
      </c>
      <c r="W743" s="14">
        <v>601</v>
      </c>
      <c r="X743" s="14">
        <v>50</v>
      </c>
      <c r="Y743" s="14">
        <v>551</v>
      </c>
      <c r="Z743" s="14">
        <v>1159</v>
      </c>
      <c r="AA743" s="14">
        <v>353</v>
      </c>
      <c r="AB743" s="14">
        <v>267</v>
      </c>
      <c r="AC743" s="14">
        <v>495</v>
      </c>
      <c r="AD743" s="14">
        <v>45</v>
      </c>
      <c r="AE743" s="14">
        <v>1760</v>
      </c>
      <c r="AF743" s="14">
        <v>5000</v>
      </c>
      <c r="AG743" s="14">
        <v>1899</v>
      </c>
      <c r="AH743" s="14">
        <v>0</v>
      </c>
      <c r="AI743" s="14">
        <v>44</v>
      </c>
      <c r="AJ743" s="14">
        <v>141</v>
      </c>
      <c r="AK743" s="14" t="s">
        <v>2092</v>
      </c>
      <c r="AL743" s="14" t="s">
        <v>2096</v>
      </c>
      <c r="AM743" s="14">
        <v>179.36</v>
      </c>
      <c r="AN743" s="14">
        <v>142.63999999999999</v>
      </c>
      <c r="AO743" s="14">
        <v>73.5</v>
      </c>
      <c r="AP743" s="14">
        <v>19985</v>
      </c>
      <c r="AQ743" s="14">
        <v>19935</v>
      </c>
      <c r="AR743" s="14">
        <v>23000</v>
      </c>
      <c r="AS743" s="14">
        <v>18225</v>
      </c>
      <c r="AT743" s="14">
        <v>19384</v>
      </c>
      <c r="AU743" s="14">
        <v>11</v>
      </c>
      <c r="AV743" s="14">
        <v>222.23</v>
      </c>
      <c r="AW743" s="14">
        <v>36.92</v>
      </c>
      <c r="AX743" s="14">
        <v>3.22</v>
      </c>
      <c r="AY743" s="14" t="b">
        <v>0</v>
      </c>
    </row>
    <row r="744" spans="1:51" hidden="1" x14ac:dyDescent="0.3">
      <c r="A744" t="str">
        <f>CONCATENATE(I744,E744,LEFT(G744,10))</f>
        <v>HFA805LLHA2026-01-25</v>
      </c>
      <c r="B744" s="14" t="s">
        <v>5180</v>
      </c>
      <c r="C744" s="14" t="s">
        <v>336</v>
      </c>
      <c r="D744" s="14" t="s">
        <v>337</v>
      </c>
      <c r="E744" s="14" t="s">
        <v>43</v>
      </c>
      <c r="F744" s="14" t="s">
        <v>87</v>
      </c>
      <c r="G744" s="14" t="s">
        <v>5181</v>
      </c>
      <c r="H744" s="14" t="s">
        <v>371</v>
      </c>
      <c r="I744" s="14" t="s">
        <v>114</v>
      </c>
      <c r="J744" s="14" t="s">
        <v>69</v>
      </c>
      <c r="K744" s="14" t="s">
        <v>349</v>
      </c>
      <c r="L744" s="14" t="s">
        <v>341</v>
      </c>
      <c r="M744" s="16" t="s">
        <v>5182</v>
      </c>
      <c r="N744" s="14"/>
      <c r="O744" s="14" t="s">
        <v>1881</v>
      </c>
      <c r="P744" s="14">
        <v>50</v>
      </c>
      <c r="Q744" s="14">
        <v>2</v>
      </c>
      <c r="R744" s="14">
        <v>1500</v>
      </c>
      <c r="S744" s="14" t="s">
        <v>5183</v>
      </c>
      <c r="T744" s="14" t="s">
        <v>5184</v>
      </c>
      <c r="U744" s="14">
        <v>0.74333333333333296</v>
      </c>
      <c r="V744" s="14">
        <v>0.87305555555555503</v>
      </c>
      <c r="W744" s="14">
        <v>622</v>
      </c>
      <c r="X744" s="14">
        <v>50</v>
      </c>
      <c r="Y744" s="14">
        <v>572</v>
      </c>
      <c r="Z744" s="14">
        <v>699</v>
      </c>
      <c r="AA744" s="14">
        <v>320</v>
      </c>
      <c r="AB744" s="14">
        <v>239</v>
      </c>
      <c r="AC744" s="14">
        <v>100</v>
      </c>
      <c r="AD744" s="14">
        <v>40</v>
      </c>
      <c r="AE744" s="14">
        <v>1321</v>
      </c>
      <c r="AF744" s="14">
        <v>5000</v>
      </c>
      <c r="AG744" s="14">
        <v>1966</v>
      </c>
      <c r="AH744" s="14">
        <v>0</v>
      </c>
      <c r="AI744" s="14">
        <v>46</v>
      </c>
      <c r="AJ744" s="14">
        <v>109</v>
      </c>
      <c r="AK744" s="14" t="s">
        <v>5181</v>
      </c>
      <c r="AL744" s="14" t="s">
        <v>5185</v>
      </c>
      <c r="AM744" s="14">
        <v>179.36</v>
      </c>
      <c r="AN744" s="14">
        <v>142.63999999999999</v>
      </c>
      <c r="AO744" s="14">
        <v>73.5</v>
      </c>
      <c r="AP744" s="14">
        <v>16321</v>
      </c>
      <c r="AQ744" s="14">
        <v>16271</v>
      </c>
      <c r="AR744" s="14">
        <v>23000</v>
      </c>
      <c r="AS744" s="14">
        <v>15000</v>
      </c>
      <c r="AT744" s="14">
        <v>15699</v>
      </c>
      <c r="AU744" s="14">
        <v>-8</v>
      </c>
      <c r="AV744" s="14">
        <v>291.05</v>
      </c>
      <c r="AW744" s="14">
        <v>14.11</v>
      </c>
      <c r="AX744" s="14">
        <v>4.99</v>
      </c>
      <c r="AY744" s="14" t="b">
        <v>0</v>
      </c>
    </row>
    <row r="745" spans="1:51" hidden="1" x14ac:dyDescent="0.3">
      <c r="A745" t="str">
        <f>CONCATENATE(I745,E745,LEFT(G745,10))</f>
        <v>HFA805LLHA2026-02-07</v>
      </c>
      <c r="B745" s="14" t="s">
        <v>4936</v>
      </c>
      <c r="C745" s="14" t="s">
        <v>336</v>
      </c>
      <c r="D745" s="14" t="s">
        <v>337</v>
      </c>
      <c r="E745" s="14" t="s">
        <v>43</v>
      </c>
      <c r="F745" s="14" t="s">
        <v>87</v>
      </c>
      <c r="G745" s="14" t="s">
        <v>4937</v>
      </c>
      <c r="H745" s="14" t="s">
        <v>371</v>
      </c>
      <c r="I745" s="14" t="s">
        <v>114</v>
      </c>
      <c r="J745" s="14" t="s">
        <v>69</v>
      </c>
      <c r="K745" s="14" t="s">
        <v>349</v>
      </c>
      <c r="L745" s="14" t="s">
        <v>341</v>
      </c>
      <c r="M745" s="16" t="s">
        <v>4938</v>
      </c>
      <c r="N745" s="14"/>
      <c r="O745" s="14" t="s">
        <v>2459</v>
      </c>
      <c r="P745" s="14">
        <v>50</v>
      </c>
      <c r="Q745" s="14">
        <v>2</v>
      </c>
      <c r="R745" s="14">
        <v>3800</v>
      </c>
      <c r="S745" s="14" t="s">
        <v>4939</v>
      </c>
      <c r="T745" s="14" t="s">
        <v>4940</v>
      </c>
      <c r="U745" s="14">
        <v>0.77527777777777696</v>
      </c>
      <c r="V745" s="14">
        <v>0.98611111111111105</v>
      </c>
      <c r="W745" s="14">
        <v>680</v>
      </c>
      <c r="X745" s="14">
        <v>50</v>
      </c>
      <c r="Y745" s="14">
        <v>630</v>
      </c>
      <c r="Z745" s="14">
        <v>820</v>
      </c>
      <c r="AA745" s="14">
        <v>363</v>
      </c>
      <c r="AB745" s="14">
        <v>257</v>
      </c>
      <c r="AC745" s="14">
        <v>157</v>
      </c>
      <c r="AD745" s="14">
        <v>43</v>
      </c>
      <c r="AE745" s="14">
        <v>1500</v>
      </c>
      <c r="AF745" s="14">
        <v>5000</v>
      </c>
      <c r="AG745" s="14">
        <v>2149</v>
      </c>
      <c r="AH745" s="14">
        <v>0</v>
      </c>
      <c r="AI745" s="14">
        <v>51</v>
      </c>
      <c r="AJ745" s="14">
        <v>122</v>
      </c>
      <c r="AK745" s="14" t="s">
        <v>4937</v>
      </c>
      <c r="AL745" s="14" t="s">
        <v>4941</v>
      </c>
      <c r="AM745" s="14">
        <v>179.36</v>
      </c>
      <c r="AN745" s="14">
        <v>142.63999999999999</v>
      </c>
      <c r="AO745" s="14">
        <v>73.5</v>
      </c>
      <c r="AP745" s="14">
        <v>18800</v>
      </c>
      <c r="AQ745" s="14">
        <v>18750</v>
      </c>
      <c r="AR745" s="14">
        <v>23000</v>
      </c>
      <c r="AS745" s="14">
        <v>17300</v>
      </c>
      <c r="AT745" s="14">
        <v>18120</v>
      </c>
      <c r="AU745" s="14">
        <v>-25</v>
      </c>
      <c r="AV745" s="14">
        <v>282.33999999999997</v>
      </c>
      <c r="AW745" s="14">
        <v>48.67</v>
      </c>
      <c r="AX745" s="14">
        <v>5.64</v>
      </c>
      <c r="AY745" s="14" t="b">
        <v>0</v>
      </c>
    </row>
    <row r="746" spans="1:51" hidden="1" x14ac:dyDescent="0.3">
      <c r="A746" t="str">
        <f>CONCATENATE(I746,E746,LEFT(G746,10))</f>
        <v>HFA805LLHA2026-02-08</v>
      </c>
      <c r="B746" s="14" t="s">
        <v>377</v>
      </c>
      <c r="C746" s="14" t="s">
        <v>336</v>
      </c>
      <c r="D746" s="14" t="s">
        <v>337</v>
      </c>
      <c r="E746" s="14" t="s">
        <v>43</v>
      </c>
      <c r="F746" s="14" t="s">
        <v>87</v>
      </c>
      <c r="G746" s="14" t="s">
        <v>378</v>
      </c>
      <c r="H746" s="14" t="s">
        <v>339</v>
      </c>
      <c r="I746" s="14" t="s">
        <v>114</v>
      </c>
      <c r="J746" s="14" t="s">
        <v>69</v>
      </c>
      <c r="K746" s="14" t="s">
        <v>349</v>
      </c>
      <c r="L746" s="14" t="s">
        <v>341</v>
      </c>
      <c r="M746" s="16" t="s">
        <v>379</v>
      </c>
      <c r="N746" s="14"/>
      <c r="O746" s="14" t="s">
        <v>380</v>
      </c>
      <c r="P746" s="14">
        <v>50</v>
      </c>
      <c r="Q746" s="14">
        <v>2</v>
      </c>
      <c r="R746" s="14">
        <v>1800</v>
      </c>
      <c r="S746" s="14" t="s">
        <v>381</v>
      </c>
      <c r="T746" s="14" t="s">
        <v>382</v>
      </c>
      <c r="U746" s="14">
        <v>0.80722222222222195</v>
      </c>
      <c r="V746" s="14">
        <v>0.94472222222222202</v>
      </c>
      <c r="W746" s="14">
        <v>638</v>
      </c>
      <c r="X746" s="14">
        <v>50</v>
      </c>
      <c r="Y746" s="14">
        <v>588</v>
      </c>
      <c r="Z746" s="14">
        <v>932</v>
      </c>
      <c r="AA746" s="14">
        <v>339</v>
      </c>
      <c r="AB746" s="14">
        <v>241</v>
      </c>
      <c r="AC746" s="14">
        <v>312</v>
      </c>
      <c r="AD746" s="14">
        <v>40</v>
      </c>
      <c r="AE746" s="14">
        <v>1570</v>
      </c>
      <c r="AF746" s="14">
        <v>5000</v>
      </c>
      <c r="AG746" s="14">
        <v>2015</v>
      </c>
      <c r="AH746" s="14">
        <v>0</v>
      </c>
      <c r="AI746" s="14">
        <v>48</v>
      </c>
      <c r="AJ746" s="14">
        <v>132</v>
      </c>
      <c r="AK746" s="14" t="s">
        <v>378</v>
      </c>
      <c r="AL746" s="14" t="s">
        <v>383</v>
      </c>
      <c r="AM746" s="14">
        <v>179.36</v>
      </c>
      <c r="AN746" s="14">
        <v>142.63999999999999</v>
      </c>
      <c r="AO746" s="14">
        <v>73.5</v>
      </c>
      <c r="AP746" s="14">
        <v>16695</v>
      </c>
      <c r="AQ746" s="14">
        <v>16645</v>
      </c>
      <c r="AR746" s="14">
        <v>23000</v>
      </c>
      <c r="AS746" s="14">
        <v>15125</v>
      </c>
      <c r="AT746" s="14">
        <v>16057</v>
      </c>
      <c r="AU746" s="14">
        <v>-19</v>
      </c>
      <c r="AV746" s="14">
        <v>268.62</v>
      </c>
      <c r="AW746" s="14">
        <v>46.6</v>
      </c>
      <c r="AX746" s="14">
        <v>6.79</v>
      </c>
      <c r="AY746" s="14" t="b">
        <v>0</v>
      </c>
    </row>
    <row r="747" spans="1:51" hidden="1" x14ac:dyDescent="0.3">
      <c r="A747" t="str">
        <f>CONCATENATE(I747,E747,LEFT(G747,10))</f>
        <v>HFA805LLHA2026-02-12</v>
      </c>
      <c r="B747" s="14" t="s">
        <v>553</v>
      </c>
      <c r="C747" s="14" t="s">
        <v>336</v>
      </c>
      <c r="D747" s="14" t="s">
        <v>337</v>
      </c>
      <c r="E747" s="14" t="s">
        <v>43</v>
      </c>
      <c r="F747" s="14" t="s">
        <v>87</v>
      </c>
      <c r="G747" s="14" t="s">
        <v>554</v>
      </c>
      <c r="H747" s="14" t="s">
        <v>339</v>
      </c>
      <c r="I747" s="14" t="s">
        <v>114</v>
      </c>
      <c r="J747" s="14" t="s">
        <v>69</v>
      </c>
      <c r="K747" s="14" t="s">
        <v>349</v>
      </c>
      <c r="L747" s="14" t="s">
        <v>341</v>
      </c>
      <c r="M747" s="16" t="s">
        <v>555</v>
      </c>
      <c r="N747" s="14"/>
      <c r="O747" s="14" t="s">
        <v>556</v>
      </c>
      <c r="P747" s="14">
        <v>50</v>
      </c>
      <c r="Q747" s="14">
        <v>3</v>
      </c>
      <c r="R747" s="14">
        <v>7200</v>
      </c>
      <c r="S747" s="14" t="s">
        <v>557</v>
      </c>
      <c r="T747" s="14" t="s">
        <v>558</v>
      </c>
      <c r="U747" s="14">
        <v>0.81583333333333297</v>
      </c>
      <c r="V747" s="14">
        <v>0.97083333333333299</v>
      </c>
      <c r="W747" s="14">
        <v>623</v>
      </c>
      <c r="X747" s="14">
        <v>50</v>
      </c>
      <c r="Y747" s="14">
        <v>573</v>
      </c>
      <c r="Z747" s="14">
        <v>937</v>
      </c>
      <c r="AA747" s="14">
        <v>366</v>
      </c>
      <c r="AB747" s="14">
        <v>287</v>
      </c>
      <c r="AC747" s="14">
        <v>236</v>
      </c>
      <c r="AD747" s="14">
        <v>48</v>
      </c>
      <c r="AE747" s="14">
        <v>1560</v>
      </c>
      <c r="AF747" s="14">
        <v>5000</v>
      </c>
      <c r="AG747" s="14">
        <v>1970</v>
      </c>
      <c r="AH747" s="14">
        <v>0</v>
      </c>
      <c r="AI747" s="14">
        <v>46</v>
      </c>
      <c r="AJ747" s="14">
        <v>123</v>
      </c>
      <c r="AK747" s="14" t="s">
        <v>554</v>
      </c>
      <c r="AL747" s="14" t="s">
        <v>559</v>
      </c>
      <c r="AM747" s="14">
        <v>179.36</v>
      </c>
      <c r="AN747" s="14">
        <v>142.63999999999999</v>
      </c>
      <c r="AO747" s="14">
        <v>73.5</v>
      </c>
      <c r="AP747" s="14">
        <v>22085</v>
      </c>
      <c r="AQ747" s="14">
        <v>22035</v>
      </c>
      <c r="AR747" s="14">
        <v>23000</v>
      </c>
      <c r="AS747" s="14">
        <v>20525</v>
      </c>
      <c r="AT747" s="14">
        <v>21462</v>
      </c>
      <c r="AU747" s="14">
        <v>5</v>
      </c>
      <c r="AV747" s="14">
        <v>231.79</v>
      </c>
      <c r="AW747" s="14">
        <v>32.479999999999997</v>
      </c>
      <c r="AX747" s="14">
        <v>2.69</v>
      </c>
      <c r="AY747" s="14" t="b">
        <v>0</v>
      </c>
    </row>
    <row r="748" spans="1:51" hidden="1" x14ac:dyDescent="0.3">
      <c r="A748" t="str">
        <f>CONCATENATE(I748,E748,LEFT(G748,10))</f>
        <v>HFA805LLHA2026-02-14</v>
      </c>
      <c r="B748" s="14" t="s">
        <v>4323</v>
      </c>
      <c r="C748" s="14" t="s">
        <v>336</v>
      </c>
      <c r="D748" s="14" t="s">
        <v>337</v>
      </c>
      <c r="E748" s="14" t="s">
        <v>43</v>
      </c>
      <c r="F748" s="14" t="s">
        <v>87</v>
      </c>
      <c r="G748" s="14" t="s">
        <v>4324</v>
      </c>
      <c r="H748" s="14" t="s">
        <v>371</v>
      </c>
      <c r="I748" s="14" t="s">
        <v>114</v>
      </c>
      <c r="J748" s="14" t="s">
        <v>69</v>
      </c>
      <c r="K748" s="14" t="s">
        <v>349</v>
      </c>
      <c r="L748" s="14" t="s">
        <v>341</v>
      </c>
      <c r="M748" s="16" t="s">
        <v>4325</v>
      </c>
      <c r="N748" s="14"/>
      <c r="O748" s="14" t="s">
        <v>2459</v>
      </c>
      <c r="P748" s="14">
        <v>50</v>
      </c>
      <c r="Q748" s="14">
        <v>2</v>
      </c>
      <c r="R748" s="14">
        <v>5800</v>
      </c>
      <c r="S748" s="14" t="s">
        <v>4326</v>
      </c>
      <c r="T748" s="14" t="s">
        <v>4327</v>
      </c>
      <c r="U748" s="14">
        <v>0.76694444444444398</v>
      </c>
      <c r="V748" s="14">
        <v>0.892777777777777</v>
      </c>
      <c r="W748" s="14">
        <v>673</v>
      </c>
      <c r="X748" s="14">
        <v>50</v>
      </c>
      <c r="Y748" s="14">
        <v>623</v>
      </c>
      <c r="Z748" s="14">
        <v>897</v>
      </c>
      <c r="AA748" s="14">
        <v>353</v>
      </c>
      <c r="AB748" s="14">
        <v>275</v>
      </c>
      <c r="AC748" s="14">
        <v>224</v>
      </c>
      <c r="AD748" s="14">
        <v>46</v>
      </c>
      <c r="AE748" s="14">
        <v>1570</v>
      </c>
      <c r="AF748" s="14">
        <v>5000</v>
      </c>
      <c r="AG748" s="14">
        <v>2125</v>
      </c>
      <c r="AH748" s="14">
        <v>0</v>
      </c>
      <c r="AI748" s="14">
        <v>49</v>
      </c>
      <c r="AJ748" s="14">
        <v>124</v>
      </c>
      <c r="AK748" s="14" t="s">
        <v>4324</v>
      </c>
      <c r="AL748" s="14" t="s">
        <v>4328</v>
      </c>
      <c r="AM748" s="14">
        <v>179.36</v>
      </c>
      <c r="AN748" s="14">
        <v>142.63999999999999</v>
      </c>
      <c r="AO748" s="14">
        <v>73.5</v>
      </c>
      <c r="AP748" s="14">
        <v>20870</v>
      </c>
      <c r="AQ748" s="14">
        <v>20820</v>
      </c>
      <c r="AR748" s="14">
        <v>23000</v>
      </c>
      <c r="AS748" s="14">
        <v>19300</v>
      </c>
      <c r="AT748" s="14">
        <v>20197</v>
      </c>
      <c r="AU748" s="14">
        <v>-17</v>
      </c>
      <c r="AV748" s="14">
        <v>289.10000000000002</v>
      </c>
      <c r="AW748" s="14">
        <v>29.05</v>
      </c>
      <c r="AX748" s="14">
        <v>3.57</v>
      </c>
      <c r="AY748" s="14" t="b">
        <v>0</v>
      </c>
    </row>
    <row r="749" spans="1:51" hidden="1" x14ac:dyDescent="0.3">
      <c r="A749" t="str">
        <f>CONCATENATE(I749,E749,LEFT(G749,10))</f>
        <v>HFA805LLHA2026-02-15</v>
      </c>
      <c r="B749" s="14" t="s">
        <v>4197</v>
      </c>
      <c r="C749" s="14" t="s">
        <v>336</v>
      </c>
      <c r="D749" s="14" t="s">
        <v>337</v>
      </c>
      <c r="E749" s="14" t="s">
        <v>43</v>
      </c>
      <c r="F749" s="14" t="s">
        <v>87</v>
      </c>
      <c r="G749" s="14" t="s">
        <v>4192</v>
      </c>
      <c r="H749" s="14" t="s">
        <v>339</v>
      </c>
      <c r="I749" s="14" t="s">
        <v>114</v>
      </c>
      <c r="J749" s="14" t="s">
        <v>69</v>
      </c>
      <c r="K749" s="14" t="s">
        <v>349</v>
      </c>
      <c r="L749" s="14" t="s">
        <v>341</v>
      </c>
      <c r="M749" s="16" t="s">
        <v>4198</v>
      </c>
      <c r="N749" s="14"/>
      <c r="O749" s="14" t="s">
        <v>4199</v>
      </c>
      <c r="P749" s="14">
        <v>50</v>
      </c>
      <c r="Q749" s="14">
        <v>2</v>
      </c>
      <c r="R749" s="14">
        <v>2100</v>
      </c>
      <c r="S749" s="14" t="s">
        <v>4200</v>
      </c>
      <c r="T749" s="14" t="s">
        <v>4201</v>
      </c>
      <c r="U749" s="14">
        <v>0.77055555555555499</v>
      </c>
      <c r="V749" s="14">
        <v>0.88027777777777705</v>
      </c>
      <c r="W749" s="14">
        <v>586</v>
      </c>
      <c r="X749" s="14">
        <v>50</v>
      </c>
      <c r="Y749" s="14">
        <v>536</v>
      </c>
      <c r="Z749" s="14">
        <v>834</v>
      </c>
      <c r="AA749" s="14">
        <v>313</v>
      </c>
      <c r="AB749" s="14">
        <v>243</v>
      </c>
      <c r="AC749" s="14">
        <v>238</v>
      </c>
      <c r="AD749" s="14">
        <v>40</v>
      </c>
      <c r="AE749" s="14">
        <v>1420</v>
      </c>
      <c r="AF749" s="14">
        <v>5000</v>
      </c>
      <c r="AG749" s="14">
        <v>1852</v>
      </c>
      <c r="AH749" s="14">
        <v>0</v>
      </c>
      <c r="AI749" s="14">
        <v>44</v>
      </c>
      <c r="AJ749" s="14">
        <v>120</v>
      </c>
      <c r="AK749" s="14" t="s">
        <v>4192</v>
      </c>
      <c r="AL749" s="14" t="s">
        <v>4202</v>
      </c>
      <c r="AM749" s="14">
        <v>179.36</v>
      </c>
      <c r="AN749" s="14">
        <v>142.63999999999999</v>
      </c>
      <c r="AO749" s="14">
        <v>73.5</v>
      </c>
      <c r="AP749" s="14">
        <v>16845</v>
      </c>
      <c r="AQ749" s="14">
        <v>16795</v>
      </c>
      <c r="AR749" s="14">
        <v>23000</v>
      </c>
      <c r="AS749" s="14">
        <v>15425</v>
      </c>
      <c r="AT749" s="14">
        <v>16259</v>
      </c>
      <c r="AU749" s="14">
        <v>2</v>
      </c>
      <c r="AV749" s="14">
        <v>233.85</v>
      </c>
      <c r="AW749" s="14">
        <v>17.05</v>
      </c>
      <c r="AX749" s="14">
        <v>9.4499999999999993</v>
      </c>
      <c r="AY749" s="14" t="b">
        <v>0</v>
      </c>
    </row>
    <row r="750" spans="1:51" hidden="1" x14ac:dyDescent="0.3">
      <c r="A750" t="str">
        <f>CONCATENATE(I750,E750,LEFT(G750,10))</f>
        <v>HFA805LLHA2026-02-19</v>
      </c>
      <c r="B750" s="14" t="s">
        <v>3915</v>
      </c>
      <c r="C750" s="14" t="s">
        <v>336</v>
      </c>
      <c r="D750" s="14" t="s">
        <v>337</v>
      </c>
      <c r="E750" s="14" t="s">
        <v>43</v>
      </c>
      <c r="F750" s="14" t="s">
        <v>87</v>
      </c>
      <c r="G750" s="14" t="s">
        <v>3916</v>
      </c>
      <c r="H750" s="14" t="s">
        <v>357</v>
      </c>
      <c r="I750" s="14" t="s">
        <v>114</v>
      </c>
      <c r="J750" s="14" t="s">
        <v>69</v>
      </c>
      <c r="K750" s="14" t="s">
        <v>349</v>
      </c>
      <c r="L750" s="14" t="s">
        <v>341</v>
      </c>
      <c r="M750" s="16" t="s">
        <v>3917</v>
      </c>
      <c r="N750" s="14" t="s">
        <v>359</v>
      </c>
      <c r="O750" s="14" t="s">
        <v>3918</v>
      </c>
      <c r="P750" s="14">
        <v>50</v>
      </c>
      <c r="Q750" s="14">
        <v>2</v>
      </c>
      <c r="R750" s="14">
        <v>5300</v>
      </c>
      <c r="S750" s="14" t="s">
        <v>3919</v>
      </c>
      <c r="T750" s="14" t="s">
        <v>3920</v>
      </c>
      <c r="U750" s="14">
        <v>0.70833333333333304</v>
      </c>
      <c r="V750" s="14">
        <v>0.88249999999999995</v>
      </c>
      <c r="W750" s="14">
        <v>626</v>
      </c>
      <c r="X750" s="14">
        <v>50</v>
      </c>
      <c r="Y750" s="14">
        <v>576</v>
      </c>
      <c r="Z750" s="14">
        <v>737</v>
      </c>
      <c r="AA750" s="14">
        <v>326</v>
      </c>
      <c r="AB750" s="14">
        <v>266</v>
      </c>
      <c r="AC750" s="14">
        <v>100</v>
      </c>
      <c r="AD750" s="14">
        <v>44</v>
      </c>
      <c r="AE750" s="14">
        <v>1363</v>
      </c>
      <c r="AF750" s="14">
        <v>5000</v>
      </c>
      <c r="AG750" s="14">
        <v>1979</v>
      </c>
      <c r="AH750" s="14">
        <v>0</v>
      </c>
      <c r="AI750" s="14">
        <v>47</v>
      </c>
      <c r="AJ750" s="14">
        <v>111</v>
      </c>
      <c r="AK750" s="14" t="s">
        <v>3916</v>
      </c>
      <c r="AL750" s="14" t="s">
        <v>3921</v>
      </c>
      <c r="AM750" s="14">
        <v>179.36</v>
      </c>
      <c r="AN750" s="14">
        <v>142.63999999999999</v>
      </c>
      <c r="AO750" s="14">
        <v>73.5</v>
      </c>
      <c r="AP750" s="14">
        <v>19888</v>
      </c>
      <c r="AQ750" s="14">
        <v>19838</v>
      </c>
      <c r="AR750" s="14">
        <v>23000</v>
      </c>
      <c r="AS750" s="14">
        <v>18525</v>
      </c>
      <c r="AT750" s="14">
        <v>19262</v>
      </c>
      <c r="AU750" s="14">
        <v>-7</v>
      </c>
      <c r="AV750" s="14">
        <v>283.95</v>
      </c>
      <c r="AW750" s="14">
        <v>13.35</v>
      </c>
      <c r="AX750" s="14">
        <v>3.54</v>
      </c>
      <c r="AY750" s="14" t="b">
        <v>0</v>
      </c>
    </row>
    <row r="751" spans="1:51" hidden="1" x14ac:dyDescent="0.3">
      <c r="A751" t="str">
        <f>CONCATENATE(I751,E751,LEFT(G751,10))</f>
        <v>HFA805LLHA2026-02-21</v>
      </c>
      <c r="B751" s="14" t="s">
        <v>3875</v>
      </c>
      <c r="C751" s="14" t="s">
        <v>336</v>
      </c>
      <c r="D751" s="14" t="s">
        <v>337</v>
      </c>
      <c r="E751" s="14" t="s">
        <v>43</v>
      </c>
      <c r="F751" s="14" t="s">
        <v>87</v>
      </c>
      <c r="G751" s="14" t="s">
        <v>3876</v>
      </c>
      <c r="H751" s="14" t="s">
        <v>371</v>
      </c>
      <c r="I751" s="14" t="s">
        <v>114</v>
      </c>
      <c r="J751" s="14" t="s">
        <v>69</v>
      </c>
      <c r="K751" s="14" t="s">
        <v>349</v>
      </c>
      <c r="L751" s="14" t="s">
        <v>341</v>
      </c>
      <c r="M751" s="16" t="s">
        <v>3877</v>
      </c>
      <c r="N751" s="14"/>
      <c r="O751" s="14" t="s">
        <v>1663</v>
      </c>
      <c r="P751" s="14">
        <v>50</v>
      </c>
      <c r="Q751" s="14">
        <v>2</v>
      </c>
      <c r="R751" s="14">
        <v>4000</v>
      </c>
      <c r="S751" s="14" t="s">
        <v>3878</v>
      </c>
      <c r="T751" s="14" t="s">
        <v>3879</v>
      </c>
      <c r="U751" s="14">
        <v>0.69055555555555503</v>
      </c>
      <c r="V751" s="14">
        <v>0.91416666666666602</v>
      </c>
      <c r="W751" s="14">
        <v>597</v>
      </c>
      <c r="X751" s="14">
        <v>50</v>
      </c>
      <c r="Y751" s="14">
        <v>547</v>
      </c>
      <c r="Z751" s="14">
        <v>963</v>
      </c>
      <c r="AA751" s="14">
        <v>335</v>
      </c>
      <c r="AB751" s="14">
        <v>260</v>
      </c>
      <c r="AC751" s="14">
        <v>326</v>
      </c>
      <c r="AD751" s="14">
        <v>43</v>
      </c>
      <c r="AE751" s="14">
        <v>1560</v>
      </c>
      <c r="AF751" s="14">
        <v>5000</v>
      </c>
      <c r="AG751" s="14">
        <v>1885</v>
      </c>
      <c r="AH751" s="14">
        <v>0</v>
      </c>
      <c r="AI751" s="14">
        <v>44</v>
      </c>
      <c r="AJ751" s="14">
        <v>126</v>
      </c>
      <c r="AK751" s="14" t="s">
        <v>3876</v>
      </c>
      <c r="AL751" s="14" t="s">
        <v>3880</v>
      </c>
      <c r="AM751" s="14">
        <v>179.36</v>
      </c>
      <c r="AN751" s="14">
        <v>142.63999999999999</v>
      </c>
      <c r="AO751" s="14">
        <v>73.5</v>
      </c>
      <c r="AP751" s="14">
        <v>19060</v>
      </c>
      <c r="AQ751" s="14">
        <v>19010</v>
      </c>
      <c r="AR751" s="14">
        <v>23000</v>
      </c>
      <c r="AS751" s="14">
        <v>17500</v>
      </c>
      <c r="AT751" s="14">
        <v>18463</v>
      </c>
      <c r="AU751" s="14">
        <v>12</v>
      </c>
      <c r="AV751" s="14">
        <v>213.53</v>
      </c>
      <c r="AW751" s="14">
        <v>33.35</v>
      </c>
      <c r="AX751" s="14">
        <v>5.52</v>
      </c>
      <c r="AY751" s="14" t="b">
        <v>0</v>
      </c>
    </row>
    <row r="752" spans="1:51" hidden="1" x14ac:dyDescent="0.3">
      <c r="A752" t="str">
        <f>CONCATENATE(I752,E752,LEFT(G752,10))</f>
        <v>HFA805LLHA2026-02-22</v>
      </c>
      <c r="B752" s="14" t="s">
        <v>1024</v>
      </c>
      <c r="C752" s="14" t="s">
        <v>336</v>
      </c>
      <c r="D752" s="14" t="s">
        <v>337</v>
      </c>
      <c r="E752" s="14" t="s">
        <v>43</v>
      </c>
      <c r="F752" s="14" t="s">
        <v>87</v>
      </c>
      <c r="G752" s="14" t="s">
        <v>1025</v>
      </c>
      <c r="H752" s="14" t="s">
        <v>357</v>
      </c>
      <c r="I752" s="14" t="s">
        <v>114</v>
      </c>
      <c r="J752" s="14" t="s">
        <v>69</v>
      </c>
      <c r="K752" s="14" t="s">
        <v>349</v>
      </c>
      <c r="L752" s="14" t="s">
        <v>341</v>
      </c>
      <c r="M752" s="16" t="s">
        <v>1026</v>
      </c>
      <c r="N752" s="14" t="s">
        <v>359</v>
      </c>
      <c r="O752" s="14" t="s">
        <v>1002</v>
      </c>
      <c r="P752" s="14">
        <v>50</v>
      </c>
      <c r="Q752" s="14">
        <v>2</v>
      </c>
      <c r="R752" s="14">
        <v>2100</v>
      </c>
      <c r="S752" s="14" t="s">
        <v>1027</v>
      </c>
      <c r="T752" s="14" t="s">
        <v>1028</v>
      </c>
      <c r="U752" s="14">
        <v>0.71222222222222198</v>
      </c>
      <c r="V752" s="14">
        <v>0.87083333333333302</v>
      </c>
      <c r="W752" s="14">
        <v>601</v>
      </c>
      <c r="X752" s="14">
        <v>50</v>
      </c>
      <c r="Y752" s="14">
        <v>551</v>
      </c>
      <c r="Z752" s="14">
        <v>705</v>
      </c>
      <c r="AA752" s="14">
        <v>324</v>
      </c>
      <c r="AB752" s="14">
        <v>241</v>
      </c>
      <c r="AC752" s="14">
        <v>100</v>
      </c>
      <c r="AD752" s="14">
        <v>40</v>
      </c>
      <c r="AE752" s="14">
        <v>1306</v>
      </c>
      <c r="AF752" s="14">
        <v>5000</v>
      </c>
      <c r="AG752" s="14">
        <v>1898</v>
      </c>
      <c r="AH752" s="14">
        <v>0</v>
      </c>
      <c r="AI752" s="14">
        <v>45</v>
      </c>
      <c r="AJ752" s="14">
        <v>108</v>
      </c>
      <c r="AK752" s="14" t="s">
        <v>1025</v>
      </c>
      <c r="AL752" s="14" t="s">
        <v>1029</v>
      </c>
      <c r="AM752" s="14">
        <v>179.36</v>
      </c>
      <c r="AN752" s="14">
        <v>142.63999999999999</v>
      </c>
      <c r="AO752" s="14">
        <v>73.5</v>
      </c>
      <c r="AP752" s="14">
        <v>16631</v>
      </c>
      <c r="AQ752" s="14">
        <v>16581</v>
      </c>
      <c r="AR752" s="14">
        <v>23000</v>
      </c>
      <c r="AS752" s="14">
        <v>15325</v>
      </c>
      <c r="AT752" s="14">
        <v>16030</v>
      </c>
      <c r="AU752" s="14">
        <v>-1</v>
      </c>
      <c r="AV752" s="14">
        <v>248.85</v>
      </c>
      <c r="AW752" s="14">
        <v>23.93</v>
      </c>
      <c r="AX752" s="14">
        <v>1.61</v>
      </c>
      <c r="AY752" s="14" t="b">
        <v>0</v>
      </c>
    </row>
    <row r="753" spans="1:51" hidden="1" x14ac:dyDescent="0.3">
      <c r="A753" t="str">
        <f>CONCATENATE(I753,E753,LEFT(G753,10))</f>
        <v>HFA806LCLK2026-01-01</v>
      </c>
      <c r="B753" s="14" t="s">
        <v>4475</v>
      </c>
      <c r="C753" s="14" t="s">
        <v>336</v>
      </c>
      <c r="D753" s="14" t="s">
        <v>337</v>
      </c>
      <c r="E753" s="14" t="s">
        <v>87</v>
      </c>
      <c r="F753" s="14" t="s">
        <v>43</v>
      </c>
      <c r="G753" s="14" t="s">
        <v>4476</v>
      </c>
      <c r="H753" s="14" t="s">
        <v>371</v>
      </c>
      <c r="I753" s="14" t="s">
        <v>115</v>
      </c>
      <c r="J753" s="14" t="s">
        <v>83</v>
      </c>
      <c r="K753" s="14" t="s">
        <v>340</v>
      </c>
      <c r="L753" s="14" t="s">
        <v>341</v>
      </c>
      <c r="M753" s="16" t="s">
        <v>4477</v>
      </c>
      <c r="N753" s="14"/>
      <c r="O753" s="14" t="s">
        <v>627</v>
      </c>
      <c r="P753" s="14">
        <v>130</v>
      </c>
      <c r="Q753" s="14">
        <v>2</v>
      </c>
      <c r="R753" s="14">
        <v>6800</v>
      </c>
      <c r="S753" s="14" t="s">
        <v>4478</v>
      </c>
      <c r="T753" s="14" t="s">
        <v>4479</v>
      </c>
      <c r="U753" s="14">
        <v>0.72083333333333299</v>
      </c>
      <c r="V753" s="14">
        <v>0.95</v>
      </c>
      <c r="W753" s="14">
        <v>605</v>
      </c>
      <c r="X753" s="14">
        <v>80</v>
      </c>
      <c r="Y753" s="14">
        <v>525</v>
      </c>
      <c r="Z753" s="14">
        <v>1595</v>
      </c>
      <c r="AA753" s="14">
        <v>273</v>
      </c>
      <c r="AB753" s="14">
        <v>291</v>
      </c>
      <c r="AC753" s="14">
        <v>982</v>
      </c>
      <c r="AD753" s="14">
        <v>49</v>
      </c>
      <c r="AE753" s="14">
        <v>2200</v>
      </c>
      <c r="AF753" s="14">
        <v>5000</v>
      </c>
      <c r="AG753" s="14">
        <v>1912</v>
      </c>
      <c r="AH753" s="14">
        <v>0</v>
      </c>
      <c r="AI753" s="14">
        <v>40</v>
      </c>
      <c r="AJ753" s="14">
        <v>168</v>
      </c>
      <c r="AK753" s="14" t="s">
        <v>4476</v>
      </c>
      <c r="AL753" s="14" t="s">
        <v>4480</v>
      </c>
      <c r="AM753" s="14">
        <v>162.11000000000001</v>
      </c>
      <c r="AN753" s="14">
        <v>142.63999999999999</v>
      </c>
      <c r="AO753" s="14">
        <v>54.99</v>
      </c>
      <c r="AP753" s="14">
        <v>22500</v>
      </c>
      <c r="AQ753" s="14">
        <v>22420</v>
      </c>
      <c r="AR753" s="14">
        <v>23000</v>
      </c>
      <c r="AS753" s="14">
        <v>20300</v>
      </c>
      <c r="AT753" s="14">
        <v>21895</v>
      </c>
      <c r="AU753" s="14">
        <v>12</v>
      </c>
      <c r="AV753" s="14">
        <v>262.57</v>
      </c>
      <c r="AW753" s="14">
        <v>44.64</v>
      </c>
      <c r="AX753" s="14">
        <v>-0.6</v>
      </c>
      <c r="AY753" s="14" t="b">
        <v>0</v>
      </c>
    </row>
    <row r="754" spans="1:51" hidden="1" x14ac:dyDescent="0.3">
      <c r="A754" t="str">
        <f>CONCATENATE(I754,E754,LEFT(G754,10))</f>
        <v>HFA806LCLK2026-01-03</v>
      </c>
      <c r="B754" s="15" t="s">
        <v>4982</v>
      </c>
      <c r="C754" s="14" t="s">
        <v>336</v>
      </c>
      <c r="D754" s="14" t="s">
        <v>337</v>
      </c>
      <c r="E754" s="14" t="s">
        <v>87</v>
      </c>
      <c r="F754" s="14" t="s">
        <v>43</v>
      </c>
      <c r="G754" s="14" t="s">
        <v>4983</v>
      </c>
      <c r="H754" s="14" t="s">
        <v>371</v>
      </c>
      <c r="I754" s="14" t="s">
        <v>115</v>
      </c>
      <c r="J754" s="14" t="s">
        <v>83</v>
      </c>
      <c r="K754" s="14" t="s">
        <v>340</v>
      </c>
      <c r="L754" s="14" t="s">
        <v>341</v>
      </c>
      <c r="M754" s="16" t="s">
        <v>1688</v>
      </c>
      <c r="N754" s="14"/>
      <c r="O754" s="14" t="s">
        <v>410</v>
      </c>
      <c r="P754" s="14">
        <v>130</v>
      </c>
      <c r="Q754" s="14">
        <v>2</v>
      </c>
      <c r="R754" s="14">
        <v>6700</v>
      </c>
      <c r="S754" s="14" t="s">
        <v>4984</v>
      </c>
      <c r="T754" s="14" t="s">
        <v>4985</v>
      </c>
      <c r="U754" s="14">
        <v>0.70055555555555504</v>
      </c>
      <c r="V754" s="14">
        <v>0.89333333333333298</v>
      </c>
      <c r="W754" s="14">
        <v>608</v>
      </c>
      <c r="X754" s="14">
        <v>80</v>
      </c>
      <c r="Y754" s="14">
        <v>528</v>
      </c>
      <c r="Z754" s="14">
        <v>1392</v>
      </c>
      <c r="AA754" s="14">
        <v>263</v>
      </c>
      <c r="AB754" s="14">
        <v>288</v>
      </c>
      <c r="AC754" s="14">
        <v>793</v>
      </c>
      <c r="AD754" s="14">
        <v>48</v>
      </c>
      <c r="AE754" s="14">
        <v>2000</v>
      </c>
      <c r="AF754" s="14">
        <v>5000</v>
      </c>
      <c r="AG754" s="14">
        <v>1922</v>
      </c>
      <c r="AH754" s="14">
        <v>0</v>
      </c>
      <c r="AI754" s="14">
        <v>41</v>
      </c>
      <c r="AJ754" s="14">
        <v>155</v>
      </c>
      <c r="AK754" s="14" t="s">
        <v>4983</v>
      </c>
      <c r="AL754" s="14" t="s">
        <v>4986</v>
      </c>
      <c r="AM754" s="14">
        <v>162.11000000000001</v>
      </c>
      <c r="AN754" s="14">
        <v>142.63999999999999</v>
      </c>
      <c r="AO754" s="14">
        <v>54.99</v>
      </c>
      <c r="AP754" s="14">
        <v>22200</v>
      </c>
      <c r="AQ754" s="14">
        <v>22120</v>
      </c>
      <c r="AR754" s="14">
        <v>23000</v>
      </c>
      <c r="AS754" s="14">
        <v>20200</v>
      </c>
      <c r="AT754" s="14">
        <v>21592</v>
      </c>
      <c r="AU754" s="14">
        <v>7</v>
      </c>
      <c r="AV754" s="14">
        <v>278.11</v>
      </c>
      <c r="AW754" s="14">
        <v>18.100000000000001</v>
      </c>
      <c r="AX754" s="14">
        <v>1.88</v>
      </c>
      <c r="AY754" s="14" t="b">
        <v>0</v>
      </c>
    </row>
    <row r="755" spans="1:51" hidden="1" x14ac:dyDescent="0.3">
      <c r="A755" t="str">
        <f>CONCATENATE(I755,E755,LEFT(G755,10))</f>
        <v>HFA806LCLK2026-01-04</v>
      </c>
      <c r="B755" s="14" t="s">
        <v>5334</v>
      </c>
      <c r="C755" s="14" t="s">
        <v>336</v>
      </c>
      <c r="D755" s="14" t="s">
        <v>337</v>
      </c>
      <c r="E755" s="14" t="s">
        <v>87</v>
      </c>
      <c r="F755" s="14" t="s">
        <v>43</v>
      </c>
      <c r="G755" s="14" t="s">
        <v>5335</v>
      </c>
      <c r="H755" s="14" t="s">
        <v>371</v>
      </c>
      <c r="I755" s="14" t="s">
        <v>115</v>
      </c>
      <c r="J755" s="14" t="s">
        <v>83</v>
      </c>
      <c r="K755" s="14" t="s">
        <v>340</v>
      </c>
      <c r="L755" s="14" t="s">
        <v>341</v>
      </c>
      <c r="M755" s="16" t="s">
        <v>5336</v>
      </c>
      <c r="N755" s="14"/>
      <c r="O755" s="14" t="s">
        <v>5316</v>
      </c>
      <c r="P755" s="14">
        <v>130</v>
      </c>
      <c r="Q755" s="14">
        <v>2</v>
      </c>
      <c r="R755" s="14">
        <v>6500</v>
      </c>
      <c r="S755" s="14" t="s">
        <v>5337</v>
      </c>
      <c r="T755" s="14" t="s">
        <v>5338</v>
      </c>
      <c r="U755" s="14">
        <v>0.762777777777777</v>
      </c>
      <c r="V755" s="14">
        <v>0.94694444444444403</v>
      </c>
      <c r="W755" s="14">
        <v>633</v>
      </c>
      <c r="X755" s="14">
        <v>80</v>
      </c>
      <c r="Y755" s="14">
        <v>553</v>
      </c>
      <c r="Z755" s="14">
        <v>1367</v>
      </c>
      <c r="AA755" s="14">
        <v>272</v>
      </c>
      <c r="AB755" s="14">
        <v>286</v>
      </c>
      <c r="AC755" s="14">
        <v>762</v>
      </c>
      <c r="AD755" s="14">
        <v>48</v>
      </c>
      <c r="AE755" s="14">
        <v>2000</v>
      </c>
      <c r="AF755" s="14">
        <v>5000</v>
      </c>
      <c r="AG755" s="14">
        <v>2000</v>
      </c>
      <c r="AH755" s="14">
        <v>0</v>
      </c>
      <c r="AI755" s="14">
        <v>43</v>
      </c>
      <c r="AJ755" s="14">
        <v>158</v>
      </c>
      <c r="AK755" s="14" t="s">
        <v>5335</v>
      </c>
      <c r="AL755" s="14" t="s">
        <v>5339</v>
      </c>
      <c r="AM755" s="14">
        <v>162.11000000000001</v>
      </c>
      <c r="AN755" s="14">
        <v>142.63999999999999</v>
      </c>
      <c r="AO755" s="14">
        <v>54.99</v>
      </c>
      <c r="AP755" s="14">
        <v>22000</v>
      </c>
      <c r="AQ755" s="14">
        <v>21920</v>
      </c>
      <c r="AR755" s="14">
        <v>23000</v>
      </c>
      <c r="AS755" s="14">
        <v>20000</v>
      </c>
      <c r="AT755" s="14">
        <v>21367</v>
      </c>
      <c r="AU755" s="14">
        <v>-9</v>
      </c>
      <c r="AV755" s="14">
        <v>207.77</v>
      </c>
      <c r="AW755" s="14">
        <v>15.58</v>
      </c>
      <c r="AX755" s="14">
        <v>5.19</v>
      </c>
      <c r="AY755" s="14" t="b">
        <v>0</v>
      </c>
    </row>
    <row r="756" spans="1:51" hidden="1" x14ac:dyDescent="0.3">
      <c r="A756" t="str">
        <f>CONCATENATE(I756,E756,LEFT(G756,10))</f>
        <v>HFA806LCLK2026-01-08</v>
      </c>
      <c r="B756" s="14" t="s">
        <v>2838</v>
      </c>
      <c r="C756" s="14" t="s">
        <v>336</v>
      </c>
      <c r="D756" s="14" t="s">
        <v>337</v>
      </c>
      <c r="E756" s="14" t="s">
        <v>87</v>
      </c>
      <c r="F756" s="14" t="s">
        <v>43</v>
      </c>
      <c r="G756" s="14" t="s">
        <v>2839</v>
      </c>
      <c r="H756" s="14" t="s">
        <v>339</v>
      </c>
      <c r="I756" s="14" t="s">
        <v>115</v>
      </c>
      <c r="J756" s="14" t="s">
        <v>83</v>
      </c>
      <c r="K756" s="14" t="s">
        <v>340</v>
      </c>
      <c r="L756" s="14" t="s">
        <v>341</v>
      </c>
      <c r="M756" s="16" t="s">
        <v>731</v>
      </c>
      <c r="N756" s="14"/>
      <c r="O756" s="14" t="s">
        <v>627</v>
      </c>
      <c r="P756" s="14">
        <v>130</v>
      </c>
      <c r="Q756" s="14">
        <v>2</v>
      </c>
      <c r="R756" s="14">
        <v>6400</v>
      </c>
      <c r="S756" s="14" t="s">
        <v>2840</v>
      </c>
      <c r="T756" s="14" t="s">
        <v>2841</v>
      </c>
      <c r="U756" s="14">
        <v>0.69722222222222197</v>
      </c>
      <c r="V756" s="14">
        <v>0.87666666666666604</v>
      </c>
      <c r="W756" s="14">
        <v>626</v>
      </c>
      <c r="X756" s="14">
        <v>80</v>
      </c>
      <c r="Y756" s="14">
        <v>546</v>
      </c>
      <c r="Z756" s="14">
        <v>1374</v>
      </c>
      <c r="AA756" s="14">
        <v>270</v>
      </c>
      <c r="AB756" s="14">
        <v>283</v>
      </c>
      <c r="AC756" s="14">
        <v>773</v>
      </c>
      <c r="AD756" s="14">
        <v>47</v>
      </c>
      <c r="AE756" s="14">
        <v>2000</v>
      </c>
      <c r="AF756" s="14">
        <v>5000</v>
      </c>
      <c r="AG756" s="14">
        <v>1978</v>
      </c>
      <c r="AH756" s="14">
        <v>0</v>
      </c>
      <c r="AI756" s="14">
        <v>44</v>
      </c>
      <c r="AJ756" s="14">
        <v>163</v>
      </c>
      <c r="AK756" s="14" t="s">
        <v>2839</v>
      </c>
      <c r="AL756" s="14" t="s">
        <v>2842</v>
      </c>
      <c r="AM756" s="14">
        <v>162.11000000000001</v>
      </c>
      <c r="AN756" s="14">
        <v>142.63999999999999</v>
      </c>
      <c r="AO756" s="14">
        <v>54.99</v>
      </c>
      <c r="AP756" s="14">
        <v>21725</v>
      </c>
      <c r="AQ756" s="14">
        <v>21645</v>
      </c>
      <c r="AR756" s="14">
        <v>23000</v>
      </c>
      <c r="AS756" s="14">
        <v>19725</v>
      </c>
      <c r="AT756" s="14">
        <v>21099</v>
      </c>
      <c r="AU756" s="14">
        <v>-13</v>
      </c>
      <c r="AV756" s="14">
        <v>218.66</v>
      </c>
      <c r="AW756" s="14">
        <v>40.340000000000003</v>
      </c>
      <c r="AX756" s="14">
        <v>7.42</v>
      </c>
      <c r="AY756" s="14" t="b">
        <v>0</v>
      </c>
    </row>
    <row r="757" spans="1:51" hidden="1" x14ac:dyDescent="0.3">
      <c r="A757" t="str">
        <f>CONCATENATE(I757,E757,LEFT(G757,10))</f>
        <v>HFA806LCLK2026-01-10</v>
      </c>
      <c r="B757" s="14" t="s">
        <v>1124</v>
      </c>
      <c r="C757" s="14" t="s">
        <v>336</v>
      </c>
      <c r="D757" s="14" t="s">
        <v>337</v>
      </c>
      <c r="E757" s="14" t="s">
        <v>87</v>
      </c>
      <c r="F757" s="14" t="s">
        <v>43</v>
      </c>
      <c r="G757" s="14" t="s">
        <v>1125</v>
      </c>
      <c r="H757" s="14" t="s">
        <v>371</v>
      </c>
      <c r="I757" s="14" t="s">
        <v>115</v>
      </c>
      <c r="J757" s="14" t="s">
        <v>83</v>
      </c>
      <c r="K757" s="14" t="s">
        <v>340</v>
      </c>
      <c r="L757" s="14" t="s">
        <v>341</v>
      </c>
      <c r="M757" s="16" t="s">
        <v>1090</v>
      </c>
      <c r="N757" s="14"/>
      <c r="O757" s="14" t="s">
        <v>410</v>
      </c>
      <c r="P757" s="14">
        <v>130</v>
      </c>
      <c r="Q757" s="14">
        <v>2</v>
      </c>
      <c r="R757" s="14">
        <v>5800</v>
      </c>
      <c r="S757" s="14" t="s">
        <v>1126</v>
      </c>
      <c r="T757" s="14" t="s">
        <v>1127</v>
      </c>
      <c r="U757" s="14">
        <v>0.64500000000000002</v>
      </c>
      <c r="V757" s="14">
        <v>1.0136111111111099</v>
      </c>
      <c r="W757" s="14">
        <v>596</v>
      </c>
      <c r="X757" s="14">
        <v>80</v>
      </c>
      <c r="Y757" s="14">
        <v>516</v>
      </c>
      <c r="Z757" s="14">
        <v>1404</v>
      </c>
      <c r="AA757" s="14">
        <v>267</v>
      </c>
      <c r="AB757" s="14">
        <v>279</v>
      </c>
      <c r="AC757" s="14">
        <v>811</v>
      </c>
      <c r="AD757" s="14">
        <v>47</v>
      </c>
      <c r="AE757" s="14">
        <v>2000</v>
      </c>
      <c r="AF757" s="14">
        <v>5000</v>
      </c>
      <c r="AG757" s="14">
        <v>1884</v>
      </c>
      <c r="AH757" s="14">
        <v>0</v>
      </c>
      <c r="AI757" s="14">
        <v>40</v>
      </c>
      <c r="AJ757" s="14">
        <v>156</v>
      </c>
      <c r="AK757" s="14" t="s">
        <v>1125</v>
      </c>
      <c r="AL757" s="14" t="s">
        <v>1128</v>
      </c>
      <c r="AM757" s="14">
        <v>162.11000000000001</v>
      </c>
      <c r="AN757" s="14">
        <v>142.63999999999999</v>
      </c>
      <c r="AO757" s="14">
        <v>54.99</v>
      </c>
      <c r="AP757" s="14">
        <v>21300</v>
      </c>
      <c r="AQ757" s="14">
        <v>21220</v>
      </c>
      <c r="AR757" s="14">
        <v>23000</v>
      </c>
      <c r="AS757" s="14">
        <v>19300</v>
      </c>
      <c r="AT757" s="14">
        <v>20704</v>
      </c>
      <c r="AU757" s="14">
        <v>10</v>
      </c>
      <c r="AV757" s="14">
        <v>274.17</v>
      </c>
      <c r="AW757" s="14">
        <v>31.12</v>
      </c>
      <c r="AX757" s="14">
        <v>1.94</v>
      </c>
      <c r="AY757" s="14" t="b">
        <v>0</v>
      </c>
    </row>
    <row r="758" spans="1:51" hidden="1" x14ac:dyDescent="0.3">
      <c r="A758" t="str">
        <f>CONCATENATE(I758,E758,LEFT(G758,10))</f>
        <v>HFA806LCLK2026-01-11</v>
      </c>
      <c r="B758" s="14" t="s">
        <v>2177</v>
      </c>
      <c r="C758" s="14" t="s">
        <v>336</v>
      </c>
      <c r="D758" s="14" t="s">
        <v>337</v>
      </c>
      <c r="E758" s="14" t="s">
        <v>87</v>
      </c>
      <c r="F758" s="14" t="s">
        <v>43</v>
      </c>
      <c r="G758" s="14" t="s">
        <v>2178</v>
      </c>
      <c r="H758" s="14" t="s">
        <v>371</v>
      </c>
      <c r="I758" s="14" t="s">
        <v>115</v>
      </c>
      <c r="J758" s="14" t="s">
        <v>83</v>
      </c>
      <c r="K758" s="14" t="s">
        <v>340</v>
      </c>
      <c r="L758" s="14" t="s">
        <v>341</v>
      </c>
      <c r="M758" s="16" t="s">
        <v>731</v>
      </c>
      <c r="N758" s="14"/>
      <c r="O758" s="14" t="s">
        <v>2179</v>
      </c>
      <c r="P758" s="14">
        <v>130</v>
      </c>
      <c r="Q758" s="14">
        <v>2</v>
      </c>
      <c r="R758" s="14">
        <v>5150</v>
      </c>
      <c r="S758" s="14" t="s">
        <v>2180</v>
      </c>
      <c r="T758" s="14" t="s">
        <v>2181</v>
      </c>
      <c r="U758" s="14">
        <v>0.70388888888888801</v>
      </c>
      <c r="V758" s="14">
        <v>0.85611111111111104</v>
      </c>
      <c r="W758" s="14">
        <v>623</v>
      </c>
      <c r="X758" s="14">
        <v>80</v>
      </c>
      <c r="Y758" s="14">
        <v>543</v>
      </c>
      <c r="Z758" s="14">
        <v>1377</v>
      </c>
      <c r="AA758" s="14">
        <v>274</v>
      </c>
      <c r="AB758" s="14">
        <v>273</v>
      </c>
      <c r="AC758" s="14">
        <v>784</v>
      </c>
      <c r="AD758" s="14">
        <v>46</v>
      </c>
      <c r="AE758" s="14">
        <v>2000</v>
      </c>
      <c r="AF758" s="14">
        <v>5000</v>
      </c>
      <c r="AG758" s="14">
        <v>1970</v>
      </c>
      <c r="AH758" s="14">
        <v>0</v>
      </c>
      <c r="AI758" s="14">
        <v>42</v>
      </c>
      <c r="AJ758" s="14">
        <v>157</v>
      </c>
      <c r="AK758" s="14" t="s">
        <v>2178</v>
      </c>
      <c r="AL758" s="14" t="s">
        <v>2182</v>
      </c>
      <c r="AM758" s="14">
        <v>162.11000000000001</v>
      </c>
      <c r="AN758" s="14">
        <v>142.63999999999999</v>
      </c>
      <c r="AO758" s="14">
        <v>54.99</v>
      </c>
      <c r="AP758" s="14">
        <v>20650</v>
      </c>
      <c r="AQ758" s="14">
        <v>20570</v>
      </c>
      <c r="AR758" s="14">
        <v>23000</v>
      </c>
      <c r="AS758" s="14">
        <v>18650</v>
      </c>
      <c r="AT758" s="14">
        <v>20027</v>
      </c>
      <c r="AU758" s="14">
        <v>-6</v>
      </c>
      <c r="AV758" s="14">
        <v>235.65</v>
      </c>
      <c r="AW758" s="14">
        <v>38.6</v>
      </c>
      <c r="AX758" s="14">
        <v>2.65</v>
      </c>
      <c r="AY758" s="14" t="b">
        <v>0</v>
      </c>
    </row>
    <row r="759" spans="1:51" hidden="1" x14ac:dyDescent="0.3">
      <c r="A759" t="str">
        <f>CONCATENATE(I759,E759,LEFT(G759,10))</f>
        <v>HFA806LCLK2026-01-15</v>
      </c>
      <c r="B759" s="14" t="s">
        <v>6113</v>
      </c>
      <c r="C759" s="14" t="s">
        <v>336</v>
      </c>
      <c r="D759" s="14" t="s">
        <v>337</v>
      </c>
      <c r="E759" s="14" t="s">
        <v>87</v>
      </c>
      <c r="F759" s="14" t="s">
        <v>43</v>
      </c>
      <c r="G759" s="14" t="s">
        <v>6114</v>
      </c>
      <c r="H759" s="14" t="s">
        <v>339</v>
      </c>
      <c r="I759" s="14" t="s">
        <v>115</v>
      </c>
      <c r="J759" s="14" t="s">
        <v>83</v>
      </c>
      <c r="K759" s="14" t="s">
        <v>340</v>
      </c>
      <c r="L759" s="14" t="s">
        <v>341</v>
      </c>
      <c r="M759" s="16" t="s">
        <v>543</v>
      </c>
      <c r="N759" s="14"/>
      <c r="O759" s="14" t="s">
        <v>732</v>
      </c>
      <c r="P759" s="14">
        <v>130</v>
      </c>
      <c r="Q759" s="14">
        <v>2</v>
      </c>
      <c r="R759" s="14">
        <v>2000</v>
      </c>
      <c r="S759" s="14" t="s">
        <v>6115</v>
      </c>
      <c r="T759" s="14" t="s">
        <v>6116</v>
      </c>
      <c r="U759" s="14">
        <v>0.67083333333333295</v>
      </c>
      <c r="V759" s="14">
        <v>1.00277777777777</v>
      </c>
      <c r="W759" s="14">
        <v>558</v>
      </c>
      <c r="X759" s="14">
        <v>80</v>
      </c>
      <c r="Y759" s="14">
        <v>478</v>
      </c>
      <c r="Z759" s="14">
        <v>1442</v>
      </c>
      <c r="AA759" s="14">
        <v>243</v>
      </c>
      <c r="AB759" s="14">
        <v>246</v>
      </c>
      <c r="AC759" s="14">
        <v>911</v>
      </c>
      <c r="AD759" s="14">
        <v>41</v>
      </c>
      <c r="AE759" s="14">
        <v>2000</v>
      </c>
      <c r="AF759" s="14">
        <v>5000</v>
      </c>
      <c r="AG759" s="14">
        <v>1764</v>
      </c>
      <c r="AH759" s="14">
        <v>0</v>
      </c>
      <c r="AI759" s="14">
        <v>38</v>
      </c>
      <c r="AJ759" s="14">
        <v>163</v>
      </c>
      <c r="AK759" s="14" t="s">
        <v>6114</v>
      </c>
      <c r="AL759" s="14" t="s">
        <v>6117</v>
      </c>
      <c r="AM759" s="14">
        <v>162.11000000000001</v>
      </c>
      <c r="AN759" s="14">
        <v>142.63999999999999</v>
      </c>
      <c r="AO759" s="14">
        <v>54.99</v>
      </c>
      <c r="AP759" s="14">
        <v>17325</v>
      </c>
      <c r="AQ759" s="14">
        <v>17245</v>
      </c>
      <c r="AR759" s="14">
        <v>23000</v>
      </c>
      <c r="AS759" s="14">
        <v>15325</v>
      </c>
      <c r="AT759" s="14">
        <v>16767</v>
      </c>
      <c r="AU759" s="14">
        <v>17</v>
      </c>
      <c r="AV759" s="14">
        <v>316.44</v>
      </c>
      <c r="AW759" s="14">
        <v>23.89</v>
      </c>
      <c r="AX759" s="14">
        <v>1.89</v>
      </c>
      <c r="AY759" s="14" t="b">
        <v>0</v>
      </c>
    </row>
    <row r="760" spans="1:51" hidden="1" x14ac:dyDescent="0.3">
      <c r="A760" t="str">
        <f>CONCATENATE(I760,E760,LEFT(G760,10))</f>
        <v>HFA806LCLK2026-01-17</v>
      </c>
      <c r="B760" s="14" t="s">
        <v>6436</v>
      </c>
      <c r="C760" s="14" t="s">
        <v>336</v>
      </c>
      <c r="D760" s="14" t="s">
        <v>337</v>
      </c>
      <c r="E760" s="14" t="s">
        <v>87</v>
      </c>
      <c r="F760" s="14" t="s">
        <v>43</v>
      </c>
      <c r="G760" s="14" t="s">
        <v>6437</v>
      </c>
      <c r="H760" s="14" t="s">
        <v>371</v>
      </c>
      <c r="I760" s="14" t="s">
        <v>115</v>
      </c>
      <c r="J760" s="14" t="s">
        <v>83</v>
      </c>
      <c r="K760" s="14" t="s">
        <v>340</v>
      </c>
      <c r="L760" s="14" t="s">
        <v>341</v>
      </c>
      <c r="M760" s="16" t="s">
        <v>6438</v>
      </c>
      <c r="N760" s="14"/>
      <c r="O760" s="14" t="s">
        <v>627</v>
      </c>
      <c r="P760" s="14">
        <v>130</v>
      </c>
      <c r="Q760" s="14">
        <v>2</v>
      </c>
      <c r="R760" s="14">
        <v>6700</v>
      </c>
      <c r="S760" s="14" t="s">
        <v>6439</v>
      </c>
      <c r="T760" s="14" t="s">
        <v>6440</v>
      </c>
      <c r="U760" s="14">
        <v>0.71861111111111098</v>
      </c>
      <c r="V760" s="14">
        <v>1.0505555555555499</v>
      </c>
      <c r="W760" s="14">
        <v>605</v>
      </c>
      <c r="X760" s="14">
        <v>80</v>
      </c>
      <c r="Y760" s="14">
        <v>525</v>
      </c>
      <c r="Z760" s="14">
        <v>1495</v>
      </c>
      <c r="AA760" s="14">
        <v>266</v>
      </c>
      <c r="AB760" s="14">
        <v>289</v>
      </c>
      <c r="AC760" s="14">
        <v>892</v>
      </c>
      <c r="AD760" s="14">
        <v>48</v>
      </c>
      <c r="AE760" s="14">
        <v>2100</v>
      </c>
      <c r="AF760" s="14">
        <v>5000</v>
      </c>
      <c r="AG760" s="14">
        <v>1911</v>
      </c>
      <c r="AH760" s="14">
        <v>0</v>
      </c>
      <c r="AI760" s="14">
        <v>40</v>
      </c>
      <c r="AJ760" s="14">
        <v>161</v>
      </c>
      <c r="AK760" s="14" t="s">
        <v>6437</v>
      </c>
      <c r="AL760" s="14" t="s">
        <v>6441</v>
      </c>
      <c r="AM760" s="14">
        <v>162.11000000000001</v>
      </c>
      <c r="AN760" s="14">
        <v>142.63999999999999</v>
      </c>
      <c r="AO760" s="14">
        <v>54.99</v>
      </c>
      <c r="AP760" s="14">
        <v>22300</v>
      </c>
      <c r="AQ760" s="14">
        <v>22220</v>
      </c>
      <c r="AR760" s="14">
        <v>23000</v>
      </c>
      <c r="AS760" s="14">
        <v>20200</v>
      </c>
      <c r="AT760" s="14">
        <v>21695</v>
      </c>
      <c r="AU760" s="14">
        <v>11</v>
      </c>
      <c r="AV760" s="14">
        <v>276.85000000000002</v>
      </c>
      <c r="AW760" s="14">
        <v>30.14</v>
      </c>
      <c r="AX760" s="14">
        <v>-0.09</v>
      </c>
      <c r="AY760" s="14" t="b">
        <v>0</v>
      </c>
    </row>
    <row r="761" spans="1:51" hidden="1" x14ac:dyDescent="0.3">
      <c r="A761" t="str">
        <f>CONCATENATE(I761,E761,LEFT(G761,10))</f>
        <v>HFA806LCLK2026-01-18</v>
      </c>
      <c r="B761" s="14" t="s">
        <v>5510</v>
      </c>
      <c r="C761" s="14" t="s">
        <v>336</v>
      </c>
      <c r="D761" s="14" t="s">
        <v>337</v>
      </c>
      <c r="E761" s="14" t="s">
        <v>87</v>
      </c>
      <c r="F761" s="14" t="s">
        <v>43</v>
      </c>
      <c r="G761" s="14" t="s">
        <v>5511</v>
      </c>
      <c r="H761" s="14" t="s">
        <v>339</v>
      </c>
      <c r="I761" s="14" t="s">
        <v>115</v>
      </c>
      <c r="J761" s="14" t="s">
        <v>83</v>
      </c>
      <c r="K761" s="14" t="s">
        <v>340</v>
      </c>
      <c r="L761" s="14" t="s">
        <v>341</v>
      </c>
      <c r="M761" s="16" t="s">
        <v>5512</v>
      </c>
      <c r="N761" s="14"/>
      <c r="O761" s="14" t="s">
        <v>5513</v>
      </c>
      <c r="P761" s="14">
        <v>130</v>
      </c>
      <c r="Q761" s="14">
        <v>2</v>
      </c>
      <c r="R761" s="14">
        <v>5100</v>
      </c>
      <c r="S761" s="14" t="s">
        <v>5514</v>
      </c>
      <c r="T761" s="14" t="s">
        <v>5515</v>
      </c>
      <c r="U761" s="14">
        <v>0.66916666666666602</v>
      </c>
      <c r="V761" s="14">
        <v>0.85194444444444395</v>
      </c>
      <c r="W761" s="14">
        <v>584</v>
      </c>
      <c r="X761" s="14">
        <v>80</v>
      </c>
      <c r="Y761" s="14">
        <v>504</v>
      </c>
      <c r="Z761" s="14">
        <v>1616</v>
      </c>
      <c r="AA761" s="14">
        <v>253</v>
      </c>
      <c r="AB761" s="14">
        <v>273</v>
      </c>
      <c r="AC761" s="14">
        <v>1044</v>
      </c>
      <c r="AD761" s="14">
        <v>46</v>
      </c>
      <c r="AE761" s="14">
        <v>2200</v>
      </c>
      <c r="AF761" s="14">
        <v>5000</v>
      </c>
      <c r="AG761" s="14">
        <v>1846</v>
      </c>
      <c r="AH761" s="14">
        <v>0</v>
      </c>
      <c r="AI761" s="14">
        <v>38</v>
      </c>
      <c r="AJ761" s="14">
        <v>172</v>
      </c>
      <c r="AK761" s="14" t="s">
        <v>5511</v>
      </c>
      <c r="AL761" s="14" t="s">
        <v>5516</v>
      </c>
      <c r="AM761" s="14">
        <v>162.11000000000001</v>
      </c>
      <c r="AN761" s="14">
        <v>142.63999999999999</v>
      </c>
      <c r="AO761" s="14">
        <v>54.99</v>
      </c>
      <c r="AP761" s="14">
        <v>20625</v>
      </c>
      <c r="AQ761" s="14">
        <v>20545</v>
      </c>
      <c r="AR761" s="14">
        <v>23000</v>
      </c>
      <c r="AS761" s="14">
        <v>18425</v>
      </c>
      <c r="AT761" s="14">
        <v>20041</v>
      </c>
      <c r="AU761" s="14">
        <v>15</v>
      </c>
      <c r="AV761" s="14">
        <v>279.24</v>
      </c>
      <c r="AW761" s="14">
        <v>37.25</v>
      </c>
      <c r="AX761" s="14">
        <v>-2.9</v>
      </c>
      <c r="AY761" s="14" t="b">
        <v>0</v>
      </c>
    </row>
    <row r="762" spans="1:51" hidden="1" x14ac:dyDescent="0.3">
      <c r="A762" t="str">
        <f>CONCATENATE(I762,E762,LEFT(G762,10))</f>
        <v>HFA806LCLK2026-01-20</v>
      </c>
      <c r="B762" s="14" t="s">
        <v>4722</v>
      </c>
      <c r="C762" s="14" t="s">
        <v>336</v>
      </c>
      <c r="D762" s="14" t="s">
        <v>337</v>
      </c>
      <c r="E762" s="14" t="s">
        <v>87</v>
      </c>
      <c r="F762" s="14" t="s">
        <v>43</v>
      </c>
      <c r="G762" s="14" t="s">
        <v>4723</v>
      </c>
      <c r="H762" s="14" t="s">
        <v>393</v>
      </c>
      <c r="I762" s="14" t="s">
        <v>115</v>
      </c>
      <c r="J762" s="14" t="s">
        <v>83</v>
      </c>
      <c r="K762" s="14" t="s">
        <v>340</v>
      </c>
      <c r="L762" s="14" t="s">
        <v>341</v>
      </c>
      <c r="M762" s="16" t="s">
        <v>4724</v>
      </c>
      <c r="N762" s="14"/>
      <c r="O762" s="14" t="s">
        <v>4725</v>
      </c>
      <c r="P762" s="14">
        <v>130</v>
      </c>
      <c r="Q762" s="14">
        <v>2</v>
      </c>
      <c r="R762" s="14">
        <v>3700</v>
      </c>
      <c r="S762" s="14" t="s">
        <v>4726</v>
      </c>
      <c r="T762" s="14" t="s">
        <v>4727</v>
      </c>
      <c r="U762" s="14">
        <v>0.60444444444444401</v>
      </c>
      <c r="V762" s="14">
        <v>0.81444444444444397</v>
      </c>
      <c r="W762" s="14">
        <v>645</v>
      </c>
      <c r="X762" s="14">
        <v>80</v>
      </c>
      <c r="Y762" s="14">
        <v>565</v>
      </c>
      <c r="Z762" s="14">
        <v>805</v>
      </c>
      <c r="AA762" s="14">
        <v>252</v>
      </c>
      <c r="AB762" s="14">
        <v>255</v>
      </c>
      <c r="AC762" s="14">
        <v>256</v>
      </c>
      <c r="AD762" s="14">
        <v>42</v>
      </c>
      <c r="AE762" s="14">
        <v>1450</v>
      </c>
      <c r="AF762" s="14">
        <v>5000</v>
      </c>
      <c r="AG762" s="14">
        <v>2037</v>
      </c>
      <c r="AH762" s="14">
        <v>0</v>
      </c>
      <c r="AI762" s="14">
        <v>39</v>
      </c>
      <c r="AJ762" s="14">
        <v>108</v>
      </c>
      <c r="AK762" s="14" t="s">
        <v>4723</v>
      </c>
      <c r="AL762" s="14" t="s">
        <v>4728</v>
      </c>
      <c r="AM762" s="14">
        <v>168.46</v>
      </c>
      <c r="AN762" s="14">
        <v>142.63999999999999</v>
      </c>
      <c r="AO762" s="14">
        <v>54.99</v>
      </c>
      <c r="AP762" s="14">
        <v>18461</v>
      </c>
      <c r="AQ762" s="14">
        <v>18381</v>
      </c>
      <c r="AR762" s="14">
        <v>23000</v>
      </c>
      <c r="AS762" s="14">
        <v>17011</v>
      </c>
      <c r="AT762" s="14">
        <v>17816</v>
      </c>
      <c r="AU762" s="14">
        <v>21</v>
      </c>
      <c r="AV762" s="14">
        <v>306.47000000000003</v>
      </c>
      <c r="AW762" s="14">
        <v>37.53</v>
      </c>
      <c r="AX762" s="14">
        <v>-0.69</v>
      </c>
      <c r="AY762" s="14" t="b">
        <v>0</v>
      </c>
    </row>
    <row r="763" spans="1:51" hidden="1" x14ac:dyDescent="0.3">
      <c r="A763" t="str">
        <f>CONCATENATE(I763,E763,LEFT(G763,10))</f>
        <v>HFA806LCLK2026-01-22</v>
      </c>
      <c r="B763" s="14" t="s">
        <v>2078</v>
      </c>
      <c r="C763" s="14" t="s">
        <v>336</v>
      </c>
      <c r="D763" s="14" t="s">
        <v>337</v>
      </c>
      <c r="E763" s="14" t="s">
        <v>87</v>
      </c>
      <c r="F763" s="14" t="s">
        <v>43</v>
      </c>
      <c r="G763" s="14" t="s">
        <v>2079</v>
      </c>
      <c r="H763" s="14" t="s">
        <v>339</v>
      </c>
      <c r="I763" s="14" t="s">
        <v>115</v>
      </c>
      <c r="J763" s="14" t="s">
        <v>83</v>
      </c>
      <c r="K763" s="14" t="s">
        <v>340</v>
      </c>
      <c r="L763" s="14" t="s">
        <v>341</v>
      </c>
      <c r="M763" s="16" t="s">
        <v>2080</v>
      </c>
      <c r="N763" s="14"/>
      <c r="O763" s="14" t="s">
        <v>343</v>
      </c>
      <c r="P763" s="14">
        <v>90</v>
      </c>
      <c r="Q763" s="14">
        <v>3</v>
      </c>
      <c r="R763" s="14">
        <v>0</v>
      </c>
      <c r="S763" s="14" t="s">
        <v>2081</v>
      </c>
      <c r="T763" s="14" t="s">
        <v>2082</v>
      </c>
      <c r="U763" s="14">
        <v>0.843055555555555</v>
      </c>
      <c r="V763" s="14">
        <v>1.08361111111111</v>
      </c>
      <c r="W763" s="14">
        <v>649</v>
      </c>
      <c r="X763" s="14">
        <v>80</v>
      </c>
      <c r="Y763" s="14">
        <v>569</v>
      </c>
      <c r="Z763" s="14">
        <v>1551</v>
      </c>
      <c r="AA763" s="14">
        <v>581</v>
      </c>
      <c r="AB763" s="14">
        <v>263</v>
      </c>
      <c r="AC763" s="14">
        <v>663</v>
      </c>
      <c r="AD763" s="14">
        <v>44</v>
      </c>
      <c r="AE763" s="14">
        <v>2200</v>
      </c>
      <c r="AF763" s="14">
        <v>5000</v>
      </c>
      <c r="AG763" s="14">
        <v>2050</v>
      </c>
      <c r="AH763" s="14">
        <v>0</v>
      </c>
      <c r="AI763" s="14">
        <v>42</v>
      </c>
      <c r="AJ763" s="14">
        <v>169</v>
      </c>
      <c r="AK763" s="14" t="s">
        <v>2079</v>
      </c>
      <c r="AL763" s="14" t="s">
        <v>2083</v>
      </c>
      <c r="AM763" s="14">
        <v>162.11000000000001</v>
      </c>
      <c r="AN763" s="14">
        <v>142.63999999999999</v>
      </c>
      <c r="AO763" s="14">
        <v>54.99</v>
      </c>
      <c r="AP763" s="14">
        <v>19519</v>
      </c>
      <c r="AQ763" s="14">
        <v>19439</v>
      </c>
      <c r="AR763" s="14">
        <v>23000</v>
      </c>
      <c r="AS763" s="14">
        <v>17319</v>
      </c>
      <c r="AT763" s="14">
        <v>18870</v>
      </c>
      <c r="AU763" s="14">
        <v>-14</v>
      </c>
      <c r="AV763" s="14">
        <v>221.23</v>
      </c>
      <c r="AW763" s="14">
        <v>36.81</v>
      </c>
      <c r="AX763" s="14">
        <v>2.63</v>
      </c>
      <c r="AY763" s="14" t="b">
        <v>0</v>
      </c>
    </row>
    <row r="764" spans="1:51" hidden="1" x14ac:dyDescent="0.3">
      <c r="A764" t="str">
        <f>CONCATENATE(I764,E764,LEFT(G764,10))</f>
        <v>HFA806LCLK2026-01-25</v>
      </c>
      <c r="B764" s="14" t="s">
        <v>5175</v>
      </c>
      <c r="C764" s="14" t="s">
        <v>336</v>
      </c>
      <c r="D764" s="14" t="s">
        <v>337</v>
      </c>
      <c r="E764" s="14" t="s">
        <v>87</v>
      </c>
      <c r="F764" s="14" t="s">
        <v>43</v>
      </c>
      <c r="G764" s="14" t="s">
        <v>5170</v>
      </c>
      <c r="H764" s="14" t="s">
        <v>371</v>
      </c>
      <c r="I764" s="14" t="s">
        <v>115</v>
      </c>
      <c r="J764" s="14" t="s">
        <v>83</v>
      </c>
      <c r="K764" s="14" t="s">
        <v>340</v>
      </c>
      <c r="L764" s="14" t="s">
        <v>341</v>
      </c>
      <c r="M764" s="16" t="s">
        <v>5176</v>
      </c>
      <c r="N764" s="14"/>
      <c r="O764" s="14" t="s">
        <v>627</v>
      </c>
      <c r="P764" s="14">
        <v>130</v>
      </c>
      <c r="Q764" s="14">
        <v>2</v>
      </c>
      <c r="R764" s="14">
        <v>6900</v>
      </c>
      <c r="S764" s="14" t="s">
        <v>5177</v>
      </c>
      <c r="T764" s="14" t="s">
        <v>5178</v>
      </c>
      <c r="U764" s="14">
        <v>0.71722222222222198</v>
      </c>
      <c r="V764" s="14">
        <v>1.03861111111111</v>
      </c>
      <c r="W764" s="14">
        <v>602</v>
      </c>
      <c r="X764" s="14">
        <v>80</v>
      </c>
      <c r="Y764" s="14">
        <v>522</v>
      </c>
      <c r="Z764" s="14">
        <v>1398</v>
      </c>
      <c r="AA764" s="14">
        <v>266</v>
      </c>
      <c r="AB764" s="14">
        <v>290</v>
      </c>
      <c r="AC764" s="14">
        <v>793</v>
      </c>
      <c r="AD764" s="14">
        <v>48</v>
      </c>
      <c r="AE764" s="14">
        <v>2000</v>
      </c>
      <c r="AF764" s="14">
        <v>5000</v>
      </c>
      <c r="AG764" s="14">
        <v>1904</v>
      </c>
      <c r="AH764" s="14">
        <v>0</v>
      </c>
      <c r="AI764" s="14">
        <v>41</v>
      </c>
      <c r="AJ764" s="14">
        <v>157</v>
      </c>
      <c r="AK764" s="14" t="s">
        <v>5170</v>
      </c>
      <c r="AL764" s="14" t="s">
        <v>5179</v>
      </c>
      <c r="AM764" s="14">
        <v>162.11000000000001</v>
      </c>
      <c r="AN764" s="14">
        <v>142.63999999999999</v>
      </c>
      <c r="AO764" s="14">
        <v>54.99</v>
      </c>
      <c r="AP764" s="14">
        <v>22400</v>
      </c>
      <c r="AQ764" s="14">
        <v>22320</v>
      </c>
      <c r="AR764" s="14">
        <v>23000</v>
      </c>
      <c r="AS764" s="14">
        <v>20400</v>
      </c>
      <c r="AT764" s="14">
        <v>21798</v>
      </c>
      <c r="AU764" s="14">
        <v>7</v>
      </c>
      <c r="AV764" s="14">
        <v>290</v>
      </c>
      <c r="AW764" s="14">
        <v>14.76</v>
      </c>
      <c r="AX764" s="14">
        <v>5.57</v>
      </c>
      <c r="AY764" s="14" t="b">
        <v>0</v>
      </c>
    </row>
    <row r="765" spans="1:51" hidden="1" x14ac:dyDescent="0.3">
      <c r="A765" t="str">
        <f>CONCATENATE(I765,E765,LEFT(G765,10))</f>
        <v>HFA806LCLK2026-02-07</v>
      </c>
      <c r="B765" s="14" t="s">
        <v>4924</v>
      </c>
      <c r="C765" s="14" t="s">
        <v>336</v>
      </c>
      <c r="D765" s="14" t="s">
        <v>337</v>
      </c>
      <c r="E765" s="14" t="s">
        <v>87</v>
      </c>
      <c r="F765" s="14" t="s">
        <v>43</v>
      </c>
      <c r="G765" s="14" t="s">
        <v>4925</v>
      </c>
      <c r="H765" s="14" t="s">
        <v>371</v>
      </c>
      <c r="I765" s="14" t="s">
        <v>115</v>
      </c>
      <c r="J765" s="14" t="s">
        <v>83</v>
      </c>
      <c r="K765" s="14" t="s">
        <v>340</v>
      </c>
      <c r="L765" s="14" t="s">
        <v>341</v>
      </c>
      <c r="M765" s="16" t="s">
        <v>1090</v>
      </c>
      <c r="N765" s="14"/>
      <c r="O765" s="14" t="s">
        <v>4926</v>
      </c>
      <c r="P765" s="14">
        <v>130</v>
      </c>
      <c r="Q765" s="14">
        <v>2</v>
      </c>
      <c r="R765" s="14">
        <v>5500</v>
      </c>
      <c r="S765" s="14" t="s">
        <v>4927</v>
      </c>
      <c r="T765" s="14" t="s">
        <v>4928</v>
      </c>
      <c r="U765" s="14">
        <v>0.62277777777777699</v>
      </c>
      <c r="V765" s="14">
        <v>0.93277777777777704</v>
      </c>
      <c r="W765" s="14">
        <v>564</v>
      </c>
      <c r="X765" s="14">
        <v>80</v>
      </c>
      <c r="Y765" s="14">
        <v>484</v>
      </c>
      <c r="Z765" s="14">
        <v>1436</v>
      </c>
      <c r="AA765" s="14">
        <v>264</v>
      </c>
      <c r="AB765" s="14">
        <v>277</v>
      </c>
      <c r="AC765" s="14">
        <v>849</v>
      </c>
      <c r="AD765" s="14">
        <v>46</v>
      </c>
      <c r="AE765" s="14">
        <v>2000</v>
      </c>
      <c r="AF765" s="14">
        <v>5000</v>
      </c>
      <c r="AG765" s="14">
        <v>1781</v>
      </c>
      <c r="AH765" s="14">
        <v>0</v>
      </c>
      <c r="AI765" s="14">
        <v>38</v>
      </c>
      <c r="AJ765" s="14">
        <v>158</v>
      </c>
      <c r="AK765" s="14" t="s">
        <v>4925</v>
      </c>
      <c r="AL765" s="14" t="s">
        <v>4929</v>
      </c>
      <c r="AM765" s="14">
        <v>162.11000000000001</v>
      </c>
      <c r="AN765" s="14">
        <v>142.63999999999999</v>
      </c>
      <c r="AO765" s="14">
        <v>54.99</v>
      </c>
      <c r="AP765" s="14">
        <v>21000</v>
      </c>
      <c r="AQ765" s="14">
        <v>20920</v>
      </c>
      <c r="AR765" s="14">
        <v>23000</v>
      </c>
      <c r="AS765" s="14">
        <v>19000</v>
      </c>
      <c r="AT765" s="14">
        <v>20436</v>
      </c>
      <c r="AU765" s="14">
        <v>25</v>
      </c>
      <c r="AV765" s="14">
        <v>282.12</v>
      </c>
      <c r="AW765" s="14">
        <v>57.19</v>
      </c>
      <c r="AX765" s="14">
        <v>5.21</v>
      </c>
      <c r="AY765" s="14" t="b">
        <v>0</v>
      </c>
    </row>
    <row r="766" spans="1:51" hidden="1" x14ac:dyDescent="0.3">
      <c r="A766" t="str">
        <f>CONCATENATE(I766,E766,LEFT(G766,10))</f>
        <v>HFA806LCLK2026-02-08</v>
      </c>
      <c r="B766" s="14" t="s">
        <v>364</v>
      </c>
      <c r="C766" s="14" t="s">
        <v>336</v>
      </c>
      <c r="D766" s="14" t="s">
        <v>337</v>
      </c>
      <c r="E766" s="14" t="s">
        <v>87</v>
      </c>
      <c r="F766" s="14" t="s">
        <v>43</v>
      </c>
      <c r="G766" s="14" t="s">
        <v>365</v>
      </c>
      <c r="H766" s="14" t="s">
        <v>339</v>
      </c>
      <c r="I766" s="14" t="s">
        <v>115</v>
      </c>
      <c r="J766" s="14" t="s">
        <v>83</v>
      </c>
      <c r="K766" s="14" t="s">
        <v>340</v>
      </c>
      <c r="L766" s="14" t="s">
        <v>341</v>
      </c>
      <c r="M766" s="16" t="s">
        <v>366</v>
      </c>
      <c r="N766" s="14"/>
      <c r="O766" s="14" t="s">
        <v>343</v>
      </c>
      <c r="P766" s="14">
        <v>130</v>
      </c>
      <c r="Q766" s="14">
        <v>2</v>
      </c>
      <c r="R766" s="14">
        <v>4800</v>
      </c>
      <c r="S766" s="14" t="s">
        <v>367</v>
      </c>
      <c r="T766" s="14" t="s">
        <v>368</v>
      </c>
      <c r="U766" s="14">
        <v>0.65027777777777696</v>
      </c>
      <c r="V766" s="14">
        <v>0.91916666666666602</v>
      </c>
      <c r="W766" s="14">
        <v>561</v>
      </c>
      <c r="X766" s="14">
        <v>80</v>
      </c>
      <c r="Y766" s="14">
        <v>481</v>
      </c>
      <c r="Z766" s="14">
        <v>1539</v>
      </c>
      <c r="AA766" s="14">
        <v>261</v>
      </c>
      <c r="AB766" s="14">
        <v>270</v>
      </c>
      <c r="AC766" s="14">
        <v>963</v>
      </c>
      <c r="AD766" s="14">
        <v>45</v>
      </c>
      <c r="AE766" s="14">
        <v>2100</v>
      </c>
      <c r="AF766" s="14">
        <v>5000</v>
      </c>
      <c r="AG766" s="14">
        <v>1774</v>
      </c>
      <c r="AH766" s="14">
        <v>0</v>
      </c>
      <c r="AI766" s="14">
        <v>38</v>
      </c>
      <c r="AJ766" s="14">
        <v>172</v>
      </c>
      <c r="AK766" s="14" t="s">
        <v>365</v>
      </c>
      <c r="AL766" s="14" t="s">
        <v>369</v>
      </c>
      <c r="AM766" s="14">
        <v>162.11000000000001</v>
      </c>
      <c r="AN766" s="14">
        <v>142.63999999999999</v>
      </c>
      <c r="AO766" s="14">
        <v>54.99</v>
      </c>
      <c r="AP766" s="14">
        <v>20225</v>
      </c>
      <c r="AQ766" s="14">
        <v>20145</v>
      </c>
      <c r="AR766" s="14">
        <v>23000</v>
      </c>
      <c r="AS766" s="14">
        <v>18125</v>
      </c>
      <c r="AT766" s="14">
        <v>19664</v>
      </c>
      <c r="AU766" s="14">
        <v>18</v>
      </c>
      <c r="AV766" s="14">
        <v>274.45</v>
      </c>
      <c r="AW766" s="14">
        <v>50.5</v>
      </c>
      <c r="AX766" s="14">
        <v>6.76</v>
      </c>
      <c r="AY766" s="14" t="b">
        <v>0</v>
      </c>
    </row>
    <row r="767" spans="1:51" hidden="1" x14ac:dyDescent="0.3">
      <c r="A767" t="str">
        <f>CONCATENATE(I767,E767,LEFT(G767,10))</f>
        <v>HFA806LCLK2026-02-12</v>
      </c>
      <c r="B767" s="14" t="s">
        <v>540</v>
      </c>
      <c r="C767" s="14" t="s">
        <v>336</v>
      </c>
      <c r="D767" s="14" t="s">
        <v>337</v>
      </c>
      <c r="E767" s="14" t="s">
        <v>87</v>
      </c>
      <c r="F767" s="14" t="s">
        <v>43</v>
      </c>
      <c r="G767" s="14" t="s">
        <v>541</v>
      </c>
      <c r="H767" s="14" t="s">
        <v>339</v>
      </c>
      <c r="I767" s="14" t="s">
        <v>115</v>
      </c>
      <c r="J767" s="14" t="s">
        <v>83</v>
      </c>
      <c r="K767" s="14" t="s">
        <v>340</v>
      </c>
      <c r="L767" s="14" t="s">
        <v>542</v>
      </c>
      <c r="M767" s="16" t="s">
        <v>543</v>
      </c>
      <c r="N767" s="14"/>
      <c r="O767" s="14" t="s">
        <v>410</v>
      </c>
      <c r="P767" s="14">
        <v>130</v>
      </c>
      <c r="Q767" s="14">
        <v>3</v>
      </c>
      <c r="R767" s="14">
        <v>800</v>
      </c>
      <c r="S767" s="14" t="s">
        <v>544</v>
      </c>
      <c r="T767" s="14" t="s">
        <v>545</v>
      </c>
      <c r="U767" s="14">
        <v>0.637777777777777</v>
      </c>
      <c r="V767" s="14">
        <v>0.87805555555555503</v>
      </c>
      <c r="W767" s="14">
        <v>592</v>
      </c>
      <c r="X767" s="14">
        <v>80</v>
      </c>
      <c r="Y767" s="14">
        <v>512</v>
      </c>
      <c r="Z767" s="14">
        <v>1508</v>
      </c>
      <c r="AA767" s="14">
        <v>256</v>
      </c>
      <c r="AB767" s="14">
        <v>238</v>
      </c>
      <c r="AC767" s="14">
        <v>974</v>
      </c>
      <c r="AD767" s="14">
        <v>40</v>
      </c>
      <c r="AE767" s="14">
        <v>2100</v>
      </c>
      <c r="AF767" s="14">
        <v>5000</v>
      </c>
      <c r="AG767" s="14">
        <v>1871</v>
      </c>
      <c r="AH767" s="14">
        <v>0</v>
      </c>
      <c r="AI767" s="14">
        <v>41</v>
      </c>
      <c r="AJ767" s="14">
        <v>172</v>
      </c>
      <c r="AK767" s="14" t="s">
        <v>541</v>
      </c>
      <c r="AL767" s="14" t="s">
        <v>546</v>
      </c>
      <c r="AM767" s="14">
        <v>162.11000000000001</v>
      </c>
      <c r="AN767" s="14">
        <v>142.63999999999999</v>
      </c>
      <c r="AO767" s="14">
        <v>54.99</v>
      </c>
      <c r="AP767" s="14">
        <v>16225</v>
      </c>
      <c r="AQ767" s="14">
        <v>16145</v>
      </c>
      <c r="AR767" s="14">
        <v>23000</v>
      </c>
      <c r="AS767" s="14">
        <v>14125</v>
      </c>
      <c r="AT767" s="14">
        <v>15633</v>
      </c>
      <c r="AU767" s="14">
        <v>-6</v>
      </c>
      <c r="AV767" s="14">
        <v>235.12</v>
      </c>
      <c r="AW767" s="14">
        <v>41.64</v>
      </c>
      <c r="AX767" s="14">
        <v>2.37</v>
      </c>
      <c r="AY767" s="14" t="b">
        <v>0</v>
      </c>
    </row>
    <row r="768" spans="1:51" hidden="1" x14ac:dyDescent="0.3">
      <c r="A768" t="str">
        <f>CONCATENATE(I768,E768,LEFT(G768,10))</f>
        <v>HFA806LCLK2026-02-14</v>
      </c>
      <c r="B768" s="14" t="s">
        <v>4303</v>
      </c>
      <c r="C768" s="14" t="s">
        <v>336</v>
      </c>
      <c r="D768" s="14" t="s">
        <v>337</v>
      </c>
      <c r="E768" s="14" t="s">
        <v>87</v>
      </c>
      <c r="F768" s="14" t="s">
        <v>43</v>
      </c>
      <c r="G768" s="14" t="s">
        <v>4304</v>
      </c>
      <c r="H768" s="14" t="s">
        <v>371</v>
      </c>
      <c r="I768" s="14" t="s">
        <v>115</v>
      </c>
      <c r="J768" s="14" t="s">
        <v>83</v>
      </c>
      <c r="K768" s="14" t="s">
        <v>340</v>
      </c>
      <c r="L768" s="14" t="s">
        <v>341</v>
      </c>
      <c r="M768" s="16" t="s">
        <v>4305</v>
      </c>
      <c r="N768" s="14"/>
      <c r="O768" s="14" t="s">
        <v>410</v>
      </c>
      <c r="P768" s="14">
        <v>130</v>
      </c>
      <c r="Q768" s="14">
        <v>2</v>
      </c>
      <c r="R768" s="14">
        <v>7100</v>
      </c>
      <c r="S768" s="14" t="s">
        <v>4306</v>
      </c>
      <c r="T768" s="14" t="s">
        <v>4307</v>
      </c>
      <c r="U768" s="14">
        <v>0.68055555555555503</v>
      </c>
      <c r="V768" s="14">
        <v>0.88694444444444398</v>
      </c>
      <c r="W768" s="14">
        <v>581</v>
      </c>
      <c r="X768" s="14">
        <v>80</v>
      </c>
      <c r="Y768" s="14">
        <v>501</v>
      </c>
      <c r="Z768" s="14">
        <v>1419</v>
      </c>
      <c r="AA768" s="14">
        <v>267</v>
      </c>
      <c r="AB768" s="14">
        <v>293</v>
      </c>
      <c r="AC768" s="14">
        <v>810</v>
      </c>
      <c r="AD768" s="14">
        <v>49</v>
      </c>
      <c r="AE768" s="14">
        <v>2000</v>
      </c>
      <c r="AF768" s="14">
        <v>5000</v>
      </c>
      <c r="AG768" s="14">
        <v>1836</v>
      </c>
      <c r="AH768" s="14">
        <v>0</v>
      </c>
      <c r="AI768" s="14">
        <v>39</v>
      </c>
      <c r="AJ768" s="14">
        <v>156</v>
      </c>
      <c r="AK768" s="14" t="s">
        <v>4304</v>
      </c>
      <c r="AL768" s="14" t="s">
        <v>4308</v>
      </c>
      <c r="AM768" s="14">
        <v>162.11000000000001</v>
      </c>
      <c r="AN768" s="14">
        <v>142.63999999999999</v>
      </c>
      <c r="AO768" s="14">
        <v>54.99</v>
      </c>
      <c r="AP768" s="14">
        <v>22600</v>
      </c>
      <c r="AQ768" s="14">
        <v>22520</v>
      </c>
      <c r="AR768" s="14">
        <v>23000</v>
      </c>
      <c r="AS768" s="14">
        <v>20600</v>
      </c>
      <c r="AT768" s="14">
        <v>22019</v>
      </c>
      <c r="AU768" s="14">
        <v>20</v>
      </c>
      <c r="AV768" s="14">
        <v>300.25</v>
      </c>
      <c r="AW768" s="14">
        <v>36.22</v>
      </c>
      <c r="AX768" s="14">
        <v>4.75</v>
      </c>
      <c r="AY768" s="14" t="b">
        <v>0</v>
      </c>
    </row>
    <row r="769" spans="1:51" hidden="1" x14ac:dyDescent="0.3">
      <c r="A769" t="str">
        <f>CONCATENATE(I769,E769,LEFT(G769,10))</f>
        <v>HFA806LCLK2026-02-15</v>
      </c>
      <c r="B769" s="14" t="s">
        <v>4186</v>
      </c>
      <c r="C769" s="14" t="s">
        <v>336</v>
      </c>
      <c r="D769" s="14" t="s">
        <v>337</v>
      </c>
      <c r="E769" s="14" t="s">
        <v>87</v>
      </c>
      <c r="F769" s="14" t="s">
        <v>43</v>
      </c>
      <c r="G769" s="14" t="s">
        <v>4187</v>
      </c>
      <c r="H769" s="14" t="s">
        <v>339</v>
      </c>
      <c r="I769" s="14" t="s">
        <v>115</v>
      </c>
      <c r="J769" s="14" t="s">
        <v>83</v>
      </c>
      <c r="K769" s="14" t="s">
        <v>340</v>
      </c>
      <c r="L769" s="14" t="s">
        <v>341</v>
      </c>
      <c r="M769" s="16" t="s">
        <v>2670</v>
      </c>
      <c r="N769" s="14"/>
      <c r="O769" s="14" t="s">
        <v>4115</v>
      </c>
      <c r="P769" s="14">
        <v>130</v>
      </c>
      <c r="Q769" s="14">
        <v>2</v>
      </c>
      <c r="R769" s="14">
        <v>7000</v>
      </c>
      <c r="S769" s="14" t="s">
        <v>4188</v>
      </c>
      <c r="T769" s="14" t="s">
        <v>4189</v>
      </c>
      <c r="U769" s="14">
        <v>0.72083333333333299</v>
      </c>
      <c r="V769" s="14">
        <v>1.05</v>
      </c>
      <c r="W769" s="14">
        <v>610</v>
      </c>
      <c r="X769" s="14">
        <v>80</v>
      </c>
      <c r="Y769" s="14">
        <v>530</v>
      </c>
      <c r="Z769" s="14">
        <v>1590</v>
      </c>
      <c r="AA769" s="14">
        <v>261</v>
      </c>
      <c r="AB769" s="14">
        <v>292</v>
      </c>
      <c r="AC769" s="14">
        <v>989</v>
      </c>
      <c r="AD769" s="14">
        <v>49</v>
      </c>
      <c r="AE769" s="14">
        <v>2200</v>
      </c>
      <c r="AF769" s="14">
        <v>5000</v>
      </c>
      <c r="AG769" s="14">
        <v>1929</v>
      </c>
      <c r="AH769" s="14">
        <v>0</v>
      </c>
      <c r="AI769" s="14">
        <v>43</v>
      </c>
      <c r="AJ769" s="14">
        <v>181</v>
      </c>
      <c r="AK769" s="14" t="s">
        <v>4187</v>
      </c>
      <c r="AL769" s="14" t="s">
        <v>4190</v>
      </c>
      <c r="AM769" s="14">
        <v>162.11000000000001</v>
      </c>
      <c r="AN769" s="14">
        <v>142.63999999999999</v>
      </c>
      <c r="AO769" s="14">
        <v>54.99</v>
      </c>
      <c r="AP769" s="14">
        <v>22525</v>
      </c>
      <c r="AQ769" s="14">
        <v>22445</v>
      </c>
      <c r="AR769" s="14">
        <v>23000</v>
      </c>
      <c r="AS769" s="14">
        <v>20325</v>
      </c>
      <c r="AT769" s="14">
        <v>21915</v>
      </c>
      <c r="AU769" s="14">
        <v>-5</v>
      </c>
      <c r="AV769" s="14">
        <v>237.38</v>
      </c>
      <c r="AW769" s="14">
        <v>25.14</v>
      </c>
      <c r="AX769" s="14">
        <v>10.08</v>
      </c>
      <c r="AY769" s="14" t="b">
        <v>0</v>
      </c>
    </row>
    <row r="770" spans="1:51" hidden="1" x14ac:dyDescent="0.3">
      <c r="A770" t="str">
        <f>CONCATENATE(I770,E770,LEFT(G770,10))</f>
        <v>HFA806LCLK2026-02-19</v>
      </c>
      <c r="B770" s="14" t="s">
        <v>3910</v>
      </c>
      <c r="C770" s="14" t="s">
        <v>336</v>
      </c>
      <c r="D770" s="14" t="s">
        <v>337</v>
      </c>
      <c r="E770" s="14" t="s">
        <v>87</v>
      </c>
      <c r="F770" s="14" t="s">
        <v>43</v>
      </c>
      <c r="G770" s="14" t="s">
        <v>3911</v>
      </c>
      <c r="H770" s="14" t="s">
        <v>357</v>
      </c>
      <c r="I770" s="14" t="s">
        <v>115</v>
      </c>
      <c r="J770" s="14" t="s">
        <v>83</v>
      </c>
      <c r="K770" s="14" t="s">
        <v>340</v>
      </c>
      <c r="L770" s="14" t="s">
        <v>341</v>
      </c>
      <c r="M770" s="16" t="s">
        <v>543</v>
      </c>
      <c r="N770" s="14" t="s">
        <v>359</v>
      </c>
      <c r="O770" s="14" t="s">
        <v>410</v>
      </c>
      <c r="P770" s="14">
        <v>130</v>
      </c>
      <c r="Q770" s="14">
        <v>2</v>
      </c>
      <c r="R770" s="14">
        <v>2400</v>
      </c>
      <c r="S770" s="14" t="s">
        <v>3912</v>
      </c>
      <c r="T770" s="14" t="s">
        <v>3913</v>
      </c>
      <c r="U770" s="14">
        <v>0.67083333333333295</v>
      </c>
      <c r="V770" s="14">
        <v>0.91111111111111098</v>
      </c>
      <c r="W770" s="14">
        <v>565</v>
      </c>
      <c r="X770" s="14">
        <v>80</v>
      </c>
      <c r="Y770" s="14">
        <v>485</v>
      </c>
      <c r="Z770" s="14">
        <v>1535</v>
      </c>
      <c r="AA770" s="14">
        <v>243</v>
      </c>
      <c r="AB770" s="14">
        <v>249</v>
      </c>
      <c r="AC770" s="14">
        <v>1001</v>
      </c>
      <c r="AD770" s="14">
        <v>41</v>
      </c>
      <c r="AE770" s="14">
        <v>2100</v>
      </c>
      <c r="AF770" s="14">
        <v>5000</v>
      </c>
      <c r="AG770" s="14">
        <v>1785</v>
      </c>
      <c r="AH770" s="14">
        <v>0</v>
      </c>
      <c r="AI770" s="14">
        <v>39</v>
      </c>
      <c r="AJ770" s="14">
        <v>175</v>
      </c>
      <c r="AK770" s="14" t="s">
        <v>3911</v>
      </c>
      <c r="AL770" s="14" t="s">
        <v>3914</v>
      </c>
      <c r="AM770" s="14">
        <v>162.11000000000001</v>
      </c>
      <c r="AN770" s="14">
        <v>142.63999999999999</v>
      </c>
      <c r="AO770" s="14">
        <v>54.99</v>
      </c>
      <c r="AP770" s="14">
        <v>17725</v>
      </c>
      <c r="AQ770" s="14">
        <v>17645</v>
      </c>
      <c r="AR770" s="14">
        <v>23000</v>
      </c>
      <c r="AS770" s="14">
        <v>15625</v>
      </c>
      <c r="AT770" s="14">
        <v>17160</v>
      </c>
      <c r="AU770" s="14">
        <v>6</v>
      </c>
      <c r="AV770" s="14">
        <v>281.60000000000002</v>
      </c>
      <c r="AW770" s="14">
        <v>12.61</v>
      </c>
      <c r="AX770" s="14">
        <v>5.24</v>
      </c>
      <c r="AY770" s="14" t="b">
        <v>0</v>
      </c>
    </row>
    <row r="771" spans="1:51" hidden="1" x14ac:dyDescent="0.3">
      <c r="A771" t="str">
        <f>CONCATENATE(I771,E771,LEFT(G771,10))</f>
        <v>HFA806LCLK2026-02-21</v>
      </c>
      <c r="B771" s="15" t="s">
        <v>3862</v>
      </c>
      <c r="C771" s="14" t="s">
        <v>336</v>
      </c>
      <c r="D771" s="14" t="s">
        <v>337</v>
      </c>
      <c r="E771" s="14" t="s">
        <v>87</v>
      </c>
      <c r="F771" s="14" t="s">
        <v>43</v>
      </c>
      <c r="G771" s="14" t="s">
        <v>3863</v>
      </c>
      <c r="H771" s="14" t="s">
        <v>371</v>
      </c>
      <c r="I771" s="14" t="s">
        <v>115</v>
      </c>
      <c r="J771" s="14" t="s">
        <v>83</v>
      </c>
      <c r="K771" s="14" t="s">
        <v>340</v>
      </c>
      <c r="L771" s="14" t="s">
        <v>341</v>
      </c>
      <c r="M771" s="16" t="s">
        <v>1225</v>
      </c>
      <c r="N771" s="14"/>
      <c r="O771" s="14" t="s">
        <v>3864</v>
      </c>
      <c r="P771" s="14">
        <v>130</v>
      </c>
      <c r="Q771" s="14">
        <v>2</v>
      </c>
      <c r="R771" s="14">
        <v>6300</v>
      </c>
      <c r="S771" s="14" t="s">
        <v>3865</v>
      </c>
      <c r="T771" s="14" t="s">
        <v>3866</v>
      </c>
      <c r="U771" s="14">
        <v>0.75194444444444397</v>
      </c>
      <c r="V771" s="14">
        <v>0.99222222222222201</v>
      </c>
      <c r="W771" s="14">
        <v>638</v>
      </c>
      <c r="X771" s="14">
        <v>80</v>
      </c>
      <c r="Y771" s="14">
        <v>558</v>
      </c>
      <c r="Z771" s="14">
        <v>1462</v>
      </c>
      <c r="AA771" s="14">
        <v>273</v>
      </c>
      <c r="AB771" s="14">
        <v>285</v>
      </c>
      <c r="AC771" s="14">
        <v>857</v>
      </c>
      <c r="AD771" s="14">
        <v>47</v>
      </c>
      <c r="AE771" s="14">
        <v>2100</v>
      </c>
      <c r="AF771" s="14">
        <v>5000</v>
      </c>
      <c r="AG771" s="14">
        <v>2017</v>
      </c>
      <c r="AH771" s="14">
        <v>0</v>
      </c>
      <c r="AI771" s="14">
        <v>44</v>
      </c>
      <c r="AJ771" s="14">
        <v>166</v>
      </c>
      <c r="AK771" s="14" t="s">
        <v>3863</v>
      </c>
      <c r="AL771" s="14" t="s">
        <v>3867</v>
      </c>
      <c r="AM771" s="14">
        <v>162.11000000000001</v>
      </c>
      <c r="AN771" s="14">
        <v>142.63999999999999</v>
      </c>
      <c r="AO771" s="14">
        <v>54.99</v>
      </c>
      <c r="AP771" s="14">
        <v>21900</v>
      </c>
      <c r="AQ771" s="14">
        <v>21820</v>
      </c>
      <c r="AR771" s="14">
        <v>23000</v>
      </c>
      <c r="AS771" s="14">
        <v>19800</v>
      </c>
      <c r="AT771" s="14">
        <v>21262</v>
      </c>
      <c r="AU771" s="14">
        <v>-12</v>
      </c>
      <c r="AV771" s="14">
        <v>216.47</v>
      </c>
      <c r="AW771" s="14">
        <v>38.64</v>
      </c>
      <c r="AX771" s="14">
        <v>5.44</v>
      </c>
      <c r="AY771" s="14" t="b">
        <v>0</v>
      </c>
    </row>
    <row r="772" spans="1:51" hidden="1" x14ac:dyDescent="0.3">
      <c r="A772" t="str">
        <f>CONCATENATE(I772,E772,LEFT(G772,10))</f>
        <v>HFA806LCLK2026-02-22</v>
      </c>
      <c r="B772" s="14" t="s">
        <v>1013</v>
      </c>
      <c r="C772" s="14" t="s">
        <v>336</v>
      </c>
      <c r="D772" s="14" t="s">
        <v>337</v>
      </c>
      <c r="E772" s="14" t="s">
        <v>87</v>
      </c>
      <c r="F772" s="14" t="s">
        <v>43</v>
      </c>
      <c r="G772" s="14" t="s">
        <v>1014</v>
      </c>
      <c r="H772" s="14" t="s">
        <v>357</v>
      </c>
      <c r="I772" s="14" t="s">
        <v>115</v>
      </c>
      <c r="J772" s="14" t="s">
        <v>83</v>
      </c>
      <c r="K772" s="14" t="s">
        <v>340</v>
      </c>
      <c r="L772" s="14" t="s">
        <v>341</v>
      </c>
      <c r="M772" s="16" t="s">
        <v>1015</v>
      </c>
      <c r="N772" s="14" t="s">
        <v>359</v>
      </c>
      <c r="O772" s="14" t="s">
        <v>995</v>
      </c>
      <c r="P772" s="14">
        <v>130</v>
      </c>
      <c r="Q772" s="14">
        <v>2</v>
      </c>
      <c r="R772" s="14">
        <v>0</v>
      </c>
      <c r="S772" s="14" t="s">
        <v>1016</v>
      </c>
      <c r="T772" s="14" t="s">
        <v>1017</v>
      </c>
      <c r="U772" s="14">
        <v>0.68777777777777704</v>
      </c>
      <c r="V772" s="14">
        <v>0.975833333333333</v>
      </c>
      <c r="W772" s="14">
        <v>595</v>
      </c>
      <c r="X772" s="14">
        <v>80</v>
      </c>
      <c r="Y772" s="14">
        <v>515</v>
      </c>
      <c r="Z772" s="14">
        <v>1405</v>
      </c>
      <c r="AA772" s="14">
        <v>254</v>
      </c>
      <c r="AB772" s="14">
        <v>271</v>
      </c>
      <c r="AC772" s="14">
        <v>834</v>
      </c>
      <c r="AD772" s="14">
        <v>45</v>
      </c>
      <c r="AE772" s="14">
        <v>2000</v>
      </c>
      <c r="AF772" s="14">
        <v>5000</v>
      </c>
      <c r="AG772" s="14">
        <v>1881</v>
      </c>
      <c r="AH772" s="14">
        <v>0</v>
      </c>
      <c r="AI772" s="14">
        <v>40</v>
      </c>
      <c r="AJ772" s="14">
        <v>161</v>
      </c>
      <c r="AK772" s="14" t="s">
        <v>1014</v>
      </c>
      <c r="AL772" s="14" t="s">
        <v>1018</v>
      </c>
      <c r="AM772" s="14">
        <v>162.11000000000001</v>
      </c>
      <c r="AN772" s="14">
        <v>142.63999999999999</v>
      </c>
      <c r="AO772" s="14">
        <v>54.99</v>
      </c>
      <c r="AP772" s="14">
        <v>20385</v>
      </c>
      <c r="AQ772" s="14">
        <v>20305</v>
      </c>
      <c r="AR772" s="14">
        <v>23000</v>
      </c>
      <c r="AS772" s="14">
        <v>18385</v>
      </c>
      <c r="AT772" s="14">
        <v>19790</v>
      </c>
      <c r="AU772" s="14">
        <v>1</v>
      </c>
      <c r="AV772" s="14">
        <v>243.2</v>
      </c>
      <c r="AW772" s="14">
        <v>22.4</v>
      </c>
      <c r="AX772" s="14">
        <v>1.72</v>
      </c>
      <c r="AY772" s="14" t="b">
        <v>0</v>
      </c>
    </row>
    <row r="773" spans="1:51" hidden="1" x14ac:dyDescent="0.3">
      <c r="A773" t="str">
        <f>CONCATENATE(I773,E773,LEFT(G773,10))</f>
        <v>HFA807LLHA2026-01-01</v>
      </c>
      <c r="B773" s="14" t="s">
        <v>4461</v>
      </c>
      <c r="C773" s="14" t="s">
        <v>336</v>
      </c>
      <c r="D773" s="14" t="s">
        <v>337</v>
      </c>
      <c r="E773" s="14" t="s">
        <v>43</v>
      </c>
      <c r="F773" s="14" t="s">
        <v>87</v>
      </c>
      <c r="G773" s="14" t="s">
        <v>4462</v>
      </c>
      <c r="H773" s="14" t="s">
        <v>371</v>
      </c>
      <c r="I773" s="14" t="s">
        <v>118</v>
      </c>
      <c r="J773" s="14" t="s">
        <v>69</v>
      </c>
      <c r="K773" s="14" t="s">
        <v>349</v>
      </c>
      <c r="L773" s="14" t="s">
        <v>341</v>
      </c>
      <c r="M773" s="16" t="s">
        <v>4463</v>
      </c>
      <c r="N773" s="14"/>
      <c r="O773" s="14" t="s">
        <v>4464</v>
      </c>
      <c r="P773" s="14">
        <v>50</v>
      </c>
      <c r="Q773" s="14">
        <v>2</v>
      </c>
      <c r="R773" s="14">
        <v>6700</v>
      </c>
      <c r="S773" s="14" t="s">
        <v>4465</v>
      </c>
      <c r="T773" s="14" t="s">
        <v>4466</v>
      </c>
      <c r="U773" s="14">
        <v>0.82805555555555499</v>
      </c>
      <c r="V773" s="14">
        <v>1.00694444444444</v>
      </c>
      <c r="W773" s="14">
        <v>675</v>
      </c>
      <c r="X773" s="14">
        <v>50</v>
      </c>
      <c r="Y773" s="14">
        <v>625</v>
      </c>
      <c r="Z773" s="14">
        <v>803</v>
      </c>
      <c r="AA773" s="14">
        <v>374</v>
      </c>
      <c r="AB773" s="14">
        <v>282</v>
      </c>
      <c r="AC773" s="14">
        <v>100</v>
      </c>
      <c r="AD773" s="14">
        <v>47</v>
      </c>
      <c r="AE773" s="14">
        <v>1479</v>
      </c>
      <c r="AF773" s="14">
        <v>5000</v>
      </c>
      <c r="AG773" s="14">
        <v>2133</v>
      </c>
      <c r="AH773" s="14">
        <v>0</v>
      </c>
      <c r="AI773" s="14">
        <v>48</v>
      </c>
      <c r="AJ773" s="14">
        <v>113</v>
      </c>
      <c r="AK773" s="14" t="s">
        <v>4462</v>
      </c>
      <c r="AL773" s="14" t="s">
        <v>4467</v>
      </c>
      <c r="AM773" s="14">
        <v>179.36</v>
      </c>
      <c r="AN773" s="14">
        <v>142.63999999999999</v>
      </c>
      <c r="AO773" s="14">
        <v>73.5</v>
      </c>
      <c r="AP773" s="14">
        <v>21679</v>
      </c>
      <c r="AQ773" s="14">
        <v>21629</v>
      </c>
      <c r="AR773" s="14">
        <v>23000</v>
      </c>
      <c r="AS773" s="14">
        <v>20200</v>
      </c>
      <c r="AT773" s="14">
        <v>21003</v>
      </c>
      <c r="AU773" s="14">
        <v>-12</v>
      </c>
      <c r="AV773" s="14">
        <v>264.41000000000003</v>
      </c>
      <c r="AW773" s="14">
        <v>36.53</v>
      </c>
      <c r="AX773" s="14">
        <v>-1.39</v>
      </c>
      <c r="AY773" s="14" t="b">
        <v>0</v>
      </c>
    </row>
    <row r="774" spans="1:51" hidden="1" x14ac:dyDescent="0.3">
      <c r="A774" t="str">
        <f>CONCATENATE(I774,E774,LEFT(G774,10))</f>
        <v>HFA807LLHA2026-01-03</v>
      </c>
      <c r="B774" s="14" t="s">
        <v>4971</v>
      </c>
      <c r="C774" s="14" t="s">
        <v>336</v>
      </c>
      <c r="D774" s="14" t="s">
        <v>337</v>
      </c>
      <c r="E774" s="14" t="s">
        <v>43</v>
      </c>
      <c r="F774" s="14" t="s">
        <v>87</v>
      </c>
      <c r="G774" s="14" t="s">
        <v>4972</v>
      </c>
      <c r="H774" s="14" t="s">
        <v>371</v>
      </c>
      <c r="I774" s="14" t="s">
        <v>118</v>
      </c>
      <c r="J774" s="14" t="s">
        <v>69</v>
      </c>
      <c r="K774" s="14" t="s">
        <v>349</v>
      </c>
      <c r="L774" s="14" t="s">
        <v>341</v>
      </c>
      <c r="M774" s="16" t="s">
        <v>4961</v>
      </c>
      <c r="N774" s="14"/>
      <c r="O774" s="14" t="s">
        <v>430</v>
      </c>
      <c r="P774" s="14">
        <v>140</v>
      </c>
      <c r="Q774" s="14">
        <v>2</v>
      </c>
      <c r="R774" s="14">
        <v>3500</v>
      </c>
      <c r="S774" s="14" t="s">
        <v>4973</v>
      </c>
      <c r="T774" s="14" t="s">
        <v>4974</v>
      </c>
      <c r="U774" s="14">
        <v>0.70444444444444398</v>
      </c>
      <c r="V774" s="14">
        <v>0.93138888888888804</v>
      </c>
      <c r="W774" s="14">
        <v>632</v>
      </c>
      <c r="X774" s="14">
        <v>50</v>
      </c>
      <c r="Y774" s="14">
        <v>582</v>
      </c>
      <c r="Z774" s="14">
        <v>734</v>
      </c>
      <c r="AA774" s="14">
        <v>338</v>
      </c>
      <c r="AB774" s="14">
        <v>254</v>
      </c>
      <c r="AC774" s="14">
        <v>100</v>
      </c>
      <c r="AD774" s="14">
        <v>42</v>
      </c>
      <c r="AE774" s="14">
        <v>1366</v>
      </c>
      <c r="AF774" s="14">
        <v>5000</v>
      </c>
      <c r="AG774" s="14">
        <v>1997</v>
      </c>
      <c r="AH774" s="14">
        <v>0</v>
      </c>
      <c r="AI774" s="14">
        <v>46</v>
      </c>
      <c r="AJ774" s="14">
        <v>110</v>
      </c>
      <c r="AK774" s="14" t="s">
        <v>4972</v>
      </c>
      <c r="AL774" s="14" t="s">
        <v>4975</v>
      </c>
      <c r="AM774" s="14">
        <v>179.36</v>
      </c>
      <c r="AN774" s="14">
        <v>142.63999999999999</v>
      </c>
      <c r="AO774" s="14">
        <v>73.5</v>
      </c>
      <c r="AP774" s="14">
        <v>18366</v>
      </c>
      <c r="AQ774" s="14">
        <v>18316</v>
      </c>
      <c r="AR774" s="14">
        <v>23000</v>
      </c>
      <c r="AS774" s="14">
        <v>17000</v>
      </c>
      <c r="AT774" s="14">
        <v>17734</v>
      </c>
      <c r="AU774" s="14">
        <v>-8</v>
      </c>
      <c r="AV774" s="14">
        <v>291.64</v>
      </c>
      <c r="AW774" s="14">
        <v>18.25</v>
      </c>
      <c r="AX774" s="14">
        <v>2.54</v>
      </c>
      <c r="AY774" s="14" t="b">
        <v>0</v>
      </c>
    </row>
    <row r="775" spans="1:51" hidden="1" x14ac:dyDescent="0.3">
      <c r="A775" t="str">
        <f>CONCATENATE(I775,E775,LEFT(G775,10))</f>
        <v>HFA807LLHA2026-01-04</v>
      </c>
      <c r="B775" s="14" t="s">
        <v>5327</v>
      </c>
      <c r="C775" s="14" t="s">
        <v>336</v>
      </c>
      <c r="D775" s="14" t="s">
        <v>337</v>
      </c>
      <c r="E775" s="14" t="s">
        <v>43</v>
      </c>
      <c r="F775" s="14" t="s">
        <v>87</v>
      </c>
      <c r="G775" s="14" t="s">
        <v>5328</v>
      </c>
      <c r="H775" s="14" t="s">
        <v>371</v>
      </c>
      <c r="I775" s="14" t="s">
        <v>118</v>
      </c>
      <c r="J775" s="14" t="s">
        <v>69</v>
      </c>
      <c r="K775" s="14" t="s">
        <v>349</v>
      </c>
      <c r="L775" s="14" t="s">
        <v>341</v>
      </c>
      <c r="M775" s="16" t="s">
        <v>5329</v>
      </c>
      <c r="N775" s="14"/>
      <c r="O775" s="14" t="s">
        <v>5330</v>
      </c>
      <c r="P775" s="14">
        <v>50</v>
      </c>
      <c r="Q775" s="14">
        <v>2</v>
      </c>
      <c r="R775" s="14">
        <v>3700</v>
      </c>
      <c r="S775" s="14" t="s">
        <v>5331</v>
      </c>
      <c r="T775" s="14" t="s">
        <v>5332</v>
      </c>
      <c r="U775" s="14">
        <v>-2.2830555555555501</v>
      </c>
      <c r="V775" s="14">
        <v>0.91138888888888803</v>
      </c>
      <c r="W775" s="14">
        <v>595</v>
      </c>
      <c r="X775" s="14">
        <v>50</v>
      </c>
      <c r="Y775" s="14">
        <v>545</v>
      </c>
      <c r="Z775" s="14">
        <v>719</v>
      </c>
      <c r="AA775" s="14">
        <v>322</v>
      </c>
      <c r="AB775" s="14">
        <v>255</v>
      </c>
      <c r="AC775" s="14">
        <v>100</v>
      </c>
      <c r="AD775" s="14">
        <v>43</v>
      </c>
      <c r="AE775" s="14">
        <v>1314</v>
      </c>
      <c r="AF775" s="14">
        <v>5000</v>
      </c>
      <c r="AG775" s="14">
        <v>1880</v>
      </c>
      <c r="AH775" s="14">
        <v>0</v>
      </c>
      <c r="AI775" s="14">
        <v>44</v>
      </c>
      <c r="AJ775" s="14">
        <v>106</v>
      </c>
      <c r="AK775" s="14" t="s">
        <v>5328</v>
      </c>
      <c r="AL775" s="14" t="s">
        <v>5333</v>
      </c>
      <c r="AM775" s="14">
        <v>179.36</v>
      </c>
      <c r="AN775" s="14">
        <v>142.63999999999999</v>
      </c>
      <c r="AO775" s="14">
        <v>73.5</v>
      </c>
      <c r="AP775" s="14">
        <v>18514</v>
      </c>
      <c r="AQ775" s="14">
        <v>18464</v>
      </c>
      <c r="AR775" s="14">
        <v>23000</v>
      </c>
      <c r="AS775" s="14">
        <v>17200</v>
      </c>
      <c r="AT775" s="14">
        <v>17919</v>
      </c>
      <c r="AU775" s="14">
        <v>7</v>
      </c>
      <c r="AV775" s="14">
        <v>208.87</v>
      </c>
      <c r="AW775" s="14">
        <v>15.05</v>
      </c>
      <c r="AX775" s="14">
        <v>5.18</v>
      </c>
      <c r="AY775" s="14" t="b">
        <v>0</v>
      </c>
    </row>
    <row r="776" spans="1:51" hidden="1" x14ac:dyDescent="0.3">
      <c r="A776" t="str">
        <f>CONCATENATE(I776,E776,LEFT(G776,10))</f>
        <v>HFA807LLHA2026-01-05</v>
      </c>
      <c r="B776" s="14" t="s">
        <v>1660</v>
      </c>
      <c r="C776" s="14" t="s">
        <v>336</v>
      </c>
      <c r="D776" s="14" t="s">
        <v>337</v>
      </c>
      <c r="E776" s="14" t="s">
        <v>43</v>
      </c>
      <c r="F776" s="14" t="s">
        <v>87</v>
      </c>
      <c r="G776" s="14" t="s">
        <v>1661</v>
      </c>
      <c r="H776" s="14" t="s">
        <v>371</v>
      </c>
      <c r="I776" s="14" t="s">
        <v>118</v>
      </c>
      <c r="J776" s="14" t="s">
        <v>69</v>
      </c>
      <c r="K776" s="14" t="s">
        <v>349</v>
      </c>
      <c r="L776" s="14" t="s">
        <v>341</v>
      </c>
      <c r="M776" s="16" t="s">
        <v>1662</v>
      </c>
      <c r="N776" s="14"/>
      <c r="O776" s="14" t="s">
        <v>1663</v>
      </c>
      <c r="P776" s="14">
        <v>50</v>
      </c>
      <c r="Q776" s="14">
        <v>2</v>
      </c>
      <c r="R776" s="14">
        <v>3050</v>
      </c>
      <c r="S776" s="14" t="s">
        <v>1664</v>
      </c>
      <c r="T776" s="14" t="s">
        <v>1665</v>
      </c>
      <c r="U776" s="14">
        <v>0.65</v>
      </c>
      <c r="V776" s="14">
        <v>0.77388888888888796</v>
      </c>
      <c r="W776" s="14">
        <v>598</v>
      </c>
      <c r="X776" s="14">
        <v>50</v>
      </c>
      <c r="Y776" s="14">
        <v>548</v>
      </c>
      <c r="Z776" s="14">
        <v>713</v>
      </c>
      <c r="AA776" s="14">
        <v>321</v>
      </c>
      <c r="AB776" s="14">
        <v>250</v>
      </c>
      <c r="AC776" s="14">
        <v>100</v>
      </c>
      <c r="AD776" s="14">
        <v>42</v>
      </c>
      <c r="AE776" s="14">
        <v>1311</v>
      </c>
      <c r="AF776" s="14">
        <v>5000</v>
      </c>
      <c r="AG776" s="14">
        <v>1889</v>
      </c>
      <c r="AH776" s="14">
        <v>0</v>
      </c>
      <c r="AI776" s="14">
        <v>44</v>
      </c>
      <c r="AJ776" s="14">
        <v>107</v>
      </c>
      <c r="AK776" s="14" t="s">
        <v>1661</v>
      </c>
      <c r="AL776" s="14" t="s">
        <v>1666</v>
      </c>
      <c r="AM776" s="14">
        <v>179.36</v>
      </c>
      <c r="AN776" s="14">
        <v>142.63999999999999</v>
      </c>
      <c r="AO776" s="14">
        <v>73.5</v>
      </c>
      <c r="AP776" s="14">
        <v>17861</v>
      </c>
      <c r="AQ776" s="14">
        <v>17811</v>
      </c>
      <c r="AR776" s="14">
        <v>23000</v>
      </c>
      <c r="AS776" s="14">
        <v>16550</v>
      </c>
      <c r="AT776" s="14">
        <v>17263</v>
      </c>
      <c r="AU776" s="14">
        <v>6</v>
      </c>
      <c r="AV776" s="14">
        <v>211.77</v>
      </c>
      <c r="AW776" s="14">
        <v>11.68</v>
      </c>
      <c r="AX776" s="14">
        <v>6.6</v>
      </c>
      <c r="AY776" s="14" t="b">
        <v>0</v>
      </c>
    </row>
    <row r="777" spans="1:51" hidden="1" x14ac:dyDescent="0.3">
      <c r="A777" t="str">
        <f>CONCATENATE(I777,E777,LEFT(G777,10))</f>
        <v>HFA807LLHA2026-01-06</v>
      </c>
      <c r="B777" s="14" t="s">
        <v>4817</v>
      </c>
      <c r="C777" s="14" t="s">
        <v>336</v>
      </c>
      <c r="D777" s="14" t="s">
        <v>337</v>
      </c>
      <c r="E777" s="14" t="s">
        <v>43</v>
      </c>
      <c r="F777" s="14" t="s">
        <v>87</v>
      </c>
      <c r="G777" s="14" t="s">
        <v>4818</v>
      </c>
      <c r="H777" s="14" t="s">
        <v>371</v>
      </c>
      <c r="I777" s="14" t="s">
        <v>118</v>
      </c>
      <c r="J777" s="14" t="s">
        <v>69</v>
      </c>
      <c r="K777" s="14" t="s">
        <v>349</v>
      </c>
      <c r="L777" s="14" t="s">
        <v>341</v>
      </c>
      <c r="M777" s="16" t="s">
        <v>4819</v>
      </c>
      <c r="N777" s="14"/>
      <c r="O777" s="14" t="s">
        <v>1952</v>
      </c>
      <c r="P777" s="14">
        <v>50</v>
      </c>
      <c r="Q777" s="14">
        <v>2</v>
      </c>
      <c r="R777" s="14">
        <v>3100</v>
      </c>
      <c r="S777" s="14" t="s">
        <v>4820</v>
      </c>
      <c r="T777" s="14" t="s">
        <v>4821</v>
      </c>
      <c r="U777" s="14">
        <v>0.66527777777777697</v>
      </c>
      <c r="V777" s="14">
        <v>0.90666666666666595</v>
      </c>
      <c r="W777" s="14">
        <v>630</v>
      </c>
      <c r="X777" s="14">
        <v>50</v>
      </c>
      <c r="Y777" s="14">
        <v>580</v>
      </c>
      <c r="Z777" s="14">
        <v>717</v>
      </c>
      <c r="AA777" s="14">
        <v>325</v>
      </c>
      <c r="AB777" s="14">
        <v>251</v>
      </c>
      <c r="AC777" s="14">
        <v>100</v>
      </c>
      <c r="AD777" s="14">
        <v>42</v>
      </c>
      <c r="AE777" s="14">
        <v>1347</v>
      </c>
      <c r="AF777" s="14">
        <v>5000</v>
      </c>
      <c r="AG777" s="14">
        <v>1991</v>
      </c>
      <c r="AH777" s="14">
        <v>0</v>
      </c>
      <c r="AI777" s="14">
        <v>47</v>
      </c>
      <c r="AJ777" s="14">
        <v>110</v>
      </c>
      <c r="AK777" s="14" t="s">
        <v>4818</v>
      </c>
      <c r="AL777" s="14" t="s">
        <v>4822</v>
      </c>
      <c r="AM777" s="14">
        <v>179.36</v>
      </c>
      <c r="AN777" s="14">
        <v>142.63999999999999</v>
      </c>
      <c r="AO777" s="14">
        <v>73.5</v>
      </c>
      <c r="AP777" s="14">
        <v>17947</v>
      </c>
      <c r="AQ777" s="14">
        <v>17897</v>
      </c>
      <c r="AR777" s="14">
        <v>23000</v>
      </c>
      <c r="AS777" s="14">
        <v>16600</v>
      </c>
      <c r="AT777" s="14">
        <v>17317</v>
      </c>
      <c r="AU777" s="14">
        <v>-9</v>
      </c>
      <c r="AV777" s="14">
        <v>281.67</v>
      </c>
      <c r="AW777" s="14">
        <v>18.04</v>
      </c>
      <c r="AX777" s="14">
        <v>6.42</v>
      </c>
      <c r="AY777" s="14" t="b">
        <v>0</v>
      </c>
    </row>
    <row r="778" spans="1:51" hidden="1" x14ac:dyDescent="0.3">
      <c r="A778" t="str">
        <f>CONCATENATE(I778,E778,LEFT(G778,10))</f>
        <v>HFA807LLHA2026-01-07</v>
      </c>
      <c r="B778" s="14" t="s">
        <v>1381</v>
      </c>
      <c r="C778" s="14" t="s">
        <v>336</v>
      </c>
      <c r="D778" s="14" t="s">
        <v>337</v>
      </c>
      <c r="E778" s="14" t="s">
        <v>43</v>
      </c>
      <c r="F778" s="14" t="s">
        <v>87</v>
      </c>
      <c r="G778" s="14" t="s">
        <v>1382</v>
      </c>
      <c r="H778" s="14" t="s">
        <v>371</v>
      </c>
      <c r="I778" s="14" t="s">
        <v>118</v>
      </c>
      <c r="J778" s="14" t="s">
        <v>69</v>
      </c>
      <c r="K778" s="14" t="s">
        <v>349</v>
      </c>
      <c r="L778" s="14" t="s">
        <v>341</v>
      </c>
      <c r="M778" s="16" t="s">
        <v>1383</v>
      </c>
      <c r="N778" s="14"/>
      <c r="O778" s="14" t="s">
        <v>1384</v>
      </c>
      <c r="P778" s="14">
        <v>50</v>
      </c>
      <c r="Q778" s="14">
        <v>2</v>
      </c>
      <c r="R778" s="14">
        <v>3100</v>
      </c>
      <c r="S778" s="14" t="s">
        <v>1385</v>
      </c>
      <c r="T778" s="14" t="s">
        <v>1386</v>
      </c>
      <c r="U778" s="14">
        <v>0.70722222222222197</v>
      </c>
      <c r="V778" s="14">
        <v>0.83388888888888801</v>
      </c>
      <c r="W778" s="14">
        <v>632</v>
      </c>
      <c r="X778" s="14">
        <v>50</v>
      </c>
      <c r="Y778" s="14">
        <v>582</v>
      </c>
      <c r="Z778" s="14">
        <v>723</v>
      </c>
      <c r="AA778" s="14">
        <v>330</v>
      </c>
      <c r="AB778" s="14">
        <v>251</v>
      </c>
      <c r="AC778" s="14">
        <v>100</v>
      </c>
      <c r="AD778" s="14">
        <v>42</v>
      </c>
      <c r="AE778" s="14">
        <v>1354</v>
      </c>
      <c r="AF778" s="14">
        <v>5000</v>
      </c>
      <c r="AG778" s="14">
        <v>1997</v>
      </c>
      <c r="AH778" s="14">
        <v>0</v>
      </c>
      <c r="AI778" s="14">
        <v>47</v>
      </c>
      <c r="AJ778" s="14">
        <v>111</v>
      </c>
      <c r="AK778" s="14" t="s">
        <v>1382</v>
      </c>
      <c r="AL778" s="14" t="s">
        <v>1387</v>
      </c>
      <c r="AM778" s="14">
        <v>179.36</v>
      </c>
      <c r="AN778" s="14">
        <v>142.63999999999999</v>
      </c>
      <c r="AO778" s="14">
        <v>73.5</v>
      </c>
      <c r="AP778" s="14">
        <v>17954</v>
      </c>
      <c r="AQ778" s="14">
        <v>17904</v>
      </c>
      <c r="AR778" s="14">
        <v>23000</v>
      </c>
      <c r="AS778" s="14">
        <v>16600</v>
      </c>
      <c r="AT778" s="14">
        <v>17323</v>
      </c>
      <c r="AU778" s="14">
        <v>-13</v>
      </c>
      <c r="AV778" s="14">
        <v>295.86</v>
      </c>
      <c r="AW778" s="14">
        <v>28.27</v>
      </c>
      <c r="AX778" s="14">
        <v>6.59</v>
      </c>
      <c r="AY778" s="14" t="b">
        <v>0</v>
      </c>
    </row>
    <row r="779" spans="1:51" hidden="1" x14ac:dyDescent="0.3">
      <c r="A779" t="str">
        <f>CONCATENATE(I779,E779,LEFT(G779,10))</f>
        <v>HFA807LLHA2026-01-08</v>
      </c>
      <c r="B779" s="14" t="s">
        <v>2825</v>
      </c>
      <c r="C779" s="14" t="s">
        <v>336</v>
      </c>
      <c r="D779" s="14" t="s">
        <v>337</v>
      </c>
      <c r="E779" s="14" t="s">
        <v>43</v>
      </c>
      <c r="F779" s="14" t="s">
        <v>87</v>
      </c>
      <c r="G779" s="14" t="s">
        <v>2826</v>
      </c>
      <c r="H779" s="14" t="s">
        <v>339</v>
      </c>
      <c r="I779" s="14" t="s">
        <v>118</v>
      </c>
      <c r="J779" s="14" t="s">
        <v>69</v>
      </c>
      <c r="K779" s="14" t="s">
        <v>349</v>
      </c>
      <c r="L779" s="14" t="s">
        <v>341</v>
      </c>
      <c r="M779" s="16" t="s">
        <v>2827</v>
      </c>
      <c r="N779" s="14"/>
      <c r="O779" s="14" t="s">
        <v>351</v>
      </c>
      <c r="P779" s="14">
        <v>140</v>
      </c>
      <c r="Q779" s="14">
        <v>2</v>
      </c>
      <c r="R779" s="14">
        <v>4200</v>
      </c>
      <c r="S779" s="14" t="s">
        <v>2828</v>
      </c>
      <c r="T779" s="14" t="s">
        <v>2829</v>
      </c>
      <c r="U779" s="14">
        <v>0.72611111111111104</v>
      </c>
      <c r="V779" s="14">
        <v>0.83194444444444404</v>
      </c>
      <c r="W779" s="14">
        <v>585</v>
      </c>
      <c r="X779" s="14">
        <v>50</v>
      </c>
      <c r="Y779" s="14">
        <v>535</v>
      </c>
      <c r="Z779" s="14">
        <v>745</v>
      </c>
      <c r="AA779" s="14">
        <v>344</v>
      </c>
      <c r="AB779" s="14">
        <v>258</v>
      </c>
      <c r="AC779" s="14">
        <v>100</v>
      </c>
      <c r="AD779" s="14">
        <v>43</v>
      </c>
      <c r="AE779" s="14">
        <v>1330</v>
      </c>
      <c r="AF779" s="14">
        <v>5000</v>
      </c>
      <c r="AG779" s="14">
        <v>1849</v>
      </c>
      <c r="AH779" s="14">
        <v>0</v>
      </c>
      <c r="AI779" s="14">
        <v>44</v>
      </c>
      <c r="AJ779" s="14">
        <v>109</v>
      </c>
      <c r="AK779" s="14" t="s">
        <v>2826</v>
      </c>
      <c r="AL779" s="14" t="s">
        <v>2830</v>
      </c>
      <c r="AM779" s="14">
        <v>179.36</v>
      </c>
      <c r="AN779" s="14">
        <v>142.63999999999999</v>
      </c>
      <c r="AO779" s="14">
        <v>73.5</v>
      </c>
      <c r="AP779" s="14">
        <v>18855</v>
      </c>
      <c r="AQ779" s="14">
        <v>18805</v>
      </c>
      <c r="AR779" s="14">
        <v>23000</v>
      </c>
      <c r="AS779" s="14">
        <v>17525</v>
      </c>
      <c r="AT779" s="14">
        <v>18270</v>
      </c>
      <c r="AU779" s="14">
        <v>8</v>
      </c>
      <c r="AV779" s="14">
        <v>224.56</v>
      </c>
      <c r="AW779" s="14">
        <v>46.93</v>
      </c>
      <c r="AX779" s="14">
        <v>6.44</v>
      </c>
      <c r="AY779" s="14" t="b">
        <v>0</v>
      </c>
    </row>
    <row r="780" spans="1:51" hidden="1" x14ac:dyDescent="0.3">
      <c r="A780" t="str">
        <f>CONCATENATE(I780,E780,LEFT(G780,10))</f>
        <v>HFA807LLHA2026-01-10</v>
      </c>
      <c r="B780" s="14" t="s">
        <v>1107</v>
      </c>
      <c r="C780" s="14" t="s">
        <v>336</v>
      </c>
      <c r="D780" s="14" t="s">
        <v>337</v>
      </c>
      <c r="E780" s="14" t="s">
        <v>43</v>
      </c>
      <c r="F780" s="14" t="s">
        <v>87</v>
      </c>
      <c r="G780" s="14" t="s">
        <v>1108</v>
      </c>
      <c r="H780" s="14" t="s">
        <v>371</v>
      </c>
      <c r="I780" s="14" t="s">
        <v>118</v>
      </c>
      <c r="J780" s="14" t="s">
        <v>69</v>
      </c>
      <c r="K780" s="14" t="s">
        <v>349</v>
      </c>
      <c r="L780" s="14" t="s">
        <v>341</v>
      </c>
      <c r="M780" s="16" t="s">
        <v>1102</v>
      </c>
      <c r="N780" s="14"/>
      <c r="O780" s="14" t="s">
        <v>430</v>
      </c>
      <c r="P780" s="14">
        <v>140</v>
      </c>
      <c r="Q780" s="14">
        <v>2</v>
      </c>
      <c r="R780" s="14">
        <v>1500</v>
      </c>
      <c r="S780" s="14" t="s">
        <v>1109</v>
      </c>
      <c r="T780" s="14" t="s">
        <v>1110</v>
      </c>
      <c r="U780" s="14">
        <v>0.706666666666666</v>
      </c>
      <c r="V780" s="14">
        <v>0.86333333333333295</v>
      </c>
      <c r="W780" s="14">
        <v>630</v>
      </c>
      <c r="X780" s="14">
        <v>50</v>
      </c>
      <c r="Y780" s="14">
        <v>580</v>
      </c>
      <c r="Z780" s="14">
        <v>721</v>
      </c>
      <c r="AA780" s="14">
        <v>342</v>
      </c>
      <c r="AB780" s="14">
        <v>239</v>
      </c>
      <c r="AC780" s="14">
        <v>100</v>
      </c>
      <c r="AD780" s="14">
        <v>40</v>
      </c>
      <c r="AE780" s="14">
        <v>1352</v>
      </c>
      <c r="AF780" s="14">
        <v>5000</v>
      </c>
      <c r="AG780" s="14">
        <v>1992</v>
      </c>
      <c r="AH780" s="14">
        <v>0</v>
      </c>
      <c r="AI780" s="14">
        <v>46</v>
      </c>
      <c r="AJ780" s="14">
        <v>110</v>
      </c>
      <c r="AK780" s="14" t="s">
        <v>1108</v>
      </c>
      <c r="AL780" s="14" t="s">
        <v>1111</v>
      </c>
      <c r="AM780" s="14">
        <v>179.36</v>
      </c>
      <c r="AN780" s="14">
        <v>142.63999999999999</v>
      </c>
      <c r="AO780" s="14">
        <v>73.5</v>
      </c>
      <c r="AP780" s="14">
        <v>16352</v>
      </c>
      <c r="AQ780" s="14">
        <v>16302</v>
      </c>
      <c r="AR780" s="14">
        <v>23000</v>
      </c>
      <c r="AS780" s="14">
        <v>15000</v>
      </c>
      <c r="AT780" s="14">
        <v>15721</v>
      </c>
      <c r="AU780" s="14">
        <v>-12</v>
      </c>
      <c r="AV780" s="14">
        <v>278.33</v>
      </c>
      <c r="AW780" s="14">
        <v>31.23</v>
      </c>
      <c r="AX780" s="14">
        <v>2.73</v>
      </c>
      <c r="AY780" s="14" t="b">
        <v>0</v>
      </c>
    </row>
    <row r="781" spans="1:51" hidden="1" x14ac:dyDescent="0.3">
      <c r="A781" t="str">
        <f>CONCATENATE(I781,E781,LEFT(G781,10))</f>
        <v>HFA807LLHA2026-01-11</v>
      </c>
      <c r="B781" s="14" t="s">
        <v>2164</v>
      </c>
      <c r="C781" s="14" t="s">
        <v>336</v>
      </c>
      <c r="D781" s="14" t="s">
        <v>337</v>
      </c>
      <c r="E781" s="14" t="s">
        <v>43</v>
      </c>
      <c r="F781" s="14" t="s">
        <v>87</v>
      </c>
      <c r="G781" s="14" t="s">
        <v>2165</v>
      </c>
      <c r="H781" s="14" t="s">
        <v>371</v>
      </c>
      <c r="I781" s="14" t="s">
        <v>118</v>
      </c>
      <c r="J781" s="14" t="s">
        <v>69</v>
      </c>
      <c r="K781" s="14" t="s">
        <v>349</v>
      </c>
      <c r="L781" s="14" t="s">
        <v>341</v>
      </c>
      <c r="M781" s="16" t="s">
        <v>2166</v>
      </c>
      <c r="N781" s="14"/>
      <c r="O781" s="14" t="s">
        <v>430</v>
      </c>
      <c r="P781" s="14">
        <v>140</v>
      </c>
      <c r="Q781" s="14">
        <v>2</v>
      </c>
      <c r="R781" s="14">
        <v>2200</v>
      </c>
      <c r="S781" s="14" t="s">
        <v>2167</v>
      </c>
      <c r="T781" s="14" t="s">
        <v>2168</v>
      </c>
      <c r="U781" s="14">
        <v>0.73527777777777703</v>
      </c>
      <c r="V781" s="14">
        <v>0.91444444444444395</v>
      </c>
      <c r="W781" s="14">
        <v>608</v>
      </c>
      <c r="X781" s="14">
        <v>50</v>
      </c>
      <c r="Y781" s="14">
        <v>558</v>
      </c>
      <c r="Z781" s="14">
        <v>735</v>
      </c>
      <c r="AA781" s="14">
        <v>350</v>
      </c>
      <c r="AB781" s="14">
        <v>244</v>
      </c>
      <c r="AC781" s="14">
        <v>100</v>
      </c>
      <c r="AD781" s="14">
        <v>41</v>
      </c>
      <c r="AE781" s="14">
        <v>1342</v>
      </c>
      <c r="AF781" s="14">
        <v>5000</v>
      </c>
      <c r="AG781" s="14">
        <v>1920</v>
      </c>
      <c r="AH781" s="14">
        <v>0</v>
      </c>
      <c r="AI781" s="14">
        <v>44</v>
      </c>
      <c r="AJ781" s="14">
        <v>109</v>
      </c>
      <c r="AK781" s="14" t="s">
        <v>2165</v>
      </c>
      <c r="AL781" s="14" t="s">
        <v>2169</v>
      </c>
      <c r="AM781" s="14">
        <v>179.36</v>
      </c>
      <c r="AN781" s="14">
        <v>142.63999999999999</v>
      </c>
      <c r="AO781" s="14">
        <v>73.5</v>
      </c>
      <c r="AP781" s="14">
        <v>17042</v>
      </c>
      <c r="AQ781" s="14">
        <v>16992</v>
      </c>
      <c r="AR781" s="14">
        <v>23000</v>
      </c>
      <c r="AS781" s="14">
        <v>15700</v>
      </c>
      <c r="AT781" s="14">
        <v>16435</v>
      </c>
      <c r="AU781" s="14">
        <v>0</v>
      </c>
      <c r="AV781" s="14">
        <v>242.9</v>
      </c>
      <c r="AW781" s="14">
        <v>37.840000000000003</v>
      </c>
      <c r="AX781" s="14">
        <v>2.97</v>
      </c>
      <c r="AY781" s="14" t="b">
        <v>0</v>
      </c>
    </row>
    <row r="782" spans="1:51" hidden="1" x14ac:dyDescent="0.3">
      <c r="A782" t="str">
        <f>CONCATENATE(I782,E782,LEFT(G782,10))</f>
        <v>HFA807LLHA2026-01-12</v>
      </c>
      <c r="B782" s="14" t="s">
        <v>6011</v>
      </c>
      <c r="C782" s="14" t="s">
        <v>336</v>
      </c>
      <c r="D782" s="14" t="s">
        <v>337</v>
      </c>
      <c r="E782" s="14" t="s">
        <v>43</v>
      </c>
      <c r="F782" s="14" t="s">
        <v>87</v>
      </c>
      <c r="G782" s="14" t="s">
        <v>6012</v>
      </c>
      <c r="H782" s="14" t="s">
        <v>371</v>
      </c>
      <c r="I782" s="14" t="s">
        <v>118</v>
      </c>
      <c r="J782" s="14" t="s">
        <v>83</v>
      </c>
      <c r="K782" s="14" t="s">
        <v>349</v>
      </c>
      <c r="L782" s="14" t="s">
        <v>341</v>
      </c>
      <c r="M782" s="16" t="s">
        <v>6013</v>
      </c>
      <c r="N782" s="14"/>
      <c r="O782" s="14" t="s">
        <v>380</v>
      </c>
      <c r="P782" s="14">
        <v>50</v>
      </c>
      <c r="Q782" s="14">
        <v>2</v>
      </c>
      <c r="R782" s="14">
        <v>3000</v>
      </c>
      <c r="S782" s="14"/>
      <c r="T782" s="14" t="s">
        <v>6014</v>
      </c>
      <c r="U782" s="14"/>
      <c r="V782" s="14">
        <v>0.91666666666666596</v>
      </c>
      <c r="W782" s="14">
        <v>644</v>
      </c>
      <c r="X782" s="14">
        <v>50</v>
      </c>
      <c r="Y782" s="14">
        <v>594</v>
      </c>
      <c r="Z782" s="14">
        <v>1556</v>
      </c>
      <c r="AA782" s="14">
        <v>763</v>
      </c>
      <c r="AB782" s="14">
        <v>256</v>
      </c>
      <c r="AC782" s="14">
        <v>493</v>
      </c>
      <c r="AD782" s="14">
        <v>43</v>
      </c>
      <c r="AE782" s="14">
        <v>2200</v>
      </c>
      <c r="AF782" s="14">
        <v>5000</v>
      </c>
      <c r="AG782" s="14">
        <v>2036</v>
      </c>
      <c r="AH782" s="14">
        <v>0</v>
      </c>
      <c r="AI782" s="14">
        <v>46</v>
      </c>
      <c r="AJ782" s="14">
        <v>181</v>
      </c>
      <c r="AK782" s="14" t="s">
        <v>6012</v>
      </c>
      <c r="AL782" s="14" t="s">
        <v>6015</v>
      </c>
      <c r="AM782" s="14">
        <v>179.36</v>
      </c>
      <c r="AN782" s="14">
        <v>142.63999999999999</v>
      </c>
      <c r="AO782" s="14">
        <v>255.72</v>
      </c>
      <c r="AP782" s="14">
        <v>18700</v>
      </c>
      <c r="AQ782" s="14">
        <v>18650</v>
      </c>
      <c r="AR782" s="14">
        <v>23000</v>
      </c>
      <c r="AS782" s="14">
        <v>16500</v>
      </c>
      <c r="AT782" s="14">
        <v>18056</v>
      </c>
      <c r="AU782" s="14">
        <v>-4</v>
      </c>
      <c r="AV782" s="14">
        <v>244.05</v>
      </c>
      <c r="AW782" s="14">
        <v>39.15</v>
      </c>
      <c r="AX782" s="14">
        <v>-2.5499999999999998</v>
      </c>
      <c r="AY782" s="14" t="b">
        <v>0</v>
      </c>
    </row>
    <row r="783" spans="1:51" hidden="1" x14ac:dyDescent="0.3">
      <c r="A783" t="str">
        <f>CONCATENATE(I783,E783,LEFT(G783,10))</f>
        <v>HFA807LLHA2026-01-14</v>
      </c>
      <c r="B783" s="14" t="s">
        <v>5696</v>
      </c>
      <c r="C783" s="14" t="s">
        <v>336</v>
      </c>
      <c r="D783" s="14" t="s">
        <v>337</v>
      </c>
      <c r="E783" s="14" t="s">
        <v>43</v>
      </c>
      <c r="F783" s="14" t="s">
        <v>87</v>
      </c>
      <c r="G783" s="14" t="s">
        <v>5697</v>
      </c>
      <c r="H783" s="14" t="s">
        <v>371</v>
      </c>
      <c r="I783" s="14" t="s">
        <v>118</v>
      </c>
      <c r="J783" s="14" t="s">
        <v>69</v>
      </c>
      <c r="K783" s="14" t="s">
        <v>349</v>
      </c>
      <c r="L783" s="14" t="s">
        <v>341</v>
      </c>
      <c r="M783" s="16" t="s">
        <v>5698</v>
      </c>
      <c r="N783" s="14"/>
      <c r="O783" s="14" t="s">
        <v>380</v>
      </c>
      <c r="P783" s="14">
        <v>50</v>
      </c>
      <c r="Q783" s="14">
        <v>2</v>
      </c>
      <c r="R783" s="14">
        <v>6600</v>
      </c>
      <c r="S783" s="14" t="s">
        <v>5699</v>
      </c>
      <c r="T783" s="14" t="s">
        <v>5700</v>
      </c>
      <c r="U783" s="14">
        <v>0.83444444444444399</v>
      </c>
      <c r="V783" s="14">
        <v>0.99888888888888805</v>
      </c>
      <c r="W783" s="14">
        <v>722</v>
      </c>
      <c r="X783" s="14">
        <v>50</v>
      </c>
      <c r="Y783" s="14">
        <v>672</v>
      </c>
      <c r="Z783" s="14">
        <v>784</v>
      </c>
      <c r="AA783" s="14">
        <v>356</v>
      </c>
      <c r="AB783" s="14">
        <v>281</v>
      </c>
      <c r="AC783" s="14">
        <v>100</v>
      </c>
      <c r="AD783" s="14">
        <v>47</v>
      </c>
      <c r="AE783" s="14">
        <v>1506</v>
      </c>
      <c r="AF783" s="14">
        <v>5000</v>
      </c>
      <c r="AG783" s="14">
        <v>2281</v>
      </c>
      <c r="AH783" s="14">
        <v>0</v>
      </c>
      <c r="AI783" s="14">
        <v>52</v>
      </c>
      <c r="AJ783" s="14">
        <v>116</v>
      </c>
      <c r="AK783" s="14" t="s">
        <v>5697</v>
      </c>
      <c r="AL783" s="14" t="s">
        <v>5701</v>
      </c>
      <c r="AM783" s="14">
        <v>179.36</v>
      </c>
      <c r="AN783" s="14">
        <v>142.63999999999999</v>
      </c>
      <c r="AO783" s="14">
        <v>73.5</v>
      </c>
      <c r="AP783" s="14">
        <v>21606</v>
      </c>
      <c r="AQ783" s="14">
        <v>21556</v>
      </c>
      <c r="AR783" s="14">
        <v>23000</v>
      </c>
      <c r="AS783" s="14">
        <v>20100</v>
      </c>
      <c r="AT783" s="14">
        <v>20884</v>
      </c>
      <c r="AU783" s="14">
        <v>-32</v>
      </c>
      <c r="AV783" s="14">
        <v>321.52</v>
      </c>
      <c r="AW783" s="14">
        <v>42.09</v>
      </c>
      <c r="AX783" s="14">
        <v>-0.71</v>
      </c>
      <c r="AY783" s="14" t="b">
        <v>0</v>
      </c>
    </row>
    <row r="784" spans="1:51" hidden="1" x14ac:dyDescent="0.3">
      <c r="A784" t="str">
        <f>CONCATENATE(I784,E784,LEFT(G784,10))</f>
        <v>HFA807LLHA2026-01-15</v>
      </c>
      <c r="B784" s="14" t="s">
        <v>6100</v>
      </c>
      <c r="C784" s="14" t="s">
        <v>336</v>
      </c>
      <c r="D784" s="14" t="s">
        <v>337</v>
      </c>
      <c r="E784" s="14" t="s">
        <v>43</v>
      </c>
      <c r="F784" s="14" t="s">
        <v>87</v>
      </c>
      <c r="G784" s="14" t="s">
        <v>6101</v>
      </c>
      <c r="H784" s="14" t="s">
        <v>339</v>
      </c>
      <c r="I784" s="14" t="s">
        <v>118</v>
      </c>
      <c r="J784" s="14" t="s">
        <v>69</v>
      </c>
      <c r="K784" s="14" t="s">
        <v>349</v>
      </c>
      <c r="L784" s="14" t="s">
        <v>341</v>
      </c>
      <c r="M784" s="16" t="s">
        <v>6102</v>
      </c>
      <c r="N784" s="14"/>
      <c r="O784" s="14" t="s">
        <v>6103</v>
      </c>
      <c r="P784" s="14">
        <v>50</v>
      </c>
      <c r="Q784" s="14">
        <v>2</v>
      </c>
      <c r="R784" s="14">
        <v>5300</v>
      </c>
      <c r="S784" s="14" t="s">
        <v>6104</v>
      </c>
      <c r="T784" s="14" t="s">
        <v>6105</v>
      </c>
      <c r="U784" s="14">
        <v>0.820277777777777</v>
      </c>
      <c r="V784" s="14">
        <v>0.96194444444444405</v>
      </c>
      <c r="W784" s="14">
        <v>645</v>
      </c>
      <c r="X784" s="14">
        <v>50</v>
      </c>
      <c r="Y784" s="14">
        <v>595</v>
      </c>
      <c r="Z784" s="14">
        <v>748</v>
      </c>
      <c r="AA784" s="14">
        <v>336</v>
      </c>
      <c r="AB784" s="14">
        <v>267</v>
      </c>
      <c r="AC784" s="14">
        <v>100</v>
      </c>
      <c r="AD784" s="14">
        <v>45</v>
      </c>
      <c r="AE784" s="14">
        <v>1393</v>
      </c>
      <c r="AF784" s="14">
        <v>5000</v>
      </c>
      <c r="AG784" s="14">
        <v>2039</v>
      </c>
      <c r="AH784" s="14">
        <v>0</v>
      </c>
      <c r="AI784" s="14">
        <v>47</v>
      </c>
      <c r="AJ784" s="14">
        <v>111</v>
      </c>
      <c r="AK784" s="14" t="s">
        <v>6101</v>
      </c>
      <c r="AL784" s="14" t="s">
        <v>6106</v>
      </c>
      <c r="AM784" s="14">
        <v>179.36</v>
      </c>
      <c r="AN784" s="14">
        <v>142.63999999999999</v>
      </c>
      <c r="AO784" s="14">
        <v>73.5</v>
      </c>
      <c r="AP784" s="14">
        <v>20018</v>
      </c>
      <c r="AQ784" s="14">
        <v>19968</v>
      </c>
      <c r="AR784" s="14">
        <v>23000</v>
      </c>
      <c r="AS784" s="14">
        <v>18625</v>
      </c>
      <c r="AT784" s="14">
        <v>19373</v>
      </c>
      <c r="AU784" s="14">
        <v>-15</v>
      </c>
      <c r="AV784" s="14">
        <v>307.57</v>
      </c>
      <c r="AW784" s="14">
        <v>24.87</v>
      </c>
      <c r="AX784" s="14">
        <v>2.02</v>
      </c>
      <c r="AY784" s="14" t="b">
        <v>0</v>
      </c>
    </row>
    <row r="785" spans="1:51" hidden="1" x14ac:dyDescent="0.3">
      <c r="A785" t="str">
        <f>CONCATENATE(I785,E785,LEFT(G785,10))</f>
        <v>HFA807LLHA2026-01-17</v>
      </c>
      <c r="B785" s="14" t="s">
        <v>6419</v>
      </c>
      <c r="C785" s="14" t="s">
        <v>336</v>
      </c>
      <c r="D785" s="14" t="s">
        <v>337</v>
      </c>
      <c r="E785" s="14" t="s">
        <v>43</v>
      </c>
      <c r="F785" s="14" t="s">
        <v>87</v>
      </c>
      <c r="G785" s="14" t="s">
        <v>6420</v>
      </c>
      <c r="H785" s="14" t="s">
        <v>371</v>
      </c>
      <c r="I785" s="14" t="s">
        <v>118</v>
      </c>
      <c r="J785" s="14" t="s">
        <v>69</v>
      </c>
      <c r="K785" s="14" t="s">
        <v>349</v>
      </c>
      <c r="L785" s="14" t="s">
        <v>341</v>
      </c>
      <c r="M785" s="16" t="s">
        <v>6414</v>
      </c>
      <c r="N785" s="14"/>
      <c r="O785" s="14" t="s">
        <v>380</v>
      </c>
      <c r="P785" s="14">
        <v>50</v>
      </c>
      <c r="Q785" s="14">
        <v>2</v>
      </c>
      <c r="R785" s="14">
        <v>1000</v>
      </c>
      <c r="S785" s="14" t="s">
        <v>6421</v>
      </c>
      <c r="T785" s="14" t="s">
        <v>6422</v>
      </c>
      <c r="U785" s="14">
        <v>0.83472222222222203</v>
      </c>
      <c r="V785" s="14">
        <v>1.0094444444444399</v>
      </c>
      <c r="W785" s="14">
        <v>646</v>
      </c>
      <c r="X785" s="14">
        <v>50</v>
      </c>
      <c r="Y785" s="14">
        <v>596</v>
      </c>
      <c r="Z785" s="14">
        <v>854</v>
      </c>
      <c r="AA785" s="14">
        <v>330</v>
      </c>
      <c r="AB785" s="14">
        <v>236</v>
      </c>
      <c r="AC785" s="14">
        <v>248</v>
      </c>
      <c r="AD785" s="14">
        <v>39</v>
      </c>
      <c r="AE785" s="14">
        <v>1500</v>
      </c>
      <c r="AF785" s="14">
        <v>5000</v>
      </c>
      <c r="AG785" s="14">
        <v>2041</v>
      </c>
      <c r="AH785" s="14">
        <v>0</v>
      </c>
      <c r="AI785" s="14">
        <v>46</v>
      </c>
      <c r="AJ785" s="14">
        <v>121</v>
      </c>
      <c r="AK785" s="14" t="s">
        <v>6420</v>
      </c>
      <c r="AL785" s="14" t="s">
        <v>6423</v>
      </c>
      <c r="AM785" s="14">
        <v>179.36</v>
      </c>
      <c r="AN785" s="14">
        <v>142.63999999999999</v>
      </c>
      <c r="AO785" s="14">
        <v>73.5</v>
      </c>
      <c r="AP785" s="14">
        <v>16000</v>
      </c>
      <c r="AQ785" s="14">
        <v>15950</v>
      </c>
      <c r="AR785" s="14">
        <v>23000</v>
      </c>
      <c r="AS785" s="14">
        <v>14500</v>
      </c>
      <c r="AT785" s="14">
        <v>15354</v>
      </c>
      <c r="AU785" s="14">
        <v>-13</v>
      </c>
      <c r="AV785" s="14">
        <v>278.49</v>
      </c>
      <c r="AW785" s="14">
        <v>27.61</v>
      </c>
      <c r="AX785" s="14">
        <v>-0.48</v>
      </c>
      <c r="AY785" s="14" t="b">
        <v>0</v>
      </c>
    </row>
    <row r="786" spans="1:51" hidden="1" x14ac:dyDescent="0.3">
      <c r="A786" t="str">
        <f>CONCATENATE(I786,E786,LEFT(G786,10))</f>
        <v>HFA807LLHA2026-01-18</v>
      </c>
      <c r="B786" s="14" t="s">
        <v>5497</v>
      </c>
      <c r="C786" s="14" t="s">
        <v>336</v>
      </c>
      <c r="D786" s="14" t="s">
        <v>337</v>
      </c>
      <c r="E786" s="14" t="s">
        <v>43</v>
      </c>
      <c r="F786" s="14" t="s">
        <v>87</v>
      </c>
      <c r="G786" s="14" t="s">
        <v>5498</v>
      </c>
      <c r="H786" s="14" t="s">
        <v>339</v>
      </c>
      <c r="I786" s="14" t="s">
        <v>118</v>
      </c>
      <c r="J786" s="14" t="s">
        <v>69</v>
      </c>
      <c r="K786" s="14" t="s">
        <v>349</v>
      </c>
      <c r="L786" s="14" t="s">
        <v>341</v>
      </c>
      <c r="M786" s="16" t="s">
        <v>5499</v>
      </c>
      <c r="N786" s="14"/>
      <c r="O786" s="14" t="s">
        <v>380</v>
      </c>
      <c r="P786" s="14">
        <v>50</v>
      </c>
      <c r="Q786" s="14">
        <v>2</v>
      </c>
      <c r="R786" s="14">
        <v>2900</v>
      </c>
      <c r="S786" s="14" t="s">
        <v>5500</v>
      </c>
      <c r="T786" s="14" t="s">
        <v>5501</v>
      </c>
      <c r="U786" s="14">
        <v>0.80500000000000005</v>
      </c>
      <c r="V786" s="14">
        <v>0.91694444444444401</v>
      </c>
      <c r="W786" s="14">
        <v>655</v>
      </c>
      <c r="X786" s="14">
        <v>50</v>
      </c>
      <c r="Y786" s="14">
        <v>605</v>
      </c>
      <c r="Z786" s="14">
        <v>845</v>
      </c>
      <c r="AA786" s="14">
        <v>334</v>
      </c>
      <c r="AB786" s="14">
        <v>249</v>
      </c>
      <c r="AC786" s="14">
        <v>221</v>
      </c>
      <c r="AD786" s="14">
        <v>41</v>
      </c>
      <c r="AE786" s="14">
        <v>1500</v>
      </c>
      <c r="AF786" s="14">
        <v>5000</v>
      </c>
      <c r="AG786" s="14">
        <v>2070</v>
      </c>
      <c r="AH786" s="14">
        <v>0</v>
      </c>
      <c r="AI786" s="14">
        <v>48</v>
      </c>
      <c r="AJ786" s="14">
        <v>120</v>
      </c>
      <c r="AK786" s="14" t="s">
        <v>5498</v>
      </c>
      <c r="AL786" s="14" t="s">
        <v>5502</v>
      </c>
      <c r="AM786" s="14">
        <v>179.36</v>
      </c>
      <c r="AN786" s="14">
        <v>142.63999999999999</v>
      </c>
      <c r="AO786" s="14">
        <v>73.5</v>
      </c>
      <c r="AP786" s="14">
        <v>17725</v>
      </c>
      <c r="AQ786" s="14">
        <v>17675</v>
      </c>
      <c r="AR786" s="14">
        <v>23000</v>
      </c>
      <c r="AS786" s="14">
        <v>16225</v>
      </c>
      <c r="AT786" s="14">
        <v>17070</v>
      </c>
      <c r="AU786" s="14">
        <v>-16</v>
      </c>
      <c r="AV786" s="14">
        <v>288.49</v>
      </c>
      <c r="AW786" s="14">
        <v>32.81</v>
      </c>
      <c r="AX786" s="14">
        <v>-3.12</v>
      </c>
      <c r="AY786" s="14" t="b">
        <v>0</v>
      </c>
    </row>
    <row r="787" spans="1:51" hidden="1" x14ac:dyDescent="0.3">
      <c r="A787" t="str">
        <f>CONCATENATE(I787,E787,LEFT(G787,10))</f>
        <v>HFA807LLHA2026-01-19</v>
      </c>
      <c r="B787" s="14" t="s">
        <v>5909</v>
      </c>
      <c r="C787" s="14" t="s">
        <v>336</v>
      </c>
      <c r="D787" s="14" t="s">
        <v>337</v>
      </c>
      <c r="E787" s="14" t="s">
        <v>43</v>
      </c>
      <c r="F787" s="14" t="s">
        <v>87</v>
      </c>
      <c r="G787" s="14" t="s">
        <v>5910</v>
      </c>
      <c r="H787" s="14" t="s">
        <v>371</v>
      </c>
      <c r="I787" s="14" t="s">
        <v>118</v>
      </c>
      <c r="J787" s="14" t="s">
        <v>69</v>
      </c>
      <c r="K787" s="14" t="s">
        <v>349</v>
      </c>
      <c r="L787" s="14" t="s">
        <v>341</v>
      </c>
      <c r="M787" s="16" t="s">
        <v>5911</v>
      </c>
      <c r="N787" s="14"/>
      <c r="O787" s="14" t="s">
        <v>380</v>
      </c>
      <c r="P787" s="14">
        <v>50</v>
      </c>
      <c r="Q787" s="14">
        <v>2</v>
      </c>
      <c r="R787" s="14">
        <v>3000</v>
      </c>
      <c r="S787" s="14" t="s">
        <v>5912</v>
      </c>
      <c r="T787" s="14" t="s">
        <v>5913</v>
      </c>
      <c r="U787" s="14">
        <v>0.77138888888888801</v>
      </c>
      <c r="V787" s="14">
        <v>0.94472222222222202</v>
      </c>
      <c r="W787" s="14">
        <v>681</v>
      </c>
      <c r="X787" s="14">
        <v>50</v>
      </c>
      <c r="Y787" s="14">
        <v>631</v>
      </c>
      <c r="Z787" s="14">
        <v>819</v>
      </c>
      <c r="AA787" s="14">
        <v>339</v>
      </c>
      <c r="AB787" s="14">
        <v>251</v>
      </c>
      <c r="AC787" s="14">
        <v>188</v>
      </c>
      <c r="AD787" s="14">
        <v>42</v>
      </c>
      <c r="AE787" s="14">
        <v>1500</v>
      </c>
      <c r="AF787" s="14">
        <v>5000</v>
      </c>
      <c r="AG787" s="14">
        <v>2151</v>
      </c>
      <c r="AH787" s="14">
        <v>0</v>
      </c>
      <c r="AI787" s="14">
        <v>49</v>
      </c>
      <c r="AJ787" s="14">
        <v>119</v>
      </c>
      <c r="AK787" s="14" t="s">
        <v>5910</v>
      </c>
      <c r="AL787" s="14" t="s">
        <v>5914</v>
      </c>
      <c r="AM787" s="14">
        <v>179.36</v>
      </c>
      <c r="AN787" s="14">
        <v>142.63999999999999</v>
      </c>
      <c r="AO787" s="14">
        <v>73.5</v>
      </c>
      <c r="AP787" s="14">
        <v>18000</v>
      </c>
      <c r="AQ787" s="14">
        <v>17950</v>
      </c>
      <c r="AR787" s="14">
        <v>23000</v>
      </c>
      <c r="AS787" s="14">
        <v>16500</v>
      </c>
      <c r="AT787" s="14">
        <v>17319</v>
      </c>
      <c r="AU787" s="14">
        <v>-23</v>
      </c>
      <c r="AV787" s="14">
        <v>291.37</v>
      </c>
      <c r="AW787" s="14">
        <v>38.46</v>
      </c>
      <c r="AX787" s="14">
        <v>-2.5099999999999998</v>
      </c>
      <c r="AY787" s="14" t="b">
        <v>0</v>
      </c>
    </row>
    <row r="788" spans="1:51" hidden="1" x14ac:dyDescent="0.3">
      <c r="A788" t="str">
        <f>CONCATENATE(I788,E788,LEFT(G788,10))</f>
        <v>HFA807LLHA2026-01-21</v>
      </c>
      <c r="B788" s="14" t="s">
        <v>1507</v>
      </c>
      <c r="C788" s="14" t="s">
        <v>336</v>
      </c>
      <c r="D788" s="14" t="s">
        <v>337</v>
      </c>
      <c r="E788" s="14" t="s">
        <v>43</v>
      </c>
      <c r="F788" s="14" t="s">
        <v>87</v>
      </c>
      <c r="G788" s="14" t="s">
        <v>1508</v>
      </c>
      <c r="H788" s="14" t="s">
        <v>393</v>
      </c>
      <c r="I788" s="14" t="s">
        <v>118</v>
      </c>
      <c r="J788" s="14" t="s">
        <v>69</v>
      </c>
      <c r="K788" s="14" t="s">
        <v>349</v>
      </c>
      <c r="L788" s="14" t="s">
        <v>341</v>
      </c>
      <c r="M788" s="16" t="s">
        <v>1509</v>
      </c>
      <c r="N788" s="14"/>
      <c r="O788" s="14" t="s">
        <v>380</v>
      </c>
      <c r="P788" s="14">
        <v>50</v>
      </c>
      <c r="Q788" s="14">
        <v>2</v>
      </c>
      <c r="R788" s="14">
        <v>5000</v>
      </c>
      <c r="S788" s="14" t="s">
        <v>1510</v>
      </c>
      <c r="T788" s="14" t="s">
        <v>1511</v>
      </c>
      <c r="U788" s="14">
        <v>0.73694444444444396</v>
      </c>
      <c r="V788" s="14">
        <v>0.92861111111111105</v>
      </c>
      <c r="W788" s="14">
        <v>711</v>
      </c>
      <c r="X788" s="14">
        <v>50</v>
      </c>
      <c r="Y788" s="14">
        <v>661</v>
      </c>
      <c r="Z788" s="14">
        <v>1589</v>
      </c>
      <c r="AA788" s="14">
        <v>340</v>
      </c>
      <c r="AB788" s="14">
        <v>272</v>
      </c>
      <c r="AC788" s="14">
        <v>931</v>
      </c>
      <c r="AD788" s="14">
        <v>45</v>
      </c>
      <c r="AE788" s="14">
        <v>2300</v>
      </c>
      <c r="AF788" s="14">
        <v>5000</v>
      </c>
      <c r="AG788" s="14">
        <v>2247</v>
      </c>
      <c r="AH788" s="14">
        <v>0</v>
      </c>
      <c r="AI788" s="14">
        <v>48</v>
      </c>
      <c r="AJ788" s="14">
        <v>174</v>
      </c>
      <c r="AK788" s="14" t="s">
        <v>1508</v>
      </c>
      <c r="AL788" s="14" t="s">
        <v>1512</v>
      </c>
      <c r="AM788" s="14">
        <v>179.36</v>
      </c>
      <c r="AN788" s="14">
        <v>142.63999999999999</v>
      </c>
      <c r="AO788" s="14">
        <v>73.5</v>
      </c>
      <c r="AP788" s="14">
        <v>20611</v>
      </c>
      <c r="AQ788" s="14">
        <v>20561</v>
      </c>
      <c r="AR788" s="14">
        <v>23000</v>
      </c>
      <c r="AS788" s="14">
        <v>18311</v>
      </c>
      <c r="AT788" s="14">
        <v>19900</v>
      </c>
      <c r="AU788" s="14">
        <v>-10</v>
      </c>
      <c r="AV788" s="14">
        <v>274.52999999999997</v>
      </c>
      <c r="AW788" s="14">
        <v>27.7</v>
      </c>
      <c r="AX788" s="14">
        <v>3.95</v>
      </c>
      <c r="AY788" s="14" t="b">
        <v>0</v>
      </c>
    </row>
    <row r="789" spans="1:51" hidden="1" x14ac:dyDescent="0.3">
      <c r="A789" t="str">
        <f>CONCATENATE(I789,E789,LEFT(G789,10))</f>
        <v>HFA807LLHA2026-01-22</v>
      </c>
      <c r="B789" s="14" t="s">
        <v>2055</v>
      </c>
      <c r="C789" s="14" t="s">
        <v>336</v>
      </c>
      <c r="D789" s="14" t="s">
        <v>337</v>
      </c>
      <c r="E789" s="14" t="s">
        <v>43</v>
      </c>
      <c r="F789" s="14" t="s">
        <v>87</v>
      </c>
      <c r="G789" s="14" t="s">
        <v>2056</v>
      </c>
      <c r="H789" s="14" t="s">
        <v>339</v>
      </c>
      <c r="I789" s="14" t="s">
        <v>118</v>
      </c>
      <c r="J789" s="14" t="s">
        <v>69</v>
      </c>
      <c r="K789" s="14" t="s">
        <v>349</v>
      </c>
      <c r="L789" s="14" t="s">
        <v>341</v>
      </c>
      <c r="M789" s="16" t="s">
        <v>2057</v>
      </c>
      <c r="N789" s="14"/>
      <c r="O789" s="14" t="s">
        <v>2058</v>
      </c>
      <c r="P789" s="14">
        <v>50</v>
      </c>
      <c r="Q789" s="14">
        <v>2</v>
      </c>
      <c r="R789" s="14">
        <v>5600</v>
      </c>
      <c r="S789" s="14" t="s">
        <v>2059</v>
      </c>
      <c r="T789" s="14" t="s">
        <v>2060</v>
      </c>
      <c r="U789" s="14">
        <v>0.78222222222222204</v>
      </c>
      <c r="V789" s="14">
        <v>0.99250000000000005</v>
      </c>
      <c r="W789" s="14">
        <v>618</v>
      </c>
      <c r="X789" s="14">
        <v>50</v>
      </c>
      <c r="Y789" s="14">
        <v>568</v>
      </c>
      <c r="Z789" s="14">
        <v>760</v>
      </c>
      <c r="AA789" s="14">
        <v>345</v>
      </c>
      <c r="AB789" s="14">
        <v>270</v>
      </c>
      <c r="AC789" s="14">
        <v>100</v>
      </c>
      <c r="AD789" s="14">
        <v>45</v>
      </c>
      <c r="AE789" s="14">
        <v>1378</v>
      </c>
      <c r="AF789" s="14">
        <v>5000</v>
      </c>
      <c r="AG789" s="14">
        <v>1952</v>
      </c>
      <c r="AH789" s="14">
        <v>0</v>
      </c>
      <c r="AI789" s="14">
        <v>42</v>
      </c>
      <c r="AJ789" s="14">
        <v>105</v>
      </c>
      <c r="AK789" s="14" t="s">
        <v>2056</v>
      </c>
      <c r="AL789" s="14" t="s">
        <v>2061</v>
      </c>
      <c r="AM789" s="14">
        <v>179.36</v>
      </c>
      <c r="AN789" s="14">
        <v>142.63999999999999</v>
      </c>
      <c r="AO789" s="14">
        <v>73.5</v>
      </c>
      <c r="AP789" s="14">
        <v>20303</v>
      </c>
      <c r="AQ789" s="14">
        <v>20253</v>
      </c>
      <c r="AR789" s="14">
        <v>23000</v>
      </c>
      <c r="AS789" s="14">
        <v>18925</v>
      </c>
      <c r="AT789" s="14">
        <v>19685</v>
      </c>
      <c r="AU789" s="14">
        <v>15</v>
      </c>
      <c r="AV789" s="14">
        <v>210.58</v>
      </c>
      <c r="AW789" s="14">
        <v>33.79</v>
      </c>
      <c r="AX789" s="14">
        <v>1.71</v>
      </c>
      <c r="AY789" s="14" t="b">
        <v>0</v>
      </c>
    </row>
    <row r="790" spans="1:51" hidden="1" x14ac:dyDescent="0.3">
      <c r="A790" t="str">
        <f>CONCATENATE(I790,E790,LEFT(G790,10))</f>
        <v>HFA807LLHA2026-01-24</v>
      </c>
      <c r="B790" s="14" t="s">
        <v>637</v>
      </c>
      <c r="C790" s="14" t="s">
        <v>336</v>
      </c>
      <c r="D790" s="14" t="s">
        <v>337</v>
      </c>
      <c r="E790" s="14" t="s">
        <v>43</v>
      </c>
      <c r="F790" s="14" t="s">
        <v>87</v>
      </c>
      <c r="G790" s="14" t="s">
        <v>638</v>
      </c>
      <c r="H790" s="14" t="s">
        <v>371</v>
      </c>
      <c r="I790" s="14" t="s">
        <v>118</v>
      </c>
      <c r="J790" s="14" t="s">
        <v>69</v>
      </c>
      <c r="K790" s="14" t="s">
        <v>349</v>
      </c>
      <c r="L790" s="14" t="s">
        <v>341</v>
      </c>
      <c r="M790" s="16" t="s">
        <v>639</v>
      </c>
      <c r="N790" s="14"/>
      <c r="O790" s="14" t="s">
        <v>351</v>
      </c>
      <c r="P790" s="14">
        <v>140</v>
      </c>
      <c r="Q790" s="14">
        <v>2</v>
      </c>
      <c r="R790" s="14">
        <v>3000</v>
      </c>
      <c r="S790" s="14" t="s">
        <v>640</v>
      </c>
      <c r="T790" s="14" t="s">
        <v>641</v>
      </c>
      <c r="U790" s="14">
        <v>0.73694444444444396</v>
      </c>
      <c r="V790" s="14">
        <v>0.90916666666666601</v>
      </c>
      <c r="W790" s="14">
        <v>641</v>
      </c>
      <c r="X790" s="14">
        <v>50</v>
      </c>
      <c r="Y790" s="14">
        <v>591</v>
      </c>
      <c r="Z790" s="14">
        <v>879</v>
      </c>
      <c r="AA790" s="14">
        <v>335</v>
      </c>
      <c r="AB790" s="14">
        <v>251</v>
      </c>
      <c r="AC790" s="14">
        <v>251</v>
      </c>
      <c r="AD790" s="14">
        <v>42</v>
      </c>
      <c r="AE790" s="14">
        <v>1520</v>
      </c>
      <c r="AF790" s="14">
        <v>5000</v>
      </c>
      <c r="AG790" s="14">
        <v>2026</v>
      </c>
      <c r="AH790" s="14">
        <v>0</v>
      </c>
      <c r="AI790" s="14">
        <v>46</v>
      </c>
      <c r="AJ790" s="14">
        <v>122</v>
      </c>
      <c r="AK790" s="14" t="s">
        <v>638</v>
      </c>
      <c r="AL790" s="14" t="s">
        <v>642</v>
      </c>
      <c r="AM790" s="14">
        <v>179.36</v>
      </c>
      <c r="AN790" s="14">
        <v>142.63999999999999</v>
      </c>
      <c r="AO790" s="14">
        <v>73.5</v>
      </c>
      <c r="AP790" s="14">
        <v>18020</v>
      </c>
      <c r="AQ790" s="14">
        <v>17970</v>
      </c>
      <c r="AR790" s="14">
        <v>23000</v>
      </c>
      <c r="AS790" s="14">
        <v>16500</v>
      </c>
      <c r="AT790" s="14">
        <v>17379</v>
      </c>
      <c r="AU790" s="14">
        <v>-13</v>
      </c>
      <c r="AV790" s="14">
        <v>324.79000000000002</v>
      </c>
      <c r="AW790" s="14">
        <v>18.47</v>
      </c>
      <c r="AX790" s="14">
        <v>0.86</v>
      </c>
      <c r="AY790" s="14" t="b">
        <v>0</v>
      </c>
    </row>
    <row r="791" spans="1:51" hidden="1" x14ac:dyDescent="0.3">
      <c r="A791" t="str">
        <f>CONCATENATE(I791,E791,LEFT(G791,10))</f>
        <v>HFA807LLHA2026-01-25</v>
      </c>
      <c r="B791" s="14" t="s">
        <v>5156</v>
      </c>
      <c r="C791" s="14" t="s">
        <v>336</v>
      </c>
      <c r="D791" s="14" t="s">
        <v>337</v>
      </c>
      <c r="E791" s="14" t="s">
        <v>43</v>
      </c>
      <c r="F791" s="14" t="s">
        <v>87</v>
      </c>
      <c r="G791" s="14" t="s">
        <v>5157</v>
      </c>
      <c r="H791" s="14" t="s">
        <v>371</v>
      </c>
      <c r="I791" s="14" t="s">
        <v>118</v>
      </c>
      <c r="J791" s="14" t="s">
        <v>69</v>
      </c>
      <c r="K791" s="14" t="s">
        <v>349</v>
      </c>
      <c r="L791" s="14" t="s">
        <v>341</v>
      </c>
      <c r="M791" s="16" t="s">
        <v>5158</v>
      </c>
      <c r="N791" s="14"/>
      <c r="O791" s="14" t="s">
        <v>1881</v>
      </c>
      <c r="P791" s="14">
        <v>50</v>
      </c>
      <c r="Q791" s="14">
        <v>2</v>
      </c>
      <c r="R791" s="14">
        <v>3000</v>
      </c>
      <c r="S791" s="14" t="s">
        <v>5159</v>
      </c>
      <c r="T791" s="14" t="s">
        <v>5160</v>
      </c>
      <c r="U791" s="14">
        <v>0.74833333333333296</v>
      </c>
      <c r="V791" s="14">
        <v>0.88333333333333297</v>
      </c>
      <c r="W791" s="14">
        <v>621</v>
      </c>
      <c r="X791" s="14">
        <v>50</v>
      </c>
      <c r="Y791" s="14">
        <v>571</v>
      </c>
      <c r="Z791" s="14">
        <v>715</v>
      </c>
      <c r="AA791" s="14">
        <v>323</v>
      </c>
      <c r="AB791" s="14">
        <v>250</v>
      </c>
      <c r="AC791" s="14">
        <v>100</v>
      </c>
      <c r="AD791" s="14">
        <v>42</v>
      </c>
      <c r="AE791" s="14">
        <v>1336</v>
      </c>
      <c r="AF791" s="14">
        <v>5000</v>
      </c>
      <c r="AG791" s="14">
        <v>1963</v>
      </c>
      <c r="AH791" s="14">
        <v>0</v>
      </c>
      <c r="AI791" s="14">
        <v>46</v>
      </c>
      <c r="AJ791" s="14">
        <v>109</v>
      </c>
      <c r="AK791" s="14" t="s">
        <v>5157</v>
      </c>
      <c r="AL791" s="14" t="s">
        <v>5161</v>
      </c>
      <c r="AM791" s="14">
        <v>179.36</v>
      </c>
      <c r="AN791" s="14">
        <v>142.63999999999999</v>
      </c>
      <c r="AO791" s="14">
        <v>73.5</v>
      </c>
      <c r="AP791" s="14">
        <v>17836</v>
      </c>
      <c r="AQ791" s="14">
        <v>17786</v>
      </c>
      <c r="AR791" s="14">
        <v>23000</v>
      </c>
      <c r="AS791" s="14">
        <v>16500</v>
      </c>
      <c r="AT791" s="14">
        <v>17215</v>
      </c>
      <c r="AU791" s="14">
        <v>-5</v>
      </c>
      <c r="AV791" s="14">
        <v>276.57</v>
      </c>
      <c r="AW791" s="14">
        <v>12.02</v>
      </c>
      <c r="AX791" s="14">
        <v>5.75</v>
      </c>
      <c r="AY791" s="14" t="b">
        <v>0</v>
      </c>
    </row>
    <row r="792" spans="1:51" hidden="1" x14ac:dyDescent="0.3">
      <c r="A792" t="str">
        <f>CONCATENATE(I792,E792,LEFT(G792,10))</f>
        <v>HFA807LLHA2026-01-26</v>
      </c>
      <c r="B792" s="14" t="s">
        <v>2958</v>
      </c>
      <c r="C792" s="14" t="s">
        <v>336</v>
      </c>
      <c r="D792" s="14" t="s">
        <v>337</v>
      </c>
      <c r="E792" s="14" t="s">
        <v>43</v>
      </c>
      <c r="F792" s="14" t="s">
        <v>87</v>
      </c>
      <c r="G792" s="14" t="s">
        <v>2959</v>
      </c>
      <c r="H792" s="14" t="s">
        <v>371</v>
      </c>
      <c r="I792" s="14" t="s">
        <v>118</v>
      </c>
      <c r="J792" s="14" t="s">
        <v>69</v>
      </c>
      <c r="K792" s="14" t="s">
        <v>349</v>
      </c>
      <c r="L792" s="14" t="s">
        <v>341</v>
      </c>
      <c r="M792" s="16" t="s">
        <v>2960</v>
      </c>
      <c r="N792" s="14"/>
      <c r="O792" s="14" t="s">
        <v>430</v>
      </c>
      <c r="P792" s="14">
        <v>140</v>
      </c>
      <c r="Q792" s="14">
        <v>2</v>
      </c>
      <c r="R792" s="14">
        <v>2000</v>
      </c>
      <c r="S792" s="14" t="s">
        <v>2961</v>
      </c>
      <c r="T792" s="14" t="s">
        <v>2962</v>
      </c>
      <c r="U792" s="14">
        <v>0.67916666666666603</v>
      </c>
      <c r="V792" s="14">
        <v>0.87055555555555497</v>
      </c>
      <c r="W792" s="14">
        <v>589</v>
      </c>
      <c r="X792" s="14">
        <v>50</v>
      </c>
      <c r="Y792" s="14">
        <v>539</v>
      </c>
      <c r="Z792" s="14">
        <v>831</v>
      </c>
      <c r="AA792" s="14">
        <v>333</v>
      </c>
      <c r="AB792" s="14">
        <v>243</v>
      </c>
      <c r="AC792" s="14">
        <v>214</v>
      </c>
      <c r="AD792" s="14">
        <v>41</v>
      </c>
      <c r="AE792" s="14">
        <v>1420</v>
      </c>
      <c r="AF792" s="14">
        <v>5000</v>
      </c>
      <c r="AG792" s="14">
        <v>1861</v>
      </c>
      <c r="AH792" s="14">
        <v>0</v>
      </c>
      <c r="AI792" s="14">
        <v>43</v>
      </c>
      <c r="AJ792" s="14">
        <v>116</v>
      </c>
      <c r="AK792" s="14" t="s">
        <v>2959</v>
      </c>
      <c r="AL792" s="14" t="s">
        <v>2963</v>
      </c>
      <c r="AM792" s="14">
        <v>179.36</v>
      </c>
      <c r="AN792" s="14">
        <v>142.63999999999999</v>
      </c>
      <c r="AO792" s="14">
        <v>73.5</v>
      </c>
      <c r="AP792" s="14">
        <v>16920</v>
      </c>
      <c r="AQ792" s="14">
        <v>16870</v>
      </c>
      <c r="AR792" s="14">
        <v>23000</v>
      </c>
      <c r="AS792" s="14">
        <v>15500</v>
      </c>
      <c r="AT792" s="14">
        <v>16331</v>
      </c>
      <c r="AU792" s="14">
        <v>7</v>
      </c>
      <c r="AV792" s="14">
        <v>223.99</v>
      </c>
      <c r="AW792" s="14">
        <v>42.71</v>
      </c>
      <c r="AX792" s="14">
        <v>4.66</v>
      </c>
      <c r="AY792" s="14" t="b">
        <v>0</v>
      </c>
    </row>
    <row r="793" spans="1:51" hidden="1" x14ac:dyDescent="0.3">
      <c r="A793" t="str">
        <f>CONCATENATE(I793,E793,LEFT(G793,10))</f>
        <v>HFA807LLHA2026-01-27</v>
      </c>
      <c r="B793" s="14" t="s">
        <v>938</v>
      </c>
      <c r="C793" s="14" t="s">
        <v>336</v>
      </c>
      <c r="D793" s="14" t="s">
        <v>337</v>
      </c>
      <c r="E793" s="14" t="s">
        <v>43</v>
      </c>
      <c r="F793" s="14" t="s">
        <v>87</v>
      </c>
      <c r="G793" s="14" t="s">
        <v>939</v>
      </c>
      <c r="H793" s="14" t="s">
        <v>371</v>
      </c>
      <c r="I793" s="14" t="s">
        <v>118</v>
      </c>
      <c r="J793" s="14" t="s">
        <v>69</v>
      </c>
      <c r="K793" s="14" t="s">
        <v>349</v>
      </c>
      <c r="L793" s="14" t="s">
        <v>341</v>
      </c>
      <c r="M793" s="16" t="s">
        <v>940</v>
      </c>
      <c r="N793" s="14"/>
      <c r="O793" s="14" t="s">
        <v>380</v>
      </c>
      <c r="P793" s="14">
        <v>50</v>
      </c>
      <c r="Q793" s="14">
        <v>2</v>
      </c>
      <c r="R793" s="14">
        <v>3000</v>
      </c>
      <c r="S793" s="14" t="s">
        <v>941</v>
      </c>
      <c r="T793" s="14" t="s">
        <v>942</v>
      </c>
      <c r="U793" s="14">
        <v>0.72722222222222199</v>
      </c>
      <c r="V793" s="14">
        <v>0.93416666666666603</v>
      </c>
      <c r="W793" s="14">
        <v>615</v>
      </c>
      <c r="X793" s="14">
        <v>50</v>
      </c>
      <c r="Y793" s="14">
        <v>565</v>
      </c>
      <c r="Z793" s="14">
        <v>726</v>
      </c>
      <c r="AA793" s="14">
        <v>335</v>
      </c>
      <c r="AB793" s="14">
        <v>250</v>
      </c>
      <c r="AC793" s="14">
        <v>100</v>
      </c>
      <c r="AD793" s="14">
        <v>42</v>
      </c>
      <c r="AE793" s="14">
        <v>1341</v>
      </c>
      <c r="AF793" s="14">
        <v>5000</v>
      </c>
      <c r="AG793" s="14">
        <v>1942</v>
      </c>
      <c r="AH793" s="14">
        <v>0</v>
      </c>
      <c r="AI793" s="14">
        <v>44</v>
      </c>
      <c r="AJ793" s="14">
        <v>106</v>
      </c>
      <c r="AK793" s="14" t="s">
        <v>939</v>
      </c>
      <c r="AL793" s="14" t="s">
        <v>943</v>
      </c>
      <c r="AM793" s="14">
        <v>179.36</v>
      </c>
      <c r="AN793" s="14">
        <v>142.63999999999999</v>
      </c>
      <c r="AO793" s="14">
        <v>73.5</v>
      </c>
      <c r="AP793" s="14">
        <v>17841</v>
      </c>
      <c r="AQ793" s="14">
        <v>17791</v>
      </c>
      <c r="AR793" s="14">
        <v>23000</v>
      </c>
      <c r="AS793" s="14">
        <v>16500</v>
      </c>
      <c r="AT793" s="14">
        <v>17226</v>
      </c>
      <c r="AU793" s="14">
        <v>7</v>
      </c>
      <c r="AV793" s="14">
        <v>224.29</v>
      </c>
      <c r="AW793" s="14">
        <v>24.28</v>
      </c>
      <c r="AX793" s="14">
        <v>-2.08</v>
      </c>
      <c r="AY793" s="14" t="b">
        <v>0</v>
      </c>
    </row>
    <row r="794" spans="1:51" hidden="1" x14ac:dyDescent="0.3">
      <c r="A794" t="str">
        <f>CONCATENATE(I794,E794,LEFT(G794,10))</f>
        <v>HFA807LLHA2026-01-28</v>
      </c>
      <c r="B794" s="14" t="s">
        <v>1293</v>
      </c>
      <c r="C794" s="14" t="s">
        <v>336</v>
      </c>
      <c r="D794" s="14" t="s">
        <v>337</v>
      </c>
      <c r="E794" s="14" t="s">
        <v>43</v>
      </c>
      <c r="F794" s="14" t="s">
        <v>87</v>
      </c>
      <c r="G794" s="14" t="s">
        <v>1294</v>
      </c>
      <c r="H794" s="14" t="s">
        <v>371</v>
      </c>
      <c r="I794" s="14" t="s">
        <v>118</v>
      </c>
      <c r="J794" s="14" t="s">
        <v>69</v>
      </c>
      <c r="K794" s="14" t="s">
        <v>349</v>
      </c>
      <c r="L794" s="14" t="s">
        <v>341</v>
      </c>
      <c r="M794" s="16" t="s">
        <v>1295</v>
      </c>
      <c r="N794" s="14"/>
      <c r="O794" s="14" t="s">
        <v>1296</v>
      </c>
      <c r="P794" s="14">
        <v>50</v>
      </c>
      <c r="Q794" s="14">
        <v>2</v>
      </c>
      <c r="R794" s="14">
        <v>5300</v>
      </c>
      <c r="S794" s="14" t="s">
        <v>1297</v>
      </c>
      <c r="T794" s="14" t="s">
        <v>1298</v>
      </c>
      <c r="U794" s="14">
        <v>0.79027777777777697</v>
      </c>
      <c r="V794" s="14">
        <v>0.950277777777777</v>
      </c>
      <c r="W794" s="14">
        <v>677</v>
      </c>
      <c r="X794" s="14">
        <v>50</v>
      </c>
      <c r="Y794" s="14">
        <v>627</v>
      </c>
      <c r="Z794" s="14">
        <v>866</v>
      </c>
      <c r="AA794" s="14">
        <v>351</v>
      </c>
      <c r="AB794" s="14">
        <v>270</v>
      </c>
      <c r="AC794" s="14">
        <v>200</v>
      </c>
      <c r="AD794" s="14">
        <v>45</v>
      </c>
      <c r="AE794" s="14">
        <v>1542</v>
      </c>
      <c r="AF794" s="14">
        <v>5000</v>
      </c>
      <c r="AG794" s="14">
        <v>2138</v>
      </c>
      <c r="AH794" s="14">
        <v>0</v>
      </c>
      <c r="AI794" s="14">
        <v>49</v>
      </c>
      <c r="AJ794" s="14">
        <v>121</v>
      </c>
      <c r="AK794" s="14" t="s">
        <v>1294</v>
      </c>
      <c r="AL794" s="14" t="s">
        <v>1299</v>
      </c>
      <c r="AM794" s="14">
        <v>179.36</v>
      </c>
      <c r="AN794" s="14">
        <v>142.63999999999999</v>
      </c>
      <c r="AO794" s="14">
        <v>73.5</v>
      </c>
      <c r="AP794" s="14">
        <v>20342</v>
      </c>
      <c r="AQ794" s="14">
        <v>20292</v>
      </c>
      <c r="AR794" s="14">
        <v>23000</v>
      </c>
      <c r="AS794" s="14">
        <v>18800</v>
      </c>
      <c r="AT794" s="14">
        <v>19666</v>
      </c>
      <c r="AU794" s="14">
        <v>-17</v>
      </c>
      <c r="AV794" s="14">
        <v>293.63</v>
      </c>
      <c r="AW794" s="14">
        <v>27.29</v>
      </c>
      <c r="AX794" s="14">
        <v>0.24</v>
      </c>
      <c r="AY794" s="14" t="b">
        <v>0</v>
      </c>
    </row>
    <row r="795" spans="1:51" hidden="1" x14ac:dyDescent="0.3">
      <c r="A795" t="str">
        <f>CONCATENATE(I795,E795,LEFT(G795,10))</f>
        <v>HFA807LLHA2026-01-29</v>
      </c>
      <c r="B795" s="14" t="s">
        <v>6277</v>
      </c>
      <c r="C795" s="14" t="s">
        <v>336</v>
      </c>
      <c r="D795" s="14" t="s">
        <v>337</v>
      </c>
      <c r="E795" s="14" t="s">
        <v>43</v>
      </c>
      <c r="F795" s="14" t="s">
        <v>87</v>
      </c>
      <c r="G795" s="14" t="s">
        <v>6278</v>
      </c>
      <c r="H795" s="14" t="s">
        <v>339</v>
      </c>
      <c r="I795" s="14" t="s">
        <v>118</v>
      </c>
      <c r="J795" s="14" t="s">
        <v>69</v>
      </c>
      <c r="K795" s="14" t="s">
        <v>349</v>
      </c>
      <c r="L795" s="14" t="s">
        <v>341</v>
      </c>
      <c r="M795" s="16" t="s">
        <v>6279</v>
      </c>
      <c r="N795" s="14"/>
      <c r="O795" s="14" t="s">
        <v>380</v>
      </c>
      <c r="P795" s="14">
        <v>50</v>
      </c>
      <c r="Q795" s="14">
        <v>2</v>
      </c>
      <c r="R795" s="14">
        <v>5100</v>
      </c>
      <c r="S795" s="14" t="s">
        <v>6280</v>
      </c>
      <c r="T795" s="14" t="s">
        <v>6281</v>
      </c>
      <c r="U795" s="14">
        <v>0.82472222222222202</v>
      </c>
      <c r="V795" s="14">
        <v>0.97388888888888803</v>
      </c>
      <c r="W795" s="14">
        <v>629</v>
      </c>
      <c r="X795" s="14">
        <v>50</v>
      </c>
      <c r="Y795" s="14">
        <v>579</v>
      </c>
      <c r="Z795" s="14">
        <v>931</v>
      </c>
      <c r="AA795" s="14">
        <v>338</v>
      </c>
      <c r="AB795" s="14">
        <v>267</v>
      </c>
      <c r="AC795" s="14">
        <v>281</v>
      </c>
      <c r="AD795" s="14">
        <v>45</v>
      </c>
      <c r="AE795" s="14">
        <v>1560</v>
      </c>
      <c r="AF795" s="14">
        <v>5000</v>
      </c>
      <c r="AG795" s="14">
        <v>1987</v>
      </c>
      <c r="AH795" s="14">
        <v>0</v>
      </c>
      <c r="AI795" s="14">
        <v>46</v>
      </c>
      <c r="AJ795" s="14">
        <v>125</v>
      </c>
      <c r="AK795" s="14" t="s">
        <v>6278</v>
      </c>
      <c r="AL795" s="14" t="s">
        <v>6282</v>
      </c>
      <c r="AM795" s="14">
        <v>179.36</v>
      </c>
      <c r="AN795" s="14">
        <v>142.63999999999999</v>
      </c>
      <c r="AO795" s="14">
        <v>73.5</v>
      </c>
      <c r="AP795" s="14">
        <v>19985</v>
      </c>
      <c r="AQ795" s="14">
        <v>19935</v>
      </c>
      <c r="AR795" s="14">
        <v>23000</v>
      </c>
      <c r="AS795" s="14">
        <v>18425</v>
      </c>
      <c r="AT795" s="14">
        <v>19356</v>
      </c>
      <c r="AU795" s="14">
        <v>-3</v>
      </c>
      <c r="AV795" s="14">
        <v>248.55</v>
      </c>
      <c r="AW795" s="14">
        <v>29.52</v>
      </c>
      <c r="AX795" s="14">
        <v>2.27</v>
      </c>
      <c r="AY795" s="14" t="b">
        <v>0</v>
      </c>
    </row>
    <row r="796" spans="1:51" hidden="1" x14ac:dyDescent="0.3">
      <c r="A796" t="str">
        <f>CONCATENATE(I796,E796,LEFT(G796,10))</f>
        <v>HFA807LLHA2026-01-31</v>
      </c>
      <c r="B796" s="14" t="s">
        <v>2393</v>
      </c>
      <c r="C796" s="14" t="s">
        <v>336</v>
      </c>
      <c r="D796" s="14" t="s">
        <v>337</v>
      </c>
      <c r="E796" s="14" t="s">
        <v>43</v>
      </c>
      <c r="F796" s="14" t="s">
        <v>87</v>
      </c>
      <c r="G796" s="14" t="s">
        <v>2394</v>
      </c>
      <c r="H796" s="14" t="s">
        <v>371</v>
      </c>
      <c r="I796" s="14" t="s">
        <v>118</v>
      </c>
      <c r="J796" s="14" t="s">
        <v>69</v>
      </c>
      <c r="K796" s="14" t="s">
        <v>349</v>
      </c>
      <c r="L796" s="14" t="s">
        <v>341</v>
      </c>
      <c r="M796" s="16" t="s">
        <v>2395</v>
      </c>
      <c r="N796" s="14"/>
      <c r="O796" s="14" t="s">
        <v>430</v>
      </c>
      <c r="P796" s="14">
        <v>140</v>
      </c>
      <c r="Q796" s="14">
        <v>2</v>
      </c>
      <c r="R796" s="14">
        <v>4300</v>
      </c>
      <c r="S796" s="14" t="s">
        <v>2396</v>
      </c>
      <c r="T796" s="14" t="s">
        <v>2397</v>
      </c>
      <c r="U796" s="14">
        <v>0.76944444444444404</v>
      </c>
      <c r="V796" s="14">
        <v>0.90777777777777702</v>
      </c>
      <c r="W796" s="14">
        <v>636</v>
      </c>
      <c r="X796" s="14">
        <v>50</v>
      </c>
      <c r="Y796" s="14">
        <v>586</v>
      </c>
      <c r="Z796" s="14">
        <v>934</v>
      </c>
      <c r="AA796" s="14">
        <v>356</v>
      </c>
      <c r="AB796" s="14">
        <v>262</v>
      </c>
      <c r="AC796" s="14">
        <v>272</v>
      </c>
      <c r="AD796" s="14">
        <v>44</v>
      </c>
      <c r="AE796" s="14">
        <v>1570</v>
      </c>
      <c r="AF796" s="14">
        <v>5000</v>
      </c>
      <c r="AG796" s="14">
        <v>2011</v>
      </c>
      <c r="AH796" s="14">
        <v>0</v>
      </c>
      <c r="AI796" s="14">
        <v>47</v>
      </c>
      <c r="AJ796" s="14">
        <v>126</v>
      </c>
      <c r="AK796" s="14" t="s">
        <v>2394</v>
      </c>
      <c r="AL796" s="14" t="s">
        <v>2398</v>
      </c>
      <c r="AM796" s="14">
        <v>179.36</v>
      </c>
      <c r="AN796" s="14">
        <v>142.63999999999999</v>
      </c>
      <c r="AO796" s="14">
        <v>73.5</v>
      </c>
      <c r="AP796" s="14">
        <v>19370</v>
      </c>
      <c r="AQ796" s="14">
        <v>19320</v>
      </c>
      <c r="AR796" s="14">
        <v>23000</v>
      </c>
      <c r="AS796" s="14">
        <v>17800</v>
      </c>
      <c r="AT796" s="14">
        <v>18734</v>
      </c>
      <c r="AU796" s="14">
        <v>-8</v>
      </c>
      <c r="AV796" s="14">
        <v>258.36</v>
      </c>
      <c r="AW796" s="14">
        <v>40.67</v>
      </c>
      <c r="AX796" s="14">
        <v>3.81</v>
      </c>
      <c r="AY796" s="14" t="b">
        <v>0</v>
      </c>
    </row>
    <row r="797" spans="1:51" hidden="1" x14ac:dyDescent="0.3">
      <c r="A797" t="str">
        <f>CONCATENATE(I797,E797,LEFT(G797,10))</f>
        <v>HFA807LLHA2026-02-01</v>
      </c>
      <c r="B797" s="14" t="s">
        <v>1983</v>
      </c>
      <c r="C797" s="14" t="s">
        <v>336</v>
      </c>
      <c r="D797" s="14" t="s">
        <v>337</v>
      </c>
      <c r="E797" s="14" t="s">
        <v>43</v>
      </c>
      <c r="F797" s="14" t="s">
        <v>87</v>
      </c>
      <c r="G797" s="14" t="s">
        <v>1984</v>
      </c>
      <c r="H797" s="14" t="s">
        <v>393</v>
      </c>
      <c r="I797" s="14" t="s">
        <v>118</v>
      </c>
      <c r="J797" s="14" t="s">
        <v>69</v>
      </c>
      <c r="K797" s="14" t="s">
        <v>349</v>
      </c>
      <c r="L797" s="14" t="s">
        <v>341</v>
      </c>
      <c r="M797" s="16" t="s">
        <v>1985</v>
      </c>
      <c r="N797" s="14"/>
      <c r="O797" s="14" t="s">
        <v>430</v>
      </c>
      <c r="P797" s="14">
        <v>140</v>
      </c>
      <c r="Q797" s="14">
        <v>2</v>
      </c>
      <c r="R797" s="14">
        <v>3500</v>
      </c>
      <c r="S797" s="14" t="s">
        <v>1986</v>
      </c>
      <c r="T797" s="14" t="s">
        <v>1987</v>
      </c>
      <c r="U797" s="14">
        <v>0.72138888888888797</v>
      </c>
      <c r="V797" s="14">
        <v>0.86805555555555503</v>
      </c>
      <c r="W797" s="14">
        <v>654</v>
      </c>
      <c r="X797" s="14">
        <v>50</v>
      </c>
      <c r="Y797" s="14">
        <v>604</v>
      </c>
      <c r="Z797" s="14">
        <v>996</v>
      </c>
      <c r="AA797" s="14">
        <v>339</v>
      </c>
      <c r="AB797" s="14">
        <v>254</v>
      </c>
      <c r="AC797" s="14">
        <v>360</v>
      </c>
      <c r="AD797" s="14">
        <v>42</v>
      </c>
      <c r="AE797" s="14">
        <v>1650</v>
      </c>
      <c r="AF797" s="14">
        <v>5000</v>
      </c>
      <c r="AG797" s="14">
        <v>2066</v>
      </c>
      <c r="AH797" s="14">
        <v>0</v>
      </c>
      <c r="AI797" s="14">
        <v>44</v>
      </c>
      <c r="AJ797" s="14">
        <v>127</v>
      </c>
      <c r="AK797" s="14" t="s">
        <v>1984</v>
      </c>
      <c r="AL797" s="14" t="s">
        <v>1988</v>
      </c>
      <c r="AM797" s="14">
        <v>179.36</v>
      </c>
      <c r="AN797" s="14">
        <v>142.63999999999999</v>
      </c>
      <c r="AO797" s="14">
        <v>73.5</v>
      </c>
      <c r="AP797" s="14">
        <v>18461</v>
      </c>
      <c r="AQ797" s="14">
        <v>18411</v>
      </c>
      <c r="AR797" s="14">
        <v>23000</v>
      </c>
      <c r="AS797" s="14">
        <v>16811</v>
      </c>
      <c r="AT797" s="14">
        <v>17807</v>
      </c>
      <c r="AU797" s="14">
        <v>7</v>
      </c>
      <c r="AV797" s="14">
        <v>228.16</v>
      </c>
      <c r="AW797" s="14">
        <v>32.75</v>
      </c>
      <c r="AX797" s="14">
        <v>4.7300000000000004</v>
      </c>
      <c r="AY797" s="14" t="b">
        <v>0</v>
      </c>
    </row>
    <row r="798" spans="1:51" hidden="1" x14ac:dyDescent="0.3">
      <c r="A798" t="str">
        <f>CONCATENATE(I798,E798,LEFT(G798,10))</f>
        <v>HFA807LLHA2026-02-02</v>
      </c>
      <c r="B798" s="14" t="s">
        <v>842</v>
      </c>
      <c r="C798" s="14" t="s">
        <v>336</v>
      </c>
      <c r="D798" s="14" t="s">
        <v>337</v>
      </c>
      <c r="E798" s="14" t="s">
        <v>43</v>
      </c>
      <c r="F798" s="14" t="s">
        <v>87</v>
      </c>
      <c r="G798" s="14" t="s">
        <v>843</v>
      </c>
      <c r="H798" s="14" t="s">
        <v>339</v>
      </c>
      <c r="I798" s="14" t="s">
        <v>118</v>
      </c>
      <c r="J798" s="14" t="s">
        <v>69</v>
      </c>
      <c r="K798" s="14" t="s">
        <v>349</v>
      </c>
      <c r="L798" s="14" t="s">
        <v>341</v>
      </c>
      <c r="M798" s="16" t="s">
        <v>844</v>
      </c>
      <c r="N798" s="14"/>
      <c r="O798" s="14" t="s">
        <v>845</v>
      </c>
      <c r="P798" s="14">
        <v>50</v>
      </c>
      <c r="Q798" s="14">
        <v>2</v>
      </c>
      <c r="R798" s="14">
        <v>1800</v>
      </c>
      <c r="S798" s="14" t="s">
        <v>846</v>
      </c>
      <c r="T798" s="14" t="s">
        <v>847</v>
      </c>
      <c r="U798" s="14">
        <v>0.80083333333333295</v>
      </c>
      <c r="V798" s="14">
        <v>1.2524999999999999</v>
      </c>
      <c r="W798" s="14">
        <v>611</v>
      </c>
      <c r="X798" s="14">
        <v>50</v>
      </c>
      <c r="Y798" s="14">
        <v>561</v>
      </c>
      <c r="Z798" s="14">
        <v>724</v>
      </c>
      <c r="AA798" s="14">
        <v>344</v>
      </c>
      <c r="AB798" s="14">
        <v>240</v>
      </c>
      <c r="AC798" s="14">
        <v>100</v>
      </c>
      <c r="AD798" s="14">
        <v>40</v>
      </c>
      <c r="AE798" s="14">
        <v>1335</v>
      </c>
      <c r="AF798" s="14">
        <v>5000</v>
      </c>
      <c r="AG798" s="14">
        <v>1932</v>
      </c>
      <c r="AH798" s="14">
        <v>0</v>
      </c>
      <c r="AI798" s="14">
        <v>45</v>
      </c>
      <c r="AJ798" s="14">
        <v>110</v>
      </c>
      <c r="AK798" s="14" t="s">
        <v>843</v>
      </c>
      <c r="AL798" s="14" t="s">
        <v>848</v>
      </c>
      <c r="AM798" s="14">
        <v>179.36</v>
      </c>
      <c r="AN798" s="14">
        <v>142.63999999999999</v>
      </c>
      <c r="AO798" s="14">
        <v>73.5</v>
      </c>
      <c r="AP798" s="14">
        <v>16460</v>
      </c>
      <c r="AQ798" s="14">
        <v>16410</v>
      </c>
      <c r="AR798" s="14">
        <v>23000</v>
      </c>
      <c r="AS798" s="14">
        <v>15125</v>
      </c>
      <c r="AT798" s="14">
        <v>15849</v>
      </c>
      <c r="AU798" s="14">
        <v>-4</v>
      </c>
      <c r="AV798" s="14">
        <v>249.57</v>
      </c>
      <c r="AW798" s="14">
        <v>40.659999999999997</v>
      </c>
      <c r="AX798" s="14">
        <v>2.12</v>
      </c>
      <c r="AY798" s="14" t="b">
        <v>0</v>
      </c>
    </row>
    <row r="799" spans="1:51" hidden="1" x14ac:dyDescent="0.3">
      <c r="A799" t="str">
        <f>CONCATENATE(I799,E799,LEFT(G799,10))</f>
        <v>HFA807LLHA2026-02-03</v>
      </c>
      <c r="B799" s="14" t="s">
        <v>2421</v>
      </c>
      <c r="C799" s="14" t="s">
        <v>336</v>
      </c>
      <c r="D799" s="14" t="s">
        <v>337</v>
      </c>
      <c r="E799" s="14" t="s">
        <v>43</v>
      </c>
      <c r="F799" s="14" t="s">
        <v>87</v>
      </c>
      <c r="G799" s="14" t="s">
        <v>2422</v>
      </c>
      <c r="H799" s="14" t="s">
        <v>371</v>
      </c>
      <c r="I799" s="14" t="s">
        <v>118</v>
      </c>
      <c r="J799" s="14" t="s">
        <v>69</v>
      </c>
      <c r="K799" s="14" t="s">
        <v>349</v>
      </c>
      <c r="L799" s="14" t="s">
        <v>341</v>
      </c>
      <c r="M799" s="16"/>
      <c r="N799" s="14"/>
      <c r="O799" s="14" t="s">
        <v>430</v>
      </c>
      <c r="P799" s="14">
        <v>140</v>
      </c>
      <c r="Q799" s="14">
        <v>2</v>
      </c>
      <c r="R799" s="14">
        <v>1700</v>
      </c>
      <c r="S799" s="14" t="s">
        <v>2423</v>
      </c>
      <c r="T799" s="14" t="s">
        <v>2424</v>
      </c>
      <c r="U799" s="14">
        <v>0.81111111111111101</v>
      </c>
      <c r="V799" s="14">
        <v>0.95416666666666605</v>
      </c>
      <c r="W799" s="14">
        <v>679</v>
      </c>
      <c r="X799" s="14">
        <v>50</v>
      </c>
      <c r="Y799" s="14">
        <v>629</v>
      </c>
      <c r="Z799" s="14">
        <v>716</v>
      </c>
      <c r="AA799" s="14">
        <v>336</v>
      </c>
      <c r="AB799" s="14">
        <v>240</v>
      </c>
      <c r="AC799" s="14">
        <v>100</v>
      </c>
      <c r="AD799" s="14">
        <v>40</v>
      </c>
      <c r="AE799" s="14">
        <v>1395</v>
      </c>
      <c r="AF799" s="14">
        <v>5000</v>
      </c>
      <c r="AG799" s="14">
        <v>2145</v>
      </c>
      <c r="AH799" s="14">
        <v>0</v>
      </c>
      <c r="AI799" s="14">
        <v>50</v>
      </c>
      <c r="AJ799" s="14">
        <v>114</v>
      </c>
      <c r="AK799" s="14" t="s">
        <v>2422</v>
      </c>
      <c r="AL799" s="14" t="s">
        <v>2425</v>
      </c>
      <c r="AM799" s="14">
        <v>179.36</v>
      </c>
      <c r="AN799" s="14">
        <v>142.63999999999999</v>
      </c>
      <c r="AO799" s="14">
        <v>73.5</v>
      </c>
      <c r="AP799" s="14">
        <v>16595</v>
      </c>
      <c r="AQ799" s="14">
        <v>16545</v>
      </c>
      <c r="AR799" s="14">
        <v>23000</v>
      </c>
      <c r="AS799" s="14">
        <v>15200</v>
      </c>
      <c r="AT799" s="14">
        <v>15916</v>
      </c>
      <c r="AU799" s="14">
        <v>-33</v>
      </c>
      <c r="AV799" s="14">
        <v>315.82</v>
      </c>
      <c r="AW799" s="14">
        <v>47.76</v>
      </c>
      <c r="AX799" s="14">
        <v>3.52</v>
      </c>
      <c r="AY799" s="14" t="b">
        <v>0</v>
      </c>
    </row>
    <row r="800" spans="1:51" hidden="1" x14ac:dyDescent="0.3">
      <c r="A800" t="str">
        <f>CONCATENATE(I800,E800,LEFT(G800,10))</f>
        <v>HFA807LLHA2026-02-04</v>
      </c>
      <c r="B800" s="14" t="s">
        <v>5819</v>
      </c>
      <c r="C800" s="14" t="s">
        <v>336</v>
      </c>
      <c r="D800" s="14" t="s">
        <v>337</v>
      </c>
      <c r="E800" s="14" t="s">
        <v>43</v>
      </c>
      <c r="F800" s="14" t="s">
        <v>87</v>
      </c>
      <c r="G800" s="14" t="s">
        <v>5820</v>
      </c>
      <c r="H800" s="14" t="s">
        <v>371</v>
      </c>
      <c r="I800" s="14" t="s">
        <v>118</v>
      </c>
      <c r="J800" s="14" t="s">
        <v>69</v>
      </c>
      <c r="K800" s="14" t="s">
        <v>349</v>
      </c>
      <c r="L800" s="14" t="s">
        <v>341</v>
      </c>
      <c r="M800" s="16" t="s">
        <v>5821</v>
      </c>
      <c r="N800" s="14"/>
      <c r="O800" s="14" t="s">
        <v>5822</v>
      </c>
      <c r="P800" s="14">
        <v>50</v>
      </c>
      <c r="Q800" s="14">
        <v>2</v>
      </c>
      <c r="R800" s="14">
        <v>5100</v>
      </c>
      <c r="S800" s="14" t="s">
        <v>5823</v>
      </c>
      <c r="T800" s="14" t="s">
        <v>5824</v>
      </c>
      <c r="U800" s="14">
        <v>0.75972222222222197</v>
      </c>
      <c r="V800" s="14">
        <v>0.85055555555555495</v>
      </c>
      <c r="W800" s="14">
        <v>631</v>
      </c>
      <c r="X800" s="14">
        <v>50</v>
      </c>
      <c r="Y800" s="14">
        <v>581</v>
      </c>
      <c r="Z800" s="14">
        <v>744</v>
      </c>
      <c r="AA800" s="14">
        <v>333</v>
      </c>
      <c r="AB800" s="14">
        <v>267</v>
      </c>
      <c r="AC800" s="14">
        <v>100</v>
      </c>
      <c r="AD800" s="14">
        <v>45</v>
      </c>
      <c r="AE800" s="14">
        <v>1376</v>
      </c>
      <c r="AF800" s="14">
        <v>5000</v>
      </c>
      <c r="AG800" s="14">
        <v>1995</v>
      </c>
      <c r="AH800" s="14">
        <v>0</v>
      </c>
      <c r="AI800" s="14">
        <v>46</v>
      </c>
      <c r="AJ800" s="14">
        <v>109</v>
      </c>
      <c r="AK800" s="14" t="s">
        <v>5820</v>
      </c>
      <c r="AL800" s="14" t="s">
        <v>5825</v>
      </c>
      <c r="AM800" s="14">
        <v>179.36</v>
      </c>
      <c r="AN800" s="14">
        <v>142.63999999999999</v>
      </c>
      <c r="AO800" s="14">
        <v>73.5</v>
      </c>
      <c r="AP800" s="14">
        <v>19976</v>
      </c>
      <c r="AQ800" s="14">
        <v>19926</v>
      </c>
      <c r="AR800" s="14">
        <v>23000</v>
      </c>
      <c r="AS800" s="14">
        <v>18600</v>
      </c>
      <c r="AT800" s="14">
        <v>19344</v>
      </c>
      <c r="AU800" s="14">
        <v>-2</v>
      </c>
      <c r="AV800" s="14">
        <v>257.55</v>
      </c>
      <c r="AW800" s="14">
        <v>9.9700000000000006</v>
      </c>
      <c r="AX800" s="14">
        <v>4.3600000000000003</v>
      </c>
      <c r="AY800" s="14" t="b">
        <v>0</v>
      </c>
    </row>
    <row r="801" spans="1:51" hidden="1" x14ac:dyDescent="0.3">
      <c r="A801" t="str">
        <f>CONCATENATE(I801,E801,LEFT(G801,10))</f>
        <v>HFA807LLHA2026-02-05</v>
      </c>
      <c r="B801" s="14" t="s">
        <v>4627</v>
      </c>
      <c r="C801" s="14" t="s">
        <v>336</v>
      </c>
      <c r="D801" s="14" t="s">
        <v>337</v>
      </c>
      <c r="E801" s="14" t="s">
        <v>43</v>
      </c>
      <c r="F801" s="14" t="s">
        <v>87</v>
      </c>
      <c r="G801" s="14" t="s">
        <v>4628</v>
      </c>
      <c r="H801" s="14" t="s">
        <v>339</v>
      </c>
      <c r="I801" s="14" t="s">
        <v>118</v>
      </c>
      <c r="J801" s="14" t="s">
        <v>69</v>
      </c>
      <c r="K801" s="14" t="s">
        <v>349</v>
      </c>
      <c r="L801" s="14" t="s">
        <v>341</v>
      </c>
      <c r="M801" s="16" t="s">
        <v>4629</v>
      </c>
      <c r="N801" s="14"/>
      <c r="O801" s="14" t="s">
        <v>380</v>
      </c>
      <c r="P801" s="14">
        <v>50</v>
      </c>
      <c r="Q801" s="14">
        <v>2</v>
      </c>
      <c r="R801" s="14">
        <v>6700</v>
      </c>
      <c r="S801" s="14" t="s">
        <v>4630</v>
      </c>
      <c r="T801" s="14" t="s">
        <v>4631</v>
      </c>
      <c r="U801" s="14">
        <v>0.72777777777777697</v>
      </c>
      <c r="V801" s="14">
        <v>0.89972222222222198</v>
      </c>
      <c r="W801" s="14">
        <v>619</v>
      </c>
      <c r="X801" s="14">
        <v>50</v>
      </c>
      <c r="Y801" s="14">
        <v>569</v>
      </c>
      <c r="Z801" s="14">
        <v>1031</v>
      </c>
      <c r="AA801" s="14">
        <v>336</v>
      </c>
      <c r="AB801" s="14">
        <v>283</v>
      </c>
      <c r="AC801" s="14">
        <v>365</v>
      </c>
      <c r="AD801" s="14">
        <v>47</v>
      </c>
      <c r="AE801" s="14">
        <v>1650</v>
      </c>
      <c r="AF801" s="14">
        <v>5000</v>
      </c>
      <c r="AG801" s="14">
        <v>1955</v>
      </c>
      <c r="AH801" s="14">
        <v>0</v>
      </c>
      <c r="AI801" s="14">
        <v>46</v>
      </c>
      <c r="AJ801" s="14">
        <v>131</v>
      </c>
      <c r="AK801" s="14" t="s">
        <v>4628</v>
      </c>
      <c r="AL801" s="14" t="s">
        <v>4632</v>
      </c>
      <c r="AM801" s="14">
        <v>179.36</v>
      </c>
      <c r="AN801" s="14">
        <v>142.63999999999999</v>
      </c>
      <c r="AO801" s="14">
        <v>73.5</v>
      </c>
      <c r="AP801" s="14">
        <v>21675</v>
      </c>
      <c r="AQ801" s="14">
        <v>21625</v>
      </c>
      <c r="AR801" s="14">
        <v>23000</v>
      </c>
      <c r="AS801" s="14">
        <v>20025</v>
      </c>
      <c r="AT801" s="14">
        <v>21056</v>
      </c>
      <c r="AU801" s="14">
        <v>3</v>
      </c>
      <c r="AV801" s="14">
        <v>228.49</v>
      </c>
      <c r="AW801" s="14">
        <v>18.989999999999998</v>
      </c>
      <c r="AX801" s="14">
        <v>4.0999999999999996</v>
      </c>
      <c r="AY801" s="14" t="b">
        <v>0</v>
      </c>
    </row>
    <row r="802" spans="1:51" hidden="1" x14ac:dyDescent="0.3">
      <c r="A802" t="str">
        <f>CONCATENATE(I802,E802,LEFT(G802,10))</f>
        <v>HFA807LLHA2026-02-07</v>
      </c>
      <c r="B802" s="14" t="s">
        <v>4907</v>
      </c>
      <c r="C802" s="14" t="s">
        <v>336</v>
      </c>
      <c r="D802" s="14" t="s">
        <v>337</v>
      </c>
      <c r="E802" s="14" t="s">
        <v>43</v>
      </c>
      <c r="F802" s="14" t="s">
        <v>87</v>
      </c>
      <c r="G802" s="14" t="s">
        <v>4908</v>
      </c>
      <c r="H802" s="14" t="s">
        <v>371</v>
      </c>
      <c r="I802" s="14" t="s">
        <v>118</v>
      </c>
      <c r="J802" s="14" t="s">
        <v>69</v>
      </c>
      <c r="K802" s="14" t="s">
        <v>349</v>
      </c>
      <c r="L802" s="14" t="s">
        <v>341</v>
      </c>
      <c r="M802" s="16" t="s">
        <v>4903</v>
      </c>
      <c r="N802" s="14"/>
      <c r="O802" s="14" t="s">
        <v>430</v>
      </c>
      <c r="P802" s="14">
        <v>140</v>
      </c>
      <c r="Q802" s="14">
        <v>2</v>
      </c>
      <c r="R802" s="14">
        <v>1800</v>
      </c>
      <c r="S802" s="14" t="s">
        <v>4909</v>
      </c>
      <c r="T802" s="14" t="s">
        <v>4910</v>
      </c>
      <c r="U802" s="14">
        <v>0.86277777777777698</v>
      </c>
      <c r="V802" s="14">
        <v>0.98194444444444395</v>
      </c>
      <c r="W802" s="14">
        <v>669</v>
      </c>
      <c r="X802" s="14">
        <v>50</v>
      </c>
      <c r="Y802" s="14">
        <v>619</v>
      </c>
      <c r="Z802" s="14">
        <v>734</v>
      </c>
      <c r="AA802" s="14">
        <v>353</v>
      </c>
      <c r="AB802" s="14">
        <v>241</v>
      </c>
      <c r="AC802" s="14">
        <v>100</v>
      </c>
      <c r="AD802" s="14">
        <v>40</v>
      </c>
      <c r="AE802" s="14">
        <v>1403</v>
      </c>
      <c r="AF802" s="14">
        <v>5000</v>
      </c>
      <c r="AG802" s="14">
        <v>2113</v>
      </c>
      <c r="AH802" s="14">
        <v>0</v>
      </c>
      <c r="AI802" s="14">
        <v>50</v>
      </c>
      <c r="AJ802" s="14">
        <v>116</v>
      </c>
      <c r="AK802" s="14" t="s">
        <v>4908</v>
      </c>
      <c r="AL802" s="14" t="s">
        <v>4911</v>
      </c>
      <c r="AM802" s="14">
        <v>179.36</v>
      </c>
      <c r="AN802" s="14">
        <v>142.63999999999999</v>
      </c>
      <c r="AO802" s="14">
        <v>73.5</v>
      </c>
      <c r="AP802" s="14">
        <v>16703</v>
      </c>
      <c r="AQ802" s="14">
        <v>16653</v>
      </c>
      <c r="AR802" s="14">
        <v>23000</v>
      </c>
      <c r="AS802" s="14">
        <v>15300</v>
      </c>
      <c r="AT802" s="14">
        <v>16034</v>
      </c>
      <c r="AU802" s="14">
        <v>-31</v>
      </c>
      <c r="AV802" s="14">
        <v>287.01</v>
      </c>
      <c r="AW802" s="14">
        <v>57.95</v>
      </c>
      <c r="AX802" s="14">
        <v>6.49</v>
      </c>
      <c r="AY802" s="14" t="b">
        <v>0</v>
      </c>
    </row>
    <row r="803" spans="1:51" hidden="1" x14ac:dyDescent="0.3">
      <c r="A803" t="str">
        <f>CONCATENATE(I803,E803,LEFT(G803,10))</f>
        <v>HFA807LLHA2026-02-08</v>
      </c>
      <c r="B803" s="14" t="s">
        <v>347</v>
      </c>
      <c r="C803" s="14" t="s">
        <v>336</v>
      </c>
      <c r="D803" s="14" t="s">
        <v>337</v>
      </c>
      <c r="E803" s="14" t="s">
        <v>43</v>
      </c>
      <c r="F803" s="14" t="s">
        <v>87</v>
      </c>
      <c r="G803" s="14" t="s">
        <v>348</v>
      </c>
      <c r="H803" s="14" t="s">
        <v>339</v>
      </c>
      <c r="I803" s="14" t="s">
        <v>118</v>
      </c>
      <c r="J803" s="14" t="s">
        <v>69</v>
      </c>
      <c r="K803" s="14" t="s">
        <v>349</v>
      </c>
      <c r="L803" s="14" t="s">
        <v>341</v>
      </c>
      <c r="M803" s="16" t="s">
        <v>350</v>
      </c>
      <c r="N803" s="14"/>
      <c r="O803" s="14" t="s">
        <v>351</v>
      </c>
      <c r="P803" s="14">
        <v>140</v>
      </c>
      <c r="Q803" s="14">
        <v>2</v>
      </c>
      <c r="R803" s="14">
        <v>4200</v>
      </c>
      <c r="S803" s="14" t="s">
        <v>352</v>
      </c>
      <c r="T803" s="14" t="s">
        <v>353</v>
      </c>
      <c r="U803" s="14">
        <v>0.77666666666666595</v>
      </c>
      <c r="V803" s="14">
        <v>0.95222222222222197</v>
      </c>
      <c r="W803" s="14">
        <v>648</v>
      </c>
      <c r="X803" s="14">
        <v>50</v>
      </c>
      <c r="Y803" s="14">
        <v>598</v>
      </c>
      <c r="Z803" s="14">
        <v>756</v>
      </c>
      <c r="AA803" s="14">
        <v>355</v>
      </c>
      <c r="AB803" s="14">
        <v>258</v>
      </c>
      <c r="AC803" s="14">
        <v>100</v>
      </c>
      <c r="AD803" s="14">
        <v>43</v>
      </c>
      <c r="AE803" s="14">
        <v>1404</v>
      </c>
      <c r="AF803" s="14">
        <v>5000</v>
      </c>
      <c r="AG803" s="14">
        <v>2047</v>
      </c>
      <c r="AH803" s="14">
        <v>0</v>
      </c>
      <c r="AI803" s="14">
        <v>50</v>
      </c>
      <c r="AJ803" s="14">
        <v>116</v>
      </c>
      <c r="AK803" s="14" t="s">
        <v>348</v>
      </c>
      <c r="AL803" s="14" t="s">
        <v>354</v>
      </c>
      <c r="AM803" s="14">
        <v>179.36</v>
      </c>
      <c r="AN803" s="14">
        <v>142.63999999999999</v>
      </c>
      <c r="AO803" s="14">
        <v>73.5</v>
      </c>
      <c r="AP803" s="14">
        <v>18929</v>
      </c>
      <c r="AQ803" s="14">
        <v>18879</v>
      </c>
      <c r="AR803" s="14">
        <v>23000</v>
      </c>
      <c r="AS803" s="14">
        <v>17525</v>
      </c>
      <c r="AT803" s="14">
        <v>18281</v>
      </c>
      <c r="AU803" s="14">
        <v>-22</v>
      </c>
      <c r="AV803" s="14">
        <v>277.77999999999997</v>
      </c>
      <c r="AW803" s="14">
        <v>49.25</v>
      </c>
      <c r="AX803" s="14">
        <v>7.04</v>
      </c>
      <c r="AY803" s="14" t="b">
        <v>0</v>
      </c>
    </row>
    <row r="804" spans="1:51" hidden="1" x14ac:dyDescent="0.3">
      <c r="A804" t="str">
        <f>CONCATENATE(I804,E804,LEFT(G804,10))</f>
        <v>HFA807LLHA2026-02-09</v>
      </c>
      <c r="B804" s="14" t="s">
        <v>1216</v>
      </c>
      <c r="C804" s="14" t="s">
        <v>336</v>
      </c>
      <c r="D804" s="14" t="s">
        <v>337</v>
      </c>
      <c r="E804" s="14" t="s">
        <v>43</v>
      </c>
      <c r="F804" s="14" t="s">
        <v>87</v>
      </c>
      <c r="G804" s="14" t="s">
        <v>1217</v>
      </c>
      <c r="H804" s="14" t="s">
        <v>339</v>
      </c>
      <c r="I804" s="14" t="s">
        <v>118</v>
      </c>
      <c r="J804" s="14" t="s">
        <v>69</v>
      </c>
      <c r="K804" s="14" t="s">
        <v>349</v>
      </c>
      <c r="L804" s="14" t="s">
        <v>341</v>
      </c>
      <c r="M804" s="16" t="s">
        <v>1218</v>
      </c>
      <c r="N804" s="14"/>
      <c r="O804" s="14" t="s">
        <v>1219</v>
      </c>
      <c r="P804" s="14">
        <v>50</v>
      </c>
      <c r="Q804" s="14">
        <v>2</v>
      </c>
      <c r="R804" s="14">
        <v>4000</v>
      </c>
      <c r="S804" s="14" t="s">
        <v>1220</v>
      </c>
      <c r="T804" s="14" t="s">
        <v>1221</v>
      </c>
      <c r="U804" s="14">
        <v>0.745</v>
      </c>
      <c r="V804" s="14">
        <v>0.84972222222222205</v>
      </c>
      <c r="W804" s="14">
        <v>623</v>
      </c>
      <c r="X804" s="14">
        <v>50</v>
      </c>
      <c r="Y804" s="14">
        <v>573</v>
      </c>
      <c r="Z804" s="14">
        <v>897</v>
      </c>
      <c r="AA804" s="14">
        <v>337</v>
      </c>
      <c r="AB804" s="14">
        <v>258</v>
      </c>
      <c r="AC804" s="14">
        <v>259</v>
      </c>
      <c r="AD804" s="14">
        <v>43</v>
      </c>
      <c r="AE804" s="14">
        <v>1520</v>
      </c>
      <c r="AF804" s="14">
        <v>5000</v>
      </c>
      <c r="AG804" s="14">
        <v>1968</v>
      </c>
      <c r="AH804" s="14">
        <v>0</v>
      </c>
      <c r="AI804" s="14">
        <v>47</v>
      </c>
      <c r="AJ804" s="14">
        <v>126</v>
      </c>
      <c r="AK804" s="14" t="s">
        <v>1217</v>
      </c>
      <c r="AL804" s="14" t="s">
        <v>1222</v>
      </c>
      <c r="AM804" s="14">
        <v>179.36</v>
      </c>
      <c r="AN804" s="14">
        <v>142.63999999999999</v>
      </c>
      <c r="AO804" s="14">
        <v>73.5</v>
      </c>
      <c r="AP804" s="14">
        <v>18845</v>
      </c>
      <c r="AQ804" s="14">
        <v>18795</v>
      </c>
      <c r="AR804" s="14">
        <v>23000</v>
      </c>
      <c r="AS804" s="14">
        <v>17325</v>
      </c>
      <c r="AT804" s="14">
        <v>18222</v>
      </c>
      <c r="AU804" s="14">
        <v>-7</v>
      </c>
      <c r="AV804" s="14">
        <v>255.8</v>
      </c>
      <c r="AW804" s="14">
        <v>32.56</v>
      </c>
      <c r="AX804" s="14">
        <v>6.07</v>
      </c>
      <c r="AY804" s="14" t="b">
        <v>0</v>
      </c>
    </row>
    <row r="805" spans="1:51" hidden="1" x14ac:dyDescent="0.3">
      <c r="A805" t="str">
        <f>CONCATENATE(I805,E805,LEFT(G805,10))</f>
        <v>HFA807LLHA2026-02-10</v>
      </c>
      <c r="B805" s="14" t="s">
        <v>4400</v>
      </c>
      <c r="C805" s="14" t="s">
        <v>336</v>
      </c>
      <c r="D805" s="14" t="s">
        <v>337</v>
      </c>
      <c r="E805" s="14" t="s">
        <v>43</v>
      </c>
      <c r="F805" s="14" t="s">
        <v>87</v>
      </c>
      <c r="G805" s="14" t="s">
        <v>4401</v>
      </c>
      <c r="H805" s="14" t="s">
        <v>371</v>
      </c>
      <c r="I805" s="14" t="s">
        <v>118</v>
      </c>
      <c r="J805" s="14" t="s">
        <v>69</v>
      </c>
      <c r="K805" s="14" t="s">
        <v>349</v>
      </c>
      <c r="L805" s="14" t="s">
        <v>341</v>
      </c>
      <c r="M805" s="16" t="s">
        <v>4402</v>
      </c>
      <c r="N805" s="14"/>
      <c r="O805" s="14" t="s">
        <v>4403</v>
      </c>
      <c r="P805" s="14">
        <v>50</v>
      </c>
      <c r="Q805" s="14">
        <v>2</v>
      </c>
      <c r="R805" s="14">
        <v>3230</v>
      </c>
      <c r="S805" s="14" t="s">
        <v>4404</v>
      </c>
      <c r="T805" s="14" t="s">
        <v>4405</v>
      </c>
      <c r="U805" s="14">
        <v>0.81305555555555498</v>
      </c>
      <c r="V805" s="14">
        <v>0.95611111111111102</v>
      </c>
      <c r="W805" s="14">
        <v>633</v>
      </c>
      <c r="X805" s="14">
        <v>50</v>
      </c>
      <c r="Y805" s="14">
        <v>583</v>
      </c>
      <c r="Z805" s="14">
        <v>745</v>
      </c>
      <c r="AA805" s="14">
        <v>351</v>
      </c>
      <c r="AB805" s="14">
        <v>252</v>
      </c>
      <c r="AC805" s="14">
        <v>100</v>
      </c>
      <c r="AD805" s="14">
        <v>42</v>
      </c>
      <c r="AE805" s="14">
        <v>1378</v>
      </c>
      <c r="AF805" s="14">
        <v>5000</v>
      </c>
      <c r="AG805" s="14">
        <v>2000</v>
      </c>
      <c r="AH805" s="14">
        <v>0</v>
      </c>
      <c r="AI805" s="14">
        <v>46</v>
      </c>
      <c r="AJ805" s="14">
        <v>111</v>
      </c>
      <c r="AK805" s="14" t="s">
        <v>4401</v>
      </c>
      <c r="AL805" s="14" t="s">
        <v>4406</v>
      </c>
      <c r="AM805" s="14">
        <v>179.36</v>
      </c>
      <c r="AN805" s="14">
        <v>142.63999999999999</v>
      </c>
      <c r="AO805" s="14">
        <v>73.5</v>
      </c>
      <c r="AP805" s="14">
        <v>18108</v>
      </c>
      <c r="AQ805" s="14">
        <v>18058</v>
      </c>
      <c r="AR805" s="14">
        <v>23000</v>
      </c>
      <c r="AS805" s="14">
        <v>16730</v>
      </c>
      <c r="AT805" s="14">
        <v>17475</v>
      </c>
      <c r="AU805" s="14">
        <v>-5</v>
      </c>
      <c r="AV805" s="14">
        <v>253.23</v>
      </c>
      <c r="AW805" s="14">
        <v>40.89</v>
      </c>
      <c r="AX805" s="14">
        <v>2.34</v>
      </c>
      <c r="AY805" s="14" t="b">
        <v>0</v>
      </c>
    </row>
    <row r="806" spans="1:51" hidden="1" x14ac:dyDescent="0.3">
      <c r="A806" t="str">
        <f>CONCATENATE(I806,E806,LEFT(G806,10))</f>
        <v>HFA807LLHA2026-02-11</v>
      </c>
      <c r="B806" s="14" t="s">
        <v>2662</v>
      </c>
      <c r="C806" s="14" t="s">
        <v>336</v>
      </c>
      <c r="D806" s="14" t="s">
        <v>337</v>
      </c>
      <c r="E806" s="14" t="s">
        <v>43</v>
      </c>
      <c r="F806" s="14" t="s">
        <v>87</v>
      </c>
      <c r="G806" s="14" t="s">
        <v>2663</v>
      </c>
      <c r="H806" s="14" t="s">
        <v>371</v>
      </c>
      <c r="I806" s="14" t="s">
        <v>118</v>
      </c>
      <c r="J806" s="14" t="s">
        <v>69</v>
      </c>
      <c r="K806" s="14" t="s">
        <v>349</v>
      </c>
      <c r="L806" s="14" t="s">
        <v>341</v>
      </c>
      <c r="M806" s="16" t="s">
        <v>2664</v>
      </c>
      <c r="N806" s="14"/>
      <c r="O806" s="14" t="s">
        <v>556</v>
      </c>
      <c r="P806" s="14">
        <v>50</v>
      </c>
      <c r="Q806" s="14">
        <v>2</v>
      </c>
      <c r="R806" s="14">
        <v>5500</v>
      </c>
      <c r="S806" s="14" t="s">
        <v>2665</v>
      </c>
      <c r="T806" s="14" t="s">
        <v>2666</v>
      </c>
      <c r="U806" s="14">
        <v>0.81138888888888805</v>
      </c>
      <c r="V806" s="14">
        <v>1.0377777777777699</v>
      </c>
      <c r="W806" s="14">
        <v>654</v>
      </c>
      <c r="X806" s="14">
        <v>50</v>
      </c>
      <c r="Y806" s="14">
        <v>604</v>
      </c>
      <c r="Z806" s="14">
        <v>946</v>
      </c>
      <c r="AA806" s="14">
        <v>357</v>
      </c>
      <c r="AB806" s="14">
        <v>273</v>
      </c>
      <c r="AC806" s="14">
        <v>271</v>
      </c>
      <c r="AD806" s="14">
        <v>45</v>
      </c>
      <c r="AE806" s="14">
        <v>1600</v>
      </c>
      <c r="AF806" s="14">
        <v>5000</v>
      </c>
      <c r="AG806" s="14">
        <v>2067</v>
      </c>
      <c r="AH806" s="14">
        <v>0</v>
      </c>
      <c r="AI806" s="14">
        <v>47</v>
      </c>
      <c r="AJ806" s="14">
        <v>125</v>
      </c>
      <c r="AK806" s="14" t="s">
        <v>2663</v>
      </c>
      <c r="AL806" s="14" t="s">
        <v>2667</v>
      </c>
      <c r="AM806" s="14">
        <v>179.36</v>
      </c>
      <c r="AN806" s="14">
        <v>142.63999999999999</v>
      </c>
      <c r="AO806" s="14">
        <v>73.5</v>
      </c>
      <c r="AP806" s="14">
        <v>20600</v>
      </c>
      <c r="AQ806" s="14">
        <v>20550</v>
      </c>
      <c r="AR806" s="14">
        <v>23000</v>
      </c>
      <c r="AS806" s="14">
        <v>19000</v>
      </c>
      <c r="AT806" s="14">
        <v>19946</v>
      </c>
      <c r="AU806" s="14">
        <v>-7</v>
      </c>
      <c r="AV806" s="14">
        <v>259.47000000000003</v>
      </c>
      <c r="AW806" s="14">
        <v>30.04</v>
      </c>
      <c r="AX806" s="14">
        <v>0.42</v>
      </c>
      <c r="AY806" s="14" t="b">
        <v>0</v>
      </c>
    </row>
    <row r="807" spans="1:51" hidden="1" x14ac:dyDescent="0.3">
      <c r="A807" t="str">
        <f>CONCATENATE(I807,E807,LEFT(G807,10))</f>
        <v>HFA807LLHA2026-02-12</v>
      </c>
      <c r="B807" s="14" t="s">
        <v>520</v>
      </c>
      <c r="C807" s="14" t="s">
        <v>336</v>
      </c>
      <c r="D807" s="14" t="s">
        <v>337</v>
      </c>
      <c r="E807" s="14" t="s">
        <v>43</v>
      </c>
      <c r="F807" s="14" t="s">
        <v>87</v>
      </c>
      <c r="G807" s="14" t="s">
        <v>521</v>
      </c>
      <c r="H807" s="14" t="s">
        <v>339</v>
      </c>
      <c r="I807" s="14" t="s">
        <v>118</v>
      </c>
      <c r="J807" s="14" t="s">
        <v>69</v>
      </c>
      <c r="K807" s="14" t="s">
        <v>349</v>
      </c>
      <c r="L807" s="14" t="s">
        <v>341</v>
      </c>
      <c r="M807" s="16" t="s">
        <v>522</v>
      </c>
      <c r="N807" s="14"/>
      <c r="O807" s="14" t="s">
        <v>430</v>
      </c>
      <c r="P807" s="14">
        <v>140</v>
      </c>
      <c r="Q807" s="14">
        <v>2</v>
      </c>
      <c r="R807" s="14">
        <v>7200</v>
      </c>
      <c r="S807" s="14" t="s">
        <v>523</v>
      </c>
      <c r="T807" s="14" t="s">
        <v>524</v>
      </c>
      <c r="U807" s="14">
        <v>0.74944444444444402</v>
      </c>
      <c r="V807" s="14">
        <v>0.93027777777777698</v>
      </c>
      <c r="W807" s="14">
        <v>637</v>
      </c>
      <c r="X807" s="14">
        <v>50</v>
      </c>
      <c r="Y807" s="14">
        <v>587</v>
      </c>
      <c r="Z807" s="14">
        <v>983</v>
      </c>
      <c r="AA807" s="14">
        <v>367</v>
      </c>
      <c r="AB807" s="14">
        <v>287</v>
      </c>
      <c r="AC807" s="14">
        <v>281</v>
      </c>
      <c r="AD807" s="14">
        <v>48</v>
      </c>
      <c r="AE807" s="14">
        <v>1620</v>
      </c>
      <c r="AF807" s="14">
        <v>5000</v>
      </c>
      <c r="AG807" s="14">
        <v>2013</v>
      </c>
      <c r="AH807" s="14">
        <v>0</v>
      </c>
      <c r="AI807" s="14">
        <v>47</v>
      </c>
      <c r="AJ807" s="14">
        <v>128</v>
      </c>
      <c r="AK807" s="14" t="s">
        <v>521</v>
      </c>
      <c r="AL807" s="14" t="s">
        <v>525</v>
      </c>
      <c r="AM807" s="14">
        <v>179.36</v>
      </c>
      <c r="AN807" s="14">
        <v>142.63999999999999</v>
      </c>
      <c r="AO807" s="14">
        <v>73.5</v>
      </c>
      <c r="AP807" s="14">
        <v>22145</v>
      </c>
      <c r="AQ807" s="14">
        <v>22095</v>
      </c>
      <c r="AR807" s="14">
        <v>23000</v>
      </c>
      <c r="AS807" s="14">
        <v>20525</v>
      </c>
      <c r="AT807" s="14">
        <v>21508</v>
      </c>
      <c r="AU807" s="14">
        <v>-5</v>
      </c>
      <c r="AV807" s="14">
        <v>252.84</v>
      </c>
      <c r="AW807" s="14">
        <v>40.15</v>
      </c>
      <c r="AX807" s="14">
        <v>2.7</v>
      </c>
      <c r="AY807" s="14" t="b">
        <v>0</v>
      </c>
    </row>
    <row r="808" spans="1:51" hidden="1" x14ac:dyDescent="0.3">
      <c r="A808" t="str">
        <f>CONCATENATE(I808,E808,LEFT(G808,10))</f>
        <v>HFA807LLHA2026-02-14</v>
      </c>
      <c r="B808" s="14" t="s">
        <v>4291</v>
      </c>
      <c r="C808" s="14" t="s">
        <v>336</v>
      </c>
      <c r="D808" s="14" t="s">
        <v>337</v>
      </c>
      <c r="E808" s="14" t="s">
        <v>43</v>
      </c>
      <c r="F808" s="14" t="s">
        <v>87</v>
      </c>
      <c r="G808" s="14" t="s">
        <v>4292</v>
      </c>
      <c r="H808" s="14" t="s">
        <v>339</v>
      </c>
      <c r="I808" s="14" t="s">
        <v>118</v>
      </c>
      <c r="J808" s="14" t="s">
        <v>69</v>
      </c>
      <c r="K808" s="14" t="s">
        <v>349</v>
      </c>
      <c r="L808" s="14" t="s">
        <v>341</v>
      </c>
      <c r="M808" s="16" t="s">
        <v>4293</v>
      </c>
      <c r="N808" s="14"/>
      <c r="O808" s="14" t="s">
        <v>430</v>
      </c>
      <c r="P808" s="14">
        <v>140</v>
      </c>
      <c r="Q808" s="14">
        <v>2</v>
      </c>
      <c r="R808" s="14">
        <v>5000</v>
      </c>
      <c r="S808" s="14" t="s">
        <v>4294</v>
      </c>
      <c r="T808" s="14" t="s">
        <v>4295</v>
      </c>
      <c r="U808" s="14">
        <v>0.85944444444444401</v>
      </c>
      <c r="V808" s="14">
        <v>0.97305555555555501</v>
      </c>
      <c r="W808" s="14">
        <v>657</v>
      </c>
      <c r="X808" s="14">
        <v>50</v>
      </c>
      <c r="Y808" s="14">
        <v>607</v>
      </c>
      <c r="Z808" s="14">
        <v>745</v>
      </c>
      <c r="AA808" s="14">
        <v>337</v>
      </c>
      <c r="AB808" s="14">
        <v>265</v>
      </c>
      <c r="AC808" s="14">
        <v>100</v>
      </c>
      <c r="AD808" s="14">
        <v>44</v>
      </c>
      <c r="AE808" s="14">
        <v>1403</v>
      </c>
      <c r="AF808" s="14">
        <v>5000</v>
      </c>
      <c r="AG808" s="14">
        <v>2077</v>
      </c>
      <c r="AH808" s="14">
        <v>0</v>
      </c>
      <c r="AI808" s="14">
        <v>50</v>
      </c>
      <c r="AJ808" s="14">
        <v>114</v>
      </c>
      <c r="AK808" s="14" t="s">
        <v>4292</v>
      </c>
      <c r="AL808" s="14" t="s">
        <v>4296</v>
      </c>
      <c r="AM808" s="14">
        <v>179.36</v>
      </c>
      <c r="AN808" s="14">
        <v>142.63999999999999</v>
      </c>
      <c r="AO808" s="14">
        <v>73.5</v>
      </c>
      <c r="AP808" s="14">
        <v>19728</v>
      </c>
      <c r="AQ808" s="14">
        <v>19678</v>
      </c>
      <c r="AR808" s="14">
        <v>23000</v>
      </c>
      <c r="AS808" s="14">
        <v>18325</v>
      </c>
      <c r="AT808" s="14">
        <v>19070</v>
      </c>
      <c r="AU808" s="14">
        <v>-24</v>
      </c>
      <c r="AV808" s="14">
        <v>303.25</v>
      </c>
      <c r="AW808" s="14">
        <v>40.020000000000003</v>
      </c>
      <c r="AX808" s="14">
        <v>6.36</v>
      </c>
      <c r="AY808" s="14" t="b">
        <v>0</v>
      </c>
    </row>
    <row r="809" spans="1:51" hidden="1" x14ac:dyDescent="0.3">
      <c r="A809" t="str">
        <f>CONCATENATE(I809,E809,LEFT(G809,10))</f>
        <v>HFA807LLHA2026-02-15</v>
      </c>
      <c r="B809" s="14" t="s">
        <v>4168</v>
      </c>
      <c r="C809" s="14" t="s">
        <v>336</v>
      </c>
      <c r="D809" s="14" t="s">
        <v>337</v>
      </c>
      <c r="E809" s="14" t="s">
        <v>43</v>
      </c>
      <c r="F809" s="14" t="s">
        <v>87</v>
      </c>
      <c r="G809" s="14" t="s">
        <v>4169</v>
      </c>
      <c r="H809" s="14" t="s">
        <v>339</v>
      </c>
      <c r="I809" s="14" t="s">
        <v>118</v>
      </c>
      <c r="J809" s="14" t="s">
        <v>69</v>
      </c>
      <c r="K809" s="14" t="s">
        <v>349</v>
      </c>
      <c r="L809" s="14" t="s">
        <v>341</v>
      </c>
      <c r="M809" s="16" t="s">
        <v>4170</v>
      </c>
      <c r="N809" s="14"/>
      <c r="O809" s="14" t="s">
        <v>4128</v>
      </c>
      <c r="P809" s="14">
        <v>50</v>
      </c>
      <c r="Q809" s="14">
        <v>2</v>
      </c>
      <c r="R809" s="14">
        <v>3700</v>
      </c>
      <c r="S809" s="14" t="s">
        <v>4171</v>
      </c>
      <c r="T809" s="14" t="s">
        <v>4172</v>
      </c>
      <c r="U809" s="14">
        <v>0.69416666666666604</v>
      </c>
      <c r="V809" s="14">
        <v>0.86944444444444402</v>
      </c>
      <c r="W809" s="14">
        <v>585</v>
      </c>
      <c r="X809" s="14">
        <v>50</v>
      </c>
      <c r="Y809" s="14">
        <v>535</v>
      </c>
      <c r="Z809" s="14">
        <v>713</v>
      </c>
      <c r="AA809" s="14">
        <v>316</v>
      </c>
      <c r="AB809" s="14">
        <v>254</v>
      </c>
      <c r="AC809" s="14">
        <v>100</v>
      </c>
      <c r="AD809" s="14">
        <v>42</v>
      </c>
      <c r="AE809" s="14">
        <v>1297</v>
      </c>
      <c r="AF809" s="14">
        <v>5000</v>
      </c>
      <c r="AG809" s="14">
        <v>1847</v>
      </c>
      <c r="AH809" s="14">
        <v>0</v>
      </c>
      <c r="AI809" s="14">
        <v>45</v>
      </c>
      <c r="AJ809" s="14">
        <v>109</v>
      </c>
      <c r="AK809" s="14" t="s">
        <v>4169</v>
      </c>
      <c r="AL809" s="14" t="s">
        <v>4173</v>
      </c>
      <c r="AM809" s="14">
        <v>179.36</v>
      </c>
      <c r="AN809" s="14">
        <v>142.63999999999999</v>
      </c>
      <c r="AO809" s="14">
        <v>73.5</v>
      </c>
      <c r="AP809" s="14">
        <v>18322</v>
      </c>
      <c r="AQ809" s="14">
        <v>18272</v>
      </c>
      <c r="AR809" s="14">
        <v>23000</v>
      </c>
      <c r="AS809" s="14">
        <v>17025</v>
      </c>
      <c r="AT809" s="14">
        <v>17738</v>
      </c>
      <c r="AU809" s="14">
        <v>6</v>
      </c>
      <c r="AV809" s="14">
        <v>218.2</v>
      </c>
      <c r="AW809" s="14">
        <v>18.98</v>
      </c>
      <c r="AX809" s="14">
        <v>9.76</v>
      </c>
      <c r="AY809" s="14" t="b">
        <v>0</v>
      </c>
    </row>
    <row r="810" spans="1:51" hidden="1" x14ac:dyDescent="0.3">
      <c r="A810" t="str">
        <f>CONCATENATE(I810,E810,LEFT(G810,10))</f>
        <v>HFA807LLHA2026-02-16</v>
      </c>
      <c r="B810" s="14" t="s">
        <v>4074</v>
      </c>
      <c r="C810" s="14" t="s">
        <v>336</v>
      </c>
      <c r="D810" s="14" t="s">
        <v>337</v>
      </c>
      <c r="E810" s="14" t="s">
        <v>43</v>
      </c>
      <c r="F810" s="14" t="s">
        <v>87</v>
      </c>
      <c r="G810" s="14" t="s">
        <v>4075</v>
      </c>
      <c r="H810" s="14" t="s">
        <v>371</v>
      </c>
      <c r="I810" s="14" t="s">
        <v>118</v>
      </c>
      <c r="J810" s="14" t="s">
        <v>69</v>
      </c>
      <c r="K810" s="14" t="s">
        <v>349</v>
      </c>
      <c r="L810" s="14" t="s">
        <v>341</v>
      </c>
      <c r="M810" s="16" t="s">
        <v>4076</v>
      </c>
      <c r="N810" s="14"/>
      <c r="O810" s="14" t="s">
        <v>4077</v>
      </c>
      <c r="P810" s="14">
        <v>50</v>
      </c>
      <c r="Q810" s="14">
        <v>2</v>
      </c>
      <c r="R810" s="14">
        <v>5700</v>
      </c>
      <c r="S810" s="14" t="s">
        <v>4078</v>
      </c>
      <c r="T810" s="14" t="s">
        <v>4079</v>
      </c>
      <c r="U810" s="14">
        <v>0.69333333333333302</v>
      </c>
      <c r="V810" s="14">
        <v>0.81805555555555498</v>
      </c>
      <c r="W810" s="14">
        <v>597</v>
      </c>
      <c r="X810" s="14">
        <v>50</v>
      </c>
      <c r="Y810" s="14">
        <v>547</v>
      </c>
      <c r="Z810" s="14">
        <v>752</v>
      </c>
      <c r="AA810" s="14">
        <v>334</v>
      </c>
      <c r="AB810" s="14">
        <v>273</v>
      </c>
      <c r="AC810" s="14">
        <v>100</v>
      </c>
      <c r="AD810" s="14">
        <v>45</v>
      </c>
      <c r="AE810" s="14">
        <v>1349</v>
      </c>
      <c r="AF810" s="14">
        <v>5000</v>
      </c>
      <c r="AG810" s="14">
        <v>1885</v>
      </c>
      <c r="AH810" s="14">
        <v>0</v>
      </c>
      <c r="AI810" s="14">
        <v>44</v>
      </c>
      <c r="AJ810" s="14">
        <v>108</v>
      </c>
      <c r="AK810" s="14" t="s">
        <v>4075</v>
      </c>
      <c r="AL810" s="14" t="s">
        <v>4080</v>
      </c>
      <c r="AM810" s="14">
        <v>179.36</v>
      </c>
      <c r="AN810" s="14">
        <v>142.63999999999999</v>
      </c>
      <c r="AO810" s="14">
        <v>73.5</v>
      </c>
      <c r="AP810" s="14">
        <v>20549</v>
      </c>
      <c r="AQ810" s="14">
        <v>20499</v>
      </c>
      <c r="AR810" s="14">
        <v>23000</v>
      </c>
      <c r="AS810" s="14">
        <v>19200</v>
      </c>
      <c r="AT810" s="14">
        <v>19952</v>
      </c>
      <c r="AU810" s="14">
        <v>12</v>
      </c>
      <c r="AV810" s="14">
        <v>214.67</v>
      </c>
      <c r="AW810" s="14">
        <v>30.64</v>
      </c>
      <c r="AX810" s="14">
        <v>9.06</v>
      </c>
      <c r="AY810" s="14" t="b">
        <v>0</v>
      </c>
    </row>
    <row r="811" spans="1:51" hidden="1" x14ac:dyDescent="0.3">
      <c r="A811" t="str">
        <f>CONCATENATE(I811,E811,LEFT(G811,10))</f>
        <v>HFA807LLHA2026-02-17</v>
      </c>
      <c r="B811" s="14" t="s">
        <v>4014</v>
      </c>
      <c r="C811" s="14" t="s">
        <v>336</v>
      </c>
      <c r="D811" s="14" t="s">
        <v>337</v>
      </c>
      <c r="E811" s="14" t="s">
        <v>43</v>
      </c>
      <c r="F811" s="14" t="s">
        <v>87</v>
      </c>
      <c r="G811" s="14" t="s">
        <v>4015</v>
      </c>
      <c r="H811" s="14" t="s">
        <v>371</v>
      </c>
      <c r="I811" s="14" t="s">
        <v>118</v>
      </c>
      <c r="J811" s="14" t="s">
        <v>69</v>
      </c>
      <c r="K811" s="14" t="s">
        <v>349</v>
      </c>
      <c r="L811" s="14" t="s">
        <v>341</v>
      </c>
      <c r="M811" s="16" t="s">
        <v>4016</v>
      </c>
      <c r="N811" s="14"/>
      <c r="O811" s="14" t="s">
        <v>380</v>
      </c>
      <c r="P811" s="14">
        <v>50</v>
      </c>
      <c r="Q811" s="14">
        <v>2</v>
      </c>
      <c r="R811" s="14">
        <v>5100</v>
      </c>
      <c r="S811" s="14" t="s">
        <v>4017</v>
      </c>
      <c r="T811" s="14" t="s">
        <v>4018</v>
      </c>
      <c r="U811" s="14">
        <v>0.74194444444444396</v>
      </c>
      <c r="V811" s="14">
        <v>0.87194444444444397</v>
      </c>
      <c r="W811" s="14">
        <v>631</v>
      </c>
      <c r="X811" s="14">
        <v>50</v>
      </c>
      <c r="Y811" s="14">
        <v>581</v>
      </c>
      <c r="Z811" s="14">
        <v>762</v>
      </c>
      <c r="AA811" s="14">
        <v>350</v>
      </c>
      <c r="AB811" s="14">
        <v>267</v>
      </c>
      <c r="AC811" s="14">
        <v>100</v>
      </c>
      <c r="AD811" s="14">
        <v>45</v>
      </c>
      <c r="AE811" s="14">
        <v>1393</v>
      </c>
      <c r="AF811" s="14">
        <v>5000</v>
      </c>
      <c r="AG811" s="14">
        <v>1995</v>
      </c>
      <c r="AH811" s="14">
        <v>0</v>
      </c>
      <c r="AI811" s="14">
        <v>46</v>
      </c>
      <c r="AJ811" s="14">
        <v>110</v>
      </c>
      <c r="AK811" s="14" t="s">
        <v>4015</v>
      </c>
      <c r="AL811" s="14" t="s">
        <v>4019</v>
      </c>
      <c r="AM811" s="14">
        <v>179.36</v>
      </c>
      <c r="AN811" s="14">
        <v>142.63999999999999</v>
      </c>
      <c r="AO811" s="14">
        <v>73.5</v>
      </c>
      <c r="AP811" s="14">
        <v>19993</v>
      </c>
      <c r="AQ811" s="14">
        <v>19943</v>
      </c>
      <c r="AR811" s="14">
        <v>23000</v>
      </c>
      <c r="AS811" s="14">
        <v>18600</v>
      </c>
      <c r="AT811" s="14">
        <v>19362</v>
      </c>
      <c r="AU811" s="14">
        <v>0</v>
      </c>
      <c r="AV811" s="14">
        <v>245.58</v>
      </c>
      <c r="AW811" s="14">
        <v>35.81</v>
      </c>
      <c r="AX811" s="14">
        <v>3.2</v>
      </c>
      <c r="AY811" s="14" t="b">
        <v>0</v>
      </c>
    </row>
    <row r="812" spans="1:51" hidden="1" x14ac:dyDescent="0.3">
      <c r="A812" t="str">
        <f>CONCATENATE(I812,E812,LEFT(G812,10))</f>
        <v>HFA807LLHA2026-02-18</v>
      </c>
      <c r="B812" s="14" t="s">
        <v>1878</v>
      </c>
      <c r="C812" s="14" t="s">
        <v>336</v>
      </c>
      <c r="D812" s="14" t="s">
        <v>337</v>
      </c>
      <c r="E812" s="14" t="s">
        <v>43</v>
      </c>
      <c r="F812" s="14" t="s">
        <v>87</v>
      </c>
      <c r="G812" s="14" t="s">
        <v>1879</v>
      </c>
      <c r="H812" s="14" t="s">
        <v>393</v>
      </c>
      <c r="I812" s="14" t="s">
        <v>118</v>
      </c>
      <c r="J812" s="14" t="s">
        <v>69</v>
      </c>
      <c r="K812" s="14" t="s">
        <v>349</v>
      </c>
      <c r="L812" s="14" t="s">
        <v>341</v>
      </c>
      <c r="M812" s="16" t="s">
        <v>1880</v>
      </c>
      <c r="N812" s="14"/>
      <c r="O812" s="14" t="s">
        <v>1881</v>
      </c>
      <c r="P812" s="14">
        <v>50</v>
      </c>
      <c r="Q812" s="14">
        <v>2</v>
      </c>
      <c r="R812" s="14">
        <v>5100</v>
      </c>
      <c r="S812" s="14" t="s">
        <v>1882</v>
      </c>
      <c r="T812" s="14" t="s">
        <v>1883</v>
      </c>
      <c r="U812" s="14">
        <v>0.79138888888888803</v>
      </c>
      <c r="V812" s="14">
        <v>0.88555555555555499</v>
      </c>
      <c r="W812" s="14">
        <v>713</v>
      </c>
      <c r="X812" s="14">
        <v>50</v>
      </c>
      <c r="Y812" s="14">
        <v>663</v>
      </c>
      <c r="Z812" s="14">
        <v>785</v>
      </c>
      <c r="AA812" s="14">
        <v>375</v>
      </c>
      <c r="AB812" s="14">
        <v>266</v>
      </c>
      <c r="AC812" s="14">
        <v>100</v>
      </c>
      <c r="AD812" s="14">
        <v>44</v>
      </c>
      <c r="AE812" s="14">
        <v>1498</v>
      </c>
      <c r="AF812" s="14">
        <v>5000</v>
      </c>
      <c r="AG812" s="14">
        <v>2253</v>
      </c>
      <c r="AH812" s="14">
        <v>0</v>
      </c>
      <c r="AI812" s="14">
        <v>48</v>
      </c>
      <c r="AJ812" s="14">
        <v>112</v>
      </c>
      <c r="AK812" s="14" t="s">
        <v>1879</v>
      </c>
      <c r="AL812" s="14" t="s">
        <v>1884</v>
      </c>
      <c r="AM812" s="14">
        <v>179.36</v>
      </c>
      <c r="AN812" s="14">
        <v>142.63999999999999</v>
      </c>
      <c r="AO812" s="14">
        <v>73.5</v>
      </c>
      <c r="AP812" s="14">
        <v>19909</v>
      </c>
      <c r="AQ812" s="14">
        <v>19859</v>
      </c>
      <c r="AR812" s="14">
        <v>23000</v>
      </c>
      <c r="AS812" s="14">
        <v>18411</v>
      </c>
      <c r="AT812" s="14">
        <v>19196</v>
      </c>
      <c r="AU812" s="14">
        <v>-10</v>
      </c>
      <c r="AV812" s="14">
        <v>259.07</v>
      </c>
      <c r="AW812" s="14">
        <v>49.26</v>
      </c>
      <c r="AX812" s="14">
        <v>2.44</v>
      </c>
      <c r="AY812" s="14" t="b">
        <v>0</v>
      </c>
    </row>
    <row r="813" spans="1:51" hidden="1" x14ac:dyDescent="0.3">
      <c r="A813" t="str">
        <f>CONCATENATE(I813,E813,LEFT(G813,10))</f>
        <v>HFA807LLHA2026-02-19</v>
      </c>
      <c r="B813" s="14" t="s">
        <v>3893</v>
      </c>
      <c r="C813" s="14" t="s">
        <v>336</v>
      </c>
      <c r="D813" s="14" t="s">
        <v>337</v>
      </c>
      <c r="E813" s="14" t="s">
        <v>43</v>
      </c>
      <c r="F813" s="14" t="s">
        <v>87</v>
      </c>
      <c r="G813" s="14" t="s">
        <v>3894</v>
      </c>
      <c r="H813" s="14" t="s">
        <v>339</v>
      </c>
      <c r="I813" s="14" t="s">
        <v>118</v>
      </c>
      <c r="J813" s="14" t="s">
        <v>69</v>
      </c>
      <c r="K813" s="14" t="s">
        <v>349</v>
      </c>
      <c r="L813" s="14" t="s">
        <v>341</v>
      </c>
      <c r="M813" s="16" t="s">
        <v>3895</v>
      </c>
      <c r="N813" s="14"/>
      <c r="O813" s="14" t="s">
        <v>430</v>
      </c>
      <c r="P813" s="14">
        <v>140</v>
      </c>
      <c r="Q813" s="14">
        <v>2</v>
      </c>
      <c r="R813" s="14">
        <v>6600</v>
      </c>
      <c r="S813" s="14" t="s">
        <v>3896</v>
      </c>
      <c r="T813" s="14" t="s">
        <v>3897</v>
      </c>
      <c r="U813" s="14">
        <v>0.70944444444444399</v>
      </c>
      <c r="V813" s="14">
        <v>0.88888888888888795</v>
      </c>
      <c r="W813" s="14">
        <v>621</v>
      </c>
      <c r="X813" s="14">
        <v>50</v>
      </c>
      <c r="Y813" s="14">
        <v>571</v>
      </c>
      <c r="Z813" s="14">
        <v>1129</v>
      </c>
      <c r="AA813" s="14">
        <v>332</v>
      </c>
      <c r="AB813" s="14">
        <v>283</v>
      </c>
      <c r="AC813" s="14">
        <v>467</v>
      </c>
      <c r="AD813" s="14">
        <v>47</v>
      </c>
      <c r="AE813" s="14">
        <v>1750</v>
      </c>
      <c r="AF813" s="14">
        <v>5000</v>
      </c>
      <c r="AG813" s="14">
        <v>1963</v>
      </c>
      <c r="AH813" s="14">
        <v>0</v>
      </c>
      <c r="AI813" s="14">
        <v>46</v>
      </c>
      <c r="AJ813" s="14">
        <v>141</v>
      </c>
      <c r="AK813" s="14" t="s">
        <v>3894</v>
      </c>
      <c r="AL813" s="14" t="s">
        <v>3898</v>
      </c>
      <c r="AM813" s="14">
        <v>179.36</v>
      </c>
      <c r="AN813" s="14">
        <v>142.63999999999999</v>
      </c>
      <c r="AO813" s="14">
        <v>73.5</v>
      </c>
      <c r="AP813" s="14">
        <v>21675</v>
      </c>
      <c r="AQ813" s="14">
        <v>21625</v>
      </c>
      <c r="AR813" s="14">
        <v>23000</v>
      </c>
      <c r="AS813" s="14">
        <v>19925</v>
      </c>
      <c r="AT813" s="14">
        <v>21054</v>
      </c>
      <c r="AU813" s="14">
        <v>-2</v>
      </c>
      <c r="AV813" s="14">
        <v>252.69</v>
      </c>
      <c r="AW813" s="14">
        <v>12.92</v>
      </c>
      <c r="AX813" s="14">
        <v>5.26</v>
      </c>
      <c r="AY813" s="14" t="b">
        <v>0</v>
      </c>
    </row>
    <row r="814" spans="1:51" hidden="1" x14ac:dyDescent="0.3">
      <c r="A814" t="str">
        <f>CONCATENATE(I814,E814,LEFT(G814,10))</f>
        <v>HFA807LLHA2026-02-21</v>
      </c>
      <c r="B814" s="14" t="s">
        <v>3841</v>
      </c>
      <c r="C814" s="14" t="s">
        <v>336</v>
      </c>
      <c r="D814" s="14" t="s">
        <v>337</v>
      </c>
      <c r="E814" s="14" t="s">
        <v>43</v>
      </c>
      <c r="F814" s="14" t="s">
        <v>87</v>
      </c>
      <c r="G814" s="14" t="s">
        <v>3842</v>
      </c>
      <c r="H814" s="14" t="s">
        <v>371</v>
      </c>
      <c r="I814" s="14" t="s">
        <v>118</v>
      </c>
      <c r="J814" s="14" t="s">
        <v>69</v>
      </c>
      <c r="K814" s="14" t="s">
        <v>349</v>
      </c>
      <c r="L814" s="14" t="s">
        <v>341</v>
      </c>
      <c r="M814" s="16" t="s">
        <v>3843</v>
      </c>
      <c r="N814" s="14"/>
      <c r="O814" s="14" t="s">
        <v>3844</v>
      </c>
      <c r="P814" s="14">
        <v>50</v>
      </c>
      <c r="Q814" s="14">
        <v>2</v>
      </c>
      <c r="R814" s="14">
        <v>5700</v>
      </c>
      <c r="S814" s="14" t="s">
        <v>3845</v>
      </c>
      <c r="T814" s="14" t="s">
        <v>3846</v>
      </c>
      <c r="U814" s="14">
        <v>0.65444444444444405</v>
      </c>
      <c r="V814" s="14">
        <v>0.80138888888888804</v>
      </c>
      <c r="W814" s="14">
        <v>613</v>
      </c>
      <c r="X814" s="14">
        <v>50</v>
      </c>
      <c r="Y814" s="14">
        <v>563</v>
      </c>
      <c r="Z814" s="14">
        <v>887</v>
      </c>
      <c r="AA814" s="14">
        <v>345</v>
      </c>
      <c r="AB814" s="14">
        <v>274</v>
      </c>
      <c r="AC814" s="14">
        <v>222</v>
      </c>
      <c r="AD814" s="14">
        <v>46</v>
      </c>
      <c r="AE814" s="14">
        <v>1500</v>
      </c>
      <c r="AF814" s="14">
        <v>5000</v>
      </c>
      <c r="AG814" s="14">
        <v>1938</v>
      </c>
      <c r="AH814" s="14">
        <v>0</v>
      </c>
      <c r="AI814" s="14">
        <v>45</v>
      </c>
      <c r="AJ814" s="14">
        <v>119</v>
      </c>
      <c r="AK814" s="14" t="s">
        <v>3842</v>
      </c>
      <c r="AL814" s="14" t="s">
        <v>3847</v>
      </c>
      <c r="AM814" s="14">
        <v>179.36</v>
      </c>
      <c r="AN814" s="14">
        <v>142.63999999999999</v>
      </c>
      <c r="AO814" s="14">
        <v>73.5</v>
      </c>
      <c r="AP814" s="14">
        <v>20700</v>
      </c>
      <c r="AQ814" s="14">
        <v>20650</v>
      </c>
      <c r="AR814" s="14">
        <v>23000</v>
      </c>
      <c r="AS814" s="14">
        <v>19200</v>
      </c>
      <c r="AT814" s="14">
        <v>20087</v>
      </c>
      <c r="AU814" s="14">
        <v>9</v>
      </c>
      <c r="AV814" s="14">
        <v>221.86</v>
      </c>
      <c r="AW814" s="14">
        <v>33.9</v>
      </c>
      <c r="AX814" s="14">
        <v>4.7699999999999996</v>
      </c>
      <c r="AY814" s="14" t="b">
        <v>0</v>
      </c>
    </row>
    <row r="815" spans="1:51" hidden="1" x14ac:dyDescent="0.3">
      <c r="A815" t="str">
        <f>CONCATENATE(I815,E815,LEFT(G815,10))</f>
        <v>HFA807LLHA2026-02-22</v>
      </c>
      <c r="B815" s="14" t="s">
        <v>999</v>
      </c>
      <c r="C815" s="14" t="s">
        <v>336</v>
      </c>
      <c r="D815" s="14" t="s">
        <v>337</v>
      </c>
      <c r="E815" s="14" t="s">
        <v>43</v>
      </c>
      <c r="F815" s="14" t="s">
        <v>87</v>
      </c>
      <c r="G815" s="14" t="s">
        <v>1000</v>
      </c>
      <c r="H815" s="14" t="s">
        <v>357</v>
      </c>
      <c r="I815" s="14" t="s">
        <v>118</v>
      </c>
      <c r="J815" s="14" t="s">
        <v>69</v>
      </c>
      <c r="K815" s="14" t="s">
        <v>349</v>
      </c>
      <c r="L815" s="14" t="s">
        <v>341</v>
      </c>
      <c r="M815" s="16" t="s">
        <v>1001</v>
      </c>
      <c r="N815" s="14" t="s">
        <v>359</v>
      </c>
      <c r="O815" s="14" t="s">
        <v>1002</v>
      </c>
      <c r="P815" s="14">
        <v>50</v>
      </c>
      <c r="Q815" s="14">
        <v>2</v>
      </c>
      <c r="R815" s="14">
        <v>5100</v>
      </c>
      <c r="S815" s="14" t="s">
        <v>1003</v>
      </c>
      <c r="T815" s="14" t="s">
        <v>1004</v>
      </c>
      <c r="U815" s="14">
        <v>0.724444444444444</v>
      </c>
      <c r="V815" s="14">
        <v>0.90444444444444405</v>
      </c>
      <c r="W815" s="14">
        <v>612</v>
      </c>
      <c r="X815" s="14">
        <v>50</v>
      </c>
      <c r="Y815" s="14">
        <v>562</v>
      </c>
      <c r="Z815" s="14">
        <v>742</v>
      </c>
      <c r="AA815" s="14">
        <v>333</v>
      </c>
      <c r="AB815" s="14">
        <v>265</v>
      </c>
      <c r="AC815" s="14">
        <v>100</v>
      </c>
      <c r="AD815" s="14">
        <v>44</v>
      </c>
      <c r="AE815" s="14">
        <v>1354</v>
      </c>
      <c r="AF815" s="14">
        <v>5000</v>
      </c>
      <c r="AG815" s="14">
        <v>1933</v>
      </c>
      <c r="AH815" s="14">
        <v>0</v>
      </c>
      <c r="AI815" s="14">
        <v>45</v>
      </c>
      <c r="AJ815" s="14">
        <v>109</v>
      </c>
      <c r="AK815" s="14" t="s">
        <v>1000</v>
      </c>
      <c r="AL815" s="14" t="s">
        <v>1005</v>
      </c>
      <c r="AM815" s="14">
        <v>179.36</v>
      </c>
      <c r="AN815" s="14">
        <v>142.63999999999999</v>
      </c>
      <c r="AO815" s="14">
        <v>73.5</v>
      </c>
      <c r="AP815" s="14">
        <v>19678</v>
      </c>
      <c r="AQ815" s="14">
        <v>19628</v>
      </c>
      <c r="AR815" s="14">
        <v>23000</v>
      </c>
      <c r="AS815" s="14">
        <v>18325</v>
      </c>
      <c r="AT815" s="14">
        <v>19067</v>
      </c>
      <c r="AU815" s="14">
        <v>2</v>
      </c>
      <c r="AV815" s="14">
        <v>242.37</v>
      </c>
      <c r="AW815" s="14">
        <v>21.26</v>
      </c>
      <c r="AX815" s="14">
        <v>1.1000000000000001</v>
      </c>
      <c r="AY815" s="14" t="b">
        <v>0</v>
      </c>
    </row>
    <row r="816" spans="1:51" hidden="1" x14ac:dyDescent="0.3">
      <c r="A816" t="str">
        <f>CONCATENATE(I816,E816,LEFT(G816,10))</f>
        <v>HFA807LLHA2026-02-23</v>
      </c>
      <c r="B816" s="14" t="s">
        <v>3735</v>
      </c>
      <c r="C816" s="14" t="s">
        <v>336</v>
      </c>
      <c r="D816" s="14" t="s">
        <v>337</v>
      </c>
      <c r="E816" s="14" t="s">
        <v>43</v>
      </c>
      <c r="F816" s="14" t="s">
        <v>87</v>
      </c>
      <c r="G816" s="14" t="s">
        <v>3736</v>
      </c>
      <c r="H816" s="14" t="s">
        <v>371</v>
      </c>
      <c r="I816" s="14" t="s">
        <v>118</v>
      </c>
      <c r="J816" s="14" t="s">
        <v>69</v>
      </c>
      <c r="K816" s="14" t="s">
        <v>349</v>
      </c>
      <c r="L816" s="14" t="s">
        <v>341</v>
      </c>
      <c r="M816" s="16" t="s">
        <v>3737</v>
      </c>
      <c r="N816" s="14"/>
      <c r="O816" s="14" t="s">
        <v>3738</v>
      </c>
      <c r="P816" s="14">
        <v>50</v>
      </c>
      <c r="Q816" s="14">
        <v>2</v>
      </c>
      <c r="R816" s="14">
        <v>5900</v>
      </c>
      <c r="S816" s="14" t="s">
        <v>3739</v>
      </c>
      <c r="T816" s="14" t="s">
        <v>3740</v>
      </c>
      <c r="U816" s="14">
        <v>0.77638888888888802</v>
      </c>
      <c r="V816" s="14">
        <v>0.92361111111111105</v>
      </c>
      <c r="W816" s="14">
        <v>652</v>
      </c>
      <c r="X816" s="14">
        <v>50</v>
      </c>
      <c r="Y816" s="14">
        <v>602</v>
      </c>
      <c r="Z816" s="14">
        <v>864</v>
      </c>
      <c r="AA816" s="14">
        <v>343</v>
      </c>
      <c r="AB816" s="14">
        <v>275</v>
      </c>
      <c r="AC816" s="14">
        <v>200</v>
      </c>
      <c r="AD816" s="14">
        <v>46</v>
      </c>
      <c r="AE816" s="14">
        <v>1517</v>
      </c>
      <c r="AF816" s="14">
        <v>5000</v>
      </c>
      <c r="AG816" s="14">
        <v>2062</v>
      </c>
      <c r="AH816" s="14">
        <v>0</v>
      </c>
      <c r="AI816" s="14">
        <v>46</v>
      </c>
      <c r="AJ816" s="14">
        <v>117</v>
      </c>
      <c r="AK816" s="14" t="s">
        <v>3736</v>
      </c>
      <c r="AL816" s="14" t="s">
        <v>3741</v>
      </c>
      <c r="AM816" s="14">
        <v>179.36</v>
      </c>
      <c r="AN816" s="14">
        <v>142.63999999999999</v>
      </c>
      <c r="AO816" s="14">
        <v>73.5</v>
      </c>
      <c r="AP816" s="14">
        <v>20917</v>
      </c>
      <c r="AQ816" s="14">
        <v>20867</v>
      </c>
      <c r="AR816" s="14">
        <v>23000</v>
      </c>
      <c r="AS816" s="14">
        <v>19400</v>
      </c>
      <c r="AT816" s="14">
        <v>20264</v>
      </c>
      <c r="AU816" s="14">
        <v>-4</v>
      </c>
      <c r="AV816" s="14">
        <v>269.64999999999998</v>
      </c>
      <c r="AW816" s="14">
        <v>10.8</v>
      </c>
      <c r="AX816" s="14">
        <v>-1.93</v>
      </c>
      <c r="AY816" s="14" t="b">
        <v>0</v>
      </c>
    </row>
    <row r="817" spans="1:51" hidden="1" x14ac:dyDescent="0.3">
      <c r="A817" t="str">
        <f>CONCATENATE(I817,E817,LEFT(G817,10))</f>
        <v>HFA807LLHA2026-02-24</v>
      </c>
      <c r="B817" s="14" t="s">
        <v>3675</v>
      </c>
      <c r="C817" s="14" t="s">
        <v>336</v>
      </c>
      <c r="D817" s="14" t="s">
        <v>337</v>
      </c>
      <c r="E817" s="14" t="s">
        <v>43</v>
      </c>
      <c r="F817" s="14" t="s">
        <v>87</v>
      </c>
      <c r="G817" s="14" t="s">
        <v>3676</v>
      </c>
      <c r="H817" s="14" t="s">
        <v>371</v>
      </c>
      <c r="I817" s="14" t="s">
        <v>118</v>
      </c>
      <c r="J817" s="14" t="s">
        <v>69</v>
      </c>
      <c r="K817" s="14" t="s">
        <v>349</v>
      </c>
      <c r="L817" s="14" t="s">
        <v>341</v>
      </c>
      <c r="M817" s="16" t="s">
        <v>3677</v>
      </c>
      <c r="N817" s="14"/>
      <c r="O817" s="14" t="s">
        <v>430</v>
      </c>
      <c r="P817" s="14">
        <v>140</v>
      </c>
      <c r="Q817" s="14">
        <v>2</v>
      </c>
      <c r="R817" s="14">
        <v>6600</v>
      </c>
      <c r="S817" s="14" t="s">
        <v>3678</v>
      </c>
      <c r="T817" s="14" t="s">
        <v>3679</v>
      </c>
      <c r="U817" s="14">
        <v>0.74638888888888799</v>
      </c>
      <c r="V817" s="14">
        <v>0.93777777777777704</v>
      </c>
      <c r="W817" s="14">
        <v>663</v>
      </c>
      <c r="X817" s="14">
        <v>50</v>
      </c>
      <c r="Y817" s="14">
        <v>613</v>
      </c>
      <c r="Z817" s="14">
        <v>779</v>
      </c>
      <c r="AA817" s="14">
        <v>352</v>
      </c>
      <c r="AB817" s="14">
        <v>281</v>
      </c>
      <c r="AC817" s="14">
        <v>100</v>
      </c>
      <c r="AD817" s="14">
        <v>47</v>
      </c>
      <c r="AE817" s="14">
        <v>1443</v>
      </c>
      <c r="AF817" s="14">
        <v>5000</v>
      </c>
      <c r="AG817" s="14">
        <v>2095</v>
      </c>
      <c r="AH817" s="14">
        <v>0</v>
      </c>
      <c r="AI817" s="14">
        <v>48</v>
      </c>
      <c r="AJ817" s="14">
        <v>112</v>
      </c>
      <c r="AK817" s="14" t="s">
        <v>3676</v>
      </c>
      <c r="AL817" s="14" t="s">
        <v>3680</v>
      </c>
      <c r="AM817" s="14">
        <v>179.36</v>
      </c>
      <c r="AN817" s="14">
        <v>142.63999999999999</v>
      </c>
      <c r="AO817" s="14">
        <v>73.5</v>
      </c>
      <c r="AP817" s="14">
        <v>21543</v>
      </c>
      <c r="AQ817" s="14">
        <v>21493</v>
      </c>
      <c r="AR817" s="14">
        <v>23000</v>
      </c>
      <c r="AS817" s="14">
        <v>20100</v>
      </c>
      <c r="AT817" s="14">
        <v>20879</v>
      </c>
      <c r="AU817" s="14">
        <v>-14</v>
      </c>
      <c r="AV817" s="14">
        <v>294.52999999999997</v>
      </c>
      <c r="AW817" s="14">
        <v>25.6</v>
      </c>
      <c r="AX817" s="14">
        <v>2.4700000000000002</v>
      </c>
      <c r="AY817" s="14" t="b">
        <v>0</v>
      </c>
    </row>
    <row r="818" spans="1:51" hidden="1" x14ac:dyDescent="0.3">
      <c r="A818" t="str">
        <f>CONCATENATE(I818,E818,LEFT(G818,10))</f>
        <v>HFA807LLHA2026-02-25</v>
      </c>
      <c r="B818" s="14" t="s">
        <v>3569</v>
      </c>
      <c r="C818" s="14" t="s">
        <v>336</v>
      </c>
      <c r="D818" s="14" t="s">
        <v>337</v>
      </c>
      <c r="E818" s="14" t="s">
        <v>43</v>
      </c>
      <c r="F818" s="14" t="s">
        <v>87</v>
      </c>
      <c r="G818" s="14" t="s">
        <v>3570</v>
      </c>
      <c r="H818" s="14" t="s">
        <v>371</v>
      </c>
      <c r="I818" s="14" t="s">
        <v>118</v>
      </c>
      <c r="J818" s="14" t="s">
        <v>69</v>
      </c>
      <c r="K818" s="14" t="s">
        <v>349</v>
      </c>
      <c r="L818" s="14" t="s">
        <v>341</v>
      </c>
      <c r="M818" s="16" t="s">
        <v>3571</v>
      </c>
      <c r="N818" s="14"/>
      <c r="O818" s="14" t="s">
        <v>380</v>
      </c>
      <c r="P818" s="14">
        <v>50</v>
      </c>
      <c r="Q818" s="14">
        <v>2</v>
      </c>
      <c r="R818" s="14">
        <v>5300</v>
      </c>
      <c r="S818" s="14" t="s">
        <v>3572</v>
      </c>
      <c r="T818" s="14" t="s">
        <v>3573</v>
      </c>
      <c r="U818" s="14">
        <v>0.80888888888888799</v>
      </c>
      <c r="V818" s="14">
        <v>0.98611111111111105</v>
      </c>
      <c r="W818" s="14">
        <v>647</v>
      </c>
      <c r="X818" s="14">
        <v>50</v>
      </c>
      <c r="Y818" s="14">
        <v>597</v>
      </c>
      <c r="Z818" s="14">
        <v>774</v>
      </c>
      <c r="AA818" s="14">
        <v>360</v>
      </c>
      <c r="AB818" s="14">
        <v>269</v>
      </c>
      <c r="AC818" s="14">
        <v>100</v>
      </c>
      <c r="AD818" s="14">
        <v>45</v>
      </c>
      <c r="AE818" s="14">
        <v>1421</v>
      </c>
      <c r="AF818" s="14">
        <v>5000</v>
      </c>
      <c r="AG818" s="14">
        <v>2045</v>
      </c>
      <c r="AH818" s="14">
        <v>0</v>
      </c>
      <c r="AI818" s="14">
        <v>47</v>
      </c>
      <c r="AJ818" s="14">
        <v>112</v>
      </c>
      <c r="AK818" s="14" t="s">
        <v>3570</v>
      </c>
      <c r="AL818" s="14" t="s">
        <v>3574</v>
      </c>
      <c r="AM818" s="14">
        <v>179.36</v>
      </c>
      <c r="AN818" s="14">
        <v>142.63999999999999</v>
      </c>
      <c r="AO818" s="14">
        <v>73.5</v>
      </c>
      <c r="AP818" s="14">
        <v>20221</v>
      </c>
      <c r="AQ818" s="14">
        <v>20171</v>
      </c>
      <c r="AR818" s="14">
        <v>23000</v>
      </c>
      <c r="AS818" s="14">
        <v>18800</v>
      </c>
      <c r="AT818" s="14">
        <v>19574</v>
      </c>
      <c r="AU818" s="14">
        <v>-6</v>
      </c>
      <c r="AV818" s="14">
        <v>258.18</v>
      </c>
      <c r="AW818" s="14">
        <v>30.11</v>
      </c>
      <c r="AX818" s="14">
        <v>1.79</v>
      </c>
      <c r="AY818" s="14" t="b">
        <v>0</v>
      </c>
    </row>
    <row r="819" spans="1:51" hidden="1" x14ac:dyDescent="0.3">
      <c r="A819" t="str">
        <f>CONCATENATE(I819,E819,LEFT(G819,10))</f>
        <v>HFA807LLHA2026-02-26</v>
      </c>
      <c r="B819" s="14" t="s">
        <v>3459</v>
      </c>
      <c r="C819" s="14" t="s">
        <v>336</v>
      </c>
      <c r="D819" s="14" t="s">
        <v>337</v>
      </c>
      <c r="E819" s="14" t="s">
        <v>43</v>
      </c>
      <c r="F819" s="14" t="s">
        <v>87</v>
      </c>
      <c r="G819" s="14" t="s">
        <v>3460</v>
      </c>
      <c r="H819" s="14" t="s">
        <v>339</v>
      </c>
      <c r="I819" s="14" t="s">
        <v>118</v>
      </c>
      <c r="J819" s="14" t="s">
        <v>69</v>
      </c>
      <c r="K819" s="14" t="s">
        <v>349</v>
      </c>
      <c r="L819" s="14" t="s">
        <v>341</v>
      </c>
      <c r="M819" s="16" t="s">
        <v>3461</v>
      </c>
      <c r="N819" s="14"/>
      <c r="O819" s="14" t="s">
        <v>3462</v>
      </c>
      <c r="P819" s="14">
        <v>50</v>
      </c>
      <c r="Q819" s="14">
        <v>2</v>
      </c>
      <c r="R819" s="14">
        <v>6400</v>
      </c>
      <c r="S819" s="14" t="s">
        <v>3463</v>
      </c>
      <c r="T819" s="14" t="s">
        <v>3464</v>
      </c>
      <c r="U819" s="14">
        <v>0.81055555555555503</v>
      </c>
      <c r="V819" s="14">
        <v>0.98444444444444401</v>
      </c>
      <c r="W819" s="14">
        <v>702</v>
      </c>
      <c r="X819" s="14">
        <v>50</v>
      </c>
      <c r="Y819" s="14">
        <v>652</v>
      </c>
      <c r="Z819" s="14">
        <v>938</v>
      </c>
      <c r="AA819" s="14">
        <v>346</v>
      </c>
      <c r="AB819" s="14">
        <v>279</v>
      </c>
      <c r="AC819" s="14">
        <v>267</v>
      </c>
      <c r="AD819" s="14">
        <v>46</v>
      </c>
      <c r="AE819" s="14">
        <v>1640</v>
      </c>
      <c r="AF819" s="14">
        <v>5000</v>
      </c>
      <c r="AG819" s="14">
        <v>2217</v>
      </c>
      <c r="AH819" s="14">
        <v>0</v>
      </c>
      <c r="AI819" s="14">
        <v>49</v>
      </c>
      <c r="AJ819" s="14">
        <v>125</v>
      </c>
      <c r="AK819" s="14" t="s">
        <v>3460</v>
      </c>
      <c r="AL819" s="14" t="s">
        <v>3465</v>
      </c>
      <c r="AM819" s="14">
        <v>179.36</v>
      </c>
      <c r="AN819" s="14">
        <v>142.63999999999999</v>
      </c>
      <c r="AO819" s="14">
        <v>73.5</v>
      </c>
      <c r="AP819" s="14">
        <v>21365</v>
      </c>
      <c r="AQ819" s="14">
        <v>21315</v>
      </c>
      <c r="AR819" s="14">
        <v>23000</v>
      </c>
      <c r="AS819" s="14">
        <v>19725</v>
      </c>
      <c r="AT819" s="14">
        <v>20663</v>
      </c>
      <c r="AU819" s="14">
        <v>-20</v>
      </c>
      <c r="AV819" s="14">
        <v>295.73</v>
      </c>
      <c r="AW819" s="14">
        <v>29.6</v>
      </c>
      <c r="AX819" s="14">
        <v>-4.9400000000000004</v>
      </c>
      <c r="AY819" s="14" t="b">
        <v>0</v>
      </c>
    </row>
    <row r="820" spans="1:51" hidden="1" x14ac:dyDescent="0.3">
      <c r="A820" t="str">
        <f>CONCATENATE(I820,E820,LEFT(G820,10))</f>
        <v>HFA808LCLK2026-01-01</v>
      </c>
      <c r="B820" s="14" t="s">
        <v>4455</v>
      </c>
      <c r="C820" s="14" t="s">
        <v>336</v>
      </c>
      <c r="D820" s="14" t="s">
        <v>337</v>
      </c>
      <c r="E820" s="14" t="s">
        <v>87</v>
      </c>
      <c r="F820" s="14" t="s">
        <v>43</v>
      </c>
      <c r="G820" s="14" t="s">
        <v>4456</v>
      </c>
      <c r="H820" s="14" t="s">
        <v>371</v>
      </c>
      <c r="I820" s="14" t="s">
        <v>119</v>
      </c>
      <c r="J820" s="14" t="s">
        <v>83</v>
      </c>
      <c r="K820" s="14" t="s">
        <v>340</v>
      </c>
      <c r="L820" s="14" t="s">
        <v>341</v>
      </c>
      <c r="M820" s="16" t="s">
        <v>4457</v>
      </c>
      <c r="N820" s="14"/>
      <c r="O820" s="14" t="s">
        <v>627</v>
      </c>
      <c r="P820" s="14">
        <v>130</v>
      </c>
      <c r="Q820" s="14">
        <v>2</v>
      </c>
      <c r="R820" s="14">
        <v>6700</v>
      </c>
      <c r="S820" s="14" t="s">
        <v>4458</v>
      </c>
      <c r="T820" s="14" t="s">
        <v>4459</v>
      </c>
      <c r="U820" s="14">
        <v>0.71472222222222204</v>
      </c>
      <c r="V820" s="14">
        <v>0.97972222222222205</v>
      </c>
      <c r="W820" s="14">
        <v>607</v>
      </c>
      <c r="X820" s="14">
        <v>80</v>
      </c>
      <c r="Y820" s="14">
        <v>527</v>
      </c>
      <c r="Z820" s="14">
        <v>1593</v>
      </c>
      <c r="AA820" s="14">
        <v>269</v>
      </c>
      <c r="AB820" s="14">
        <v>290</v>
      </c>
      <c r="AC820" s="14">
        <v>984</v>
      </c>
      <c r="AD820" s="14">
        <v>48</v>
      </c>
      <c r="AE820" s="14">
        <v>2200</v>
      </c>
      <c r="AF820" s="14">
        <v>5000</v>
      </c>
      <c r="AG820" s="14">
        <v>1919</v>
      </c>
      <c r="AH820" s="14">
        <v>0</v>
      </c>
      <c r="AI820" s="14">
        <v>40</v>
      </c>
      <c r="AJ820" s="14">
        <v>168</v>
      </c>
      <c r="AK820" s="14" t="s">
        <v>4456</v>
      </c>
      <c r="AL820" s="14" t="s">
        <v>4460</v>
      </c>
      <c r="AM820" s="14">
        <v>162.11000000000001</v>
      </c>
      <c r="AN820" s="14">
        <v>142.63999999999999</v>
      </c>
      <c r="AO820" s="14">
        <v>54.99</v>
      </c>
      <c r="AP820" s="14">
        <v>22400</v>
      </c>
      <c r="AQ820" s="14">
        <v>22320</v>
      </c>
      <c r="AR820" s="14">
        <v>23000</v>
      </c>
      <c r="AS820" s="14">
        <v>20200</v>
      </c>
      <c r="AT820" s="14">
        <v>21793</v>
      </c>
      <c r="AU820" s="14">
        <v>11</v>
      </c>
      <c r="AV820" s="14">
        <v>260.62</v>
      </c>
      <c r="AW820" s="14">
        <v>41.82</v>
      </c>
      <c r="AX820" s="14">
        <v>-0.89</v>
      </c>
      <c r="AY820" s="14" t="b">
        <v>0</v>
      </c>
    </row>
    <row r="821" spans="1:51" hidden="1" x14ac:dyDescent="0.3">
      <c r="A821" t="str">
        <f>CONCATENATE(I821,E821,LEFT(G821,10))</f>
        <v>HFA808LCLK2026-01-03</v>
      </c>
      <c r="B821" s="14" t="s">
        <v>4954</v>
      </c>
      <c r="C821" s="14" t="s">
        <v>336</v>
      </c>
      <c r="D821" s="14" t="s">
        <v>337</v>
      </c>
      <c r="E821" s="14" t="s">
        <v>87</v>
      </c>
      <c r="F821" s="14" t="s">
        <v>43</v>
      </c>
      <c r="G821" s="14" t="s">
        <v>4955</v>
      </c>
      <c r="H821" s="14" t="s">
        <v>371</v>
      </c>
      <c r="I821" s="14" t="s">
        <v>119</v>
      </c>
      <c r="J821" s="14" t="s">
        <v>83</v>
      </c>
      <c r="K821" s="14" t="s">
        <v>340</v>
      </c>
      <c r="L821" s="14" t="s">
        <v>341</v>
      </c>
      <c r="M821" s="16" t="s">
        <v>1688</v>
      </c>
      <c r="N821" s="14"/>
      <c r="O821" s="14" t="s">
        <v>410</v>
      </c>
      <c r="P821" s="14">
        <v>130</v>
      </c>
      <c r="Q821" s="14">
        <v>2</v>
      </c>
      <c r="R821" s="14">
        <v>6900</v>
      </c>
      <c r="S821" s="14" t="s">
        <v>4956</v>
      </c>
      <c r="T821" s="14" t="s">
        <v>4957</v>
      </c>
      <c r="U821" s="14">
        <v>0.67027777777777697</v>
      </c>
      <c r="V821" s="14">
        <v>0.931111111111111</v>
      </c>
      <c r="W821" s="14">
        <v>612</v>
      </c>
      <c r="X821" s="14">
        <v>80</v>
      </c>
      <c r="Y821" s="14">
        <v>532</v>
      </c>
      <c r="Z821" s="14">
        <v>1488</v>
      </c>
      <c r="AA821" s="14">
        <v>264</v>
      </c>
      <c r="AB821" s="14">
        <v>291</v>
      </c>
      <c r="AC821" s="14">
        <v>884</v>
      </c>
      <c r="AD821" s="14">
        <v>49</v>
      </c>
      <c r="AE821" s="14">
        <v>2100</v>
      </c>
      <c r="AF821" s="14">
        <v>5000</v>
      </c>
      <c r="AG821" s="14">
        <v>1933</v>
      </c>
      <c r="AH821" s="14">
        <v>0</v>
      </c>
      <c r="AI821" s="14">
        <v>41</v>
      </c>
      <c r="AJ821" s="14">
        <v>163</v>
      </c>
      <c r="AK821" s="14" t="s">
        <v>4955</v>
      </c>
      <c r="AL821" s="14" t="s">
        <v>4958</v>
      </c>
      <c r="AM821" s="14">
        <v>162.11000000000001</v>
      </c>
      <c r="AN821" s="14">
        <v>142.63999999999999</v>
      </c>
      <c r="AO821" s="14">
        <v>54.99</v>
      </c>
      <c r="AP821" s="14">
        <v>22500</v>
      </c>
      <c r="AQ821" s="14">
        <v>22420</v>
      </c>
      <c r="AR821" s="14">
        <v>23000</v>
      </c>
      <c r="AS821" s="14">
        <v>20400</v>
      </c>
      <c r="AT821" s="14">
        <v>21888</v>
      </c>
      <c r="AU821" s="14">
        <v>6</v>
      </c>
      <c r="AV821" s="14">
        <v>281.16000000000003</v>
      </c>
      <c r="AW821" s="14">
        <v>14.93</v>
      </c>
      <c r="AX821" s="14">
        <v>2.4900000000000002</v>
      </c>
      <c r="AY821" s="14" t="b">
        <v>0</v>
      </c>
    </row>
    <row r="822" spans="1:51" hidden="1" x14ac:dyDescent="0.3">
      <c r="A822" t="str">
        <f>CONCATENATE(I822,E822,LEFT(G822,10))</f>
        <v>HFA808LCLK2026-01-04</v>
      </c>
      <c r="B822" s="14" t="s">
        <v>5313</v>
      </c>
      <c r="C822" s="14" t="s">
        <v>336</v>
      </c>
      <c r="D822" s="14" t="s">
        <v>337</v>
      </c>
      <c r="E822" s="14" t="s">
        <v>87</v>
      </c>
      <c r="F822" s="14" t="s">
        <v>43</v>
      </c>
      <c r="G822" s="14" t="s">
        <v>5314</v>
      </c>
      <c r="H822" s="14" t="s">
        <v>371</v>
      </c>
      <c r="I822" s="14" t="s">
        <v>119</v>
      </c>
      <c r="J822" s="14" t="s">
        <v>83</v>
      </c>
      <c r="K822" s="14" t="s">
        <v>340</v>
      </c>
      <c r="L822" s="14" t="s">
        <v>341</v>
      </c>
      <c r="M822" s="16" t="s">
        <v>5315</v>
      </c>
      <c r="N822" s="14"/>
      <c r="O822" s="14" t="s">
        <v>5316</v>
      </c>
      <c r="P822" s="14">
        <v>130</v>
      </c>
      <c r="Q822" s="14">
        <v>2</v>
      </c>
      <c r="R822" s="14">
        <v>6900</v>
      </c>
      <c r="S822" s="14" t="s">
        <v>5317</v>
      </c>
      <c r="T822" s="14" t="s">
        <v>5318</v>
      </c>
      <c r="U822" s="14">
        <v>0.74388888888888804</v>
      </c>
      <c r="V822" s="14">
        <v>1.0161111111111101</v>
      </c>
      <c r="W822" s="14">
        <v>639</v>
      </c>
      <c r="X822" s="14">
        <v>80</v>
      </c>
      <c r="Y822" s="14">
        <v>559</v>
      </c>
      <c r="Z822" s="14">
        <v>1561</v>
      </c>
      <c r="AA822" s="14">
        <v>275</v>
      </c>
      <c r="AB822" s="14">
        <v>292</v>
      </c>
      <c r="AC822" s="14">
        <v>945</v>
      </c>
      <c r="AD822" s="14">
        <v>49</v>
      </c>
      <c r="AE822" s="14">
        <v>2200</v>
      </c>
      <c r="AF822" s="14">
        <v>5000</v>
      </c>
      <c r="AG822" s="14">
        <v>2019</v>
      </c>
      <c r="AH822" s="14">
        <v>0</v>
      </c>
      <c r="AI822" s="14">
        <v>44</v>
      </c>
      <c r="AJ822" s="14">
        <v>173</v>
      </c>
      <c r="AK822" s="14" t="s">
        <v>5314</v>
      </c>
      <c r="AL822" s="14" t="s">
        <v>5319</v>
      </c>
      <c r="AM822" s="14">
        <v>162.11000000000001</v>
      </c>
      <c r="AN822" s="14">
        <v>142.63999999999999</v>
      </c>
      <c r="AO822" s="14">
        <v>54.99</v>
      </c>
      <c r="AP822" s="14">
        <v>22600</v>
      </c>
      <c r="AQ822" s="14">
        <v>22520</v>
      </c>
      <c r="AR822" s="14">
        <v>23000</v>
      </c>
      <c r="AS822" s="14">
        <v>20400</v>
      </c>
      <c r="AT822" s="14">
        <v>21961</v>
      </c>
      <c r="AU822" s="14">
        <v>-10</v>
      </c>
      <c r="AV822" s="14">
        <v>201.84</v>
      </c>
      <c r="AW822" s="14">
        <v>14.96</v>
      </c>
      <c r="AX822" s="14">
        <v>5.61</v>
      </c>
      <c r="AY822" s="14" t="b">
        <v>0</v>
      </c>
    </row>
    <row r="823" spans="1:51" hidden="1" x14ac:dyDescent="0.3">
      <c r="A823" t="str">
        <f>CONCATENATE(I823,E823,LEFT(G823,10))</f>
        <v>HFA808LCLK2026-01-05</v>
      </c>
      <c r="B823" s="14" t="s">
        <v>1655</v>
      </c>
      <c r="C823" s="14" t="s">
        <v>336</v>
      </c>
      <c r="D823" s="14" t="s">
        <v>337</v>
      </c>
      <c r="E823" s="14" t="s">
        <v>87</v>
      </c>
      <c r="F823" s="14" t="s">
        <v>43</v>
      </c>
      <c r="G823" s="14" t="s">
        <v>1656</v>
      </c>
      <c r="H823" s="14" t="s">
        <v>371</v>
      </c>
      <c r="I823" s="14" t="s">
        <v>119</v>
      </c>
      <c r="J823" s="14" t="s">
        <v>83</v>
      </c>
      <c r="K823" s="14" t="s">
        <v>340</v>
      </c>
      <c r="L823" s="14" t="s">
        <v>341</v>
      </c>
      <c r="M823" s="16" t="s">
        <v>1352</v>
      </c>
      <c r="N823" s="14"/>
      <c r="O823" s="14" t="s">
        <v>627</v>
      </c>
      <c r="P823" s="14">
        <v>130</v>
      </c>
      <c r="Q823" s="14">
        <v>2</v>
      </c>
      <c r="R823" s="14">
        <v>6650</v>
      </c>
      <c r="S823" s="14" t="s">
        <v>1657</v>
      </c>
      <c r="T823" s="14" t="s">
        <v>1658</v>
      </c>
      <c r="U823" s="14">
        <v>0.69055555555555503</v>
      </c>
      <c r="V823" s="14">
        <v>0.91722222222222205</v>
      </c>
      <c r="W823" s="14">
        <v>628</v>
      </c>
      <c r="X823" s="14">
        <v>80</v>
      </c>
      <c r="Y823" s="14">
        <v>548</v>
      </c>
      <c r="Z823" s="14">
        <v>1772</v>
      </c>
      <c r="AA823" s="14">
        <v>266</v>
      </c>
      <c r="AB823" s="14">
        <v>292</v>
      </c>
      <c r="AC823" s="14">
        <v>1166</v>
      </c>
      <c r="AD823" s="14">
        <v>49</v>
      </c>
      <c r="AE823" s="14">
        <v>2400</v>
      </c>
      <c r="AF823" s="14">
        <v>5000</v>
      </c>
      <c r="AG823" s="14">
        <v>1985</v>
      </c>
      <c r="AH823" s="14">
        <v>0</v>
      </c>
      <c r="AI823" s="14">
        <v>43</v>
      </c>
      <c r="AJ823" s="14">
        <v>191</v>
      </c>
      <c r="AK823" s="14" t="s">
        <v>1656</v>
      </c>
      <c r="AL823" s="14" t="s">
        <v>1659</v>
      </c>
      <c r="AM823" s="14">
        <v>162.11000000000001</v>
      </c>
      <c r="AN823" s="14">
        <v>142.63999999999999</v>
      </c>
      <c r="AO823" s="14">
        <v>54.99</v>
      </c>
      <c r="AP823" s="14">
        <v>22550</v>
      </c>
      <c r="AQ823" s="14">
        <v>22470</v>
      </c>
      <c r="AR823" s="14">
        <v>23000</v>
      </c>
      <c r="AS823" s="14">
        <v>20150</v>
      </c>
      <c r="AT823" s="14">
        <v>21922</v>
      </c>
      <c r="AU823" s="14">
        <v>-7</v>
      </c>
      <c r="AV823" s="14">
        <v>220.52</v>
      </c>
      <c r="AW823" s="14">
        <v>15.26</v>
      </c>
      <c r="AX823" s="14">
        <v>7.41</v>
      </c>
      <c r="AY823" s="14" t="b">
        <v>0</v>
      </c>
    </row>
    <row r="824" spans="1:51" hidden="1" x14ac:dyDescent="0.3">
      <c r="A824" t="str">
        <f>CONCATENATE(I824,E824,LEFT(G824,10))</f>
        <v>HFA808LCLK2026-01-06</v>
      </c>
      <c r="B824" s="14" t="s">
        <v>4811</v>
      </c>
      <c r="C824" s="14" t="s">
        <v>336</v>
      </c>
      <c r="D824" s="14" t="s">
        <v>337</v>
      </c>
      <c r="E824" s="14" t="s">
        <v>87</v>
      </c>
      <c r="F824" s="14" t="s">
        <v>43</v>
      </c>
      <c r="G824" s="14" t="s">
        <v>4812</v>
      </c>
      <c r="H824" s="14" t="s">
        <v>371</v>
      </c>
      <c r="I824" s="14" t="s">
        <v>119</v>
      </c>
      <c r="J824" s="14" t="s">
        <v>83</v>
      </c>
      <c r="K824" s="14" t="s">
        <v>340</v>
      </c>
      <c r="L824" s="14" t="s">
        <v>341</v>
      </c>
      <c r="M824" s="16" t="s">
        <v>1688</v>
      </c>
      <c r="N824" s="14"/>
      <c r="O824" s="14" t="s">
        <v>4813</v>
      </c>
      <c r="P824" s="14">
        <v>130</v>
      </c>
      <c r="Q824" s="14">
        <v>2</v>
      </c>
      <c r="R824" s="14">
        <v>6500</v>
      </c>
      <c r="S824" s="14" t="s">
        <v>4814</v>
      </c>
      <c r="T824" s="14" t="s">
        <v>4815</v>
      </c>
      <c r="U824" s="14">
        <v>0.67</v>
      </c>
      <c r="V824" s="14">
        <v>0.94472222222222202</v>
      </c>
      <c r="W824" s="14">
        <v>596</v>
      </c>
      <c r="X824" s="14">
        <v>80</v>
      </c>
      <c r="Y824" s="14">
        <v>516</v>
      </c>
      <c r="Z824" s="14">
        <v>1404</v>
      </c>
      <c r="AA824" s="14">
        <v>264</v>
      </c>
      <c r="AB824" s="14">
        <v>286</v>
      </c>
      <c r="AC824" s="14">
        <v>806</v>
      </c>
      <c r="AD824" s="14">
        <v>48</v>
      </c>
      <c r="AE824" s="14">
        <v>2000</v>
      </c>
      <c r="AF824" s="14">
        <v>5000</v>
      </c>
      <c r="AG824" s="14">
        <v>1883</v>
      </c>
      <c r="AH824" s="14">
        <v>0</v>
      </c>
      <c r="AI824" s="14">
        <v>41</v>
      </c>
      <c r="AJ824" s="14">
        <v>159</v>
      </c>
      <c r="AK824" s="14" t="s">
        <v>4812</v>
      </c>
      <c r="AL824" s="14" t="s">
        <v>4816</v>
      </c>
      <c r="AM824" s="14">
        <v>162.11000000000001</v>
      </c>
      <c r="AN824" s="14">
        <v>142.63999999999999</v>
      </c>
      <c r="AO824" s="14">
        <v>54.99</v>
      </c>
      <c r="AP824" s="14">
        <v>22000</v>
      </c>
      <c r="AQ824" s="14">
        <v>21920</v>
      </c>
      <c r="AR824" s="14">
        <v>23000</v>
      </c>
      <c r="AS824" s="14">
        <v>20000</v>
      </c>
      <c r="AT824" s="14">
        <v>21404</v>
      </c>
      <c r="AU824" s="14">
        <v>8</v>
      </c>
      <c r="AV824" s="14">
        <v>284.45999999999998</v>
      </c>
      <c r="AW824" s="14">
        <v>19.16</v>
      </c>
      <c r="AX824" s="14">
        <v>6.52</v>
      </c>
      <c r="AY824" s="14" t="b">
        <v>0</v>
      </c>
    </row>
    <row r="825" spans="1:51" hidden="1" x14ac:dyDescent="0.3">
      <c r="A825" t="str">
        <f>CONCATENATE(I825,E825,LEFT(G825,10))</f>
        <v>HFA808LCLK2026-01-07</v>
      </c>
      <c r="B825" s="14" t="s">
        <v>1374</v>
      </c>
      <c r="C825" s="14" t="s">
        <v>336</v>
      </c>
      <c r="D825" s="14" t="s">
        <v>337</v>
      </c>
      <c r="E825" s="14" t="s">
        <v>87</v>
      </c>
      <c r="F825" s="14" t="s">
        <v>43</v>
      </c>
      <c r="G825" s="14" t="s">
        <v>1375</v>
      </c>
      <c r="H825" s="14" t="s">
        <v>371</v>
      </c>
      <c r="I825" s="14" t="s">
        <v>119</v>
      </c>
      <c r="J825" s="14" t="s">
        <v>83</v>
      </c>
      <c r="K825" s="14" t="s">
        <v>340</v>
      </c>
      <c r="L825" s="14" t="s">
        <v>341</v>
      </c>
      <c r="M825" s="16" t="s">
        <v>1376</v>
      </c>
      <c r="N825" s="14"/>
      <c r="O825" s="14" t="s">
        <v>1377</v>
      </c>
      <c r="P825" s="14">
        <v>130</v>
      </c>
      <c r="Q825" s="14">
        <v>2</v>
      </c>
      <c r="R825" s="14">
        <v>6000</v>
      </c>
      <c r="S825" s="14" t="s">
        <v>1378</v>
      </c>
      <c r="T825" s="14" t="s">
        <v>1379</v>
      </c>
      <c r="U825" s="14">
        <v>0.67388888888888798</v>
      </c>
      <c r="V825" s="14">
        <v>0.89027777777777695</v>
      </c>
      <c r="W825" s="14">
        <v>592</v>
      </c>
      <c r="X825" s="14">
        <v>80</v>
      </c>
      <c r="Y825" s="14">
        <v>512</v>
      </c>
      <c r="Z825" s="14">
        <v>1408</v>
      </c>
      <c r="AA825" s="14">
        <v>255</v>
      </c>
      <c r="AB825" s="14">
        <v>281</v>
      </c>
      <c r="AC825" s="14">
        <v>825</v>
      </c>
      <c r="AD825" s="14">
        <v>47</v>
      </c>
      <c r="AE825" s="14">
        <v>2000</v>
      </c>
      <c r="AF825" s="14">
        <v>5000</v>
      </c>
      <c r="AG825" s="14">
        <v>1870</v>
      </c>
      <c r="AH825" s="14">
        <v>0</v>
      </c>
      <c r="AI825" s="14">
        <v>40</v>
      </c>
      <c r="AJ825" s="14">
        <v>158</v>
      </c>
      <c r="AK825" s="14" t="s">
        <v>1375</v>
      </c>
      <c r="AL825" s="14" t="s">
        <v>1380</v>
      </c>
      <c r="AM825" s="14">
        <v>162.11000000000001</v>
      </c>
      <c r="AN825" s="14">
        <v>142.63999999999999</v>
      </c>
      <c r="AO825" s="14">
        <v>54.99</v>
      </c>
      <c r="AP825" s="14">
        <v>21500</v>
      </c>
      <c r="AQ825" s="14">
        <v>21420</v>
      </c>
      <c r="AR825" s="14">
        <v>23000</v>
      </c>
      <c r="AS825" s="14">
        <v>19500</v>
      </c>
      <c r="AT825" s="14">
        <v>20908</v>
      </c>
      <c r="AU825" s="14">
        <v>9</v>
      </c>
      <c r="AV825" s="14">
        <v>290.12</v>
      </c>
      <c r="AW825" s="14">
        <v>22.04</v>
      </c>
      <c r="AX825" s="14">
        <v>6.59</v>
      </c>
      <c r="AY825" s="14" t="b">
        <v>0</v>
      </c>
    </row>
    <row r="826" spans="1:51" hidden="1" x14ac:dyDescent="0.3">
      <c r="A826" t="str">
        <f>CONCATENATE(I826,E826,LEFT(G826,10))</f>
        <v>HFA808LCLK2026-01-08</v>
      </c>
      <c r="B826" s="14" t="s">
        <v>2818</v>
      </c>
      <c r="C826" s="14" t="s">
        <v>336</v>
      </c>
      <c r="D826" s="14" t="s">
        <v>337</v>
      </c>
      <c r="E826" s="14" t="s">
        <v>87</v>
      </c>
      <c r="F826" s="14" t="s">
        <v>43</v>
      </c>
      <c r="G826" s="14" t="s">
        <v>2819</v>
      </c>
      <c r="H826" s="14" t="s">
        <v>339</v>
      </c>
      <c r="I826" s="14" t="s">
        <v>119</v>
      </c>
      <c r="J826" s="14" t="s">
        <v>83</v>
      </c>
      <c r="K826" s="14" t="s">
        <v>340</v>
      </c>
      <c r="L826" s="14" t="s">
        <v>341</v>
      </c>
      <c r="M826" s="16" t="s">
        <v>2820</v>
      </c>
      <c r="N826" s="14"/>
      <c r="O826" s="14" t="s">
        <v>2821</v>
      </c>
      <c r="P826" s="14">
        <v>130</v>
      </c>
      <c r="Q826" s="14">
        <v>2</v>
      </c>
      <c r="R826" s="14">
        <v>6650</v>
      </c>
      <c r="S826" s="14" t="s">
        <v>2822</v>
      </c>
      <c r="T826" s="14" t="s">
        <v>2823</v>
      </c>
      <c r="U826" s="14">
        <v>0.72833333333333306</v>
      </c>
      <c r="V826" s="14">
        <v>0.93611111111111101</v>
      </c>
      <c r="W826" s="14">
        <v>633</v>
      </c>
      <c r="X826" s="14">
        <v>80</v>
      </c>
      <c r="Y826" s="14">
        <v>553</v>
      </c>
      <c r="Z826" s="14">
        <v>1967</v>
      </c>
      <c r="AA826" s="14">
        <v>272</v>
      </c>
      <c r="AB826" s="14">
        <v>292</v>
      </c>
      <c r="AC826" s="14">
        <v>1354</v>
      </c>
      <c r="AD826" s="14">
        <v>49</v>
      </c>
      <c r="AE826" s="14">
        <v>2600</v>
      </c>
      <c r="AF826" s="14">
        <v>5000</v>
      </c>
      <c r="AG826" s="14">
        <v>2002</v>
      </c>
      <c r="AH826" s="14">
        <v>0</v>
      </c>
      <c r="AI826" s="14">
        <v>44</v>
      </c>
      <c r="AJ826" s="14">
        <v>211</v>
      </c>
      <c r="AK826" s="14" t="s">
        <v>2819</v>
      </c>
      <c r="AL826" s="14" t="s">
        <v>2824</v>
      </c>
      <c r="AM826" s="14">
        <v>162.11000000000001</v>
      </c>
      <c r="AN826" s="14">
        <v>142.63999999999999</v>
      </c>
      <c r="AO826" s="14">
        <v>54.99</v>
      </c>
      <c r="AP826" s="14">
        <v>22575</v>
      </c>
      <c r="AQ826" s="14">
        <v>22495</v>
      </c>
      <c r="AR826" s="14">
        <v>23000</v>
      </c>
      <c r="AS826" s="14">
        <v>19975</v>
      </c>
      <c r="AT826" s="14">
        <v>21942</v>
      </c>
      <c r="AU826" s="14">
        <v>-13</v>
      </c>
      <c r="AV826" s="14">
        <v>223.45</v>
      </c>
      <c r="AW826" s="14">
        <v>52.03</v>
      </c>
      <c r="AX826" s="14">
        <v>6.35</v>
      </c>
      <c r="AY826" s="14" t="b">
        <v>0</v>
      </c>
    </row>
    <row r="827" spans="1:51" hidden="1" x14ac:dyDescent="0.3">
      <c r="A827" t="str">
        <f>CONCATENATE(I827,E827,LEFT(G827,10))</f>
        <v>HFA808LCLK2026-01-10</v>
      </c>
      <c r="B827" s="14" t="s">
        <v>1095</v>
      </c>
      <c r="C827" s="14" t="s">
        <v>336</v>
      </c>
      <c r="D827" s="14" t="s">
        <v>337</v>
      </c>
      <c r="E827" s="14" t="s">
        <v>87</v>
      </c>
      <c r="F827" s="14" t="s">
        <v>43</v>
      </c>
      <c r="G827" s="14" t="s">
        <v>1096</v>
      </c>
      <c r="H827" s="14" t="s">
        <v>371</v>
      </c>
      <c r="I827" s="14" t="s">
        <v>119</v>
      </c>
      <c r="J827" s="14" t="s">
        <v>83</v>
      </c>
      <c r="K827" s="14" t="s">
        <v>340</v>
      </c>
      <c r="L827" s="14" t="s">
        <v>341</v>
      </c>
      <c r="M827" s="16" t="s">
        <v>1090</v>
      </c>
      <c r="N827" s="14"/>
      <c r="O827" s="14" t="s">
        <v>410</v>
      </c>
      <c r="P827" s="14">
        <v>130</v>
      </c>
      <c r="Q827" s="14">
        <v>2</v>
      </c>
      <c r="R827" s="14">
        <v>6900</v>
      </c>
      <c r="S827" s="14" t="s">
        <v>1097</v>
      </c>
      <c r="T827" s="14" t="s">
        <v>1098</v>
      </c>
      <c r="U827" s="14">
        <v>0.67</v>
      </c>
      <c r="V827" s="14">
        <v>0.93222222222222195</v>
      </c>
      <c r="W827" s="14">
        <v>609</v>
      </c>
      <c r="X827" s="14">
        <v>80</v>
      </c>
      <c r="Y827" s="14">
        <v>529</v>
      </c>
      <c r="Z827" s="14">
        <v>1591</v>
      </c>
      <c r="AA827" s="14">
        <v>273</v>
      </c>
      <c r="AB827" s="14">
        <v>292</v>
      </c>
      <c r="AC827" s="14">
        <v>977</v>
      </c>
      <c r="AD827" s="14">
        <v>49</v>
      </c>
      <c r="AE827" s="14">
        <v>2200</v>
      </c>
      <c r="AF827" s="14">
        <v>5000</v>
      </c>
      <c r="AG827" s="14">
        <v>1925</v>
      </c>
      <c r="AH827" s="14">
        <v>0</v>
      </c>
      <c r="AI827" s="14">
        <v>41</v>
      </c>
      <c r="AJ827" s="14">
        <v>170</v>
      </c>
      <c r="AK827" s="14" t="s">
        <v>1096</v>
      </c>
      <c r="AL827" s="14" t="s">
        <v>1099</v>
      </c>
      <c r="AM827" s="14">
        <v>162.11000000000001</v>
      </c>
      <c r="AN827" s="14">
        <v>142.63999999999999</v>
      </c>
      <c r="AO827" s="14">
        <v>54.99</v>
      </c>
      <c r="AP827" s="14">
        <v>22600</v>
      </c>
      <c r="AQ827" s="14">
        <v>22520</v>
      </c>
      <c r="AR827" s="14">
        <v>23000</v>
      </c>
      <c r="AS827" s="14">
        <v>20400</v>
      </c>
      <c r="AT827" s="14">
        <v>21991</v>
      </c>
      <c r="AU827" s="14">
        <v>7</v>
      </c>
      <c r="AV827" s="14">
        <v>268.33</v>
      </c>
      <c r="AW827" s="14">
        <v>27.1</v>
      </c>
      <c r="AX827" s="14">
        <v>2.0299999999999998</v>
      </c>
      <c r="AY827" s="14" t="b">
        <v>0</v>
      </c>
    </row>
    <row r="828" spans="1:51" hidden="1" x14ac:dyDescent="0.3">
      <c r="A828" t="str">
        <f>CONCATENATE(I828,E828,LEFT(G828,10))</f>
        <v>HFA808LCLK2026-01-11</v>
      </c>
      <c r="B828" s="14" t="s">
        <v>2158</v>
      </c>
      <c r="C828" s="14" t="s">
        <v>336</v>
      </c>
      <c r="D828" s="14" t="s">
        <v>337</v>
      </c>
      <c r="E828" s="14" t="s">
        <v>87</v>
      </c>
      <c r="F828" s="14" t="s">
        <v>43</v>
      </c>
      <c r="G828" s="14" t="s">
        <v>2159</v>
      </c>
      <c r="H828" s="14" t="s">
        <v>371</v>
      </c>
      <c r="I828" s="14" t="s">
        <v>119</v>
      </c>
      <c r="J828" s="14" t="s">
        <v>83</v>
      </c>
      <c r="K828" s="14" t="s">
        <v>340</v>
      </c>
      <c r="L828" s="14" t="s">
        <v>341</v>
      </c>
      <c r="M828" s="16" t="s">
        <v>2160</v>
      </c>
      <c r="N828" s="14"/>
      <c r="O828" s="14" t="s">
        <v>410</v>
      </c>
      <c r="P828" s="14">
        <v>130</v>
      </c>
      <c r="Q828" s="14">
        <v>2</v>
      </c>
      <c r="R828" s="14">
        <v>4100</v>
      </c>
      <c r="S828" s="14" t="s">
        <v>2161</v>
      </c>
      <c r="T828" s="14" t="s">
        <v>2162</v>
      </c>
      <c r="U828" s="14">
        <v>0.650555555555555</v>
      </c>
      <c r="V828" s="14">
        <v>0.85194444444444395</v>
      </c>
      <c r="W828" s="14">
        <v>619</v>
      </c>
      <c r="X828" s="14">
        <v>80</v>
      </c>
      <c r="Y828" s="14">
        <v>539</v>
      </c>
      <c r="Z828" s="14">
        <v>1581</v>
      </c>
      <c r="AA828" s="14">
        <v>271</v>
      </c>
      <c r="AB828" s="14">
        <v>266</v>
      </c>
      <c r="AC828" s="14">
        <v>1000</v>
      </c>
      <c r="AD828" s="14">
        <v>44</v>
      </c>
      <c r="AE828" s="14">
        <v>2200</v>
      </c>
      <c r="AF828" s="14">
        <v>5000</v>
      </c>
      <c r="AG828" s="14">
        <v>1955</v>
      </c>
      <c r="AH828" s="14">
        <v>0</v>
      </c>
      <c r="AI828" s="14">
        <v>42</v>
      </c>
      <c r="AJ828" s="14">
        <v>173</v>
      </c>
      <c r="AK828" s="14" t="s">
        <v>2159</v>
      </c>
      <c r="AL828" s="14" t="s">
        <v>2163</v>
      </c>
      <c r="AM828" s="14">
        <v>162.11000000000001</v>
      </c>
      <c r="AN828" s="14">
        <v>142.63999999999999</v>
      </c>
      <c r="AO828" s="14">
        <v>54.99</v>
      </c>
      <c r="AP828" s="14">
        <v>19800</v>
      </c>
      <c r="AQ828" s="14">
        <v>19720</v>
      </c>
      <c r="AR828" s="14">
        <v>23000</v>
      </c>
      <c r="AS828" s="14">
        <v>17600</v>
      </c>
      <c r="AT828" s="14">
        <v>19181</v>
      </c>
      <c r="AU828" s="14">
        <v>-6</v>
      </c>
      <c r="AV828" s="14">
        <v>236.23</v>
      </c>
      <c r="AW828" s="14">
        <v>40.89</v>
      </c>
      <c r="AX828" s="14">
        <v>2.77</v>
      </c>
      <c r="AY828" s="14" t="b">
        <v>0</v>
      </c>
    </row>
    <row r="829" spans="1:51" hidden="1" x14ac:dyDescent="0.3">
      <c r="A829" t="str">
        <f>CONCATENATE(I829,E829,LEFT(G829,10))</f>
        <v>HFA808LCLK2026-01-12</v>
      </c>
      <c r="B829" s="14" t="s">
        <v>6004</v>
      </c>
      <c r="C829" s="14" t="s">
        <v>336</v>
      </c>
      <c r="D829" s="14" t="s">
        <v>337</v>
      </c>
      <c r="E829" s="14" t="s">
        <v>87</v>
      </c>
      <c r="F829" s="14" t="s">
        <v>83</v>
      </c>
      <c r="G829" s="14" t="s">
        <v>6005</v>
      </c>
      <c r="H829" s="14" t="s">
        <v>371</v>
      </c>
      <c r="I829" s="14" t="s">
        <v>119</v>
      </c>
      <c r="J829" s="14" t="s">
        <v>87</v>
      </c>
      <c r="K829" s="14" t="s">
        <v>340</v>
      </c>
      <c r="L829" s="14" t="s">
        <v>341</v>
      </c>
      <c r="M829" s="16" t="s">
        <v>6006</v>
      </c>
      <c r="N829" s="14"/>
      <c r="O829" s="14" t="s">
        <v>6007</v>
      </c>
      <c r="P829" s="14">
        <v>150</v>
      </c>
      <c r="Q829" s="14">
        <v>2</v>
      </c>
      <c r="R829" s="14">
        <v>6700</v>
      </c>
      <c r="S829" s="14" t="s">
        <v>6008</v>
      </c>
      <c r="T829" s="14" t="s">
        <v>6009</v>
      </c>
      <c r="U829" s="14">
        <v>0.91749999999999998</v>
      </c>
      <c r="V829" s="14">
        <v>3.1761111111111102</v>
      </c>
      <c r="W829" s="14">
        <v>737</v>
      </c>
      <c r="X829" s="14">
        <v>80</v>
      </c>
      <c r="Y829" s="14">
        <v>657</v>
      </c>
      <c r="Z829" s="14">
        <v>1863</v>
      </c>
      <c r="AA829" s="14">
        <v>676</v>
      </c>
      <c r="AB829" s="14">
        <v>293</v>
      </c>
      <c r="AC829" s="14">
        <v>845</v>
      </c>
      <c r="AD829" s="14">
        <v>49</v>
      </c>
      <c r="AE829" s="14">
        <v>2600</v>
      </c>
      <c r="AF829" s="14">
        <v>5000</v>
      </c>
      <c r="AG829" s="14">
        <v>2329</v>
      </c>
      <c r="AH829" s="14">
        <v>0</v>
      </c>
      <c r="AI829" s="14">
        <v>51</v>
      </c>
      <c r="AJ829" s="14">
        <v>202</v>
      </c>
      <c r="AK829" s="14" t="s">
        <v>6005</v>
      </c>
      <c r="AL829" s="14" t="s">
        <v>6010</v>
      </c>
      <c r="AM829" s="14">
        <v>198.49</v>
      </c>
      <c r="AN829" s="14">
        <v>183.03</v>
      </c>
      <c r="AO829" s="14">
        <v>195.37</v>
      </c>
      <c r="AP829" s="14">
        <v>22800</v>
      </c>
      <c r="AQ829" s="14">
        <v>22720</v>
      </c>
      <c r="AR829" s="14">
        <v>23000</v>
      </c>
      <c r="AS829" s="14">
        <v>20200</v>
      </c>
      <c r="AT829" s="14">
        <v>22063</v>
      </c>
      <c r="AU829" s="14">
        <v>-3</v>
      </c>
      <c r="AV829" s="14">
        <v>238.98</v>
      </c>
      <c r="AW829" s="14">
        <v>43.89</v>
      </c>
      <c r="AX829" s="14">
        <v>-3.15</v>
      </c>
      <c r="AY829" s="14" t="b">
        <v>0</v>
      </c>
    </row>
    <row r="830" spans="1:51" hidden="1" x14ac:dyDescent="0.3">
      <c r="A830" t="str">
        <f>CONCATENATE(I830,E830,LEFT(G830,10))</f>
        <v>HFA808LCLK2026-01-14</v>
      </c>
      <c r="B830" s="14" t="s">
        <v>5676</v>
      </c>
      <c r="C830" s="14" t="s">
        <v>336</v>
      </c>
      <c r="D830" s="14" t="s">
        <v>337</v>
      </c>
      <c r="E830" s="14" t="s">
        <v>87</v>
      </c>
      <c r="F830" s="14" t="s">
        <v>43</v>
      </c>
      <c r="G830" s="14" t="s">
        <v>5677</v>
      </c>
      <c r="H830" s="14" t="s">
        <v>371</v>
      </c>
      <c r="I830" s="14" t="s">
        <v>119</v>
      </c>
      <c r="J830" s="14" t="s">
        <v>83</v>
      </c>
      <c r="K830" s="14" t="s">
        <v>340</v>
      </c>
      <c r="L830" s="14" t="s">
        <v>341</v>
      </c>
      <c r="M830" s="16" t="s">
        <v>5678</v>
      </c>
      <c r="N830" s="14"/>
      <c r="O830" s="14" t="s">
        <v>627</v>
      </c>
      <c r="P830" s="14">
        <v>130</v>
      </c>
      <c r="Q830" s="14">
        <v>2</v>
      </c>
      <c r="R830" s="14">
        <v>3000</v>
      </c>
      <c r="S830" s="14" t="s">
        <v>5679</v>
      </c>
      <c r="T830" s="14" t="s">
        <v>5680</v>
      </c>
      <c r="U830" s="14">
        <v>0.61416666666666597</v>
      </c>
      <c r="V830" s="14">
        <v>0.87805555555555503</v>
      </c>
      <c r="W830" s="14">
        <v>549</v>
      </c>
      <c r="X830" s="14">
        <v>80</v>
      </c>
      <c r="Y830" s="14">
        <v>469</v>
      </c>
      <c r="Z830" s="14">
        <v>1551</v>
      </c>
      <c r="AA830" s="14">
        <v>248</v>
      </c>
      <c r="AB830" s="14">
        <v>256</v>
      </c>
      <c r="AC830" s="14">
        <v>1003</v>
      </c>
      <c r="AD830" s="14">
        <v>43</v>
      </c>
      <c r="AE830" s="14">
        <v>2100</v>
      </c>
      <c r="AF830" s="14">
        <v>5000</v>
      </c>
      <c r="AG830" s="14">
        <v>1736</v>
      </c>
      <c r="AH830" s="14">
        <v>0</v>
      </c>
      <c r="AI830" s="14">
        <v>36</v>
      </c>
      <c r="AJ830" s="14">
        <v>164</v>
      </c>
      <c r="AK830" s="14" t="s">
        <v>5677</v>
      </c>
      <c r="AL830" s="14" t="s">
        <v>5681</v>
      </c>
      <c r="AM830" s="14">
        <v>162.11000000000001</v>
      </c>
      <c r="AN830" s="14">
        <v>142.63999999999999</v>
      </c>
      <c r="AO830" s="14">
        <v>54.99</v>
      </c>
      <c r="AP830" s="14">
        <v>18600</v>
      </c>
      <c r="AQ830" s="14">
        <v>18520</v>
      </c>
      <c r="AR830" s="14">
        <v>23000</v>
      </c>
      <c r="AS830" s="14">
        <v>16500</v>
      </c>
      <c r="AT830" s="14">
        <v>18051</v>
      </c>
      <c r="AU830" s="14">
        <v>34</v>
      </c>
      <c r="AV830" s="14">
        <v>322.63</v>
      </c>
      <c r="AW830" s="14">
        <v>46.13</v>
      </c>
      <c r="AX830" s="14">
        <v>0.05</v>
      </c>
      <c r="AY830" s="14" t="b">
        <v>0</v>
      </c>
    </row>
    <row r="831" spans="1:51" hidden="1" x14ac:dyDescent="0.3">
      <c r="A831" t="str">
        <f>CONCATENATE(I831,E831,LEFT(G831,10))</f>
        <v>HFA808LCLK2026-01-15</v>
      </c>
      <c r="B831" s="14" t="s">
        <v>6095</v>
      </c>
      <c r="C831" s="14" t="s">
        <v>336</v>
      </c>
      <c r="D831" s="14" t="s">
        <v>337</v>
      </c>
      <c r="E831" s="14" t="s">
        <v>87</v>
      </c>
      <c r="F831" s="14" t="s">
        <v>43</v>
      </c>
      <c r="G831" s="14" t="s">
        <v>6096</v>
      </c>
      <c r="H831" s="14" t="s">
        <v>339</v>
      </c>
      <c r="I831" s="14" t="s">
        <v>119</v>
      </c>
      <c r="J831" s="14" t="s">
        <v>83</v>
      </c>
      <c r="K831" s="14" t="s">
        <v>340</v>
      </c>
      <c r="L831" s="14" t="s">
        <v>341</v>
      </c>
      <c r="M831" s="16" t="s">
        <v>543</v>
      </c>
      <c r="N831" s="14"/>
      <c r="O831" s="14" t="s">
        <v>732</v>
      </c>
      <c r="P831" s="14">
        <v>130</v>
      </c>
      <c r="Q831" s="14">
        <v>2</v>
      </c>
      <c r="R831" s="14">
        <v>2900</v>
      </c>
      <c r="S831" s="14" t="s">
        <v>6097</v>
      </c>
      <c r="T831" s="14" t="s">
        <v>6098</v>
      </c>
      <c r="U831" s="14">
        <v>0.68916666666666604</v>
      </c>
      <c r="V831" s="14">
        <v>0.96638888888888796</v>
      </c>
      <c r="W831" s="14">
        <v>571</v>
      </c>
      <c r="X831" s="14">
        <v>80</v>
      </c>
      <c r="Y831" s="14">
        <v>491</v>
      </c>
      <c r="Z831" s="14">
        <v>1729</v>
      </c>
      <c r="AA831" s="14">
        <v>246</v>
      </c>
      <c r="AB831" s="14">
        <v>256</v>
      </c>
      <c r="AC831" s="14">
        <v>1184</v>
      </c>
      <c r="AD831" s="14">
        <v>43</v>
      </c>
      <c r="AE831" s="14">
        <v>2300</v>
      </c>
      <c r="AF831" s="14">
        <v>5000</v>
      </c>
      <c r="AG831" s="14">
        <v>1804</v>
      </c>
      <c r="AH831" s="14">
        <v>0</v>
      </c>
      <c r="AI831" s="14">
        <v>39</v>
      </c>
      <c r="AJ831" s="14">
        <v>186</v>
      </c>
      <c r="AK831" s="14" t="s">
        <v>6096</v>
      </c>
      <c r="AL831" s="14" t="s">
        <v>6099</v>
      </c>
      <c r="AM831" s="14">
        <v>162.11000000000001</v>
      </c>
      <c r="AN831" s="14">
        <v>142.63999999999999</v>
      </c>
      <c r="AO831" s="14">
        <v>54.99</v>
      </c>
      <c r="AP831" s="14">
        <v>18525</v>
      </c>
      <c r="AQ831" s="14">
        <v>18445</v>
      </c>
      <c r="AR831" s="14">
        <v>23000</v>
      </c>
      <c r="AS831" s="14">
        <v>16225</v>
      </c>
      <c r="AT831" s="14">
        <v>17954</v>
      </c>
      <c r="AU831" s="14">
        <v>12</v>
      </c>
      <c r="AV831" s="14">
        <v>301.24</v>
      </c>
      <c r="AW831" s="14">
        <v>20.99</v>
      </c>
      <c r="AX831" s="14">
        <v>1.53</v>
      </c>
      <c r="AY831" s="14" t="b">
        <v>0</v>
      </c>
    </row>
    <row r="832" spans="1:51" hidden="1" x14ac:dyDescent="0.3">
      <c r="A832" t="str">
        <f>CONCATENATE(I832,E832,LEFT(G832,10))</f>
        <v>HFA808LCLK2026-01-17</v>
      </c>
      <c r="B832" s="14" t="s">
        <v>6407</v>
      </c>
      <c r="C832" s="14" t="s">
        <v>336</v>
      </c>
      <c r="D832" s="14" t="s">
        <v>337</v>
      </c>
      <c r="E832" s="14" t="s">
        <v>87</v>
      </c>
      <c r="F832" s="14" t="s">
        <v>43</v>
      </c>
      <c r="G832" s="14" t="s">
        <v>6408</v>
      </c>
      <c r="H832" s="14" t="s">
        <v>371</v>
      </c>
      <c r="I832" s="14" t="s">
        <v>119</v>
      </c>
      <c r="J832" s="14" t="s">
        <v>83</v>
      </c>
      <c r="K832" s="14" t="s">
        <v>340</v>
      </c>
      <c r="L832" s="14" t="s">
        <v>341</v>
      </c>
      <c r="M832" s="16" t="s">
        <v>731</v>
      </c>
      <c r="N832" s="14"/>
      <c r="O832" s="14" t="s">
        <v>627</v>
      </c>
      <c r="P832" s="14">
        <v>130</v>
      </c>
      <c r="Q832" s="14">
        <v>2</v>
      </c>
      <c r="R832" s="14">
        <v>6900</v>
      </c>
      <c r="S832" s="14" t="s">
        <v>6409</v>
      </c>
      <c r="T832" s="14" t="s">
        <v>6410</v>
      </c>
      <c r="U832" s="14">
        <v>0.68333333333333302</v>
      </c>
      <c r="V832" s="14">
        <v>0.96638888888888796</v>
      </c>
      <c r="W832" s="14">
        <v>610</v>
      </c>
      <c r="X832" s="14">
        <v>80</v>
      </c>
      <c r="Y832" s="14">
        <v>530</v>
      </c>
      <c r="Z832" s="14">
        <v>1790</v>
      </c>
      <c r="AA832" s="14">
        <v>267</v>
      </c>
      <c r="AB832" s="14">
        <v>294</v>
      </c>
      <c r="AC832" s="14">
        <v>1180</v>
      </c>
      <c r="AD832" s="14">
        <v>49</v>
      </c>
      <c r="AE832" s="14">
        <v>2400</v>
      </c>
      <c r="AF832" s="14">
        <v>5000</v>
      </c>
      <c r="AG832" s="14">
        <v>1926</v>
      </c>
      <c r="AH832" s="14">
        <v>0</v>
      </c>
      <c r="AI832" s="14">
        <v>40</v>
      </c>
      <c r="AJ832" s="14">
        <v>183</v>
      </c>
      <c r="AK832" s="14" t="s">
        <v>6408</v>
      </c>
      <c r="AL832" s="14" t="s">
        <v>6411</v>
      </c>
      <c r="AM832" s="14">
        <v>162.11000000000001</v>
      </c>
      <c r="AN832" s="14">
        <v>142.63999999999999</v>
      </c>
      <c r="AO832" s="14">
        <v>54.99</v>
      </c>
      <c r="AP832" s="14">
        <v>22800</v>
      </c>
      <c r="AQ832" s="14">
        <v>22720</v>
      </c>
      <c r="AR832" s="14">
        <v>23000</v>
      </c>
      <c r="AS832" s="14">
        <v>20400</v>
      </c>
      <c r="AT832" s="14">
        <v>22190</v>
      </c>
      <c r="AU832" s="14">
        <v>10</v>
      </c>
      <c r="AV832" s="14">
        <v>275.16000000000003</v>
      </c>
      <c r="AW832" s="14">
        <v>31.08</v>
      </c>
      <c r="AX832" s="14">
        <v>-0.12</v>
      </c>
      <c r="AY832" s="14" t="b">
        <v>0</v>
      </c>
    </row>
    <row r="833" spans="1:51" hidden="1" x14ac:dyDescent="0.3">
      <c r="A833" t="str">
        <f>CONCATENATE(I833,E833,LEFT(G833,10))</f>
        <v>HFA808LCLK2026-01-18</v>
      </c>
      <c r="B833" s="14" t="s">
        <v>5490</v>
      </c>
      <c r="C833" s="14" t="s">
        <v>336</v>
      </c>
      <c r="D833" s="14" t="s">
        <v>337</v>
      </c>
      <c r="E833" s="14" t="s">
        <v>87</v>
      </c>
      <c r="F833" s="14" t="s">
        <v>43</v>
      </c>
      <c r="G833" s="14" t="s">
        <v>5491</v>
      </c>
      <c r="H833" s="14" t="s">
        <v>339</v>
      </c>
      <c r="I833" s="14" t="s">
        <v>119</v>
      </c>
      <c r="J833" s="14" t="s">
        <v>83</v>
      </c>
      <c r="K833" s="14" t="s">
        <v>340</v>
      </c>
      <c r="L833" s="14" t="s">
        <v>341</v>
      </c>
      <c r="M833" s="16" t="s">
        <v>5492</v>
      </c>
      <c r="N833" s="14"/>
      <c r="O833" s="14" t="s">
        <v>5493</v>
      </c>
      <c r="P833" s="14">
        <v>130</v>
      </c>
      <c r="Q833" s="14">
        <v>2</v>
      </c>
      <c r="R833" s="14">
        <v>5000</v>
      </c>
      <c r="S833" s="14" t="s">
        <v>5494</v>
      </c>
      <c r="T833" s="14" t="s">
        <v>5495</v>
      </c>
      <c r="U833" s="14">
        <v>0.66055555555555501</v>
      </c>
      <c r="V833" s="14">
        <v>0.91944444444444395</v>
      </c>
      <c r="W833" s="14">
        <v>583</v>
      </c>
      <c r="X833" s="14">
        <v>80</v>
      </c>
      <c r="Y833" s="14">
        <v>503</v>
      </c>
      <c r="Z833" s="14">
        <v>2017</v>
      </c>
      <c r="AA833" s="14">
        <v>254</v>
      </c>
      <c r="AB833" s="14">
        <v>276</v>
      </c>
      <c r="AC833" s="14">
        <v>1441</v>
      </c>
      <c r="AD833" s="14">
        <v>46</v>
      </c>
      <c r="AE833" s="14">
        <v>2600</v>
      </c>
      <c r="AF833" s="14">
        <v>5000</v>
      </c>
      <c r="AG833" s="14">
        <v>1843</v>
      </c>
      <c r="AH833" s="14">
        <v>0</v>
      </c>
      <c r="AI833" s="14">
        <v>38</v>
      </c>
      <c r="AJ833" s="14">
        <v>202</v>
      </c>
      <c r="AK833" s="14" t="s">
        <v>5491</v>
      </c>
      <c r="AL833" s="14" t="s">
        <v>5496</v>
      </c>
      <c r="AM833" s="14">
        <v>162.11000000000001</v>
      </c>
      <c r="AN833" s="14">
        <v>142.63999999999999</v>
      </c>
      <c r="AO833" s="14">
        <v>54.99</v>
      </c>
      <c r="AP833" s="14">
        <v>20925</v>
      </c>
      <c r="AQ833" s="14">
        <v>20845</v>
      </c>
      <c r="AR833" s="14">
        <v>23000</v>
      </c>
      <c r="AS833" s="14">
        <v>18325</v>
      </c>
      <c r="AT833" s="14">
        <v>20342</v>
      </c>
      <c r="AU833" s="14">
        <v>17</v>
      </c>
      <c r="AV833" s="14">
        <v>286.75</v>
      </c>
      <c r="AW833" s="14">
        <v>35.22</v>
      </c>
      <c r="AX833" s="14">
        <v>-3.17</v>
      </c>
      <c r="AY833" s="14" t="b">
        <v>0</v>
      </c>
    </row>
    <row r="834" spans="1:51" hidden="1" x14ac:dyDescent="0.3">
      <c r="A834" t="str">
        <f>CONCATENATE(I834,E834,LEFT(G834,10))</f>
        <v>HFA808LCLK2026-01-19</v>
      </c>
      <c r="B834" s="14" t="s">
        <v>5896</v>
      </c>
      <c r="C834" s="14" t="s">
        <v>336</v>
      </c>
      <c r="D834" s="14" t="s">
        <v>337</v>
      </c>
      <c r="E834" s="14" t="s">
        <v>87</v>
      </c>
      <c r="F834" s="14" t="s">
        <v>43</v>
      </c>
      <c r="G834" s="14" t="s">
        <v>5897</v>
      </c>
      <c r="H834" s="14" t="s">
        <v>371</v>
      </c>
      <c r="I834" s="14" t="s">
        <v>119</v>
      </c>
      <c r="J834" s="14" t="s">
        <v>83</v>
      </c>
      <c r="K834" s="14" t="s">
        <v>340</v>
      </c>
      <c r="L834" s="14" t="s">
        <v>341</v>
      </c>
      <c r="M834" s="16" t="s">
        <v>5898</v>
      </c>
      <c r="N834" s="14"/>
      <c r="O834" s="14" t="s">
        <v>627</v>
      </c>
      <c r="P834" s="14">
        <v>130</v>
      </c>
      <c r="Q834" s="14">
        <v>2</v>
      </c>
      <c r="R834" s="14">
        <v>6100</v>
      </c>
      <c r="S834" s="14" t="s">
        <v>5899</v>
      </c>
      <c r="T834" s="14" t="s">
        <v>5900</v>
      </c>
      <c r="U834" s="14">
        <v>0.62888888888888805</v>
      </c>
      <c r="V834" s="14">
        <v>0.87</v>
      </c>
      <c r="W834" s="14">
        <v>588</v>
      </c>
      <c r="X834" s="14">
        <v>80</v>
      </c>
      <c r="Y834" s="14">
        <v>508</v>
      </c>
      <c r="Z834" s="14">
        <v>1812</v>
      </c>
      <c r="AA834" s="14">
        <v>258</v>
      </c>
      <c r="AB834" s="14">
        <v>286</v>
      </c>
      <c r="AC834" s="14">
        <v>1220</v>
      </c>
      <c r="AD834" s="14">
        <v>48</v>
      </c>
      <c r="AE834" s="14">
        <v>2400</v>
      </c>
      <c r="AF834" s="14">
        <v>5000</v>
      </c>
      <c r="AG834" s="14">
        <v>1858</v>
      </c>
      <c r="AH834" s="14">
        <v>0</v>
      </c>
      <c r="AI834" s="14">
        <v>38</v>
      </c>
      <c r="AJ834" s="14">
        <v>183</v>
      </c>
      <c r="AK834" s="14" t="s">
        <v>5897</v>
      </c>
      <c r="AL834" s="14" t="s">
        <v>5901</v>
      </c>
      <c r="AM834" s="14">
        <v>162.11000000000001</v>
      </c>
      <c r="AN834" s="14">
        <v>142.63999999999999</v>
      </c>
      <c r="AO834" s="14">
        <v>54.99</v>
      </c>
      <c r="AP834" s="14">
        <v>22000</v>
      </c>
      <c r="AQ834" s="14">
        <v>21920</v>
      </c>
      <c r="AR834" s="14">
        <v>23000</v>
      </c>
      <c r="AS834" s="14">
        <v>19600</v>
      </c>
      <c r="AT834" s="14">
        <v>21412</v>
      </c>
      <c r="AU834" s="14">
        <v>21</v>
      </c>
      <c r="AV834" s="14">
        <v>286.18</v>
      </c>
      <c r="AW834" s="14">
        <v>47.28</v>
      </c>
      <c r="AX834" s="14">
        <v>-1.99</v>
      </c>
      <c r="AY834" s="14" t="b">
        <v>0</v>
      </c>
    </row>
    <row r="835" spans="1:51" hidden="1" x14ac:dyDescent="0.3">
      <c r="A835" t="str">
        <f>CONCATENATE(I835,E835,LEFT(G835,10))</f>
        <v>HFA808LCLK2026-01-21</v>
      </c>
      <c r="B835" s="14" t="s">
        <v>1501</v>
      </c>
      <c r="C835" s="14" t="s">
        <v>336</v>
      </c>
      <c r="D835" s="14" t="s">
        <v>337</v>
      </c>
      <c r="E835" s="14" t="s">
        <v>87</v>
      </c>
      <c r="F835" s="14" t="s">
        <v>43</v>
      </c>
      <c r="G835" s="14" t="s">
        <v>1502</v>
      </c>
      <c r="H835" s="14" t="s">
        <v>393</v>
      </c>
      <c r="I835" s="14" t="s">
        <v>119</v>
      </c>
      <c r="J835" s="14" t="s">
        <v>83</v>
      </c>
      <c r="K835" s="14" t="s">
        <v>340</v>
      </c>
      <c r="L835" s="14" t="s">
        <v>341</v>
      </c>
      <c r="M835" s="16" t="s">
        <v>1503</v>
      </c>
      <c r="N835" s="14"/>
      <c r="O835" s="14" t="s">
        <v>627</v>
      </c>
      <c r="P835" s="14">
        <v>130</v>
      </c>
      <c r="Q835" s="14">
        <v>2</v>
      </c>
      <c r="R835" s="14">
        <v>2200</v>
      </c>
      <c r="S835" s="14" t="s">
        <v>1504</v>
      </c>
      <c r="T835" s="14" t="s">
        <v>1505</v>
      </c>
      <c r="U835" s="14">
        <v>1.06222222222222</v>
      </c>
      <c r="V835" s="14">
        <v>1.355</v>
      </c>
      <c r="W835" s="14">
        <v>637</v>
      </c>
      <c r="X835" s="14">
        <v>80</v>
      </c>
      <c r="Y835" s="14">
        <v>557</v>
      </c>
      <c r="Z835" s="14">
        <v>837</v>
      </c>
      <c r="AA835" s="14">
        <v>253</v>
      </c>
      <c r="AB835" s="14">
        <v>243</v>
      </c>
      <c r="AC835" s="14">
        <v>300</v>
      </c>
      <c r="AD835" s="14">
        <v>41</v>
      </c>
      <c r="AE835" s="14">
        <v>1474</v>
      </c>
      <c r="AF835" s="14">
        <v>5000</v>
      </c>
      <c r="AG835" s="14">
        <v>2013</v>
      </c>
      <c r="AH835" s="14">
        <v>0</v>
      </c>
      <c r="AI835" s="14">
        <v>39</v>
      </c>
      <c r="AJ835" s="14">
        <v>113</v>
      </c>
      <c r="AK835" s="14" t="s">
        <v>1502</v>
      </c>
      <c r="AL835" s="14" t="s">
        <v>1506</v>
      </c>
      <c r="AM835" s="14">
        <v>162.11000000000001</v>
      </c>
      <c r="AN835" s="14">
        <v>142.63999999999999</v>
      </c>
      <c r="AO835" s="14">
        <v>54.99</v>
      </c>
      <c r="AP835" s="14">
        <v>16985</v>
      </c>
      <c r="AQ835" s="14">
        <v>16905</v>
      </c>
      <c r="AR835" s="14">
        <v>23000</v>
      </c>
      <c r="AS835" s="14">
        <v>15511</v>
      </c>
      <c r="AT835" s="14">
        <v>16348</v>
      </c>
      <c r="AU835" s="14">
        <v>7</v>
      </c>
      <c r="AV835" s="14">
        <v>270.63</v>
      </c>
      <c r="AW835" s="14">
        <v>31.76</v>
      </c>
      <c r="AX835" s="14">
        <v>4.0999999999999996</v>
      </c>
      <c r="AY835" s="14" t="b">
        <v>0</v>
      </c>
    </row>
    <row r="836" spans="1:51" hidden="1" x14ac:dyDescent="0.3">
      <c r="A836" t="str">
        <f>CONCATENATE(I836,E836,LEFT(G836,10))</f>
        <v>HFA808LCLK2026-01-22</v>
      </c>
      <c r="B836" s="14" t="s">
        <v>2049</v>
      </c>
      <c r="C836" s="14" t="s">
        <v>336</v>
      </c>
      <c r="D836" s="14" t="s">
        <v>337</v>
      </c>
      <c r="E836" s="14" t="s">
        <v>87</v>
      </c>
      <c r="F836" s="14" t="s">
        <v>43</v>
      </c>
      <c r="G836" s="14" t="s">
        <v>2050</v>
      </c>
      <c r="H836" s="14" t="s">
        <v>339</v>
      </c>
      <c r="I836" s="14" t="s">
        <v>119</v>
      </c>
      <c r="J836" s="14" t="s">
        <v>83</v>
      </c>
      <c r="K836" s="14" t="s">
        <v>340</v>
      </c>
      <c r="L836" s="14" t="s">
        <v>341</v>
      </c>
      <c r="M836" s="16" t="s">
        <v>2051</v>
      </c>
      <c r="N836" s="14"/>
      <c r="O836" s="14" t="s">
        <v>627</v>
      </c>
      <c r="P836" s="14">
        <v>90</v>
      </c>
      <c r="Q836" s="14">
        <v>2</v>
      </c>
      <c r="R836" s="14">
        <v>2800</v>
      </c>
      <c r="S836" s="14" t="s">
        <v>2052</v>
      </c>
      <c r="T836" s="14" t="s">
        <v>2053</v>
      </c>
      <c r="U836" s="14">
        <v>0.90638888888888802</v>
      </c>
      <c r="V836" s="14">
        <v>0.99805555555555503</v>
      </c>
      <c r="W836" s="14">
        <v>650</v>
      </c>
      <c r="X836" s="14">
        <v>80</v>
      </c>
      <c r="Y836" s="14">
        <v>570</v>
      </c>
      <c r="Z836" s="14">
        <v>1850</v>
      </c>
      <c r="AA836" s="14">
        <v>596</v>
      </c>
      <c r="AB836" s="14">
        <v>256</v>
      </c>
      <c r="AC836" s="14">
        <v>955</v>
      </c>
      <c r="AD836" s="14">
        <v>43</v>
      </c>
      <c r="AE836" s="14">
        <v>2500</v>
      </c>
      <c r="AF836" s="14">
        <v>5000</v>
      </c>
      <c r="AG836" s="14">
        <v>2055</v>
      </c>
      <c r="AH836" s="14">
        <v>0</v>
      </c>
      <c r="AI836" s="14">
        <v>42</v>
      </c>
      <c r="AJ836" s="14">
        <v>191</v>
      </c>
      <c r="AK836" s="14" t="s">
        <v>2050</v>
      </c>
      <c r="AL836" s="14" t="s">
        <v>2054</v>
      </c>
      <c r="AM836" s="14">
        <v>162.11000000000001</v>
      </c>
      <c r="AN836" s="14">
        <v>142.63999999999999</v>
      </c>
      <c r="AO836" s="14">
        <v>54.99</v>
      </c>
      <c r="AP836" s="14">
        <v>18625</v>
      </c>
      <c r="AQ836" s="14">
        <v>18545</v>
      </c>
      <c r="AR836" s="14">
        <v>23000</v>
      </c>
      <c r="AS836" s="14">
        <v>16125</v>
      </c>
      <c r="AT836" s="14">
        <v>17975</v>
      </c>
      <c r="AU836" s="14">
        <v>-16</v>
      </c>
      <c r="AV836" s="14">
        <v>218.81</v>
      </c>
      <c r="AW836" s="14">
        <v>45.37</v>
      </c>
      <c r="AX836" s="14">
        <v>2.2200000000000002</v>
      </c>
      <c r="AY836" s="14" t="b">
        <v>0</v>
      </c>
    </row>
    <row r="837" spans="1:51" hidden="1" x14ac:dyDescent="0.3">
      <c r="A837" t="str">
        <f>CONCATENATE(I837,E837,LEFT(G837,10))</f>
        <v>HFA808LCLK2026-01-24</v>
      </c>
      <c r="B837" s="14" t="s">
        <v>624</v>
      </c>
      <c r="C837" s="14" t="s">
        <v>336</v>
      </c>
      <c r="D837" s="14" t="s">
        <v>337</v>
      </c>
      <c r="E837" s="14" t="s">
        <v>87</v>
      </c>
      <c r="F837" s="14" t="s">
        <v>43</v>
      </c>
      <c r="G837" s="14" t="s">
        <v>625</v>
      </c>
      <c r="H837" s="14" t="s">
        <v>371</v>
      </c>
      <c r="I837" s="14" t="s">
        <v>119</v>
      </c>
      <c r="J837" s="14" t="s">
        <v>83</v>
      </c>
      <c r="K837" s="14" t="s">
        <v>340</v>
      </c>
      <c r="L837" s="14" t="s">
        <v>341</v>
      </c>
      <c r="M837" s="16" t="s">
        <v>626</v>
      </c>
      <c r="N837" s="14"/>
      <c r="O837" s="14" t="s">
        <v>627</v>
      </c>
      <c r="P837" s="14">
        <v>130</v>
      </c>
      <c r="Q837" s="14">
        <v>2</v>
      </c>
      <c r="R837" s="14">
        <v>7100</v>
      </c>
      <c r="S837" s="14" t="s">
        <v>628</v>
      </c>
      <c r="T837" s="14" t="s">
        <v>629</v>
      </c>
      <c r="U837" s="14">
        <v>0.65583333333333305</v>
      </c>
      <c r="V837" s="14">
        <v>0.905555555555555</v>
      </c>
      <c r="W837" s="14">
        <v>602</v>
      </c>
      <c r="X837" s="14">
        <v>80</v>
      </c>
      <c r="Y837" s="14">
        <v>522</v>
      </c>
      <c r="Z837" s="14">
        <v>1398</v>
      </c>
      <c r="AA837" s="14">
        <v>262</v>
      </c>
      <c r="AB837" s="14">
        <v>292</v>
      </c>
      <c r="AC837" s="14">
        <v>795</v>
      </c>
      <c r="AD837" s="14">
        <v>49</v>
      </c>
      <c r="AE837" s="14">
        <v>2000</v>
      </c>
      <c r="AF837" s="14">
        <v>5000</v>
      </c>
      <c r="AG837" s="14">
        <v>1903</v>
      </c>
      <c r="AH837" s="14">
        <v>0</v>
      </c>
      <c r="AI837" s="14">
        <v>40</v>
      </c>
      <c r="AJ837" s="14">
        <v>153</v>
      </c>
      <c r="AK837" s="14" t="s">
        <v>625</v>
      </c>
      <c r="AL837" s="14" t="s">
        <v>630</v>
      </c>
      <c r="AM837" s="14">
        <v>162.11000000000001</v>
      </c>
      <c r="AN837" s="14">
        <v>142.63999999999999</v>
      </c>
      <c r="AO837" s="14">
        <v>54.99</v>
      </c>
      <c r="AP837" s="14">
        <v>22600</v>
      </c>
      <c r="AQ837" s="14">
        <v>22520</v>
      </c>
      <c r="AR837" s="14">
        <v>23000</v>
      </c>
      <c r="AS837" s="14">
        <v>20600</v>
      </c>
      <c r="AT837" s="14">
        <v>21998</v>
      </c>
      <c r="AU837" s="14">
        <v>12</v>
      </c>
      <c r="AV837" s="14">
        <v>318.67</v>
      </c>
      <c r="AW837" s="14">
        <v>16.579999999999998</v>
      </c>
      <c r="AX837" s="14">
        <v>1.17</v>
      </c>
      <c r="AY837" s="14" t="b">
        <v>0</v>
      </c>
    </row>
    <row r="838" spans="1:51" hidden="1" x14ac:dyDescent="0.3">
      <c r="A838" t="str">
        <f>CONCATENATE(I838,E838,LEFT(G838,10))</f>
        <v>HFA808LCLK2026-01-25</v>
      </c>
      <c r="B838" s="14" t="s">
        <v>5150</v>
      </c>
      <c r="C838" s="14" t="s">
        <v>336</v>
      </c>
      <c r="D838" s="14" t="s">
        <v>337</v>
      </c>
      <c r="E838" s="14" t="s">
        <v>87</v>
      </c>
      <c r="F838" s="14" t="s">
        <v>43</v>
      </c>
      <c r="G838" s="14" t="s">
        <v>5151</v>
      </c>
      <c r="H838" s="14" t="s">
        <v>371</v>
      </c>
      <c r="I838" s="14" t="s">
        <v>119</v>
      </c>
      <c r="J838" s="14" t="s">
        <v>83</v>
      </c>
      <c r="K838" s="14" t="s">
        <v>340</v>
      </c>
      <c r="L838" s="14" t="s">
        <v>341</v>
      </c>
      <c r="M838" s="16" t="s">
        <v>5152</v>
      </c>
      <c r="N838" s="14"/>
      <c r="O838" s="14" t="s">
        <v>627</v>
      </c>
      <c r="P838" s="14">
        <v>130</v>
      </c>
      <c r="Q838" s="14">
        <v>2</v>
      </c>
      <c r="R838" s="14">
        <v>6900</v>
      </c>
      <c r="S838" s="14" t="s">
        <v>5153</v>
      </c>
      <c r="T838" s="14" t="s">
        <v>5154</v>
      </c>
      <c r="U838" s="14">
        <v>0.67777777777777704</v>
      </c>
      <c r="V838" s="14">
        <v>0.89</v>
      </c>
      <c r="W838" s="14">
        <v>611</v>
      </c>
      <c r="X838" s="14">
        <v>80</v>
      </c>
      <c r="Y838" s="14">
        <v>531</v>
      </c>
      <c r="Z838" s="14">
        <v>1389</v>
      </c>
      <c r="AA838" s="14">
        <v>267</v>
      </c>
      <c r="AB838" s="14">
        <v>290</v>
      </c>
      <c r="AC838" s="14">
        <v>784</v>
      </c>
      <c r="AD838" s="14">
        <v>48</v>
      </c>
      <c r="AE838" s="14">
        <v>2000</v>
      </c>
      <c r="AF838" s="14">
        <v>5000</v>
      </c>
      <c r="AG838" s="14">
        <v>1930</v>
      </c>
      <c r="AH838" s="14">
        <v>0</v>
      </c>
      <c r="AI838" s="14">
        <v>42</v>
      </c>
      <c r="AJ838" s="14">
        <v>158</v>
      </c>
      <c r="AK838" s="14" t="s">
        <v>5151</v>
      </c>
      <c r="AL838" s="14" t="s">
        <v>5155</v>
      </c>
      <c r="AM838" s="14">
        <v>162.11000000000001</v>
      </c>
      <c r="AN838" s="14">
        <v>142.63999999999999</v>
      </c>
      <c r="AO838" s="14">
        <v>54.99</v>
      </c>
      <c r="AP838" s="14">
        <v>22400</v>
      </c>
      <c r="AQ838" s="14">
        <v>22320</v>
      </c>
      <c r="AR838" s="14">
        <v>23000</v>
      </c>
      <c r="AS838" s="14">
        <v>20400</v>
      </c>
      <c r="AT838" s="14">
        <v>21789</v>
      </c>
      <c r="AU838" s="14">
        <v>2</v>
      </c>
      <c r="AV838" s="14">
        <v>269.44</v>
      </c>
      <c r="AW838" s="14">
        <v>11.05</v>
      </c>
      <c r="AX838" s="14">
        <v>5.86</v>
      </c>
      <c r="AY838" s="14" t="b">
        <v>0</v>
      </c>
    </row>
    <row r="839" spans="1:51" hidden="1" x14ac:dyDescent="0.3">
      <c r="A839" t="str">
        <f>CONCATENATE(I839,E839,LEFT(G839,10))</f>
        <v>HFA808LCLK2026-01-26</v>
      </c>
      <c r="B839" s="14" t="s">
        <v>2952</v>
      </c>
      <c r="C839" s="14" t="s">
        <v>336</v>
      </c>
      <c r="D839" s="14" t="s">
        <v>337</v>
      </c>
      <c r="E839" s="14" t="s">
        <v>87</v>
      </c>
      <c r="F839" s="14" t="s">
        <v>43</v>
      </c>
      <c r="G839" s="14" t="s">
        <v>2953</v>
      </c>
      <c r="H839" s="14" t="s">
        <v>371</v>
      </c>
      <c r="I839" s="14" t="s">
        <v>119</v>
      </c>
      <c r="J839" s="14" t="s">
        <v>83</v>
      </c>
      <c r="K839" s="14" t="s">
        <v>340</v>
      </c>
      <c r="L839" s="14" t="s">
        <v>341</v>
      </c>
      <c r="M839" s="16" t="s">
        <v>2954</v>
      </c>
      <c r="N839" s="14"/>
      <c r="O839" s="14" t="s">
        <v>410</v>
      </c>
      <c r="P839" s="14">
        <v>130</v>
      </c>
      <c r="Q839" s="14">
        <v>2</v>
      </c>
      <c r="R839" s="14">
        <v>4900</v>
      </c>
      <c r="S839" s="14" t="s">
        <v>2955</v>
      </c>
      <c r="T839" s="14" t="s">
        <v>2956</v>
      </c>
      <c r="U839" s="14">
        <v>0.72250000000000003</v>
      </c>
      <c r="V839" s="14">
        <v>1.0116666666666601</v>
      </c>
      <c r="W839" s="14">
        <v>636</v>
      </c>
      <c r="X839" s="14">
        <v>80</v>
      </c>
      <c r="Y839" s="14">
        <v>556</v>
      </c>
      <c r="Z839" s="14">
        <v>1764</v>
      </c>
      <c r="AA839" s="14">
        <v>270</v>
      </c>
      <c r="AB839" s="14">
        <v>274</v>
      </c>
      <c r="AC839" s="14">
        <v>1173</v>
      </c>
      <c r="AD839" s="14">
        <v>46</v>
      </c>
      <c r="AE839" s="14">
        <v>2400</v>
      </c>
      <c r="AF839" s="14">
        <v>5000</v>
      </c>
      <c r="AG839" s="14">
        <v>2011</v>
      </c>
      <c r="AH839" s="14">
        <v>0</v>
      </c>
      <c r="AI839" s="14">
        <v>43</v>
      </c>
      <c r="AJ839" s="14">
        <v>190</v>
      </c>
      <c r="AK839" s="14" t="s">
        <v>2953</v>
      </c>
      <c r="AL839" s="14" t="s">
        <v>2957</v>
      </c>
      <c r="AM839" s="14">
        <v>162.11000000000001</v>
      </c>
      <c r="AN839" s="14">
        <v>142.63999999999999</v>
      </c>
      <c r="AO839" s="14">
        <v>54.99</v>
      </c>
      <c r="AP839" s="14">
        <v>20800</v>
      </c>
      <c r="AQ839" s="14">
        <v>20720</v>
      </c>
      <c r="AR839" s="14">
        <v>23000</v>
      </c>
      <c r="AS839" s="14">
        <v>18400</v>
      </c>
      <c r="AT839" s="14">
        <v>20164</v>
      </c>
      <c r="AU839" s="14">
        <v>-13</v>
      </c>
      <c r="AV839" s="14">
        <v>221.7</v>
      </c>
      <c r="AW839" s="14">
        <v>42.44</v>
      </c>
      <c r="AX839" s="14">
        <v>4.16</v>
      </c>
      <c r="AY839" s="14" t="b">
        <v>0</v>
      </c>
    </row>
    <row r="840" spans="1:51" hidden="1" x14ac:dyDescent="0.3">
      <c r="A840" t="str">
        <f>CONCATENATE(I840,E840,LEFT(G840,10))</f>
        <v>HFA808LCLK2026-01-27</v>
      </c>
      <c r="B840" s="14" t="s">
        <v>932</v>
      </c>
      <c r="C840" s="14" t="s">
        <v>336</v>
      </c>
      <c r="D840" s="14" t="s">
        <v>337</v>
      </c>
      <c r="E840" s="14" t="s">
        <v>87</v>
      </c>
      <c r="F840" s="14" t="s">
        <v>43</v>
      </c>
      <c r="G840" s="14" t="s">
        <v>933</v>
      </c>
      <c r="H840" s="14" t="s">
        <v>371</v>
      </c>
      <c r="I840" s="14" t="s">
        <v>119</v>
      </c>
      <c r="J840" s="14" t="s">
        <v>83</v>
      </c>
      <c r="K840" s="14" t="s">
        <v>340</v>
      </c>
      <c r="L840" s="14" t="s">
        <v>341</v>
      </c>
      <c r="M840" s="16" t="s">
        <v>934</v>
      </c>
      <c r="N840" s="14"/>
      <c r="O840" s="14" t="s">
        <v>627</v>
      </c>
      <c r="P840" s="14">
        <v>130</v>
      </c>
      <c r="Q840" s="14">
        <v>2</v>
      </c>
      <c r="R840" s="14">
        <v>3300</v>
      </c>
      <c r="S840" s="14" t="s">
        <v>935</v>
      </c>
      <c r="T840" s="14" t="s">
        <v>936</v>
      </c>
      <c r="U840" s="14">
        <v>0.70444444444444398</v>
      </c>
      <c r="V840" s="14">
        <v>0.92916666666666603</v>
      </c>
      <c r="W840" s="14">
        <v>618</v>
      </c>
      <c r="X840" s="14">
        <v>80</v>
      </c>
      <c r="Y840" s="14">
        <v>538</v>
      </c>
      <c r="Z840" s="14">
        <v>1482</v>
      </c>
      <c r="AA840" s="14">
        <v>263</v>
      </c>
      <c r="AB840" s="14">
        <v>258</v>
      </c>
      <c r="AC840" s="14">
        <v>917</v>
      </c>
      <c r="AD840" s="14">
        <v>43</v>
      </c>
      <c r="AE840" s="14">
        <v>2100</v>
      </c>
      <c r="AF840" s="14">
        <v>5000</v>
      </c>
      <c r="AG840" s="14">
        <v>1954</v>
      </c>
      <c r="AH840" s="14">
        <v>0</v>
      </c>
      <c r="AI840" s="14">
        <v>41</v>
      </c>
      <c r="AJ840" s="14">
        <v>162</v>
      </c>
      <c r="AK840" s="14" t="s">
        <v>933</v>
      </c>
      <c r="AL840" s="14" t="s">
        <v>937</v>
      </c>
      <c r="AM840" s="14">
        <v>162.11000000000001</v>
      </c>
      <c r="AN840" s="14">
        <v>142.63999999999999</v>
      </c>
      <c r="AO840" s="14">
        <v>54.99</v>
      </c>
      <c r="AP840" s="14">
        <v>18900</v>
      </c>
      <c r="AQ840" s="14">
        <v>18820</v>
      </c>
      <c r="AR840" s="14">
        <v>23000</v>
      </c>
      <c r="AS840" s="14">
        <v>16800</v>
      </c>
      <c r="AT840" s="14">
        <v>18282</v>
      </c>
      <c r="AU840" s="14">
        <v>-3</v>
      </c>
      <c r="AV840" s="14">
        <v>232.91</v>
      </c>
      <c r="AW840" s="14">
        <v>22.56</v>
      </c>
      <c r="AX840" s="14">
        <v>-2.2799999999999998</v>
      </c>
      <c r="AY840" s="14" t="b">
        <v>0</v>
      </c>
    </row>
    <row r="841" spans="1:51" hidden="1" x14ac:dyDescent="0.3">
      <c r="A841" t="str">
        <f>CONCATENATE(I841,E841,LEFT(G841,10))</f>
        <v>HFA808LCLK2026-01-28</v>
      </c>
      <c r="B841" s="14" t="s">
        <v>1287</v>
      </c>
      <c r="C841" s="14" t="s">
        <v>336</v>
      </c>
      <c r="D841" s="14" t="s">
        <v>337</v>
      </c>
      <c r="E841" s="14" t="s">
        <v>87</v>
      </c>
      <c r="F841" s="14" t="s">
        <v>43</v>
      </c>
      <c r="G841" s="14" t="s">
        <v>1288</v>
      </c>
      <c r="H841" s="14" t="s">
        <v>371</v>
      </c>
      <c r="I841" s="14" t="s">
        <v>119</v>
      </c>
      <c r="J841" s="14" t="s">
        <v>83</v>
      </c>
      <c r="K841" s="14" t="s">
        <v>340</v>
      </c>
      <c r="L841" s="14" t="s">
        <v>341</v>
      </c>
      <c r="M841" s="16" t="s">
        <v>731</v>
      </c>
      <c r="N841" s="14"/>
      <c r="O841" s="14" t="s">
        <v>1289</v>
      </c>
      <c r="P841" s="14">
        <v>130</v>
      </c>
      <c r="Q841" s="14">
        <v>2</v>
      </c>
      <c r="R841" s="14">
        <v>3200</v>
      </c>
      <c r="S841" s="14" t="s">
        <v>1290</v>
      </c>
      <c r="T841" s="14" t="s">
        <v>1291</v>
      </c>
      <c r="U841" s="14">
        <v>0.67527777777777698</v>
      </c>
      <c r="V841" s="14">
        <v>0.96194444444444405</v>
      </c>
      <c r="W841" s="14">
        <v>576</v>
      </c>
      <c r="X841" s="14">
        <v>80</v>
      </c>
      <c r="Y841" s="14">
        <v>496</v>
      </c>
      <c r="Z841" s="14">
        <v>1424</v>
      </c>
      <c r="AA841" s="14">
        <v>256</v>
      </c>
      <c r="AB841" s="14">
        <v>257</v>
      </c>
      <c r="AC841" s="14">
        <v>868</v>
      </c>
      <c r="AD841" s="14">
        <v>43</v>
      </c>
      <c r="AE841" s="14">
        <v>2000</v>
      </c>
      <c r="AF841" s="14">
        <v>5000</v>
      </c>
      <c r="AG841" s="14">
        <v>1820</v>
      </c>
      <c r="AH841" s="14">
        <v>0</v>
      </c>
      <c r="AI841" s="14">
        <v>38</v>
      </c>
      <c r="AJ841" s="14">
        <v>156</v>
      </c>
      <c r="AK841" s="14" t="s">
        <v>1288</v>
      </c>
      <c r="AL841" s="14" t="s">
        <v>1292</v>
      </c>
      <c r="AM841" s="14">
        <v>162.11000000000001</v>
      </c>
      <c r="AN841" s="14">
        <v>142.63999999999999</v>
      </c>
      <c r="AO841" s="14">
        <v>54.99</v>
      </c>
      <c r="AP841" s="14">
        <v>18700</v>
      </c>
      <c r="AQ841" s="14">
        <v>18620</v>
      </c>
      <c r="AR841" s="14">
        <v>23000</v>
      </c>
      <c r="AS841" s="14">
        <v>16700</v>
      </c>
      <c r="AT841" s="14">
        <v>18124</v>
      </c>
      <c r="AU841" s="14">
        <v>17</v>
      </c>
      <c r="AV841" s="14">
        <v>291.70999999999998</v>
      </c>
      <c r="AW841" s="14">
        <v>26.77</v>
      </c>
      <c r="AX841" s="14">
        <v>0.5</v>
      </c>
      <c r="AY841" s="14" t="b">
        <v>0</v>
      </c>
    </row>
    <row r="842" spans="1:51" hidden="1" x14ac:dyDescent="0.3">
      <c r="A842" t="str">
        <f>CONCATENATE(I842,E842,LEFT(G842,10))</f>
        <v>HFA808LCLK2026-01-29</v>
      </c>
      <c r="B842" s="14" t="s">
        <v>6272</v>
      </c>
      <c r="C842" s="14" t="s">
        <v>336</v>
      </c>
      <c r="D842" s="14" t="s">
        <v>337</v>
      </c>
      <c r="E842" s="14" t="s">
        <v>87</v>
      </c>
      <c r="F842" s="14" t="s">
        <v>43</v>
      </c>
      <c r="G842" s="14" t="s">
        <v>6273</v>
      </c>
      <c r="H842" s="14" t="s">
        <v>339</v>
      </c>
      <c r="I842" s="14" t="s">
        <v>119</v>
      </c>
      <c r="J842" s="14" t="s">
        <v>83</v>
      </c>
      <c r="K842" s="14" t="s">
        <v>340</v>
      </c>
      <c r="L842" s="14" t="s">
        <v>341</v>
      </c>
      <c r="M842" s="16" t="s">
        <v>1090</v>
      </c>
      <c r="N842" s="14"/>
      <c r="O842" s="14" t="s">
        <v>1289</v>
      </c>
      <c r="P842" s="14">
        <v>130</v>
      </c>
      <c r="Q842" s="14">
        <v>2</v>
      </c>
      <c r="R842" s="14">
        <v>4000</v>
      </c>
      <c r="S842" s="14" t="s">
        <v>6274</v>
      </c>
      <c r="T842" s="14" t="s">
        <v>6275</v>
      </c>
      <c r="U842" s="14">
        <v>0.68777777777777704</v>
      </c>
      <c r="V842" s="14">
        <v>1.02138888888888</v>
      </c>
      <c r="W842" s="14">
        <v>595</v>
      </c>
      <c r="X842" s="14">
        <v>80</v>
      </c>
      <c r="Y842" s="14">
        <v>515</v>
      </c>
      <c r="Z842" s="14">
        <v>1805</v>
      </c>
      <c r="AA842" s="14">
        <v>267</v>
      </c>
      <c r="AB842" s="14">
        <v>265</v>
      </c>
      <c r="AC842" s="14">
        <v>1229</v>
      </c>
      <c r="AD842" s="14">
        <v>44</v>
      </c>
      <c r="AE842" s="14">
        <v>2400</v>
      </c>
      <c r="AF842" s="14">
        <v>5000</v>
      </c>
      <c r="AG842" s="14">
        <v>1880</v>
      </c>
      <c r="AH842" s="14">
        <v>0</v>
      </c>
      <c r="AI842" s="14">
        <v>40</v>
      </c>
      <c r="AJ842" s="14">
        <v>194</v>
      </c>
      <c r="AK842" s="14" t="s">
        <v>6273</v>
      </c>
      <c r="AL842" s="14" t="s">
        <v>6276</v>
      </c>
      <c r="AM842" s="14">
        <v>162.11000000000001</v>
      </c>
      <c r="AN842" s="14">
        <v>142.63999999999999</v>
      </c>
      <c r="AO842" s="14">
        <v>54.99</v>
      </c>
      <c r="AP842" s="14">
        <v>19725</v>
      </c>
      <c r="AQ842" s="14">
        <v>19645</v>
      </c>
      <c r="AR842" s="14">
        <v>23000</v>
      </c>
      <c r="AS842" s="14">
        <v>17325</v>
      </c>
      <c r="AT842" s="14">
        <v>19130</v>
      </c>
      <c r="AU842" s="14">
        <v>1</v>
      </c>
      <c r="AV842" s="14">
        <v>252.97</v>
      </c>
      <c r="AW842" s="14">
        <v>34.47</v>
      </c>
      <c r="AX842" s="14">
        <v>2.78</v>
      </c>
      <c r="AY842" s="14" t="b">
        <v>0</v>
      </c>
    </row>
    <row r="843" spans="1:51" hidden="1" x14ac:dyDescent="0.3">
      <c r="A843" t="str">
        <f>CONCATENATE(I843,E843,LEFT(G843,10))</f>
        <v>HFA808LCLK2026-01-31</v>
      </c>
      <c r="B843" s="14" t="s">
        <v>2378</v>
      </c>
      <c r="C843" s="14" t="s">
        <v>336</v>
      </c>
      <c r="D843" s="14" t="s">
        <v>337</v>
      </c>
      <c r="E843" s="14" t="s">
        <v>87</v>
      </c>
      <c r="F843" s="14" t="s">
        <v>43</v>
      </c>
      <c r="G843" s="14" t="s">
        <v>2379</v>
      </c>
      <c r="H843" s="14" t="s">
        <v>371</v>
      </c>
      <c r="I843" s="14" t="s">
        <v>119</v>
      </c>
      <c r="J843" s="14" t="s">
        <v>83</v>
      </c>
      <c r="K843" s="14" t="s">
        <v>340</v>
      </c>
      <c r="L843" s="14" t="s">
        <v>341</v>
      </c>
      <c r="M843" s="16" t="s">
        <v>1090</v>
      </c>
      <c r="N843" s="14"/>
      <c r="O843" s="14" t="s">
        <v>410</v>
      </c>
      <c r="P843" s="14">
        <v>130</v>
      </c>
      <c r="Q843" s="14">
        <v>2</v>
      </c>
      <c r="R843" s="14">
        <v>7000</v>
      </c>
      <c r="S843" s="14" t="s">
        <v>2380</v>
      </c>
      <c r="T843" s="14" t="s">
        <v>2381</v>
      </c>
      <c r="U843" s="14">
        <v>0.69583333333333297</v>
      </c>
      <c r="V843" s="14">
        <v>0.98416666666666597</v>
      </c>
      <c r="W843" s="14">
        <v>611</v>
      </c>
      <c r="X843" s="14">
        <v>80</v>
      </c>
      <c r="Y843" s="14">
        <v>531</v>
      </c>
      <c r="Z843" s="14">
        <v>1589</v>
      </c>
      <c r="AA843" s="14">
        <v>272</v>
      </c>
      <c r="AB843" s="14">
        <v>293</v>
      </c>
      <c r="AC843" s="14">
        <v>974</v>
      </c>
      <c r="AD843" s="14">
        <v>49</v>
      </c>
      <c r="AE843" s="14">
        <v>2200</v>
      </c>
      <c r="AF843" s="14">
        <v>5000</v>
      </c>
      <c r="AG843" s="14">
        <v>1932</v>
      </c>
      <c r="AH843" s="14">
        <v>0</v>
      </c>
      <c r="AI843" s="14">
        <v>41</v>
      </c>
      <c r="AJ843" s="14">
        <v>171</v>
      </c>
      <c r="AK843" s="14" t="s">
        <v>2379</v>
      </c>
      <c r="AL843" s="14" t="s">
        <v>2382</v>
      </c>
      <c r="AM843" s="14">
        <v>162.11000000000001</v>
      </c>
      <c r="AN843" s="14">
        <v>142.63999999999999</v>
      </c>
      <c r="AO843" s="14">
        <v>54.99</v>
      </c>
      <c r="AP843" s="14">
        <v>22700</v>
      </c>
      <c r="AQ843" s="14">
        <v>22620</v>
      </c>
      <c r="AR843" s="14">
        <v>23000</v>
      </c>
      <c r="AS843" s="14">
        <v>20500</v>
      </c>
      <c r="AT843" s="14">
        <v>22089</v>
      </c>
      <c r="AU843" s="14">
        <v>5</v>
      </c>
      <c r="AV843" s="14">
        <v>255.85</v>
      </c>
      <c r="AW843" s="14">
        <v>40.369999999999997</v>
      </c>
      <c r="AX843" s="14">
        <v>3.87</v>
      </c>
      <c r="AY843" s="14" t="b">
        <v>0</v>
      </c>
    </row>
    <row r="844" spans="1:51" hidden="1" x14ac:dyDescent="0.3">
      <c r="A844" t="str">
        <f>CONCATENATE(I844,E844,LEFT(G844,10))</f>
        <v>HFA808LCLK2026-02-01</v>
      </c>
      <c r="B844" s="14" t="s">
        <v>1977</v>
      </c>
      <c r="C844" s="14" t="s">
        <v>336</v>
      </c>
      <c r="D844" s="14" t="s">
        <v>337</v>
      </c>
      <c r="E844" s="14" t="s">
        <v>87</v>
      </c>
      <c r="F844" s="14" t="s">
        <v>43</v>
      </c>
      <c r="G844" s="14" t="s">
        <v>1978</v>
      </c>
      <c r="H844" s="14" t="s">
        <v>393</v>
      </c>
      <c r="I844" s="14" t="s">
        <v>119</v>
      </c>
      <c r="J844" s="14" t="s">
        <v>83</v>
      </c>
      <c r="K844" s="14" t="s">
        <v>340</v>
      </c>
      <c r="L844" s="14" t="s">
        <v>341</v>
      </c>
      <c r="M844" s="16" t="s">
        <v>1979</v>
      </c>
      <c r="N844" s="14"/>
      <c r="O844" s="14" t="s">
        <v>410</v>
      </c>
      <c r="P844" s="14">
        <v>130</v>
      </c>
      <c r="Q844" s="14">
        <v>2</v>
      </c>
      <c r="R844" s="14">
        <v>6800</v>
      </c>
      <c r="S844" s="14" t="s">
        <v>1980</v>
      </c>
      <c r="T844" s="14" t="s">
        <v>1981</v>
      </c>
      <c r="U844" s="14">
        <v>0.75944444444444403</v>
      </c>
      <c r="V844" s="14">
        <v>1.0447222222222201</v>
      </c>
      <c r="W844" s="14">
        <v>697</v>
      </c>
      <c r="X844" s="14">
        <v>80</v>
      </c>
      <c r="Y844" s="14">
        <v>617</v>
      </c>
      <c r="Z844" s="14">
        <v>1803</v>
      </c>
      <c r="AA844" s="14">
        <v>281</v>
      </c>
      <c r="AB844" s="14">
        <v>292</v>
      </c>
      <c r="AC844" s="14">
        <v>1182</v>
      </c>
      <c r="AD844" s="14">
        <v>49</v>
      </c>
      <c r="AE844" s="14">
        <v>2500</v>
      </c>
      <c r="AF844" s="14">
        <v>5000</v>
      </c>
      <c r="AG844" s="14">
        <v>2201</v>
      </c>
      <c r="AH844" s="14">
        <v>0</v>
      </c>
      <c r="AI844" s="14">
        <v>44</v>
      </c>
      <c r="AJ844" s="14">
        <v>187</v>
      </c>
      <c r="AK844" s="14" t="s">
        <v>1978</v>
      </c>
      <c r="AL844" s="14" t="s">
        <v>1982</v>
      </c>
      <c r="AM844" s="14">
        <v>162.11000000000001</v>
      </c>
      <c r="AN844" s="14">
        <v>142.63999999999999</v>
      </c>
      <c r="AO844" s="14">
        <v>54.99</v>
      </c>
      <c r="AP844" s="14">
        <v>22611</v>
      </c>
      <c r="AQ844" s="14">
        <v>22531</v>
      </c>
      <c r="AR844" s="14">
        <v>23000</v>
      </c>
      <c r="AS844" s="14">
        <v>20111</v>
      </c>
      <c r="AT844" s="14">
        <v>21914</v>
      </c>
      <c r="AU844" s="14">
        <v>-10</v>
      </c>
      <c r="AV844" s="14">
        <v>222.21</v>
      </c>
      <c r="AW844" s="14">
        <v>31.96</v>
      </c>
      <c r="AX844" s="14">
        <v>5.5</v>
      </c>
      <c r="AY844" s="14" t="b">
        <v>0</v>
      </c>
    </row>
    <row r="845" spans="1:51" hidden="1" x14ac:dyDescent="0.3">
      <c r="A845" t="str">
        <f>CONCATENATE(I845,E845,LEFT(G845,10))</f>
        <v>HFA808LCLK2026-02-02</v>
      </c>
      <c r="B845" s="14" t="s">
        <v>821</v>
      </c>
      <c r="C845" s="14" t="s">
        <v>336</v>
      </c>
      <c r="D845" s="14" t="s">
        <v>337</v>
      </c>
      <c r="E845" s="14" t="s">
        <v>87</v>
      </c>
      <c r="F845" s="14" t="s">
        <v>43</v>
      </c>
      <c r="G845" s="14" t="s">
        <v>822</v>
      </c>
      <c r="H845" s="14" t="s">
        <v>339</v>
      </c>
      <c r="I845" s="14" t="s">
        <v>119</v>
      </c>
      <c r="J845" s="14" t="s">
        <v>83</v>
      </c>
      <c r="K845" s="14" t="s">
        <v>340</v>
      </c>
      <c r="L845" s="14" t="s">
        <v>341</v>
      </c>
      <c r="M845" s="16" t="s">
        <v>543</v>
      </c>
      <c r="N845" s="14"/>
      <c r="O845" s="14" t="s">
        <v>823</v>
      </c>
      <c r="P845" s="14">
        <v>130</v>
      </c>
      <c r="Q845" s="14">
        <v>2</v>
      </c>
      <c r="R845" s="14">
        <v>0</v>
      </c>
      <c r="S845" s="14" t="s">
        <v>824</v>
      </c>
      <c r="T845" s="14" t="s">
        <v>825</v>
      </c>
      <c r="U845" s="14">
        <v>0.72138888888888797</v>
      </c>
      <c r="V845" s="14">
        <v>0.92666666666666597</v>
      </c>
      <c r="W845" s="14">
        <v>599</v>
      </c>
      <c r="X845" s="14">
        <v>80</v>
      </c>
      <c r="Y845" s="14">
        <v>519</v>
      </c>
      <c r="Z845" s="14">
        <v>1901</v>
      </c>
      <c r="AA845" s="14">
        <v>264</v>
      </c>
      <c r="AB845" s="14">
        <v>277</v>
      </c>
      <c r="AC845" s="14">
        <v>1314</v>
      </c>
      <c r="AD845" s="14">
        <v>46</v>
      </c>
      <c r="AE845" s="14">
        <v>2500</v>
      </c>
      <c r="AF845" s="14">
        <v>5000</v>
      </c>
      <c r="AG845" s="14">
        <v>1893</v>
      </c>
      <c r="AH845" s="14">
        <v>0</v>
      </c>
      <c r="AI845" s="14">
        <v>41</v>
      </c>
      <c r="AJ845" s="14">
        <v>200</v>
      </c>
      <c r="AK845" s="14" t="s">
        <v>822</v>
      </c>
      <c r="AL845" s="14" t="s">
        <v>826</v>
      </c>
      <c r="AM845" s="14">
        <v>162.11000000000001</v>
      </c>
      <c r="AN845" s="14">
        <v>142.63999999999999</v>
      </c>
      <c r="AO845" s="14">
        <v>54.99</v>
      </c>
      <c r="AP845" s="14">
        <v>21034</v>
      </c>
      <c r="AQ845" s="14">
        <v>20954</v>
      </c>
      <c r="AR845" s="14">
        <v>23000</v>
      </c>
      <c r="AS845" s="14">
        <v>18534</v>
      </c>
      <c r="AT845" s="14">
        <v>20435</v>
      </c>
      <c r="AU845" s="14">
        <v>3</v>
      </c>
      <c r="AV845" s="14">
        <v>249.02</v>
      </c>
      <c r="AW845" s="14">
        <v>43.5</v>
      </c>
      <c r="AX845" s="14">
        <v>1.93</v>
      </c>
      <c r="AY845" s="14" t="b">
        <v>0</v>
      </c>
    </row>
    <row r="846" spans="1:51" hidden="1" x14ac:dyDescent="0.3">
      <c r="A846" t="str">
        <f>CONCATENATE(I846,E846,LEFT(G846,10))</f>
        <v>HFA808LCLK2026-02-03</v>
      </c>
      <c r="B846" s="14" t="s">
        <v>2415</v>
      </c>
      <c r="C846" s="14" t="s">
        <v>336</v>
      </c>
      <c r="D846" s="14" t="s">
        <v>337</v>
      </c>
      <c r="E846" s="14" t="s">
        <v>87</v>
      </c>
      <c r="F846" s="14" t="s">
        <v>43</v>
      </c>
      <c r="G846" s="14" t="s">
        <v>2416</v>
      </c>
      <c r="H846" s="14" t="s">
        <v>371</v>
      </c>
      <c r="I846" s="14" t="s">
        <v>119</v>
      </c>
      <c r="J846" s="14" t="s">
        <v>83</v>
      </c>
      <c r="K846" s="14" t="s">
        <v>340</v>
      </c>
      <c r="L846" s="14" t="s">
        <v>341</v>
      </c>
      <c r="M846" s="16" t="s">
        <v>2417</v>
      </c>
      <c r="N846" s="14"/>
      <c r="O846" s="14" t="s">
        <v>410</v>
      </c>
      <c r="P846" s="14">
        <v>130</v>
      </c>
      <c r="Q846" s="14">
        <v>2</v>
      </c>
      <c r="R846" s="14">
        <v>2000</v>
      </c>
      <c r="S846" s="14" t="s">
        <v>2418</v>
      </c>
      <c r="T846" s="14" t="s">
        <v>2419</v>
      </c>
      <c r="U846" s="14">
        <v>0.613611111111111</v>
      </c>
      <c r="V846" s="14">
        <v>0.89944444444444405</v>
      </c>
      <c r="W846" s="14">
        <v>542</v>
      </c>
      <c r="X846" s="14">
        <v>80</v>
      </c>
      <c r="Y846" s="14">
        <v>462</v>
      </c>
      <c r="Z846" s="14">
        <v>1458</v>
      </c>
      <c r="AA846" s="14">
        <v>247</v>
      </c>
      <c r="AB846" s="14">
        <v>248</v>
      </c>
      <c r="AC846" s="14">
        <v>922</v>
      </c>
      <c r="AD846" s="14">
        <v>41</v>
      </c>
      <c r="AE846" s="14">
        <v>2000</v>
      </c>
      <c r="AF846" s="14">
        <v>5000</v>
      </c>
      <c r="AG846" s="14">
        <v>1713</v>
      </c>
      <c r="AH846" s="14">
        <v>0</v>
      </c>
      <c r="AI846" s="14">
        <v>36</v>
      </c>
      <c r="AJ846" s="14">
        <v>160</v>
      </c>
      <c r="AK846" s="14" t="s">
        <v>2416</v>
      </c>
      <c r="AL846" s="14" t="s">
        <v>2420</v>
      </c>
      <c r="AM846" s="14">
        <v>162.11000000000001</v>
      </c>
      <c r="AN846" s="14">
        <v>142.63999999999999</v>
      </c>
      <c r="AO846" s="14">
        <v>54.99</v>
      </c>
      <c r="AP846" s="14">
        <v>17500</v>
      </c>
      <c r="AQ846" s="14">
        <v>17420</v>
      </c>
      <c r="AR846" s="14">
        <v>23000</v>
      </c>
      <c r="AS846" s="14">
        <v>15500</v>
      </c>
      <c r="AT846" s="14">
        <v>16958</v>
      </c>
      <c r="AU846" s="14">
        <v>32</v>
      </c>
      <c r="AV846" s="14">
        <v>316.95</v>
      </c>
      <c r="AW846" s="14">
        <v>43.89</v>
      </c>
      <c r="AX846" s="14">
        <v>2.99</v>
      </c>
      <c r="AY846" s="14" t="b">
        <v>0</v>
      </c>
    </row>
    <row r="847" spans="1:51" hidden="1" x14ac:dyDescent="0.3">
      <c r="A847" t="str">
        <f>CONCATENATE(I847,E847,LEFT(G847,10))</f>
        <v>HFA808LCLK2026-02-04</v>
      </c>
      <c r="B847" s="14" t="s">
        <v>5814</v>
      </c>
      <c r="C847" s="14" t="s">
        <v>336</v>
      </c>
      <c r="D847" s="14" t="s">
        <v>337</v>
      </c>
      <c r="E847" s="14" t="s">
        <v>87</v>
      </c>
      <c r="F847" s="14" t="s">
        <v>43</v>
      </c>
      <c r="G847" s="14" t="s">
        <v>5815</v>
      </c>
      <c r="H847" s="14" t="s">
        <v>371</v>
      </c>
      <c r="I847" s="14" t="s">
        <v>119</v>
      </c>
      <c r="J847" s="14" t="s">
        <v>83</v>
      </c>
      <c r="K847" s="14" t="s">
        <v>340</v>
      </c>
      <c r="L847" s="14" t="s">
        <v>341</v>
      </c>
      <c r="M847" s="16" t="s">
        <v>731</v>
      </c>
      <c r="N847" s="14"/>
      <c r="O847" s="14" t="s">
        <v>4656</v>
      </c>
      <c r="P847" s="14">
        <v>130</v>
      </c>
      <c r="Q847" s="14">
        <v>2</v>
      </c>
      <c r="R847" s="14">
        <v>1800</v>
      </c>
      <c r="S847" s="14" t="s">
        <v>5816</v>
      </c>
      <c r="T847" s="14" t="s">
        <v>5817</v>
      </c>
      <c r="U847" s="14">
        <v>0.68444444444444397</v>
      </c>
      <c r="V847" s="14">
        <v>0.95638888888888796</v>
      </c>
      <c r="W847" s="14">
        <v>589</v>
      </c>
      <c r="X847" s="14">
        <v>80</v>
      </c>
      <c r="Y847" s="14">
        <v>509</v>
      </c>
      <c r="Z847" s="14">
        <v>1411</v>
      </c>
      <c r="AA847" s="14">
        <v>250</v>
      </c>
      <c r="AB847" s="14">
        <v>246</v>
      </c>
      <c r="AC847" s="14">
        <v>875</v>
      </c>
      <c r="AD847" s="14">
        <v>41</v>
      </c>
      <c r="AE847" s="14">
        <v>2000</v>
      </c>
      <c r="AF847" s="14">
        <v>5000</v>
      </c>
      <c r="AG847" s="14">
        <v>1860</v>
      </c>
      <c r="AH847" s="14">
        <v>0</v>
      </c>
      <c r="AI847" s="14">
        <v>40</v>
      </c>
      <c r="AJ847" s="14">
        <v>161</v>
      </c>
      <c r="AK847" s="14" t="s">
        <v>5815</v>
      </c>
      <c r="AL847" s="14" t="s">
        <v>5818</v>
      </c>
      <c r="AM847" s="14">
        <v>162.11000000000001</v>
      </c>
      <c r="AN847" s="14">
        <v>142.63999999999999</v>
      </c>
      <c r="AO847" s="14">
        <v>54.99</v>
      </c>
      <c r="AP847" s="14">
        <v>17300</v>
      </c>
      <c r="AQ847" s="14">
        <v>17220</v>
      </c>
      <c r="AR847" s="14">
        <v>23000</v>
      </c>
      <c r="AS847" s="14">
        <v>15300</v>
      </c>
      <c r="AT847" s="14">
        <v>16711</v>
      </c>
      <c r="AU847" s="14">
        <v>1</v>
      </c>
      <c r="AV847" s="14">
        <v>250.98</v>
      </c>
      <c r="AW847" s="14">
        <v>12.58</v>
      </c>
      <c r="AX847" s="14">
        <v>5.04</v>
      </c>
      <c r="AY847" s="14" t="b">
        <v>0</v>
      </c>
    </row>
    <row r="848" spans="1:51" hidden="1" x14ac:dyDescent="0.3">
      <c r="A848" t="str">
        <f>CONCATENATE(I848,E848,LEFT(G848,10))</f>
        <v>HFA808LCLK2026-02-05</v>
      </c>
      <c r="B848" s="14" t="s">
        <v>4621</v>
      </c>
      <c r="C848" s="14" t="s">
        <v>336</v>
      </c>
      <c r="D848" s="14" t="s">
        <v>337</v>
      </c>
      <c r="E848" s="14" t="s">
        <v>87</v>
      </c>
      <c r="F848" s="14" t="s">
        <v>43</v>
      </c>
      <c r="G848" s="14" t="s">
        <v>4622</v>
      </c>
      <c r="H848" s="14" t="s">
        <v>339</v>
      </c>
      <c r="I848" s="14" t="s">
        <v>119</v>
      </c>
      <c r="J848" s="14" t="s">
        <v>83</v>
      </c>
      <c r="K848" s="14" t="s">
        <v>340</v>
      </c>
      <c r="L848" s="14" t="s">
        <v>341</v>
      </c>
      <c r="M848" s="16" t="s">
        <v>4623</v>
      </c>
      <c r="N848" s="14"/>
      <c r="O848" s="14" t="s">
        <v>627</v>
      </c>
      <c r="P848" s="14">
        <v>130</v>
      </c>
      <c r="Q848" s="14">
        <v>2</v>
      </c>
      <c r="R848" s="14">
        <v>4900</v>
      </c>
      <c r="S848" s="14" t="s">
        <v>4624</v>
      </c>
      <c r="T848" s="14" t="s">
        <v>4625</v>
      </c>
      <c r="U848" s="14">
        <v>0.70611111111111102</v>
      </c>
      <c r="V848" s="14">
        <v>0.89722222222222203</v>
      </c>
      <c r="W848" s="14">
        <v>606</v>
      </c>
      <c r="X848" s="14">
        <v>80</v>
      </c>
      <c r="Y848" s="14">
        <v>526</v>
      </c>
      <c r="Z848" s="14">
        <v>1694</v>
      </c>
      <c r="AA848" s="14">
        <v>262</v>
      </c>
      <c r="AB848" s="14">
        <v>272</v>
      </c>
      <c r="AC848" s="14">
        <v>1115</v>
      </c>
      <c r="AD848" s="14">
        <v>45</v>
      </c>
      <c r="AE848" s="14">
        <v>2300</v>
      </c>
      <c r="AF848" s="14">
        <v>5000</v>
      </c>
      <c r="AG848" s="14">
        <v>1914</v>
      </c>
      <c r="AH848" s="14">
        <v>0</v>
      </c>
      <c r="AI848" s="14">
        <v>41</v>
      </c>
      <c r="AJ848" s="14">
        <v>186</v>
      </c>
      <c r="AK848" s="14" t="s">
        <v>4622</v>
      </c>
      <c r="AL848" s="14" t="s">
        <v>4626</v>
      </c>
      <c r="AM848" s="14">
        <v>162.11000000000001</v>
      </c>
      <c r="AN848" s="14">
        <v>142.63999999999999</v>
      </c>
      <c r="AO848" s="14">
        <v>54.99</v>
      </c>
      <c r="AP848" s="14">
        <v>20525</v>
      </c>
      <c r="AQ848" s="14">
        <v>20445</v>
      </c>
      <c r="AR848" s="14">
        <v>23000</v>
      </c>
      <c r="AS848" s="14">
        <v>18225</v>
      </c>
      <c r="AT848" s="14">
        <v>19919</v>
      </c>
      <c r="AU848" s="14">
        <v>-4</v>
      </c>
      <c r="AV848" s="14">
        <v>236.03</v>
      </c>
      <c r="AW848" s="14">
        <v>24.52</v>
      </c>
      <c r="AX848" s="14">
        <v>4.42</v>
      </c>
      <c r="AY848" s="14" t="b">
        <v>0</v>
      </c>
    </row>
    <row r="849" spans="1:51" hidden="1" x14ac:dyDescent="0.3">
      <c r="A849" t="str">
        <f>CONCATENATE(I849,E849,LEFT(G849,10))</f>
        <v>HFA808LCLK2026-02-07</v>
      </c>
      <c r="B849" s="14" t="s">
        <v>4896</v>
      </c>
      <c r="C849" s="14" t="s">
        <v>336</v>
      </c>
      <c r="D849" s="14" t="s">
        <v>337</v>
      </c>
      <c r="E849" s="14" t="s">
        <v>87</v>
      </c>
      <c r="F849" s="14" t="s">
        <v>43</v>
      </c>
      <c r="G849" s="14" t="s">
        <v>4897</v>
      </c>
      <c r="H849" s="14" t="s">
        <v>371</v>
      </c>
      <c r="I849" s="14" t="s">
        <v>119</v>
      </c>
      <c r="J849" s="14" t="s">
        <v>83</v>
      </c>
      <c r="K849" s="14" t="s">
        <v>340</v>
      </c>
      <c r="L849" s="14" t="s">
        <v>341</v>
      </c>
      <c r="M849" s="16" t="s">
        <v>1090</v>
      </c>
      <c r="N849" s="14"/>
      <c r="O849" s="14" t="s">
        <v>410</v>
      </c>
      <c r="P849" s="14">
        <v>130</v>
      </c>
      <c r="Q849" s="14">
        <v>2</v>
      </c>
      <c r="R849" s="14">
        <v>6900</v>
      </c>
      <c r="S849" s="14" t="s">
        <v>4898</v>
      </c>
      <c r="T849" s="14" t="s">
        <v>4899</v>
      </c>
      <c r="U849" s="14">
        <v>0.63027777777777705</v>
      </c>
      <c r="V849" s="14">
        <v>0.89861111111111103</v>
      </c>
      <c r="W849" s="14">
        <v>568</v>
      </c>
      <c r="X849" s="14">
        <v>80</v>
      </c>
      <c r="Y849" s="14">
        <v>488</v>
      </c>
      <c r="Z849" s="14">
        <v>1532</v>
      </c>
      <c r="AA849" s="14">
        <v>266</v>
      </c>
      <c r="AB849" s="14">
        <v>292</v>
      </c>
      <c r="AC849" s="14">
        <v>926</v>
      </c>
      <c r="AD849" s="14">
        <v>49</v>
      </c>
      <c r="AE849" s="14">
        <v>2100</v>
      </c>
      <c r="AF849" s="14">
        <v>5000</v>
      </c>
      <c r="AG849" s="14">
        <v>1794</v>
      </c>
      <c r="AH849" s="14">
        <v>0</v>
      </c>
      <c r="AI849" s="14">
        <v>38</v>
      </c>
      <c r="AJ849" s="14">
        <v>165</v>
      </c>
      <c r="AK849" s="14" t="s">
        <v>4897</v>
      </c>
      <c r="AL849" s="14" t="s">
        <v>4900</v>
      </c>
      <c r="AM849" s="14">
        <v>162.11000000000001</v>
      </c>
      <c r="AN849" s="14">
        <v>142.63999999999999</v>
      </c>
      <c r="AO849" s="14">
        <v>54.99</v>
      </c>
      <c r="AP849" s="14">
        <v>22500</v>
      </c>
      <c r="AQ849" s="14">
        <v>22420</v>
      </c>
      <c r="AR849" s="14">
        <v>23000</v>
      </c>
      <c r="AS849" s="14">
        <v>20400</v>
      </c>
      <c r="AT849" s="14">
        <v>21932</v>
      </c>
      <c r="AU849" s="14">
        <v>27</v>
      </c>
      <c r="AV849" s="14">
        <v>285.92</v>
      </c>
      <c r="AW849" s="14">
        <v>52.48</v>
      </c>
      <c r="AX849" s="14">
        <v>6.14</v>
      </c>
      <c r="AY849" s="14" t="b">
        <v>0</v>
      </c>
    </row>
    <row r="850" spans="1:51" hidden="1" x14ac:dyDescent="0.3">
      <c r="A850" t="str">
        <f>CONCATENATE(I850,E850,LEFT(G850,10))</f>
        <v>HFA808LCLK2026-02-08</v>
      </c>
      <c r="B850" s="14" t="s">
        <v>335</v>
      </c>
      <c r="C850" s="14" t="s">
        <v>336</v>
      </c>
      <c r="D850" s="14" t="s">
        <v>337</v>
      </c>
      <c r="E850" s="14" t="s">
        <v>87</v>
      </c>
      <c r="F850" s="14" t="s">
        <v>43</v>
      </c>
      <c r="G850" s="14" t="s">
        <v>338</v>
      </c>
      <c r="H850" s="14" t="s">
        <v>339</v>
      </c>
      <c r="I850" s="14" t="s">
        <v>119</v>
      </c>
      <c r="J850" s="14" t="s">
        <v>83</v>
      </c>
      <c r="K850" s="14" t="s">
        <v>340</v>
      </c>
      <c r="L850" s="14" t="s">
        <v>341</v>
      </c>
      <c r="M850" s="16" t="s">
        <v>342</v>
      </c>
      <c r="N850" s="14"/>
      <c r="O850" s="14" t="s">
        <v>343</v>
      </c>
      <c r="P850" s="14">
        <v>130</v>
      </c>
      <c r="Q850" s="14">
        <v>2</v>
      </c>
      <c r="R850" s="14">
        <v>5000</v>
      </c>
      <c r="S850" s="14" t="s">
        <v>344</v>
      </c>
      <c r="T850" s="14" t="s">
        <v>345</v>
      </c>
      <c r="U850" s="14">
        <v>0.67833333333333301</v>
      </c>
      <c r="V850" s="14">
        <v>0.91749999999999998</v>
      </c>
      <c r="W850" s="14">
        <v>564</v>
      </c>
      <c r="X850" s="14">
        <v>80</v>
      </c>
      <c r="Y850" s="14">
        <v>484</v>
      </c>
      <c r="Z850" s="14">
        <v>1936</v>
      </c>
      <c r="AA850" s="14">
        <v>262</v>
      </c>
      <c r="AB850" s="14">
        <v>275</v>
      </c>
      <c r="AC850" s="14">
        <v>1352</v>
      </c>
      <c r="AD850" s="14">
        <v>46</v>
      </c>
      <c r="AE850" s="14">
        <v>2500</v>
      </c>
      <c r="AF850" s="14">
        <v>5000</v>
      </c>
      <c r="AG850" s="14">
        <v>1783</v>
      </c>
      <c r="AH850" s="14">
        <v>0</v>
      </c>
      <c r="AI850" s="14">
        <v>39</v>
      </c>
      <c r="AJ850" s="14">
        <v>205</v>
      </c>
      <c r="AK850" s="14" t="s">
        <v>338</v>
      </c>
      <c r="AL850" s="14" t="s">
        <v>346</v>
      </c>
      <c r="AM850" s="14">
        <v>162.11000000000001</v>
      </c>
      <c r="AN850" s="14">
        <v>142.63999999999999</v>
      </c>
      <c r="AO850" s="14">
        <v>54.99</v>
      </c>
      <c r="AP850" s="14">
        <v>20825</v>
      </c>
      <c r="AQ850" s="14">
        <v>20745</v>
      </c>
      <c r="AR850" s="14">
        <v>23000</v>
      </c>
      <c r="AS850" s="14">
        <v>18325</v>
      </c>
      <c r="AT850" s="14">
        <v>20261</v>
      </c>
      <c r="AU850" s="14">
        <v>17</v>
      </c>
      <c r="AV850" s="14">
        <v>271.29000000000002</v>
      </c>
      <c r="AW850" s="14">
        <v>47.7</v>
      </c>
      <c r="AX850" s="14">
        <v>7.32</v>
      </c>
      <c r="AY850" s="14" t="b">
        <v>0</v>
      </c>
    </row>
    <row r="851" spans="1:51" hidden="1" x14ac:dyDescent="0.3">
      <c r="A851" t="str">
        <f>CONCATENATE(I851,E851,LEFT(G851,10))</f>
        <v>HFA808LCLK2026-02-09</v>
      </c>
      <c r="B851" s="14" t="s">
        <v>1210</v>
      </c>
      <c r="C851" s="14" t="s">
        <v>336</v>
      </c>
      <c r="D851" s="14" t="s">
        <v>337</v>
      </c>
      <c r="E851" s="14" t="s">
        <v>87</v>
      </c>
      <c r="F851" s="14" t="s">
        <v>43</v>
      </c>
      <c r="G851" s="14" t="s">
        <v>1211</v>
      </c>
      <c r="H851" s="14" t="s">
        <v>339</v>
      </c>
      <c r="I851" s="14" t="s">
        <v>119</v>
      </c>
      <c r="J851" s="14" t="s">
        <v>83</v>
      </c>
      <c r="K851" s="14" t="s">
        <v>340</v>
      </c>
      <c r="L851" s="14" t="s">
        <v>341</v>
      </c>
      <c r="M851" s="16" t="s">
        <v>1212</v>
      </c>
      <c r="N851" s="14"/>
      <c r="O851" s="14" t="s">
        <v>837</v>
      </c>
      <c r="P851" s="14">
        <v>130</v>
      </c>
      <c r="Q851" s="14">
        <v>2</v>
      </c>
      <c r="R851" s="14">
        <v>6600</v>
      </c>
      <c r="S851" s="14" t="s">
        <v>1213</v>
      </c>
      <c r="T851" s="14" t="s">
        <v>1214</v>
      </c>
      <c r="U851" s="14">
        <v>0.68027777777777698</v>
      </c>
      <c r="V851" s="14">
        <v>1.02277777777777</v>
      </c>
      <c r="W851" s="14">
        <v>595</v>
      </c>
      <c r="X851" s="14">
        <v>80</v>
      </c>
      <c r="Y851" s="14">
        <v>515</v>
      </c>
      <c r="Z851" s="14">
        <v>1805</v>
      </c>
      <c r="AA851" s="14">
        <v>268</v>
      </c>
      <c r="AB851" s="14">
        <v>290</v>
      </c>
      <c r="AC851" s="14">
        <v>1198</v>
      </c>
      <c r="AD851" s="14">
        <v>48</v>
      </c>
      <c r="AE851" s="14">
        <v>2400</v>
      </c>
      <c r="AF851" s="14">
        <v>5000</v>
      </c>
      <c r="AG851" s="14">
        <v>1882</v>
      </c>
      <c r="AH851" s="14">
        <v>0</v>
      </c>
      <c r="AI851" s="14">
        <v>41</v>
      </c>
      <c r="AJ851" s="14">
        <v>195</v>
      </c>
      <c r="AK851" s="14" t="s">
        <v>1211</v>
      </c>
      <c r="AL851" s="14" t="s">
        <v>1215</v>
      </c>
      <c r="AM851" s="14">
        <v>162.11000000000001</v>
      </c>
      <c r="AN851" s="14">
        <v>142.63999999999999</v>
      </c>
      <c r="AO851" s="14">
        <v>54.99</v>
      </c>
      <c r="AP851" s="14">
        <v>22325</v>
      </c>
      <c r="AQ851" s="14">
        <v>22245</v>
      </c>
      <c r="AR851" s="14">
        <v>23000</v>
      </c>
      <c r="AS851" s="14">
        <v>19925</v>
      </c>
      <c r="AT851" s="14">
        <v>21730</v>
      </c>
      <c r="AU851" s="14">
        <v>5</v>
      </c>
      <c r="AV851" s="14">
        <v>253.19</v>
      </c>
      <c r="AW851" s="14">
        <v>37.07</v>
      </c>
      <c r="AX851" s="14">
        <v>6.76</v>
      </c>
      <c r="AY851" s="14" t="b">
        <v>0</v>
      </c>
    </row>
    <row r="852" spans="1:51" hidden="1" x14ac:dyDescent="0.3">
      <c r="A852" t="str">
        <f>CONCATENATE(I852,E852,LEFT(G852,10))</f>
        <v>HFA808LCLK2026-02-10</v>
      </c>
      <c r="B852" s="14" t="s">
        <v>4395</v>
      </c>
      <c r="C852" s="14" t="s">
        <v>336</v>
      </c>
      <c r="D852" s="14" t="s">
        <v>337</v>
      </c>
      <c r="E852" s="14" t="s">
        <v>87</v>
      </c>
      <c r="F852" s="14" t="s">
        <v>43</v>
      </c>
      <c r="G852" s="14" t="s">
        <v>4396</v>
      </c>
      <c r="H852" s="14" t="s">
        <v>371</v>
      </c>
      <c r="I852" s="14" t="s">
        <v>119</v>
      </c>
      <c r="J852" s="14" t="s">
        <v>83</v>
      </c>
      <c r="K852" s="14" t="s">
        <v>340</v>
      </c>
      <c r="L852" s="14" t="s">
        <v>341</v>
      </c>
      <c r="M852" s="16" t="s">
        <v>731</v>
      </c>
      <c r="N852" s="14"/>
      <c r="O852" s="14" t="s">
        <v>627</v>
      </c>
      <c r="P852" s="14">
        <v>130</v>
      </c>
      <c r="Q852" s="14">
        <v>2</v>
      </c>
      <c r="R852" s="14">
        <v>3400</v>
      </c>
      <c r="S852" s="14" t="s">
        <v>4397</v>
      </c>
      <c r="T852" s="14" t="s">
        <v>4398</v>
      </c>
      <c r="U852" s="14">
        <v>0.66555555555555501</v>
      </c>
      <c r="V852" s="14">
        <v>0.94138888888888805</v>
      </c>
      <c r="W852" s="14">
        <v>593</v>
      </c>
      <c r="X852" s="14">
        <v>80</v>
      </c>
      <c r="Y852" s="14">
        <v>513</v>
      </c>
      <c r="Z852" s="14">
        <v>1407</v>
      </c>
      <c r="AA852" s="14">
        <v>261</v>
      </c>
      <c r="AB852" s="14">
        <v>258</v>
      </c>
      <c r="AC852" s="14">
        <v>844</v>
      </c>
      <c r="AD852" s="14">
        <v>43</v>
      </c>
      <c r="AE852" s="14">
        <v>2000</v>
      </c>
      <c r="AF852" s="14">
        <v>5000</v>
      </c>
      <c r="AG852" s="14">
        <v>1873</v>
      </c>
      <c r="AH852" s="14">
        <v>0</v>
      </c>
      <c r="AI852" s="14">
        <v>40</v>
      </c>
      <c r="AJ852" s="14">
        <v>158</v>
      </c>
      <c r="AK852" s="14" t="s">
        <v>4396</v>
      </c>
      <c r="AL852" s="14" t="s">
        <v>4399</v>
      </c>
      <c r="AM852" s="14">
        <v>162.11000000000001</v>
      </c>
      <c r="AN852" s="14">
        <v>142.63999999999999</v>
      </c>
      <c r="AO852" s="14">
        <v>54.99</v>
      </c>
      <c r="AP852" s="14">
        <v>18900</v>
      </c>
      <c r="AQ852" s="14">
        <v>18820</v>
      </c>
      <c r="AR852" s="14">
        <v>23000</v>
      </c>
      <c r="AS852" s="14">
        <v>16900</v>
      </c>
      <c r="AT852" s="14">
        <v>18307</v>
      </c>
      <c r="AU852" s="14">
        <v>6</v>
      </c>
      <c r="AV852" s="14">
        <v>254.27</v>
      </c>
      <c r="AW852" s="14">
        <v>42.54</v>
      </c>
      <c r="AX852" s="14">
        <v>2.11</v>
      </c>
      <c r="AY852" s="14" t="b">
        <v>0</v>
      </c>
    </row>
    <row r="853" spans="1:51" hidden="1" x14ac:dyDescent="0.3">
      <c r="A853" t="str">
        <f>CONCATENATE(I853,E853,LEFT(G853,10))</f>
        <v>HFA808LCLK2026-02-11</v>
      </c>
      <c r="B853" s="14" t="s">
        <v>2656</v>
      </c>
      <c r="C853" s="14" t="s">
        <v>336</v>
      </c>
      <c r="D853" s="14" t="s">
        <v>337</v>
      </c>
      <c r="E853" s="14" t="s">
        <v>87</v>
      </c>
      <c r="F853" s="14" t="s">
        <v>43</v>
      </c>
      <c r="G853" s="14" t="s">
        <v>2657</v>
      </c>
      <c r="H853" s="14" t="s">
        <v>371</v>
      </c>
      <c r="I853" s="14" t="s">
        <v>119</v>
      </c>
      <c r="J853" s="14" t="s">
        <v>83</v>
      </c>
      <c r="K853" s="14" t="s">
        <v>340</v>
      </c>
      <c r="L853" s="14" t="s">
        <v>341</v>
      </c>
      <c r="M853" s="16" t="s">
        <v>2658</v>
      </c>
      <c r="N853" s="14"/>
      <c r="O853" s="14" t="s">
        <v>549</v>
      </c>
      <c r="P853" s="14">
        <v>130</v>
      </c>
      <c r="Q853" s="14">
        <v>2</v>
      </c>
      <c r="R853" s="14">
        <v>5400</v>
      </c>
      <c r="S853" s="14" t="s">
        <v>2659</v>
      </c>
      <c r="T853" s="14" t="s">
        <v>2660</v>
      </c>
      <c r="U853" s="14">
        <v>0.70361111111111097</v>
      </c>
      <c r="V853" s="14">
        <v>0.97611111111111104</v>
      </c>
      <c r="W853" s="14">
        <v>600</v>
      </c>
      <c r="X853" s="14">
        <v>80</v>
      </c>
      <c r="Y853" s="14">
        <v>520</v>
      </c>
      <c r="Z853" s="14">
        <v>1600</v>
      </c>
      <c r="AA853" s="14">
        <v>271</v>
      </c>
      <c r="AB853" s="14">
        <v>277</v>
      </c>
      <c r="AC853" s="14">
        <v>1005</v>
      </c>
      <c r="AD853" s="14">
        <v>46</v>
      </c>
      <c r="AE853" s="14">
        <v>2200</v>
      </c>
      <c r="AF853" s="14">
        <v>5000</v>
      </c>
      <c r="AG853" s="14">
        <v>1897</v>
      </c>
      <c r="AH853" s="14">
        <v>0</v>
      </c>
      <c r="AI853" s="14">
        <v>40</v>
      </c>
      <c r="AJ853" s="14">
        <v>170</v>
      </c>
      <c r="AK853" s="14" t="s">
        <v>2657</v>
      </c>
      <c r="AL853" s="14" t="s">
        <v>2661</v>
      </c>
      <c r="AM853" s="14">
        <v>162.11000000000001</v>
      </c>
      <c r="AN853" s="14">
        <v>142.63999999999999</v>
      </c>
      <c r="AO853" s="14">
        <v>54.99</v>
      </c>
      <c r="AP853" s="14">
        <v>21100</v>
      </c>
      <c r="AQ853" s="14">
        <v>21020</v>
      </c>
      <c r="AR853" s="14">
        <v>23000</v>
      </c>
      <c r="AS853" s="14">
        <v>18900</v>
      </c>
      <c r="AT853" s="14">
        <v>20500</v>
      </c>
      <c r="AU853" s="14">
        <v>9</v>
      </c>
      <c r="AV853" s="14">
        <v>262.31</v>
      </c>
      <c r="AW853" s="14">
        <v>31.77</v>
      </c>
      <c r="AX853" s="14">
        <v>0.34</v>
      </c>
      <c r="AY853" s="14" t="b">
        <v>0</v>
      </c>
    </row>
    <row r="854" spans="1:51" hidden="1" x14ac:dyDescent="0.3">
      <c r="A854" t="str">
        <f>CONCATENATE(I854,E854,LEFT(G854,10))</f>
        <v>HFA808LCLK2026-02-12</v>
      </c>
      <c r="B854" s="14" t="s">
        <v>513</v>
      </c>
      <c r="C854" s="14" t="s">
        <v>336</v>
      </c>
      <c r="D854" s="14" t="s">
        <v>337</v>
      </c>
      <c r="E854" s="14" t="s">
        <v>87</v>
      </c>
      <c r="F854" s="14" t="s">
        <v>43</v>
      </c>
      <c r="G854" s="14" t="s">
        <v>514</v>
      </c>
      <c r="H854" s="14" t="s">
        <v>339</v>
      </c>
      <c r="I854" s="14" t="s">
        <v>119</v>
      </c>
      <c r="J854" s="14" t="s">
        <v>83</v>
      </c>
      <c r="K854" s="14" t="s">
        <v>340</v>
      </c>
      <c r="L854" s="14" t="s">
        <v>341</v>
      </c>
      <c r="M854" s="16" t="s">
        <v>515</v>
      </c>
      <c r="N854" s="14"/>
      <c r="O854" s="14" t="s">
        <v>516</v>
      </c>
      <c r="P854" s="14">
        <v>130</v>
      </c>
      <c r="Q854" s="14">
        <v>2</v>
      </c>
      <c r="R854" s="14">
        <v>3700</v>
      </c>
      <c r="S854" s="14" t="s">
        <v>517</v>
      </c>
      <c r="T854" s="14" t="s">
        <v>518</v>
      </c>
      <c r="U854" s="14">
        <v>0.64972222222222198</v>
      </c>
      <c r="V854" s="14">
        <v>0.88194444444444398</v>
      </c>
      <c r="W854" s="14">
        <v>590</v>
      </c>
      <c r="X854" s="14">
        <v>80</v>
      </c>
      <c r="Y854" s="14">
        <v>510</v>
      </c>
      <c r="Z854" s="14">
        <v>1810</v>
      </c>
      <c r="AA854" s="14">
        <v>263</v>
      </c>
      <c r="AB854" s="14">
        <v>263</v>
      </c>
      <c r="AC854" s="14">
        <v>1241</v>
      </c>
      <c r="AD854" s="14">
        <v>44</v>
      </c>
      <c r="AE854" s="14">
        <v>2400</v>
      </c>
      <c r="AF854" s="14">
        <v>5000</v>
      </c>
      <c r="AG854" s="14">
        <v>1865</v>
      </c>
      <c r="AH854" s="14">
        <v>0</v>
      </c>
      <c r="AI854" s="14">
        <v>40</v>
      </c>
      <c r="AJ854" s="14">
        <v>194</v>
      </c>
      <c r="AK854" s="14" t="s">
        <v>514</v>
      </c>
      <c r="AL854" s="14" t="s">
        <v>519</v>
      </c>
      <c r="AM854" s="14">
        <v>162.11000000000001</v>
      </c>
      <c r="AN854" s="14">
        <v>142.63999999999999</v>
      </c>
      <c r="AO854" s="14">
        <v>54.99</v>
      </c>
      <c r="AP854" s="14">
        <v>19425</v>
      </c>
      <c r="AQ854" s="14">
        <v>19345</v>
      </c>
      <c r="AR854" s="14">
        <v>23000</v>
      </c>
      <c r="AS854" s="14">
        <v>17025</v>
      </c>
      <c r="AT854" s="14">
        <v>18835</v>
      </c>
      <c r="AU854" s="14">
        <v>3</v>
      </c>
      <c r="AV854" s="14">
        <v>253.08</v>
      </c>
      <c r="AW854" s="14">
        <v>37.78</v>
      </c>
      <c r="AX854" s="14">
        <v>2.85</v>
      </c>
      <c r="AY854" s="14" t="b">
        <v>0</v>
      </c>
    </row>
    <row r="855" spans="1:51" hidden="1" x14ac:dyDescent="0.3">
      <c r="A855" t="str">
        <f>CONCATENATE(I855,E855,LEFT(G855,10))</f>
        <v>HFA808LCLK2026-02-14</v>
      </c>
      <c r="B855" s="14" t="s">
        <v>4274</v>
      </c>
      <c r="C855" s="14" t="s">
        <v>336</v>
      </c>
      <c r="D855" s="14" t="s">
        <v>337</v>
      </c>
      <c r="E855" s="14" t="s">
        <v>87</v>
      </c>
      <c r="F855" s="14" t="s">
        <v>43</v>
      </c>
      <c r="G855" s="14" t="s">
        <v>4275</v>
      </c>
      <c r="H855" s="14" t="s">
        <v>371</v>
      </c>
      <c r="I855" s="14" t="s">
        <v>119</v>
      </c>
      <c r="J855" s="14" t="s">
        <v>83</v>
      </c>
      <c r="K855" s="14" t="s">
        <v>340</v>
      </c>
      <c r="L855" s="14" t="s">
        <v>341</v>
      </c>
      <c r="M855" s="16" t="s">
        <v>1225</v>
      </c>
      <c r="N855" s="14"/>
      <c r="O855" s="14" t="s">
        <v>410</v>
      </c>
      <c r="P855" s="14">
        <v>130</v>
      </c>
      <c r="Q855" s="14">
        <v>2</v>
      </c>
      <c r="R855" s="14">
        <v>7100</v>
      </c>
      <c r="S855" s="14" t="s">
        <v>4276</v>
      </c>
      <c r="T855" s="14" t="s">
        <v>4277</v>
      </c>
      <c r="U855" s="14">
        <v>0.64583333333333304</v>
      </c>
      <c r="V855" s="14">
        <v>0.92416666666666603</v>
      </c>
      <c r="W855" s="14">
        <v>581</v>
      </c>
      <c r="X855" s="14">
        <v>80</v>
      </c>
      <c r="Y855" s="14">
        <v>501</v>
      </c>
      <c r="Z855" s="14">
        <v>1419</v>
      </c>
      <c r="AA855" s="14">
        <v>264</v>
      </c>
      <c r="AB855" s="14">
        <v>293</v>
      </c>
      <c r="AC855" s="14">
        <v>814</v>
      </c>
      <c r="AD855" s="14">
        <v>49</v>
      </c>
      <c r="AE855" s="14">
        <v>2000</v>
      </c>
      <c r="AF855" s="14">
        <v>5000</v>
      </c>
      <c r="AG855" s="14">
        <v>1836</v>
      </c>
      <c r="AH855" s="14">
        <v>0</v>
      </c>
      <c r="AI855" s="14">
        <v>39</v>
      </c>
      <c r="AJ855" s="14">
        <v>158</v>
      </c>
      <c r="AK855" s="14" t="s">
        <v>4275</v>
      </c>
      <c r="AL855" s="14" t="s">
        <v>4278</v>
      </c>
      <c r="AM855" s="14">
        <v>162.11000000000001</v>
      </c>
      <c r="AN855" s="14">
        <v>142.63999999999999</v>
      </c>
      <c r="AO855" s="14">
        <v>54.99</v>
      </c>
      <c r="AP855" s="14">
        <v>22600</v>
      </c>
      <c r="AQ855" s="14">
        <v>22520</v>
      </c>
      <c r="AR855" s="14">
        <v>23000</v>
      </c>
      <c r="AS855" s="14">
        <v>20600</v>
      </c>
      <c r="AT855" s="14">
        <v>22019</v>
      </c>
      <c r="AU855" s="14">
        <v>19</v>
      </c>
      <c r="AV855" s="14">
        <v>297.94</v>
      </c>
      <c r="AW855" s="14">
        <v>34.94</v>
      </c>
      <c r="AX855" s="14">
        <v>6.47</v>
      </c>
      <c r="AY855" s="14" t="b">
        <v>0</v>
      </c>
    </row>
    <row r="856" spans="1:51" hidden="1" x14ac:dyDescent="0.3">
      <c r="A856" t="str">
        <f>CONCATENATE(I856,E856,LEFT(G856,10))</f>
        <v>HFA808LCLK2026-02-15</v>
      </c>
      <c r="B856" s="14" t="s">
        <v>4162</v>
      </c>
      <c r="C856" s="14" t="s">
        <v>336</v>
      </c>
      <c r="D856" s="14" t="s">
        <v>337</v>
      </c>
      <c r="E856" s="14" t="s">
        <v>87</v>
      </c>
      <c r="F856" s="14" t="s">
        <v>43</v>
      </c>
      <c r="G856" s="14" t="s">
        <v>4163</v>
      </c>
      <c r="H856" s="14" t="s">
        <v>339</v>
      </c>
      <c r="I856" s="14" t="s">
        <v>119</v>
      </c>
      <c r="J856" s="14" t="s">
        <v>83</v>
      </c>
      <c r="K856" s="14" t="s">
        <v>340</v>
      </c>
      <c r="L856" s="14" t="s">
        <v>341</v>
      </c>
      <c r="M856" s="16" t="s">
        <v>4164</v>
      </c>
      <c r="N856" s="14"/>
      <c r="O856" s="14" t="s">
        <v>4115</v>
      </c>
      <c r="P856" s="14">
        <v>130</v>
      </c>
      <c r="Q856" s="14">
        <v>2</v>
      </c>
      <c r="R856" s="14">
        <v>6900</v>
      </c>
      <c r="S856" s="14" t="s">
        <v>4165</v>
      </c>
      <c r="T856" s="14" t="s">
        <v>4166</v>
      </c>
      <c r="U856" s="14">
        <v>0.75305555555555503</v>
      </c>
      <c r="V856" s="14">
        <v>0.99388888888888804</v>
      </c>
      <c r="W856" s="14">
        <v>622</v>
      </c>
      <c r="X856" s="14">
        <v>80</v>
      </c>
      <c r="Y856" s="14">
        <v>542</v>
      </c>
      <c r="Z856" s="14">
        <v>1878</v>
      </c>
      <c r="AA856" s="14">
        <v>262</v>
      </c>
      <c r="AB856" s="14">
        <v>294</v>
      </c>
      <c r="AC856" s="14">
        <v>1273</v>
      </c>
      <c r="AD856" s="14">
        <v>49</v>
      </c>
      <c r="AE856" s="14">
        <v>2500</v>
      </c>
      <c r="AF856" s="14">
        <v>5000</v>
      </c>
      <c r="AG856" s="14">
        <v>1966</v>
      </c>
      <c r="AH856" s="14">
        <v>0</v>
      </c>
      <c r="AI856" s="14">
        <v>44</v>
      </c>
      <c r="AJ856" s="14">
        <v>206</v>
      </c>
      <c r="AK856" s="14" t="s">
        <v>4163</v>
      </c>
      <c r="AL856" s="14" t="s">
        <v>4167</v>
      </c>
      <c r="AM856" s="14">
        <v>162.11000000000001</v>
      </c>
      <c r="AN856" s="14">
        <v>142.63999999999999</v>
      </c>
      <c r="AO856" s="14">
        <v>54.99</v>
      </c>
      <c r="AP856" s="14">
        <v>22725</v>
      </c>
      <c r="AQ856" s="14">
        <v>22645</v>
      </c>
      <c r="AR856" s="14">
        <v>23000</v>
      </c>
      <c r="AS856" s="14">
        <v>20225</v>
      </c>
      <c r="AT856" s="14">
        <v>22103</v>
      </c>
      <c r="AU856" s="14">
        <v>-10</v>
      </c>
      <c r="AV856" s="14">
        <v>224.66</v>
      </c>
      <c r="AW856" s="14">
        <v>27.87</v>
      </c>
      <c r="AX856" s="14">
        <v>10.27</v>
      </c>
      <c r="AY856" s="14" t="b">
        <v>0</v>
      </c>
    </row>
    <row r="857" spans="1:51" hidden="1" x14ac:dyDescent="0.3">
      <c r="A857" t="str">
        <f>CONCATENATE(I857,E857,LEFT(G857,10))</f>
        <v>HFA808LCLK2026-02-16</v>
      </c>
      <c r="B857" s="14" t="s">
        <v>4068</v>
      </c>
      <c r="C857" s="14" t="s">
        <v>336</v>
      </c>
      <c r="D857" s="14" t="s">
        <v>337</v>
      </c>
      <c r="E857" s="14" t="s">
        <v>87</v>
      </c>
      <c r="F857" s="14" t="s">
        <v>43</v>
      </c>
      <c r="G857" s="14" t="s">
        <v>4069</v>
      </c>
      <c r="H857" s="14" t="s">
        <v>371</v>
      </c>
      <c r="I857" s="14" t="s">
        <v>119</v>
      </c>
      <c r="J857" s="14" t="s">
        <v>83</v>
      </c>
      <c r="K857" s="14" t="s">
        <v>340</v>
      </c>
      <c r="L857" s="14" t="s">
        <v>341</v>
      </c>
      <c r="M857" s="16" t="s">
        <v>1867</v>
      </c>
      <c r="N857" s="14"/>
      <c r="O857" s="14" t="s">
        <v>4070</v>
      </c>
      <c r="P857" s="14">
        <v>130</v>
      </c>
      <c r="Q857" s="14">
        <v>2</v>
      </c>
      <c r="R857" s="14">
        <v>7300</v>
      </c>
      <c r="S857" s="14" t="s">
        <v>4071</v>
      </c>
      <c r="T857" s="14" t="s">
        <v>4072</v>
      </c>
      <c r="U857" s="14">
        <v>0.74972222222222196</v>
      </c>
      <c r="V857" s="14">
        <v>1.00583333333333</v>
      </c>
      <c r="W857" s="14">
        <v>640</v>
      </c>
      <c r="X857" s="14">
        <v>80</v>
      </c>
      <c r="Y857" s="14">
        <v>560</v>
      </c>
      <c r="Z857" s="14">
        <v>1360</v>
      </c>
      <c r="AA857" s="14">
        <v>271</v>
      </c>
      <c r="AB857" s="14">
        <v>294</v>
      </c>
      <c r="AC857" s="14">
        <v>746</v>
      </c>
      <c r="AD857" s="14">
        <v>49</v>
      </c>
      <c r="AE857" s="14">
        <v>2000</v>
      </c>
      <c r="AF857" s="14">
        <v>5000</v>
      </c>
      <c r="AG857" s="14">
        <v>2023</v>
      </c>
      <c r="AH857" s="14">
        <v>0</v>
      </c>
      <c r="AI857" s="14">
        <v>44</v>
      </c>
      <c r="AJ857" s="14">
        <v>158</v>
      </c>
      <c r="AK857" s="14" t="s">
        <v>4069</v>
      </c>
      <c r="AL857" s="14" t="s">
        <v>4073</v>
      </c>
      <c r="AM857" s="14">
        <v>162.11000000000001</v>
      </c>
      <c r="AN857" s="14">
        <v>142.63999999999999</v>
      </c>
      <c r="AO857" s="14">
        <v>54.99</v>
      </c>
      <c r="AP857" s="14">
        <v>22800</v>
      </c>
      <c r="AQ857" s="14">
        <v>22720</v>
      </c>
      <c r="AR857" s="14">
        <v>23000</v>
      </c>
      <c r="AS857" s="14">
        <v>20800</v>
      </c>
      <c r="AT857" s="14">
        <v>22160</v>
      </c>
      <c r="AU857" s="14">
        <v>-12</v>
      </c>
      <c r="AV857" s="14">
        <v>218.02</v>
      </c>
      <c r="AW857" s="14">
        <v>36.49</v>
      </c>
      <c r="AX857" s="14">
        <v>8.5399999999999991</v>
      </c>
      <c r="AY857" s="14" t="b">
        <v>0</v>
      </c>
    </row>
    <row r="858" spans="1:51" hidden="1" x14ac:dyDescent="0.3">
      <c r="A858" t="str">
        <f>CONCATENATE(I858,E858,LEFT(G858,10))</f>
        <v>HFA808LCLK2026-02-17</v>
      </c>
      <c r="B858" s="14" t="s">
        <v>4009</v>
      </c>
      <c r="C858" s="14" t="s">
        <v>336</v>
      </c>
      <c r="D858" s="14" t="s">
        <v>337</v>
      </c>
      <c r="E858" s="14" t="s">
        <v>87</v>
      </c>
      <c r="F858" s="14" t="s">
        <v>43</v>
      </c>
      <c r="G858" s="14" t="s">
        <v>4010</v>
      </c>
      <c r="H858" s="14" t="s">
        <v>371</v>
      </c>
      <c r="I858" s="14" t="s">
        <v>119</v>
      </c>
      <c r="J858" s="14" t="s">
        <v>83</v>
      </c>
      <c r="K858" s="14" t="s">
        <v>340</v>
      </c>
      <c r="L858" s="14" t="s">
        <v>341</v>
      </c>
      <c r="M858" s="16" t="s">
        <v>731</v>
      </c>
      <c r="N858" s="14"/>
      <c r="O858" s="14" t="s">
        <v>627</v>
      </c>
      <c r="P858" s="14">
        <v>130</v>
      </c>
      <c r="Q858" s="14">
        <v>2</v>
      </c>
      <c r="R858" s="14">
        <v>4400</v>
      </c>
      <c r="S858" s="14" t="s">
        <v>4011</v>
      </c>
      <c r="T858" s="14" t="s">
        <v>4012</v>
      </c>
      <c r="U858" s="14">
        <v>0.66277777777777702</v>
      </c>
      <c r="V858" s="14">
        <v>0.90083333333333304</v>
      </c>
      <c r="W858" s="14">
        <v>607</v>
      </c>
      <c r="X858" s="14">
        <v>80</v>
      </c>
      <c r="Y858" s="14">
        <v>527</v>
      </c>
      <c r="Z858" s="14">
        <v>1393</v>
      </c>
      <c r="AA858" s="14">
        <v>266</v>
      </c>
      <c r="AB858" s="14">
        <v>267</v>
      </c>
      <c r="AC858" s="14">
        <v>815</v>
      </c>
      <c r="AD858" s="14">
        <v>44</v>
      </c>
      <c r="AE858" s="14">
        <v>2000</v>
      </c>
      <c r="AF858" s="14">
        <v>5000</v>
      </c>
      <c r="AG858" s="14">
        <v>1919</v>
      </c>
      <c r="AH858" s="14">
        <v>0</v>
      </c>
      <c r="AI858" s="14">
        <v>41</v>
      </c>
      <c r="AJ858" s="14">
        <v>158</v>
      </c>
      <c r="AK858" s="14" t="s">
        <v>4010</v>
      </c>
      <c r="AL858" s="14" t="s">
        <v>4013</v>
      </c>
      <c r="AM858" s="14">
        <v>162.11000000000001</v>
      </c>
      <c r="AN858" s="14">
        <v>142.63999999999999</v>
      </c>
      <c r="AO858" s="14">
        <v>54.99</v>
      </c>
      <c r="AP858" s="14">
        <v>19900</v>
      </c>
      <c r="AQ858" s="14">
        <v>19820</v>
      </c>
      <c r="AR858" s="14">
        <v>23000</v>
      </c>
      <c r="AS858" s="14">
        <v>17900</v>
      </c>
      <c r="AT858" s="14">
        <v>19293</v>
      </c>
      <c r="AU858" s="14">
        <v>-1</v>
      </c>
      <c r="AV858" s="14">
        <v>245.06</v>
      </c>
      <c r="AW858" s="14">
        <v>39.1</v>
      </c>
      <c r="AX858" s="14">
        <v>3.84</v>
      </c>
      <c r="AY858" s="14" t="b">
        <v>0</v>
      </c>
    </row>
    <row r="859" spans="1:51" hidden="1" x14ac:dyDescent="0.3">
      <c r="A859" t="str">
        <f>CONCATENATE(I859,E859,LEFT(G859,10))</f>
        <v>HFA808LCLK2026-02-18</v>
      </c>
      <c r="B859" s="14" t="s">
        <v>1872</v>
      </c>
      <c r="C859" s="14" t="s">
        <v>336</v>
      </c>
      <c r="D859" s="14" t="s">
        <v>337</v>
      </c>
      <c r="E859" s="14" t="s">
        <v>87</v>
      </c>
      <c r="F859" s="14" t="s">
        <v>43</v>
      </c>
      <c r="G859" s="14" t="s">
        <v>1873</v>
      </c>
      <c r="H859" s="14" t="s">
        <v>393</v>
      </c>
      <c r="I859" s="14" t="s">
        <v>119</v>
      </c>
      <c r="J859" s="14" t="s">
        <v>83</v>
      </c>
      <c r="K859" s="14" t="s">
        <v>340</v>
      </c>
      <c r="L859" s="14" t="s">
        <v>341</v>
      </c>
      <c r="M859" s="16" t="s">
        <v>1339</v>
      </c>
      <c r="N859" s="14"/>
      <c r="O859" s="14" t="s">
        <v>1874</v>
      </c>
      <c r="P859" s="14">
        <v>130</v>
      </c>
      <c r="Q859" s="14">
        <v>2</v>
      </c>
      <c r="R859" s="14">
        <v>3350</v>
      </c>
      <c r="S859" s="14" t="s">
        <v>1875</v>
      </c>
      <c r="T859" s="14" t="s">
        <v>1876</v>
      </c>
      <c r="U859" s="14">
        <v>0.68166666666666598</v>
      </c>
      <c r="V859" s="14">
        <v>0.92138888888888804</v>
      </c>
      <c r="W859" s="14">
        <v>632</v>
      </c>
      <c r="X859" s="14">
        <v>80</v>
      </c>
      <c r="Y859" s="14">
        <v>552</v>
      </c>
      <c r="Z859" s="14">
        <v>1468</v>
      </c>
      <c r="AA859" s="14">
        <v>265</v>
      </c>
      <c r="AB859" s="14">
        <v>257</v>
      </c>
      <c r="AC859" s="14">
        <v>903</v>
      </c>
      <c r="AD859" s="14">
        <v>43</v>
      </c>
      <c r="AE859" s="14">
        <v>2100</v>
      </c>
      <c r="AF859" s="14">
        <v>5000</v>
      </c>
      <c r="AG859" s="14">
        <v>1997</v>
      </c>
      <c r="AH859" s="14">
        <v>0</v>
      </c>
      <c r="AI859" s="14">
        <v>39</v>
      </c>
      <c r="AJ859" s="14">
        <v>158</v>
      </c>
      <c r="AK859" s="14" t="s">
        <v>1873</v>
      </c>
      <c r="AL859" s="14" t="s">
        <v>1877</v>
      </c>
      <c r="AM859" s="14">
        <v>162.11000000000001</v>
      </c>
      <c r="AN859" s="14">
        <v>142.63999999999999</v>
      </c>
      <c r="AO859" s="14">
        <v>54.99</v>
      </c>
      <c r="AP859" s="14">
        <v>18761</v>
      </c>
      <c r="AQ859" s="14">
        <v>18681</v>
      </c>
      <c r="AR859" s="14">
        <v>23000</v>
      </c>
      <c r="AS859" s="14">
        <v>16661</v>
      </c>
      <c r="AT859" s="14">
        <v>18129</v>
      </c>
      <c r="AU859" s="14">
        <v>14</v>
      </c>
      <c r="AV859" s="14">
        <v>264.74</v>
      </c>
      <c r="AW859" s="14">
        <v>51.9</v>
      </c>
      <c r="AX859" s="14">
        <v>3.01</v>
      </c>
      <c r="AY859" s="14" t="b">
        <v>0</v>
      </c>
    </row>
    <row r="860" spans="1:51" hidden="1" x14ac:dyDescent="0.3">
      <c r="A860" t="str">
        <f>CONCATENATE(I860,E860,LEFT(G860,10))</f>
        <v>HFA808LCLK2026-02-19</v>
      </c>
      <c r="B860" s="14" t="s">
        <v>3888</v>
      </c>
      <c r="C860" s="14" t="s">
        <v>336</v>
      </c>
      <c r="D860" s="14" t="s">
        <v>337</v>
      </c>
      <c r="E860" s="14" t="s">
        <v>87</v>
      </c>
      <c r="F860" s="14" t="s">
        <v>43</v>
      </c>
      <c r="G860" s="14" t="s">
        <v>3889</v>
      </c>
      <c r="H860" s="14" t="s">
        <v>339</v>
      </c>
      <c r="I860" s="14" t="s">
        <v>119</v>
      </c>
      <c r="J860" s="14" t="s">
        <v>83</v>
      </c>
      <c r="K860" s="14" t="s">
        <v>340</v>
      </c>
      <c r="L860" s="14" t="s">
        <v>341</v>
      </c>
      <c r="M860" s="16" t="s">
        <v>543</v>
      </c>
      <c r="N860" s="14"/>
      <c r="O860" s="14" t="s">
        <v>410</v>
      </c>
      <c r="P860" s="14">
        <v>130</v>
      </c>
      <c r="Q860" s="14">
        <v>2</v>
      </c>
      <c r="R860" s="14">
        <v>4100</v>
      </c>
      <c r="S860" s="14" t="s">
        <v>3890</v>
      </c>
      <c r="T860" s="14" t="s">
        <v>3891</v>
      </c>
      <c r="U860" s="14">
        <v>0.63166666666666604</v>
      </c>
      <c r="V860" s="14">
        <v>0.87416666666666598</v>
      </c>
      <c r="W860" s="14">
        <v>592</v>
      </c>
      <c r="X860" s="14">
        <v>80</v>
      </c>
      <c r="Y860" s="14">
        <v>512</v>
      </c>
      <c r="Z860" s="14">
        <v>1508</v>
      </c>
      <c r="AA860" s="14">
        <v>254</v>
      </c>
      <c r="AB860" s="14">
        <v>263</v>
      </c>
      <c r="AC860" s="14">
        <v>946</v>
      </c>
      <c r="AD860" s="14">
        <v>44</v>
      </c>
      <c r="AE860" s="14">
        <v>2100</v>
      </c>
      <c r="AF860" s="14">
        <v>5000</v>
      </c>
      <c r="AG860" s="14">
        <v>1871</v>
      </c>
      <c r="AH860" s="14">
        <v>0</v>
      </c>
      <c r="AI860" s="14">
        <v>41</v>
      </c>
      <c r="AJ860" s="14">
        <v>171</v>
      </c>
      <c r="AK860" s="14" t="s">
        <v>3889</v>
      </c>
      <c r="AL860" s="14" t="s">
        <v>3892</v>
      </c>
      <c r="AM860" s="14">
        <v>162.11000000000001</v>
      </c>
      <c r="AN860" s="14">
        <v>142.63999999999999</v>
      </c>
      <c r="AO860" s="14">
        <v>54.99</v>
      </c>
      <c r="AP860" s="14">
        <v>19525</v>
      </c>
      <c r="AQ860" s="14">
        <v>19445</v>
      </c>
      <c r="AR860" s="14">
        <v>23000</v>
      </c>
      <c r="AS860" s="14">
        <v>17425</v>
      </c>
      <c r="AT860" s="14">
        <v>18933</v>
      </c>
      <c r="AU860" s="14">
        <v>0</v>
      </c>
      <c r="AV860" s="14">
        <v>245.47</v>
      </c>
      <c r="AW860" s="14">
        <v>10.88</v>
      </c>
      <c r="AX860" s="14">
        <v>5.09</v>
      </c>
      <c r="AY860" s="14" t="b">
        <v>0</v>
      </c>
    </row>
    <row r="861" spans="1:51" hidden="1" x14ac:dyDescent="0.3">
      <c r="A861" t="str">
        <f>CONCATENATE(I861,E861,LEFT(G861,10))</f>
        <v>HFA808LCLK2026-02-21</v>
      </c>
      <c r="B861" s="14" t="s">
        <v>3830</v>
      </c>
      <c r="C861" s="14" t="s">
        <v>336</v>
      </c>
      <c r="D861" s="14" t="s">
        <v>337</v>
      </c>
      <c r="E861" s="14" t="s">
        <v>87</v>
      </c>
      <c r="F861" s="14" t="s">
        <v>43</v>
      </c>
      <c r="G861" s="14" t="s">
        <v>3831</v>
      </c>
      <c r="H861" s="14" t="s">
        <v>371</v>
      </c>
      <c r="I861" s="14" t="s">
        <v>119</v>
      </c>
      <c r="J861" s="14" t="s">
        <v>83</v>
      </c>
      <c r="K861" s="14" t="s">
        <v>340</v>
      </c>
      <c r="L861" s="14" t="s">
        <v>341</v>
      </c>
      <c r="M861" s="16" t="s">
        <v>1225</v>
      </c>
      <c r="N861" s="14"/>
      <c r="O861" s="14" t="s">
        <v>2179</v>
      </c>
      <c r="P861" s="14">
        <v>130</v>
      </c>
      <c r="Q861" s="14">
        <v>2</v>
      </c>
      <c r="R861" s="14">
        <v>7000</v>
      </c>
      <c r="S861" s="14" t="s">
        <v>3832</v>
      </c>
      <c r="T861" s="14" t="s">
        <v>3833</v>
      </c>
      <c r="U861" s="14">
        <v>0.72833333333333306</v>
      </c>
      <c r="V861" s="14">
        <v>1.13888888888888</v>
      </c>
      <c r="W861" s="14">
        <v>643</v>
      </c>
      <c r="X861" s="14">
        <v>80</v>
      </c>
      <c r="Y861" s="14">
        <v>563</v>
      </c>
      <c r="Z861" s="14">
        <v>1457</v>
      </c>
      <c r="AA861" s="14">
        <v>272</v>
      </c>
      <c r="AB861" s="14">
        <v>292</v>
      </c>
      <c r="AC861" s="14">
        <v>845</v>
      </c>
      <c r="AD861" s="14">
        <v>49</v>
      </c>
      <c r="AE861" s="14">
        <v>2100</v>
      </c>
      <c r="AF861" s="14">
        <v>5000</v>
      </c>
      <c r="AG861" s="14">
        <v>2031</v>
      </c>
      <c r="AH861" s="14">
        <v>0</v>
      </c>
      <c r="AI861" s="14">
        <v>44</v>
      </c>
      <c r="AJ861" s="14">
        <v>165</v>
      </c>
      <c r="AK861" s="14" t="s">
        <v>3831</v>
      </c>
      <c r="AL861" s="14" t="s">
        <v>3834</v>
      </c>
      <c r="AM861" s="14">
        <v>162.11000000000001</v>
      </c>
      <c r="AN861" s="14">
        <v>142.63999999999999</v>
      </c>
      <c r="AO861" s="14">
        <v>54.99</v>
      </c>
      <c r="AP861" s="14">
        <v>22600</v>
      </c>
      <c r="AQ861" s="14">
        <v>22520</v>
      </c>
      <c r="AR861" s="14">
        <v>23000</v>
      </c>
      <c r="AS861" s="14">
        <v>20500</v>
      </c>
      <c r="AT861" s="14">
        <v>21957</v>
      </c>
      <c r="AU861" s="14">
        <v>-11</v>
      </c>
      <c r="AV861" s="14">
        <v>222.4</v>
      </c>
      <c r="AW861" s="14">
        <v>42.86</v>
      </c>
      <c r="AX861" s="14">
        <v>4.62</v>
      </c>
      <c r="AY861" s="14" t="b">
        <v>0</v>
      </c>
    </row>
    <row r="862" spans="1:51" hidden="1" x14ac:dyDescent="0.3">
      <c r="A862" t="str">
        <f>CONCATENATE(I862,E862,LEFT(G862,10))</f>
        <v>HFA808LCLK2026-02-22</v>
      </c>
      <c r="B862" s="14" t="s">
        <v>993</v>
      </c>
      <c r="C862" s="14" t="s">
        <v>336</v>
      </c>
      <c r="D862" s="14" t="s">
        <v>337</v>
      </c>
      <c r="E862" s="14" t="s">
        <v>87</v>
      </c>
      <c r="F862" s="14" t="s">
        <v>43</v>
      </c>
      <c r="G862" s="14" t="s">
        <v>994</v>
      </c>
      <c r="H862" s="14" t="s">
        <v>357</v>
      </c>
      <c r="I862" s="14" t="s">
        <v>119</v>
      </c>
      <c r="J862" s="14" t="s">
        <v>83</v>
      </c>
      <c r="K862" s="14" t="s">
        <v>340</v>
      </c>
      <c r="L862" s="14" t="s">
        <v>341</v>
      </c>
      <c r="M862" s="16" t="s">
        <v>682</v>
      </c>
      <c r="N862" s="14" t="s">
        <v>359</v>
      </c>
      <c r="O862" s="14" t="s">
        <v>995</v>
      </c>
      <c r="P862" s="14">
        <v>130</v>
      </c>
      <c r="Q862" s="14">
        <v>2</v>
      </c>
      <c r="R862" s="14">
        <v>5400</v>
      </c>
      <c r="S862" s="14" t="s">
        <v>996</v>
      </c>
      <c r="T862" s="14" t="s">
        <v>997</v>
      </c>
      <c r="U862" s="14">
        <v>0.67555555555555502</v>
      </c>
      <c r="V862" s="14">
        <v>0.93361111111111095</v>
      </c>
      <c r="W862" s="14">
        <v>601</v>
      </c>
      <c r="X862" s="14">
        <v>80</v>
      </c>
      <c r="Y862" s="14">
        <v>521</v>
      </c>
      <c r="Z862" s="14">
        <v>1599</v>
      </c>
      <c r="AA862" s="14">
        <v>257</v>
      </c>
      <c r="AB862" s="14">
        <v>275</v>
      </c>
      <c r="AC862" s="14">
        <v>1022</v>
      </c>
      <c r="AD862" s="14">
        <v>46</v>
      </c>
      <c r="AE862" s="14">
        <v>2200</v>
      </c>
      <c r="AF862" s="14">
        <v>5000</v>
      </c>
      <c r="AG862" s="14">
        <v>1898</v>
      </c>
      <c r="AH862" s="14">
        <v>0</v>
      </c>
      <c r="AI862" s="14">
        <v>41</v>
      </c>
      <c r="AJ862" s="14">
        <v>177</v>
      </c>
      <c r="AK862" s="14" t="s">
        <v>994</v>
      </c>
      <c r="AL862" s="14" t="s">
        <v>998</v>
      </c>
      <c r="AM862" s="14">
        <v>162.11000000000001</v>
      </c>
      <c r="AN862" s="14">
        <v>142.63999999999999</v>
      </c>
      <c r="AO862" s="14">
        <v>54.99</v>
      </c>
      <c r="AP862" s="14">
        <v>20825</v>
      </c>
      <c r="AQ862" s="14">
        <v>20745</v>
      </c>
      <c r="AR862" s="14">
        <v>23000</v>
      </c>
      <c r="AS862" s="14">
        <v>18625</v>
      </c>
      <c r="AT862" s="14">
        <v>20224</v>
      </c>
      <c r="AU862" s="14">
        <v>-1</v>
      </c>
      <c r="AV862" s="14">
        <v>238.55</v>
      </c>
      <c r="AW862" s="14">
        <v>22.03</v>
      </c>
      <c r="AX862" s="14">
        <v>1.1100000000000001</v>
      </c>
      <c r="AY862" s="14" t="b">
        <v>0</v>
      </c>
    </row>
    <row r="863" spans="1:51" hidden="1" x14ac:dyDescent="0.3">
      <c r="A863" t="str">
        <f>CONCATENATE(I863,E863,LEFT(G863,10))</f>
        <v>HFA808LCLK2026-02-23</v>
      </c>
      <c r="B863" s="14" t="s">
        <v>3729</v>
      </c>
      <c r="C863" s="14" t="s">
        <v>336</v>
      </c>
      <c r="D863" s="14" t="s">
        <v>337</v>
      </c>
      <c r="E863" s="14" t="s">
        <v>87</v>
      </c>
      <c r="F863" s="14" t="s">
        <v>43</v>
      </c>
      <c r="G863" s="14" t="s">
        <v>3730</v>
      </c>
      <c r="H863" s="14" t="s">
        <v>371</v>
      </c>
      <c r="I863" s="14" t="s">
        <v>119</v>
      </c>
      <c r="J863" s="14" t="s">
        <v>83</v>
      </c>
      <c r="K863" s="14" t="s">
        <v>340</v>
      </c>
      <c r="L863" s="14" t="s">
        <v>341</v>
      </c>
      <c r="M863" s="16" t="s">
        <v>1090</v>
      </c>
      <c r="N863" s="14"/>
      <c r="O863" s="14" t="s">
        <v>3731</v>
      </c>
      <c r="P863" s="14">
        <v>130</v>
      </c>
      <c r="Q863" s="14">
        <v>2</v>
      </c>
      <c r="R863" s="14">
        <v>0</v>
      </c>
      <c r="S863" s="14" t="s">
        <v>3732</v>
      </c>
      <c r="T863" s="14" t="s">
        <v>3733</v>
      </c>
      <c r="U863" s="14">
        <v>0.706666666666666</v>
      </c>
      <c r="V863" s="14">
        <v>0.96972222222222204</v>
      </c>
      <c r="W863" s="14">
        <v>623</v>
      </c>
      <c r="X863" s="14">
        <v>80</v>
      </c>
      <c r="Y863" s="14">
        <v>543</v>
      </c>
      <c r="Z863" s="14">
        <v>1477</v>
      </c>
      <c r="AA863" s="14">
        <v>267</v>
      </c>
      <c r="AB863" s="14">
        <v>295</v>
      </c>
      <c r="AC863" s="14">
        <v>866</v>
      </c>
      <c r="AD863" s="14">
        <v>49</v>
      </c>
      <c r="AE863" s="14">
        <v>2100</v>
      </c>
      <c r="AF863" s="14">
        <v>5000</v>
      </c>
      <c r="AG863" s="14">
        <v>1969</v>
      </c>
      <c r="AH863" s="14">
        <v>0</v>
      </c>
      <c r="AI863" s="14">
        <v>41</v>
      </c>
      <c r="AJ863" s="14">
        <v>159</v>
      </c>
      <c r="AK863" s="14" t="s">
        <v>3730</v>
      </c>
      <c r="AL863" s="14" t="s">
        <v>3734</v>
      </c>
      <c r="AM863" s="14">
        <v>162.11000000000001</v>
      </c>
      <c r="AN863" s="14">
        <v>142.63999999999999</v>
      </c>
      <c r="AO863" s="14">
        <v>54.99</v>
      </c>
      <c r="AP863" s="14">
        <v>22899</v>
      </c>
      <c r="AQ863" s="14">
        <v>22819</v>
      </c>
      <c r="AR863" s="14">
        <v>23000</v>
      </c>
      <c r="AS863" s="14">
        <v>20799</v>
      </c>
      <c r="AT863" s="14">
        <v>22276</v>
      </c>
      <c r="AU863" s="14">
        <v>5</v>
      </c>
      <c r="AV863" s="14">
        <v>270.83999999999997</v>
      </c>
      <c r="AW863" s="14">
        <v>10.69</v>
      </c>
      <c r="AX863" s="14">
        <v>-1.73</v>
      </c>
      <c r="AY863" s="14" t="b">
        <v>0</v>
      </c>
    </row>
    <row r="864" spans="1:51" hidden="1" x14ac:dyDescent="0.3">
      <c r="A864" t="str">
        <f>CONCATENATE(I864,E864,LEFT(G864,10))</f>
        <v>HFA808LCLK2026-02-24</v>
      </c>
      <c r="B864" s="14" t="s">
        <v>3670</v>
      </c>
      <c r="C864" s="14" t="s">
        <v>336</v>
      </c>
      <c r="D864" s="14" t="s">
        <v>337</v>
      </c>
      <c r="E864" s="14" t="s">
        <v>87</v>
      </c>
      <c r="F864" s="14" t="s">
        <v>43</v>
      </c>
      <c r="G864" s="14" t="s">
        <v>3671</v>
      </c>
      <c r="H864" s="14" t="s">
        <v>371</v>
      </c>
      <c r="I864" s="14" t="s">
        <v>119</v>
      </c>
      <c r="J864" s="14" t="s">
        <v>83</v>
      </c>
      <c r="K864" s="14" t="s">
        <v>340</v>
      </c>
      <c r="L864" s="14" t="s">
        <v>341</v>
      </c>
      <c r="M864" s="16" t="s">
        <v>682</v>
      </c>
      <c r="N864" s="14"/>
      <c r="O864" s="14" t="s">
        <v>410</v>
      </c>
      <c r="P864" s="14">
        <v>130</v>
      </c>
      <c r="Q864" s="14">
        <v>2</v>
      </c>
      <c r="R864" s="14">
        <v>5000</v>
      </c>
      <c r="S864" s="14" t="s">
        <v>3672</v>
      </c>
      <c r="T864" s="14" t="s">
        <v>3673</v>
      </c>
      <c r="U864" s="14">
        <v>0.66444444444444395</v>
      </c>
      <c r="V864" s="14">
        <v>0.87111111111111095</v>
      </c>
      <c r="W864" s="14">
        <v>586</v>
      </c>
      <c r="X864" s="14">
        <v>80</v>
      </c>
      <c r="Y864" s="14">
        <v>506</v>
      </c>
      <c r="Z864" s="14">
        <v>1514</v>
      </c>
      <c r="AA864" s="14">
        <v>263</v>
      </c>
      <c r="AB864" s="14">
        <v>273</v>
      </c>
      <c r="AC864" s="14">
        <v>933</v>
      </c>
      <c r="AD864" s="14">
        <v>46</v>
      </c>
      <c r="AE864" s="14">
        <v>2100</v>
      </c>
      <c r="AF864" s="14">
        <v>5000</v>
      </c>
      <c r="AG864" s="14">
        <v>1852</v>
      </c>
      <c r="AH864" s="14">
        <v>0</v>
      </c>
      <c r="AI864" s="14">
        <v>39</v>
      </c>
      <c r="AJ864" s="14">
        <v>164</v>
      </c>
      <c r="AK864" s="14" t="s">
        <v>3671</v>
      </c>
      <c r="AL864" s="14" t="s">
        <v>3674</v>
      </c>
      <c r="AM864" s="14">
        <v>162.11000000000001</v>
      </c>
      <c r="AN864" s="14">
        <v>142.63999999999999</v>
      </c>
      <c r="AO864" s="14">
        <v>54.99</v>
      </c>
      <c r="AP864" s="14">
        <v>20600</v>
      </c>
      <c r="AQ864" s="14">
        <v>20520</v>
      </c>
      <c r="AR864" s="14">
        <v>23000</v>
      </c>
      <c r="AS864" s="14">
        <v>18500</v>
      </c>
      <c r="AT864" s="14">
        <v>20014</v>
      </c>
      <c r="AU864" s="14">
        <v>13</v>
      </c>
      <c r="AV864" s="14">
        <v>290.12</v>
      </c>
      <c r="AW864" s="14">
        <v>25.25</v>
      </c>
      <c r="AX864" s="14">
        <v>2.3199999999999998</v>
      </c>
      <c r="AY864" s="14" t="b">
        <v>0</v>
      </c>
    </row>
    <row r="865" spans="1:51" hidden="1" x14ac:dyDescent="0.3">
      <c r="A865" t="str">
        <f>CONCATENATE(I865,E865,LEFT(G865,10))</f>
        <v>HFA808LCLK2026-02-25</v>
      </c>
      <c r="B865" s="14" t="s">
        <v>3564</v>
      </c>
      <c r="C865" s="14" t="s">
        <v>336</v>
      </c>
      <c r="D865" s="14" t="s">
        <v>337</v>
      </c>
      <c r="E865" s="14" t="s">
        <v>87</v>
      </c>
      <c r="F865" s="14" t="s">
        <v>43</v>
      </c>
      <c r="G865" s="14" t="s">
        <v>3565</v>
      </c>
      <c r="H865" s="14" t="s">
        <v>371</v>
      </c>
      <c r="I865" s="14" t="s">
        <v>119</v>
      </c>
      <c r="J865" s="14" t="s">
        <v>83</v>
      </c>
      <c r="K865" s="14" t="s">
        <v>340</v>
      </c>
      <c r="L865" s="14" t="s">
        <v>341</v>
      </c>
      <c r="M865" s="16" t="s">
        <v>1352</v>
      </c>
      <c r="N865" s="14"/>
      <c r="O865" s="14" t="s">
        <v>732</v>
      </c>
      <c r="P865" s="14">
        <v>130</v>
      </c>
      <c r="Q865" s="14">
        <v>2</v>
      </c>
      <c r="R865" s="14">
        <v>3500</v>
      </c>
      <c r="S865" s="14" t="s">
        <v>3566</v>
      </c>
      <c r="T865" s="14" t="s">
        <v>3567</v>
      </c>
      <c r="U865" s="14">
        <v>0.69138888888888805</v>
      </c>
      <c r="V865" s="14">
        <v>0.875</v>
      </c>
      <c r="W865" s="14">
        <v>596</v>
      </c>
      <c r="X865" s="14">
        <v>80</v>
      </c>
      <c r="Y865" s="14">
        <v>516</v>
      </c>
      <c r="Z865" s="14">
        <v>1804</v>
      </c>
      <c r="AA865" s="14">
        <v>265</v>
      </c>
      <c r="AB865" s="14">
        <v>262</v>
      </c>
      <c r="AC865" s="14">
        <v>1233</v>
      </c>
      <c r="AD865" s="14">
        <v>44</v>
      </c>
      <c r="AE865" s="14">
        <v>2400</v>
      </c>
      <c r="AF865" s="14">
        <v>5000</v>
      </c>
      <c r="AG865" s="14">
        <v>1883</v>
      </c>
      <c r="AH865" s="14">
        <v>0</v>
      </c>
      <c r="AI865" s="14">
        <v>40</v>
      </c>
      <c r="AJ865" s="14">
        <v>189</v>
      </c>
      <c r="AK865" s="14" t="s">
        <v>3565</v>
      </c>
      <c r="AL865" s="14" t="s">
        <v>3568</v>
      </c>
      <c r="AM865" s="14">
        <v>162.11000000000001</v>
      </c>
      <c r="AN865" s="14">
        <v>142.63999999999999</v>
      </c>
      <c r="AO865" s="14">
        <v>54.99</v>
      </c>
      <c r="AP865" s="14">
        <v>19400</v>
      </c>
      <c r="AQ865" s="14">
        <v>19320</v>
      </c>
      <c r="AR865" s="14">
        <v>23000</v>
      </c>
      <c r="AS865" s="14">
        <v>17000</v>
      </c>
      <c r="AT865" s="14">
        <v>18804</v>
      </c>
      <c r="AU865" s="14">
        <v>6</v>
      </c>
      <c r="AV865" s="14">
        <v>256.48</v>
      </c>
      <c r="AW865" s="14">
        <v>38.409999999999997</v>
      </c>
      <c r="AX865" s="14">
        <v>2.15</v>
      </c>
      <c r="AY865" s="14" t="b">
        <v>0</v>
      </c>
    </row>
    <row r="866" spans="1:51" hidden="1" x14ac:dyDescent="0.3">
      <c r="A866" t="str">
        <f>CONCATENATE(I866,E866,LEFT(G866,10))</f>
        <v>HFA808LCLK2026-02-26</v>
      </c>
      <c r="B866" s="14" t="s">
        <v>3454</v>
      </c>
      <c r="C866" s="14" t="s">
        <v>336</v>
      </c>
      <c r="D866" s="14" t="s">
        <v>337</v>
      </c>
      <c r="E866" s="14" t="s">
        <v>87</v>
      </c>
      <c r="F866" s="14" t="s">
        <v>43</v>
      </c>
      <c r="G866" s="14" t="s">
        <v>3455</v>
      </c>
      <c r="H866" s="14" t="s">
        <v>339</v>
      </c>
      <c r="I866" s="14" t="s">
        <v>119</v>
      </c>
      <c r="J866" s="14" t="s">
        <v>83</v>
      </c>
      <c r="K866" s="14" t="s">
        <v>340</v>
      </c>
      <c r="L866" s="14" t="s">
        <v>341</v>
      </c>
      <c r="M866" s="16" t="s">
        <v>1352</v>
      </c>
      <c r="N866" s="14"/>
      <c r="O866" s="14" t="s">
        <v>732</v>
      </c>
      <c r="P866" s="14">
        <v>130</v>
      </c>
      <c r="Q866" s="14">
        <v>2</v>
      </c>
      <c r="R866" s="14">
        <v>4600</v>
      </c>
      <c r="S866" s="14" t="s">
        <v>3456</v>
      </c>
      <c r="T866" s="14" t="s">
        <v>3457</v>
      </c>
      <c r="U866" s="14">
        <v>0.67833333333333301</v>
      </c>
      <c r="V866" s="14">
        <v>0.911944444444444</v>
      </c>
      <c r="W866" s="14">
        <v>561</v>
      </c>
      <c r="X866" s="14">
        <v>80</v>
      </c>
      <c r="Y866" s="14">
        <v>481</v>
      </c>
      <c r="Z866" s="14">
        <v>1839</v>
      </c>
      <c r="AA866" s="14">
        <v>255</v>
      </c>
      <c r="AB866" s="14">
        <v>271</v>
      </c>
      <c r="AC866" s="14">
        <v>1268</v>
      </c>
      <c r="AD866" s="14">
        <v>45</v>
      </c>
      <c r="AE866" s="14">
        <v>2400</v>
      </c>
      <c r="AF866" s="14">
        <v>5000</v>
      </c>
      <c r="AG866" s="14">
        <v>1772</v>
      </c>
      <c r="AH866" s="14">
        <v>0</v>
      </c>
      <c r="AI866" s="14">
        <v>36</v>
      </c>
      <c r="AJ866" s="14">
        <v>188</v>
      </c>
      <c r="AK866" s="14" t="s">
        <v>3455</v>
      </c>
      <c r="AL866" s="14" t="s">
        <v>3458</v>
      </c>
      <c r="AM866" s="14">
        <v>162.11000000000001</v>
      </c>
      <c r="AN866" s="14">
        <v>142.63999999999999</v>
      </c>
      <c r="AO866" s="14">
        <v>54.99</v>
      </c>
      <c r="AP866" s="14">
        <v>20325</v>
      </c>
      <c r="AQ866" s="14">
        <v>20245</v>
      </c>
      <c r="AR866" s="14">
        <v>23000</v>
      </c>
      <c r="AS866" s="14">
        <v>17925</v>
      </c>
      <c r="AT866" s="14">
        <v>19764</v>
      </c>
      <c r="AU866" s="14">
        <v>30</v>
      </c>
      <c r="AV866" s="14">
        <v>299.06</v>
      </c>
      <c r="AW866" s="14">
        <v>46.15</v>
      </c>
      <c r="AX866" s="14">
        <v>-3.22</v>
      </c>
      <c r="AY866" s="14" t="b">
        <v>0</v>
      </c>
    </row>
    <row r="867" spans="1:51" hidden="1" x14ac:dyDescent="0.3">
      <c r="A867" t="str">
        <f>CONCATENATE(I867,E867,LEFT(G867,10))</f>
        <v>HFA851LLHA2026-01-01</v>
      </c>
      <c r="B867" s="14" t="s">
        <v>4555</v>
      </c>
      <c r="C867" s="14" t="s">
        <v>336</v>
      </c>
      <c r="D867" s="14" t="s">
        <v>337</v>
      </c>
      <c r="E867" s="14" t="s">
        <v>43</v>
      </c>
      <c r="F867" s="14" t="s">
        <v>69</v>
      </c>
      <c r="G867" s="14" t="s">
        <v>4556</v>
      </c>
      <c r="H867" s="14" t="s">
        <v>357</v>
      </c>
      <c r="I867" s="14" t="s">
        <v>66</v>
      </c>
      <c r="J867" s="14" t="s">
        <v>87</v>
      </c>
      <c r="K867" s="14" t="s">
        <v>349</v>
      </c>
      <c r="L867" s="14" t="s">
        <v>341</v>
      </c>
      <c r="M867" s="16" t="s">
        <v>4557</v>
      </c>
      <c r="N867" s="14" t="s">
        <v>359</v>
      </c>
      <c r="O867" s="14" t="s">
        <v>4558</v>
      </c>
      <c r="P867" s="14">
        <v>50</v>
      </c>
      <c r="Q867" s="14">
        <v>2</v>
      </c>
      <c r="R867" s="14">
        <v>2200</v>
      </c>
      <c r="S867" s="14" t="s">
        <v>4559</v>
      </c>
      <c r="T867" s="14" t="s">
        <v>4560</v>
      </c>
      <c r="U867" s="14">
        <v>1.0263888888888799</v>
      </c>
      <c r="V867" s="14">
        <v>1.18444444444444</v>
      </c>
      <c r="W867" s="14">
        <v>715</v>
      </c>
      <c r="X867" s="14">
        <v>50</v>
      </c>
      <c r="Y867" s="14">
        <v>665</v>
      </c>
      <c r="Z867" s="14">
        <v>1415</v>
      </c>
      <c r="AA867" s="14">
        <v>256</v>
      </c>
      <c r="AB867" s="14">
        <v>247</v>
      </c>
      <c r="AC867" s="14">
        <v>871</v>
      </c>
      <c r="AD867" s="14">
        <v>41</v>
      </c>
      <c r="AE867" s="14">
        <v>2130</v>
      </c>
      <c r="AF867" s="14">
        <v>5000</v>
      </c>
      <c r="AG867" s="14">
        <v>2261</v>
      </c>
      <c r="AH867" s="14">
        <v>0</v>
      </c>
      <c r="AI867" s="14">
        <v>53</v>
      </c>
      <c r="AJ867" s="14">
        <v>173</v>
      </c>
      <c r="AK867" s="14" t="s">
        <v>4556</v>
      </c>
      <c r="AL867" s="14" t="s">
        <v>4561</v>
      </c>
      <c r="AM867" s="14">
        <v>200.62</v>
      </c>
      <c r="AN867" s="14">
        <v>171.59</v>
      </c>
      <c r="AO867" s="14">
        <v>61.53</v>
      </c>
      <c r="AP867" s="14">
        <v>17555</v>
      </c>
      <c r="AQ867" s="14">
        <v>17505</v>
      </c>
      <c r="AR867" s="14">
        <v>23000</v>
      </c>
      <c r="AS867" s="14">
        <v>15425</v>
      </c>
      <c r="AT867" s="14">
        <v>16840</v>
      </c>
      <c r="AU867" s="14">
        <v>-20</v>
      </c>
      <c r="AV867" s="14">
        <v>258.68</v>
      </c>
      <c r="AW867" s="14">
        <v>37.53</v>
      </c>
      <c r="AX867" s="14">
        <v>-0.64</v>
      </c>
      <c r="AY867" s="14" t="b">
        <v>0</v>
      </c>
    </row>
    <row r="868" spans="1:51" hidden="1" x14ac:dyDescent="0.3">
      <c r="A868" t="str">
        <f>CONCATENATE(I868,E868,LEFT(G868,10))</f>
        <v>HFA851LLHA2026-01-02</v>
      </c>
      <c r="B868" s="14" t="s">
        <v>6226</v>
      </c>
      <c r="C868" s="14" t="s">
        <v>336</v>
      </c>
      <c r="D868" s="14" t="s">
        <v>337</v>
      </c>
      <c r="E868" s="14" t="s">
        <v>43</v>
      </c>
      <c r="F868" s="14" t="s">
        <v>69</v>
      </c>
      <c r="G868" s="14" t="s">
        <v>6227</v>
      </c>
      <c r="H868" s="14" t="s">
        <v>339</v>
      </c>
      <c r="I868" s="14" t="s">
        <v>66</v>
      </c>
      <c r="J868" s="14" t="s">
        <v>87</v>
      </c>
      <c r="K868" s="14" t="s">
        <v>349</v>
      </c>
      <c r="L868" s="14" t="s">
        <v>341</v>
      </c>
      <c r="M868" s="16" t="s">
        <v>6228</v>
      </c>
      <c r="N868" s="14"/>
      <c r="O868" s="14" t="s">
        <v>451</v>
      </c>
      <c r="P868" s="14">
        <v>140</v>
      </c>
      <c r="Q868" s="14">
        <v>2</v>
      </c>
      <c r="R868" s="14">
        <v>5100</v>
      </c>
      <c r="S868" s="14" t="s">
        <v>6229</v>
      </c>
      <c r="T868" s="14" t="s">
        <v>6230</v>
      </c>
      <c r="U868" s="14">
        <v>0.88805555555555504</v>
      </c>
      <c r="V868" s="14">
        <v>0.98166666666666602</v>
      </c>
      <c r="W868" s="14">
        <v>717</v>
      </c>
      <c r="X868" s="14">
        <v>50</v>
      </c>
      <c r="Y868" s="14">
        <v>667</v>
      </c>
      <c r="Z868" s="14">
        <v>695</v>
      </c>
      <c r="AA868" s="14">
        <v>286</v>
      </c>
      <c r="AB868" s="14">
        <v>265</v>
      </c>
      <c r="AC868" s="14">
        <v>100</v>
      </c>
      <c r="AD868" s="14">
        <v>44</v>
      </c>
      <c r="AE868" s="14">
        <v>1412</v>
      </c>
      <c r="AF868" s="14">
        <v>5000</v>
      </c>
      <c r="AG868" s="14">
        <v>2265</v>
      </c>
      <c r="AH868" s="14">
        <v>0</v>
      </c>
      <c r="AI868" s="14">
        <v>52</v>
      </c>
      <c r="AJ868" s="14">
        <v>112</v>
      </c>
      <c r="AK868" s="14" t="s">
        <v>6227</v>
      </c>
      <c r="AL868" s="14" t="s">
        <v>6231</v>
      </c>
      <c r="AM868" s="14">
        <v>200.62</v>
      </c>
      <c r="AN868" s="14">
        <v>171.59</v>
      </c>
      <c r="AO868" s="14">
        <v>61.53</v>
      </c>
      <c r="AP868" s="14">
        <v>19837</v>
      </c>
      <c r="AQ868" s="14">
        <v>19787</v>
      </c>
      <c r="AR868" s="14">
        <v>23000</v>
      </c>
      <c r="AS868" s="14">
        <v>18425</v>
      </c>
      <c r="AT868" s="14">
        <v>19120</v>
      </c>
      <c r="AU868" s="14">
        <v>-17</v>
      </c>
      <c r="AV868" s="14">
        <v>286.62</v>
      </c>
      <c r="AW868" s="14">
        <v>25.15</v>
      </c>
      <c r="AX868" s="14">
        <v>-1.72</v>
      </c>
      <c r="AY868" s="14" t="b">
        <v>0</v>
      </c>
    </row>
    <row r="869" spans="1:51" hidden="1" x14ac:dyDescent="0.3">
      <c r="A869" t="str">
        <f>CONCATENATE(I869,E869,LEFT(G869,10))</f>
        <v>HFA851LLHA2026-01-04</v>
      </c>
      <c r="B869" s="14" t="s">
        <v>5398</v>
      </c>
      <c r="C869" s="14" t="s">
        <v>336</v>
      </c>
      <c r="D869" s="14" t="s">
        <v>337</v>
      </c>
      <c r="E869" s="14" t="s">
        <v>43</v>
      </c>
      <c r="F869" s="14" t="s">
        <v>69</v>
      </c>
      <c r="G869" s="14" t="s">
        <v>5399</v>
      </c>
      <c r="H869" s="14" t="s">
        <v>393</v>
      </c>
      <c r="I869" s="14" t="s">
        <v>66</v>
      </c>
      <c r="J869" s="14" t="s">
        <v>87</v>
      </c>
      <c r="K869" s="14" t="s">
        <v>349</v>
      </c>
      <c r="L869" s="14" t="s">
        <v>341</v>
      </c>
      <c r="M869" s="16" t="s">
        <v>5400</v>
      </c>
      <c r="N869" s="14"/>
      <c r="O869" s="14" t="s">
        <v>5401</v>
      </c>
      <c r="P869" s="14">
        <v>50</v>
      </c>
      <c r="Q869" s="14">
        <v>2</v>
      </c>
      <c r="R869" s="14">
        <v>5600</v>
      </c>
      <c r="S869" s="14" t="s">
        <v>5402</v>
      </c>
      <c r="T869" s="14" t="s">
        <v>5403</v>
      </c>
      <c r="U869" s="14">
        <v>0.88361111111111101</v>
      </c>
      <c r="V869" s="14">
        <v>1.0741666666666601</v>
      </c>
      <c r="W869" s="14">
        <v>734</v>
      </c>
      <c r="X869" s="14">
        <v>50</v>
      </c>
      <c r="Y869" s="14">
        <v>684</v>
      </c>
      <c r="Z869" s="14">
        <v>1086</v>
      </c>
      <c r="AA869" s="14">
        <v>292</v>
      </c>
      <c r="AB869" s="14">
        <v>273</v>
      </c>
      <c r="AC869" s="14">
        <v>476</v>
      </c>
      <c r="AD869" s="14">
        <v>46</v>
      </c>
      <c r="AE869" s="14">
        <v>1820</v>
      </c>
      <c r="AF869" s="14">
        <v>5000</v>
      </c>
      <c r="AG869" s="14">
        <v>2319</v>
      </c>
      <c r="AH869" s="14">
        <v>0</v>
      </c>
      <c r="AI869" s="14">
        <v>50</v>
      </c>
      <c r="AJ869" s="14">
        <v>139</v>
      </c>
      <c r="AK869" s="14" t="s">
        <v>5399</v>
      </c>
      <c r="AL869" s="14" t="s">
        <v>5404</v>
      </c>
      <c r="AM869" s="14">
        <v>200.62</v>
      </c>
      <c r="AN869" s="14">
        <v>171.59</v>
      </c>
      <c r="AO869" s="14">
        <v>61.53</v>
      </c>
      <c r="AP869" s="14">
        <v>20731</v>
      </c>
      <c r="AQ869" s="14">
        <v>20681</v>
      </c>
      <c r="AR869" s="14">
        <v>23000</v>
      </c>
      <c r="AS869" s="14">
        <v>18911</v>
      </c>
      <c r="AT869" s="14">
        <v>19997</v>
      </c>
      <c r="AU869" s="14">
        <v>2</v>
      </c>
      <c r="AV869" s="14">
        <v>224.21</v>
      </c>
      <c r="AW869" s="14">
        <v>14.45</v>
      </c>
      <c r="AX869" s="14">
        <v>4.79</v>
      </c>
      <c r="AY869" s="14" t="b">
        <v>0</v>
      </c>
    </row>
    <row r="870" spans="1:51" hidden="1" x14ac:dyDescent="0.3">
      <c r="A870" t="str">
        <f>CONCATENATE(I870,E870,LEFT(G870,10))</f>
        <v>HFA851LLHA2026-01-05</v>
      </c>
      <c r="B870" s="14" t="s">
        <v>1711</v>
      </c>
      <c r="C870" s="14" t="s">
        <v>336</v>
      </c>
      <c r="D870" s="14" t="s">
        <v>337</v>
      </c>
      <c r="E870" s="14" t="s">
        <v>43</v>
      </c>
      <c r="F870" s="14" t="s">
        <v>69</v>
      </c>
      <c r="G870" s="14" t="s">
        <v>1712</v>
      </c>
      <c r="H870" s="14" t="s">
        <v>339</v>
      </c>
      <c r="I870" s="14" t="s">
        <v>66</v>
      </c>
      <c r="J870" s="14" t="s">
        <v>87</v>
      </c>
      <c r="K870" s="14" t="s">
        <v>349</v>
      </c>
      <c r="L870" s="14" t="s">
        <v>341</v>
      </c>
      <c r="M870" s="16" t="s">
        <v>1713</v>
      </c>
      <c r="N870" s="14"/>
      <c r="O870" s="14" t="s">
        <v>596</v>
      </c>
      <c r="P870" s="14">
        <v>50</v>
      </c>
      <c r="Q870" s="14">
        <v>3</v>
      </c>
      <c r="R870" s="14">
        <v>4100</v>
      </c>
      <c r="S870" s="14" t="s">
        <v>1714</v>
      </c>
      <c r="T870" s="14" t="s">
        <v>1715</v>
      </c>
      <c r="U870" s="14">
        <v>0.81972222222222202</v>
      </c>
      <c r="V870" s="14">
        <v>0.98027777777777703</v>
      </c>
      <c r="W870" s="14">
        <v>653</v>
      </c>
      <c r="X870" s="14">
        <v>50</v>
      </c>
      <c r="Y870" s="14">
        <v>603</v>
      </c>
      <c r="Z870" s="14">
        <v>673</v>
      </c>
      <c r="AA870" s="14">
        <v>274</v>
      </c>
      <c r="AB870" s="14">
        <v>257</v>
      </c>
      <c r="AC870" s="14">
        <v>100</v>
      </c>
      <c r="AD870" s="14">
        <v>43</v>
      </c>
      <c r="AE870" s="14">
        <v>1327</v>
      </c>
      <c r="AF870" s="14">
        <v>5000</v>
      </c>
      <c r="AG870" s="14">
        <v>2065</v>
      </c>
      <c r="AH870" s="14">
        <v>0</v>
      </c>
      <c r="AI870" s="14">
        <v>50</v>
      </c>
      <c r="AJ870" s="14">
        <v>111</v>
      </c>
      <c r="AK870" s="14" t="s">
        <v>1712</v>
      </c>
      <c r="AL870" s="14" t="s">
        <v>1716</v>
      </c>
      <c r="AM870" s="14">
        <v>200.62</v>
      </c>
      <c r="AN870" s="14">
        <v>171.59</v>
      </c>
      <c r="AO870" s="14">
        <v>61.53</v>
      </c>
      <c r="AP870" s="14">
        <v>18752</v>
      </c>
      <c r="AQ870" s="14">
        <v>18702</v>
      </c>
      <c r="AR870" s="14">
        <v>23000</v>
      </c>
      <c r="AS870" s="14">
        <v>17425</v>
      </c>
      <c r="AT870" s="14">
        <v>18098</v>
      </c>
      <c r="AU870" s="14">
        <v>2</v>
      </c>
      <c r="AV870" s="14">
        <v>215.45</v>
      </c>
      <c r="AW870" s="14">
        <v>8.6199999999999992</v>
      </c>
      <c r="AX870" s="14">
        <v>6.87</v>
      </c>
      <c r="AY870" s="14" t="b">
        <v>0</v>
      </c>
    </row>
    <row r="871" spans="1:51" hidden="1" x14ac:dyDescent="0.3">
      <c r="A871" t="str">
        <f>CONCATENATE(I871,E871,LEFT(G871,10))</f>
        <v>HFA851LLHA2026-01-07</v>
      </c>
      <c r="B871" s="14" t="s">
        <v>1440</v>
      </c>
      <c r="C871" s="14" t="s">
        <v>336</v>
      </c>
      <c r="D871" s="14" t="s">
        <v>337</v>
      </c>
      <c r="E871" s="14" t="s">
        <v>43</v>
      </c>
      <c r="F871" s="14" t="s">
        <v>69</v>
      </c>
      <c r="G871" s="14" t="s">
        <v>1441</v>
      </c>
      <c r="H871" s="14" t="s">
        <v>339</v>
      </c>
      <c r="I871" s="14" t="s">
        <v>66</v>
      </c>
      <c r="J871" s="14" t="s">
        <v>87</v>
      </c>
      <c r="K871" s="14" t="s">
        <v>349</v>
      </c>
      <c r="L871" s="14" t="s">
        <v>341</v>
      </c>
      <c r="M871" s="16" t="s">
        <v>1442</v>
      </c>
      <c r="N871" s="14"/>
      <c r="O871" s="14" t="s">
        <v>1443</v>
      </c>
      <c r="P871" s="14">
        <v>50</v>
      </c>
      <c r="Q871" s="14">
        <v>2</v>
      </c>
      <c r="R871" s="14">
        <v>5000</v>
      </c>
      <c r="S871" s="14" t="s">
        <v>1444</v>
      </c>
      <c r="T871" s="14" t="s">
        <v>1445</v>
      </c>
      <c r="U871" s="14">
        <v>0.86194444444444396</v>
      </c>
      <c r="V871" s="14">
        <v>0.968055555555555</v>
      </c>
      <c r="W871" s="14">
        <v>699</v>
      </c>
      <c r="X871" s="14">
        <v>50</v>
      </c>
      <c r="Y871" s="14">
        <v>649</v>
      </c>
      <c r="Z871" s="14">
        <v>678</v>
      </c>
      <c r="AA871" s="14">
        <v>270</v>
      </c>
      <c r="AB871" s="14">
        <v>264</v>
      </c>
      <c r="AC871" s="14">
        <v>100</v>
      </c>
      <c r="AD871" s="14">
        <v>44</v>
      </c>
      <c r="AE871" s="14">
        <v>1377</v>
      </c>
      <c r="AF871" s="14">
        <v>5000</v>
      </c>
      <c r="AG871" s="14">
        <v>2210</v>
      </c>
      <c r="AH871" s="14">
        <v>0</v>
      </c>
      <c r="AI871" s="14">
        <v>53</v>
      </c>
      <c r="AJ871" s="14">
        <v>113</v>
      </c>
      <c r="AK871" s="14" t="s">
        <v>1441</v>
      </c>
      <c r="AL871" s="14" t="s">
        <v>1446</v>
      </c>
      <c r="AM871" s="14">
        <v>200.62</v>
      </c>
      <c r="AN871" s="14">
        <v>171.59</v>
      </c>
      <c r="AO871" s="14">
        <v>61.53</v>
      </c>
      <c r="AP871" s="14">
        <v>19702</v>
      </c>
      <c r="AQ871" s="14">
        <v>19652</v>
      </c>
      <c r="AR871" s="14">
        <v>23000</v>
      </c>
      <c r="AS871" s="14">
        <v>18325</v>
      </c>
      <c r="AT871" s="14">
        <v>19003</v>
      </c>
      <c r="AU871" s="14">
        <v>-17</v>
      </c>
      <c r="AV871" s="14">
        <v>284.58</v>
      </c>
      <c r="AW871" s="14">
        <v>29.05</v>
      </c>
      <c r="AX871" s="14">
        <v>5.69</v>
      </c>
      <c r="AY871" s="14" t="b">
        <v>0</v>
      </c>
    </row>
    <row r="872" spans="1:51" hidden="1" x14ac:dyDescent="0.3">
      <c r="A872" t="str">
        <f>CONCATENATE(I872,E872,LEFT(G872,10))</f>
        <v>HFA851LLHA2026-01-08</v>
      </c>
      <c r="B872" s="14" t="s">
        <v>2907</v>
      </c>
      <c r="C872" s="14" t="s">
        <v>336</v>
      </c>
      <c r="D872" s="14" t="s">
        <v>337</v>
      </c>
      <c r="E872" s="14" t="s">
        <v>43</v>
      </c>
      <c r="F872" s="14" t="s">
        <v>69</v>
      </c>
      <c r="G872" s="14" t="s">
        <v>2908</v>
      </c>
      <c r="H872" s="14" t="s">
        <v>339</v>
      </c>
      <c r="I872" s="14" t="s">
        <v>66</v>
      </c>
      <c r="J872" s="14" t="s">
        <v>87</v>
      </c>
      <c r="K872" s="14" t="s">
        <v>349</v>
      </c>
      <c r="L872" s="14" t="s">
        <v>341</v>
      </c>
      <c r="M872" s="16" t="s">
        <v>2909</v>
      </c>
      <c r="N872" s="14"/>
      <c r="O872" s="14" t="s">
        <v>596</v>
      </c>
      <c r="P872" s="14">
        <v>50</v>
      </c>
      <c r="Q872" s="14">
        <v>2</v>
      </c>
      <c r="R872" s="14">
        <v>5000</v>
      </c>
      <c r="S872" s="14" t="s">
        <v>2910</v>
      </c>
      <c r="T872" s="14" t="s">
        <v>2911</v>
      </c>
      <c r="U872" s="14">
        <v>0.83527777777777701</v>
      </c>
      <c r="V872" s="14">
        <v>1.01</v>
      </c>
      <c r="W872" s="14">
        <v>662</v>
      </c>
      <c r="X872" s="14">
        <v>50</v>
      </c>
      <c r="Y872" s="14">
        <v>612</v>
      </c>
      <c r="Z872" s="14">
        <v>958</v>
      </c>
      <c r="AA872" s="14">
        <v>268</v>
      </c>
      <c r="AB872" s="14">
        <v>267</v>
      </c>
      <c r="AC872" s="14">
        <v>379</v>
      </c>
      <c r="AD872" s="14">
        <v>44</v>
      </c>
      <c r="AE872" s="14">
        <v>1620</v>
      </c>
      <c r="AF872" s="14">
        <v>5000</v>
      </c>
      <c r="AG872" s="14">
        <v>2091</v>
      </c>
      <c r="AH872" s="14">
        <v>0</v>
      </c>
      <c r="AI872" s="14">
        <v>50</v>
      </c>
      <c r="AJ872" s="14">
        <v>134</v>
      </c>
      <c r="AK872" s="14" t="s">
        <v>2908</v>
      </c>
      <c r="AL872" s="14" t="s">
        <v>2912</v>
      </c>
      <c r="AM872" s="14">
        <v>200.62</v>
      </c>
      <c r="AN872" s="14">
        <v>171.59</v>
      </c>
      <c r="AO872" s="14">
        <v>61.53</v>
      </c>
      <c r="AP872" s="14">
        <v>19945</v>
      </c>
      <c r="AQ872" s="14">
        <v>19895</v>
      </c>
      <c r="AR872" s="14">
        <v>23000</v>
      </c>
      <c r="AS872" s="14">
        <v>18325</v>
      </c>
      <c r="AT872" s="14">
        <v>19283</v>
      </c>
      <c r="AU872" s="14">
        <v>1</v>
      </c>
      <c r="AV872" s="14">
        <v>214.01</v>
      </c>
      <c r="AW872" s="14">
        <v>19.739999999999998</v>
      </c>
      <c r="AX872" s="14">
        <v>7.44</v>
      </c>
      <c r="AY872" s="14" t="b">
        <v>0</v>
      </c>
    </row>
    <row r="873" spans="1:51" hidden="1" x14ac:dyDescent="0.3">
      <c r="A873" t="str">
        <f>CONCATENATE(I873,E873,LEFT(G873,10))</f>
        <v>HFA851LLHA2026-01-11</v>
      </c>
      <c r="B873" s="14" t="s">
        <v>2245</v>
      </c>
      <c r="C873" s="14" t="s">
        <v>336</v>
      </c>
      <c r="D873" s="14" t="s">
        <v>337</v>
      </c>
      <c r="E873" s="14" t="s">
        <v>43</v>
      </c>
      <c r="F873" s="14" t="s">
        <v>69</v>
      </c>
      <c r="G873" s="14" t="s">
        <v>2246</v>
      </c>
      <c r="H873" s="14" t="s">
        <v>371</v>
      </c>
      <c r="I873" s="14" t="s">
        <v>66</v>
      </c>
      <c r="J873" s="14" t="s">
        <v>87</v>
      </c>
      <c r="K873" s="14" t="s">
        <v>349</v>
      </c>
      <c r="L873" s="14" t="s">
        <v>341</v>
      </c>
      <c r="M873" s="16" t="s">
        <v>2247</v>
      </c>
      <c r="N873" s="14"/>
      <c r="O873" s="14" t="s">
        <v>596</v>
      </c>
      <c r="P873" s="14">
        <v>50</v>
      </c>
      <c r="Q873" s="14">
        <v>2</v>
      </c>
      <c r="R873" s="14">
        <v>4400</v>
      </c>
      <c r="S873" s="14" t="s">
        <v>2248</v>
      </c>
      <c r="T873" s="14" t="s">
        <v>2249</v>
      </c>
      <c r="U873" s="14">
        <v>0.79749999999999999</v>
      </c>
      <c r="V873" s="14">
        <v>0.90333333333333299</v>
      </c>
      <c r="W873" s="14">
        <v>699</v>
      </c>
      <c r="X873" s="14">
        <v>50</v>
      </c>
      <c r="Y873" s="14">
        <v>649</v>
      </c>
      <c r="Z873" s="14">
        <v>961</v>
      </c>
      <c r="AA873" s="14">
        <v>272</v>
      </c>
      <c r="AB873" s="14">
        <v>263</v>
      </c>
      <c r="AC873" s="14">
        <v>382</v>
      </c>
      <c r="AD873" s="14">
        <v>44</v>
      </c>
      <c r="AE873" s="14">
        <v>1660</v>
      </c>
      <c r="AF873" s="14">
        <v>5000</v>
      </c>
      <c r="AG873" s="14">
        <v>2208</v>
      </c>
      <c r="AH873" s="14">
        <v>0</v>
      </c>
      <c r="AI873" s="14">
        <v>51</v>
      </c>
      <c r="AJ873" s="14">
        <v>133</v>
      </c>
      <c r="AK873" s="14" t="s">
        <v>2246</v>
      </c>
      <c r="AL873" s="14" t="s">
        <v>2250</v>
      </c>
      <c r="AM873" s="14">
        <v>200.62</v>
      </c>
      <c r="AN873" s="14">
        <v>171.59</v>
      </c>
      <c r="AO873" s="14">
        <v>61.53</v>
      </c>
      <c r="AP873" s="14">
        <v>19560</v>
      </c>
      <c r="AQ873" s="14">
        <v>19510</v>
      </c>
      <c r="AR873" s="14">
        <v>23000</v>
      </c>
      <c r="AS873" s="14">
        <v>17900</v>
      </c>
      <c r="AT873" s="14">
        <v>18861</v>
      </c>
      <c r="AU873" s="14">
        <v>-5</v>
      </c>
      <c r="AV873" s="14">
        <v>234.2</v>
      </c>
      <c r="AW873" s="14">
        <v>28.09</v>
      </c>
      <c r="AX873" s="14">
        <v>1.76</v>
      </c>
      <c r="AY873" s="14" t="b">
        <v>0</v>
      </c>
    </row>
    <row r="874" spans="1:51" hidden="1" x14ac:dyDescent="0.3">
      <c r="A874" t="str">
        <f>CONCATENATE(I874,E874,LEFT(G874,10))</f>
        <v>HFA851LLHA2026-01-14</v>
      </c>
      <c r="B874" s="14" t="s">
        <v>5751</v>
      </c>
      <c r="C874" s="14" t="s">
        <v>336</v>
      </c>
      <c r="D874" s="14" t="s">
        <v>337</v>
      </c>
      <c r="E874" s="14" t="s">
        <v>43</v>
      </c>
      <c r="F874" s="14" t="s">
        <v>69</v>
      </c>
      <c r="G874" s="14" t="s">
        <v>5752</v>
      </c>
      <c r="H874" s="14" t="s">
        <v>339</v>
      </c>
      <c r="I874" s="14" t="s">
        <v>66</v>
      </c>
      <c r="J874" s="14" t="s">
        <v>87</v>
      </c>
      <c r="K874" s="14" t="s">
        <v>349</v>
      </c>
      <c r="L874" s="14" t="s">
        <v>341</v>
      </c>
      <c r="M874" s="16" t="s">
        <v>5753</v>
      </c>
      <c r="N874" s="14"/>
      <c r="O874" s="14" t="s">
        <v>451</v>
      </c>
      <c r="P874" s="14">
        <v>100</v>
      </c>
      <c r="Q874" s="14">
        <v>2</v>
      </c>
      <c r="R874" s="14">
        <v>6600</v>
      </c>
      <c r="S874" s="14" t="s">
        <v>5754</v>
      </c>
      <c r="T874" s="14" t="s">
        <v>5755</v>
      </c>
      <c r="U874" s="14">
        <v>0.90416666666666601</v>
      </c>
      <c r="V874" s="14">
        <v>0.975833333333333</v>
      </c>
      <c r="W874" s="14">
        <v>800</v>
      </c>
      <c r="X874" s="14">
        <v>50</v>
      </c>
      <c r="Y874" s="14">
        <v>750</v>
      </c>
      <c r="Z874" s="14">
        <v>711</v>
      </c>
      <c r="AA874" s="14">
        <v>286</v>
      </c>
      <c r="AB874" s="14">
        <v>279</v>
      </c>
      <c r="AC874" s="14">
        <v>100</v>
      </c>
      <c r="AD874" s="14">
        <v>46</v>
      </c>
      <c r="AE874" s="14">
        <v>1511</v>
      </c>
      <c r="AF874" s="14">
        <v>5000</v>
      </c>
      <c r="AG874" s="14">
        <v>2529</v>
      </c>
      <c r="AH874" s="14">
        <v>0</v>
      </c>
      <c r="AI874" s="14">
        <v>56</v>
      </c>
      <c r="AJ874" s="14">
        <v>116</v>
      </c>
      <c r="AK874" s="14" t="s">
        <v>5752</v>
      </c>
      <c r="AL874" s="14" t="s">
        <v>5756</v>
      </c>
      <c r="AM874" s="14">
        <v>200.62</v>
      </c>
      <c r="AN874" s="14">
        <v>171.59</v>
      </c>
      <c r="AO874" s="14">
        <v>61.53</v>
      </c>
      <c r="AP874" s="14">
        <v>21436</v>
      </c>
      <c r="AQ874" s="14">
        <v>21386</v>
      </c>
      <c r="AR874" s="14">
        <v>23000</v>
      </c>
      <c r="AS874" s="14">
        <v>19925</v>
      </c>
      <c r="AT874" s="14">
        <v>20636</v>
      </c>
      <c r="AU874" s="14">
        <v>-33</v>
      </c>
      <c r="AV874" s="14">
        <v>310.61</v>
      </c>
      <c r="AW874" s="14">
        <v>40.61</v>
      </c>
      <c r="AX874" s="14">
        <v>-0.32</v>
      </c>
      <c r="AY874" s="14" t="b">
        <v>0</v>
      </c>
    </row>
    <row r="875" spans="1:51" hidden="1" x14ac:dyDescent="0.3">
      <c r="A875" t="str">
        <f>CONCATENATE(I875,E875,LEFT(G875,10))</f>
        <v>HFA851LLHA2026-01-15</v>
      </c>
      <c r="B875" s="14" t="s">
        <v>6184</v>
      </c>
      <c r="C875" s="14" t="s">
        <v>336</v>
      </c>
      <c r="D875" s="14" t="s">
        <v>337</v>
      </c>
      <c r="E875" s="14" t="s">
        <v>43</v>
      </c>
      <c r="F875" s="14" t="s">
        <v>69</v>
      </c>
      <c r="G875" s="14" t="s">
        <v>6185</v>
      </c>
      <c r="H875" s="14" t="s">
        <v>436</v>
      </c>
      <c r="I875" s="14" t="s">
        <v>66</v>
      </c>
      <c r="J875" s="14" t="s">
        <v>87</v>
      </c>
      <c r="K875" s="14" t="s">
        <v>349</v>
      </c>
      <c r="L875" s="14" t="s">
        <v>341</v>
      </c>
      <c r="M875" s="16" t="s">
        <v>6186</v>
      </c>
      <c r="N875" s="14" t="s">
        <v>359</v>
      </c>
      <c r="O875" s="14" t="s">
        <v>6187</v>
      </c>
      <c r="P875" s="14">
        <v>50</v>
      </c>
      <c r="Q875" s="14">
        <v>3</v>
      </c>
      <c r="R875" s="14">
        <v>3500</v>
      </c>
      <c r="S875" s="14" t="s">
        <v>6188</v>
      </c>
      <c r="T875" s="14" t="s">
        <v>6189</v>
      </c>
      <c r="U875" s="14">
        <v>0.87333333333333296</v>
      </c>
      <c r="V875" s="14">
        <v>1.0219444444444401</v>
      </c>
      <c r="W875" s="14">
        <v>720</v>
      </c>
      <c r="X875" s="14">
        <v>50</v>
      </c>
      <c r="Y875" s="14">
        <v>670</v>
      </c>
      <c r="Z875" s="14">
        <v>1500</v>
      </c>
      <c r="AA875" s="14">
        <v>283</v>
      </c>
      <c r="AB875" s="14">
        <v>258</v>
      </c>
      <c r="AC875" s="14">
        <v>916</v>
      </c>
      <c r="AD875" s="14">
        <v>43</v>
      </c>
      <c r="AE875" s="14">
        <v>2220</v>
      </c>
      <c r="AF875" s="14">
        <v>5000</v>
      </c>
      <c r="AG875" s="14">
        <v>2274</v>
      </c>
      <c r="AH875" s="14">
        <v>0</v>
      </c>
      <c r="AI875" s="14">
        <v>54</v>
      </c>
      <c r="AJ875" s="14">
        <v>181</v>
      </c>
      <c r="AK875" s="14" t="s">
        <v>6185</v>
      </c>
      <c r="AL875" s="14" t="s">
        <v>6190</v>
      </c>
      <c r="AM875" s="14">
        <v>200.62</v>
      </c>
      <c r="AN875" s="14">
        <v>171.59</v>
      </c>
      <c r="AO875" s="14">
        <v>61.53</v>
      </c>
      <c r="AP875" s="14">
        <v>18925</v>
      </c>
      <c r="AQ875" s="14">
        <v>18875</v>
      </c>
      <c r="AR875" s="14">
        <v>23000</v>
      </c>
      <c r="AS875" s="14">
        <v>16705</v>
      </c>
      <c r="AT875" s="14">
        <v>18205</v>
      </c>
      <c r="AU875" s="14">
        <v>-22</v>
      </c>
      <c r="AV875" s="14">
        <v>321.94</v>
      </c>
      <c r="AW875" s="14">
        <v>29.3</v>
      </c>
      <c r="AX875" s="14">
        <v>2.5</v>
      </c>
      <c r="AY875" s="14" t="b">
        <v>0</v>
      </c>
    </row>
    <row r="876" spans="1:51" hidden="1" x14ac:dyDescent="0.3">
      <c r="A876" t="str">
        <f>CONCATENATE(I876,E876,LEFT(G876,10))</f>
        <v>HFA851LLHA2026-01-16</v>
      </c>
      <c r="B876" s="14" t="s">
        <v>5018</v>
      </c>
      <c r="C876" s="14" t="s">
        <v>336</v>
      </c>
      <c r="D876" s="14" t="s">
        <v>337</v>
      </c>
      <c r="E876" s="14" t="s">
        <v>43</v>
      </c>
      <c r="F876" s="14" t="s">
        <v>69</v>
      </c>
      <c r="G876" s="14" t="s">
        <v>5019</v>
      </c>
      <c r="H876" s="14" t="s">
        <v>339</v>
      </c>
      <c r="I876" s="14" t="s">
        <v>66</v>
      </c>
      <c r="J876" s="14" t="s">
        <v>87</v>
      </c>
      <c r="K876" s="14" t="s">
        <v>349</v>
      </c>
      <c r="L876" s="14" t="s">
        <v>341</v>
      </c>
      <c r="M876" s="16" t="s">
        <v>5020</v>
      </c>
      <c r="N876" s="14"/>
      <c r="O876" s="14" t="s">
        <v>451</v>
      </c>
      <c r="P876" s="14">
        <v>140</v>
      </c>
      <c r="Q876" s="14">
        <v>2</v>
      </c>
      <c r="R876" s="14">
        <v>2700</v>
      </c>
      <c r="S876" s="14" t="s">
        <v>5021</v>
      </c>
      <c r="T876" s="14" t="s">
        <v>5022</v>
      </c>
      <c r="U876" s="14">
        <v>0.88222222222222202</v>
      </c>
      <c r="V876" s="14">
        <v>1.0458333333333301</v>
      </c>
      <c r="W876" s="14">
        <v>684</v>
      </c>
      <c r="X876" s="14">
        <v>50</v>
      </c>
      <c r="Y876" s="14">
        <v>634</v>
      </c>
      <c r="Z876" s="14">
        <v>816</v>
      </c>
      <c r="AA876" s="14">
        <v>272</v>
      </c>
      <c r="AB876" s="14">
        <v>247</v>
      </c>
      <c r="AC876" s="14">
        <v>256</v>
      </c>
      <c r="AD876" s="14">
        <v>41</v>
      </c>
      <c r="AE876" s="14">
        <v>1500</v>
      </c>
      <c r="AF876" s="14">
        <v>5000</v>
      </c>
      <c r="AG876" s="14">
        <v>2162</v>
      </c>
      <c r="AH876" s="14">
        <v>0</v>
      </c>
      <c r="AI876" s="14">
        <v>51</v>
      </c>
      <c r="AJ876" s="14">
        <v>124</v>
      </c>
      <c r="AK876" s="14" t="s">
        <v>5019</v>
      </c>
      <c r="AL876" s="14" t="s">
        <v>5023</v>
      </c>
      <c r="AM876" s="14">
        <v>200.62</v>
      </c>
      <c r="AN876" s="14">
        <v>171.59</v>
      </c>
      <c r="AO876" s="14">
        <v>61.53</v>
      </c>
      <c r="AP876" s="14">
        <v>17525</v>
      </c>
      <c r="AQ876" s="14">
        <v>17475</v>
      </c>
      <c r="AR876" s="14">
        <v>23000</v>
      </c>
      <c r="AS876" s="14">
        <v>16025</v>
      </c>
      <c r="AT876" s="14">
        <v>16841</v>
      </c>
      <c r="AU876" s="14">
        <v>-15</v>
      </c>
      <c r="AV876" s="14">
        <v>286.17</v>
      </c>
      <c r="AW876" s="14">
        <v>20.89</v>
      </c>
      <c r="AX876" s="14">
        <v>3.24</v>
      </c>
      <c r="AY876" s="14" t="b">
        <v>0</v>
      </c>
    </row>
    <row r="877" spans="1:51" hidden="1" x14ac:dyDescent="0.3">
      <c r="A877" t="str">
        <f>CONCATENATE(I877,E877,LEFT(G877,10))</f>
        <v>HFA851LLHA2026-01-18</v>
      </c>
      <c r="B877" s="14" t="s">
        <v>5580</v>
      </c>
      <c r="C877" s="14" t="s">
        <v>336</v>
      </c>
      <c r="D877" s="14" t="s">
        <v>337</v>
      </c>
      <c r="E877" s="14" t="s">
        <v>43</v>
      </c>
      <c r="F877" s="14" t="s">
        <v>69</v>
      </c>
      <c r="G877" s="14" t="s">
        <v>5581</v>
      </c>
      <c r="H877" s="14" t="s">
        <v>393</v>
      </c>
      <c r="I877" s="14" t="s">
        <v>66</v>
      </c>
      <c r="J877" s="14" t="s">
        <v>87</v>
      </c>
      <c r="K877" s="14" t="s">
        <v>349</v>
      </c>
      <c r="L877" s="14" t="s">
        <v>341</v>
      </c>
      <c r="M877" s="16" t="s">
        <v>5582</v>
      </c>
      <c r="N877" s="14"/>
      <c r="O877" s="14" t="s">
        <v>5583</v>
      </c>
      <c r="P877" s="14">
        <v>50</v>
      </c>
      <c r="Q877" s="14">
        <v>2</v>
      </c>
      <c r="R877" s="14">
        <v>2800</v>
      </c>
      <c r="S877" s="14" t="s">
        <v>5584</v>
      </c>
      <c r="T877" s="14" t="s">
        <v>5585</v>
      </c>
      <c r="U877" s="14">
        <v>0.93277777777777704</v>
      </c>
      <c r="V877" s="14">
        <v>1.0844444444444401</v>
      </c>
      <c r="W877" s="14">
        <v>796</v>
      </c>
      <c r="X877" s="14">
        <v>50</v>
      </c>
      <c r="Y877" s="14">
        <v>746</v>
      </c>
      <c r="Z877" s="14">
        <v>704</v>
      </c>
      <c r="AA877" s="14">
        <v>280</v>
      </c>
      <c r="AB877" s="14">
        <v>247</v>
      </c>
      <c r="AC877" s="14">
        <v>136</v>
      </c>
      <c r="AD877" s="14">
        <v>41</v>
      </c>
      <c r="AE877" s="14">
        <v>1500</v>
      </c>
      <c r="AF877" s="14">
        <v>5000</v>
      </c>
      <c r="AG877" s="14">
        <v>2516</v>
      </c>
      <c r="AH877" s="14">
        <v>0</v>
      </c>
      <c r="AI877" s="14">
        <v>53</v>
      </c>
      <c r="AJ877" s="14">
        <v>114</v>
      </c>
      <c r="AK877" s="14" t="s">
        <v>5581</v>
      </c>
      <c r="AL877" s="14" t="s">
        <v>5586</v>
      </c>
      <c r="AM877" s="14">
        <v>200.62</v>
      </c>
      <c r="AN877" s="14">
        <v>171.59</v>
      </c>
      <c r="AO877" s="14">
        <v>61.53</v>
      </c>
      <c r="AP877" s="14">
        <v>17611</v>
      </c>
      <c r="AQ877" s="14">
        <v>17561</v>
      </c>
      <c r="AR877" s="14">
        <v>23000</v>
      </c>
      <c r="AS877" s="14">
        <v>16111</v>
      </c>
      <c r="AT877" s="14">
        <v>16815</v>
      </c>
      <c r="AU877" s="14">
        <v>-19</v>
      </c>
      <c r="AV877" s="14">
        <v>275.7</v>
      </c>
      <c r="AW877" s="14">
        <v>26.78</v>
      </c>
      <c r="AX877" s="14">
        <v>-1.83</v>
      </c>
      <c r="AY877" s="14" t="b">
        <v>0</v>
      </c>
    </row>
    <row r="878" spans="1:51" hidden="1" x14ac:dyDescent="0.3">
      <c r="A878" t="str">
        <f>CONCATENATE(I878,E878,LEFT(G878,10))</f>
        <v>HFA851LLHA2026-01-21</v>
      </c>
      <c r="B878" s="14" t="s">
        <v>1558</v>
      </c>
      <c r="C878" s="14" t="s">
        <v>336</v>
      </c>
      <c r="D878" s="14" t="s">
        <v>337</v>
      </c>
      <c r="E878" s="14" t="s">
        <v>43</v>
      </c>
      <c r="F878" s="14" t="s">
        <v>69</v>
      </c>
      <c r="G878" s="14" t="s">
        <v>1559</v>
      </c>
      <c r="H878" s="14" t="s">
        <v>371</v>
      </c>
      <c r="I878" s="14" t="s">
        <v>66</v>
      </c>
      <c r="J878" s="14" t="s">
        <v>87</v>
      </c>
      <c r="K878" s="14" t="s">
        <v>349</v>
      </c>
      <c r="L878" s="14" t="s">
        <v>341</v>
      </c>
      <c r="M878" s="16" t="s">
        <v>1560</v>
      </c>
      <c r="N878" s="14"/>
      <c r="O878" s="14" t="s">
        <v>1561</v>
      </c>
      <c r="P878" s="14">
        <v>50</v>
      </c>
      <c r="Q878" s="14">
        <v>2</v>
      </c>
      <c r="R878" s="14">
        <v>5000</v>
      </c>
      <c r="S878" s="14" t="s">
        <v>1562</v>
      </c>
      <c r="T878" s="14" t="s">
        <v>1563</v>
      </c>
      <c r="U878" s="14">
        <v>1.0066666666666599</v>
      </c>
      <c r="V878" s="14">
        <v>1.1244444444444399</v>
      </c>
      <c r="W878" s="14">
        <v>730</v>
      </c>
      <c r="X878" s="14">
        <v>50</v>
      </c>
      <c r="Y878" s="14">
        <v>680</v>
      </c>
      <c r="Z878" s="14">
        <v>694</v>
      </c>
      <c r="AA878" s="14">
        <v>284</v>
      </c>
      <c r="AB878" s="14">
        <v>266</v>
      </c>
      <c r="AC878" s="14">
        <v>100</v>
      </c>
      <c r="AD878" s="14">
        <v>44</v>
      </c>
      <c r="AE878" s="14">
        <v>1424</v>
      </c>
      <c r="AF878" s="14">
        <v>5000</v>
      </c>
      <c r="AG878" s="14">
        <v>2307</v>
      </c>
      <c r="AH878" s="14">
        <v>0</v>
      </c>
      <c r="AI878" s="14">
        <v>54</v>
      </c>
      <c r="AJ878" s="14">
        <v>114</v>
      </c>
      <c r="AK878" s="14" t="s">
        <v>1559</v>
      </c>
      <c r="AL878" s="14" t="s">
        <v>1564</v>
      </c>
      <c r="AM878" s="14">
        <v>200.62</v>
      </c>
      <c r="AN878" s="14">
        <v>171.59</v>
      </c>
      <c r="AO878" s="14">
        <v>61.53</v>
      </c>
      <c r="AP878" s="14">
        <v>19924</v>
      </c>
      <c r="AQ878" s="14">
        <v>19874</v>
      </c>
      <c r="AR878" s="14">
        <v>23000</v>
      </c>
      <c r="AS878" s="14">
        <v>18500</v>
      </c>
      <c r="AT878" s="14">
        <v>19194</v>
      </c>
      <c r="AU878" s="14">
        <v>-17</v>
      </c>
      <c r="AV878" s="14">
        <v>288.39999999999998</v>
      </c>
      <c r="AW878" s="14">
        <v>19.93</v>
      </c>
      <c r="AX878" s="14">
        <v>3.05</v>
      </c>
      <c r="AY878" s="14" t="b">
        <v>0</v>
      </c>
    </row>
    <row r="879" spans="1:51" hidden="1" x14ac:dyDescent="0.3">
      <c r="A879" t="str">
        <f>CONCATENATE(I879,E879,LEFT(G879,10))</f>
        <v>HFA851LLHA2026-01-22</v>
      </c>
      <c r="B879" s="14" t="s">
        <v>2142</v>
      </c>
      <c r="C879" s="14" t="s">
        <v>336</v>
      </c>
      <c r="D879" s="14" t="s">
        <v>337</v>
      </c>
      <c r="E879" s="14" t="s">
        <v>43</v>
      </c>
      <c r="F879" s="14" t="s">
        <v>69</v>
      </c>
      <c r="G879" s="14" t="s">
        <v>2143</v>
      </c>
      <c r="H879" s="14" t="s">
        <v>339</v>
      </c>
      <c r="I879" s="14" t="s">
        <v>66</v>
      </c>
      <c r="J879" s="14" t="s">
        <v>87</v>
      </c>
      <c r="K879" s="14" t="s">
        <v>349</v>
      </c>
      <c r="L879" s="14" t="s">
        <v>341</v>
      </c>
      <c r="M879" s="16" t="s">
        <v>2144</v>
      </c>
      <c r="N879" s="14"/>
      <c r="O879" s="14" t="s">
        <v>2145</v>
      </c>
      <c r="P879" s="14">
        <v>50</v>
      </c>
      <c r="Q879" s="14">
        <v>2</v>
      </c>
      <c r="R879" s="14">
        <v>4000</v>
      </c>
      <c r="S879" s="14" t="s">
        <v>2146</v>
      </c>
      <c r="T879" s="14" t="s">
        <v>2147</v>
      </c>
      <c r="U879" s="14">
        <v>1.1200000000000001</v>
      </c>
      <c r="V879" s="14">
        <v>1.2802777777777701</v>
      </c>
      <c r="W879" s="14">
        <v>690</v>
      </c>
      <c r="X879" s="14">
        <v>50</v>
      </c>
      <c r="Y879" s="14">
        <v>640</v>
      </c>
      <c r="Z879" s="14">
        <v>1390</v>
      </c>
      <c r="AA879" s="14">
        <v>267</v>
      </c>
      <c r="AB879" s="14">
        <v>262</v>
      </c>
      <c r="AC879" s="14">
        <v>818</v>
      </c>
      <c r="AD879" s="14">
        <v>44</v>
      </c>
      <c r="AE879" s="14">
        <v>2080</v>
      </c>
      <c r="AF879" s="14">
        <v>5000</v>
      </c>
      <c r="AG879" s="14">
        <v>2180</v>
      </c>
      <c r="AH879" s="14">
        <v>0</v>
      </c>
      <c r="AI879" s="14">
        <v>52</v>
      </c>
      <c r="AJ879" s="14">
        <v>171</v>
      </c>
      <c r="AK879" s="14" t="s">
        <v>2143</v>
      </c>
      <c r="AL879" s="14" t="s">
        <v>2148</v>
      </c>
      <c r="AM879" s="14">
        <v>200.62</v>
      </c>
      <c r="AN879" s="14">
        <v>171.59</v>
      </c>
      <c r="AO879" s="14">
        <v>61.53</v>
      </c>
      <c r="AP879" s="14">
        <v>19405</v>
      </c>
      <c r="AQ879" s="14">
        <v>19355</v>
      </c>
      <c r="AR879" s="14">
        <v>23000</v>
      </c>
      <c r="AS879" s="14">
        <v>17325</v>
      </c>
      <c r="AT879" s="14">
        <v>18715</v>
      </c>
      <c r="AU879" s="14">
        <v>-9</v>
      </c>
      <c r="AV879" s="14">
        <v>237.15</v>
      </c>
      <c r="AW879" s="14">
        <v>42.58</v>
      </c>
      <c r="AX879" s="14">
        <v>4.28</v>
      </c>
      <c r="AY879" s="14" t="b">
        <v>0</v>
      </c>
    </row>
    <row r="880" spans="1:51" hidden="1" x14ac:dyDescent="0.3">
      <c r="A880" t="str">
        <f>CONCATENATE(I880,E880,LEFT(G880,10))</f>
        <v>HFA851LLHA2026-01-25</v>
      </c>
      <c r="B880" s="14" t="s">
        <v>5245</v>
      </c>
      <c r="C880" s="14" t="s">
        <v>336</v>
      </c>
      <c r="D880" s="14" t="s">
        <v>337</v>
      </c>
      <c r="E880" s="14" t="s">
        <v>43</v>
      </c>
      <c r="F880" s="14" t="s">
        <v>69</v>
      </c>
      <c r="G880" s="14" t="s">
        <v>5246</v>
      </c>
      <c r="H880" s="14" t="s">
        <v>436</v>
      </c>
      <c r="I880" s="14" t="s">
        <v>66</v>
      </c>
      <c r="J880" s="14" t="s">
        <v>87</v>
      </c>
      <c r="K880" s="14" t="s">
        <v>349</v>
      </c>
      <c r="L880" s="14" t="s">
        <v>341</v>
      </c>
      <c r="M880" s="16" t="s">
        <v>5247</v>
      </c>
      <c r="N880" s="14" t="s">
        <v>359</v>
      </c>
      <c r="O880" s="14" t="s">
        <v>596</v>
      </c>
      <c r="P880" s="14">
        <v>50</v>
      </c>
      <c r="Q880" s="14">
        <v>3</v>
      </c>
      <c r="R880" s="14">
        <v>1800</v>
      </c>
      <c r="S880" s="14" t="s">
        <v>5248</v>
      </c>
      <c r="T880" s="14" t="s">
        <v>5249</v>
      </c>
      <c r="U880" s="14">
        <v>0.87361111111111101</v>
      </c>
      <c r="V880" s="14">
        <v>0.99611111111111095</v>
      </c>
      <c r="W880" s="14">
        <v>687</v>
      </c>
      <c r="X880" s="14">
        <v>50</v>
      </c>
      <c r="Y880" s="14">
        <v>637</v>
      </c>
      <c r="Z880" s="14">
        <v>963</v>
      </c>
      <c r="AA880" s="14">
        <v>273</v>
      </c>
      <c r="AB880" s="14">
        <v>241</v>
      </c>
      <c r="AC880" s="14">
        <v>408</v>
      </c>
      <c r="AD880" s="14">
        <v>40</v>
      </c>
      <c r="AE880" s="14">
        <v>1650</v>
      </c>
      <c r="AF880" s="14">
        <v>5000</v>
      </c>
      <c r="AG880" s="14">
        <v>2172</v>
      </c>
      <c r="AH880" s="14">
        <v>0</v>
      </c>
      <c r="AI880" s="14">
        <v>52</v>
      </c>
      <c r="AJ880" s="14">
        <v>138</v>
      </c>
      <c r="AK880" s="14" t="s">
        <v>5246</v>
      </c>
      <c r="AL880" s="14" t="s">
        <v>5250</v>
      </c>
      <c r="AM880" s="14">
        <v>200.62</v>
      </c>
      <c r="AN880" s="14">
        <v>171.59</v>
      </c>
      <c r="AO880" s="14">
        <v>61.53</v>
      </c>
      <c r="AP880" s="14">
        <v>16655</v>
      </c>
      <c r="AQ880" s="14">
        <v>16605</v>
      </c>
      <c r="AR880" s="14">
        <v>23000</v>
      </c>
      <c r="AS880" s="14">
        <v>15005</v>
      </c>
      <c r="AT880" s="14">
        <v>15968</v>
      </c>
      <c r="AU880" s="14">
        <v>-14</v>
      </c>
      <c r="AV880" s="14">
        <v>285.89</v>
      </c>
      <c r="AW880" s="14">
        <v>15.91</v>
      </c>
      <c r="AX880" s="14">
        <v>4.16</v>
      </c>
      <c r="AY880" s="14" t="b">
        <v>0</v>
      </c>
    </row>
    <row r="881" spans="1:51" hidden="1" x14ac:dyDescent="0.3">
      <c r="A881" t="str">
        <f>CONCATENATE(I881,E881,LEFT(G881,10))</f>
        <v>HFA851LLHA2026-01-28</v>
      </c>
      <c r="B881" s="14" t="s">
        <v>1331</v>
      </c>
      <c r="C881" s="14" t="s">
        <v>336</v>
      </c>
      <c r="D881" s="14" t="s">
        <v>337</v>
      </c>
      <c r="E881" s="14" t="s">
        <v>43</v>
      </c>
      <c r="F881" s="14" t="s">
        <v>69</v>
      </c>
      <c r="G881" s="14" t="s">
        <v>1332</v>
      </c>
      <c r="H881" s="14" t="s">
        <v>339</v>
      </c>
      <c r="I881" s="14" t="s">
        <v>66</v>
      </c>
      <c r="J881" s="14" t="s">
        <v>87</v>
      </c>
      <c r="K881" s="14" t="s">
        <v>349</v>
      </c>
      <c r="L881" s="14" t="s">
        <v>341</v>
      </c>
      <c r="M881" s="16" t="s">
        <v>1295</v>
      </c>
      <c r="N881" s="14"/>
      <c r="O881" s="14" t="s">
        <v>1333</v>
      </c>
      <c r="P881" s="14">
        <v>50</v>
      </c>
      <c r="Q881" s="14">
        <v>2</v>
      </c>
      <c r="R881" s="14">
        <v>5000</v>
      </c>
      <c r="S881" s="14" t="s">
        <v>1334</v>
      </c>
      <c r="T881" s="14" t="s">
        <v>1335</v>
      </c>
      <c r="U881" s="14">
        <v>-7.0833333333333304E-2</v>
      </c>
      <c r="V881" s="14">
        <v>6.7500000000000004E-2</v>
      </c>
      <c r="W881" s="14">
        <v>716</v>
      </c>
      <c r="X881" s="14">
        <v>50</v>
      </c>
      <c r="Y881" s="14">
        <v>666</v>
      </c>
      <c r="Z881" s="14">
        <v>791</v>
      </c>
      <c r="AA881" s="14">
        <v>282</v>
      </c>
      <c r="AB881" s="14">
        <v>265</v>
      </c>
      <c r="AC881" s="14">
        <v>200</v>
      </c>
      <c r="AD881" s="14">
        <v>44</v>
      </c>
      <c r="AE881" s="14">
        <v>1507</v>
      </c>
      <c r="AF881" s="14">
        <v>5000</v>
      </c>
      <c r="AG881" s="14">
        <v>2263</v>
      </c>
      <c r="AH881" s="14">
        <v>0</v>
      </c>
      <c r="AI881" s="14">
        <v>52</v>
      </c>
      <c r="AJ881" s="14">
        <v>121</v>
      </c>
      <c r="AK881" s="14" t="s">
        <v>1332</v>
      </c>
      <c r="AL881" s="14" t="s">
        <v>1336</v>
      </c>
      <c r="AM881" s="14">
        <v>200.62</v>
      </c>
      <c r="AN881" s="14">
        <v>171.59</v>
      </c>
      <c r="AO881" s="14">
        <v>61.53</v>
      </c>
      <c r="AP881" s="14">
        <v>19832</v>
      </c>
      <c r="AQ881" s="14">
        <v>19782</v>
      </c>
      <c r="AR881" s="14">
        <v>23000</v>
      </c>
      <c r="AS881" s="14">
        <v>18325</v>
      </c>
      <c r="AT881" s="14">
        <v>19116</v>
      </c>
      <c r="AU881" s="14">
        <v>-14</v>
      </c>
      <c r="AV881" s="14">
        <v>269.45</v>
      </c>
      <c r="AW881" s="14">
        <v>20.239999999999998</v>
      </c>
      <c r="AX881" s="14">
        <v>-0.99</v>
      </c>
      <c r="AY881" s="14" t="b">
        <v>0</v>
      </c>
    </row>
    <row r="882" spans="1:51" hidden="1" x14ac:dyDescent="0.3">
      <c r="A882" t="str">
        <f>CONCATENATE(I882,E882,LEFT(G882,10))</f>
        <v>HFA851LLHA2026-01-29</v>
      </c>
      <c r="B882" s="14" t="s">
        <v>6339</v>
      </c>
      <c r="C882" s="14" t="s">
        <v>336</v>
      </c>
      <c r="D882" s="14" t="s">
        <v>337</v>
      </c>
      <c r="E882" s="14" t="s">
        <v>43</v>
      </c>
      <c r="F882" s="14" t="s">
        <v>69</v>
      </c>
      <c r="G882" s="14" t="s">
        <v>6340</v>
      </c>
      <c r="H882" s="14" t="s">
        <v>339</v>
      </c>
      <c r="I882" s="14" t="s">
        <v>66</v>
      </c>
      <c r="J882" s="14" t="s">
        <v>87</v>
      </c>
      <c r="K882" s="14" t="s">
        <v>349</v>
      </c>
      <c r="L882" s="14" t="s">
        <v>341</v>
      </c>
      <c r="M882" s="16" t="s">
        <v>6341</v>
      </c>
      <c r="N882" s="14"/>
      <c r="O882" s="14" t="s">
        <v>6342</v>
      </c>
      <c r="P882" s="14">
        <v>50</v>
      </c>
      <c r="Q882" s="14">
        <v>2</v>
      </c>
      <c r="R882" s="14">
        <v>3500</v>
      </c>
      <c r="S882" s="14" t="s">
        <v>6343</v>
      </c>
      <c r="T882" s="14" t="s">
        <v>6344</v>
      </c>
      <c r="U882" s="14">
        <v>0.88749999999999996</v>
      </c>
      <c r="V882" s="14">
        <v>1.06083333333333</v>
      </c>
      <c r="W882" s="14">
        <v>718</v>
      </c>
      <c r="X882" s="14">
        <v>50</v>
      </c>
      <c r="Y882" s="14">
        <v>668</v>
      </c>
      <c r="Z882" s="14">
        <v>962</v>
      </c>
      <c r="AA882" s="14">
        <v>270</v>
      </c>
      <c r="AB882" s="14">
        <v>254</v>
      </c>
      <c r="AC882" s="14">
        <v>395</v>
      </c>
      <c r="AD882" s="14">
        <v>42</v>
      </c>
      <c r="AE882" s="14">
        <v>1680</v>
      </c>
      <c r="AF882" s="14">
        <v>5000</v>
      </c>
      <c r="AG882" s="14">
        <v>2269</v>
      </c>
      <c r="AH882" s="14">
        <v>0</v>
      </c>
      <c r="AI882" s="14">
        <v>54</v>
      </c>
      <c r="AJ882" s="14">
        <v>139</v>
      </c>
      <c r="AK882" s="14" t="s">
        <v>6340</v>
      </c>
      <c r="AL882" s="14" t="s">
        <v>6345</v>
      </c>
      <c r="AM882" s="14">
        <v>200.62</v>
      </c>
      <c r="AN882" s="14">
        <v>171.59</v>
      </c>
      <c r="AO882" s="14">
        <v>61.53</v>
      </c>
      <c r="AP882" s="14">
        <v>18505</v>
      </c>
      <c r="AQ882" s="14">
        <v>18455</v>
      </c>
      <c r="AR882" s="14">
        <v>23000</v>
      </c>
      <c r="AS882" s="14">
        <v>16825</v>
      </c>
      <c r="AT882" s="14">
        <v>17787</v>
      </c>
      <c r="AU882" s="14">
        <v>-22</v>
      </c>
      <c r="AV882" s="14">
        <v>290.89</v>
      </c>
      <c r="AW882" s="14">
        <v>27.31</v>
      </c>
      <c r="AX882" s="14">
        <v>2.87</v>
      </c>
      <c r="AY882" s="14" t="b">
        <v>0</v>
      </c>
    </row>
    <row r="883" spans="1:51" hidden="1" x14ac:dyDescent="0.3">
      <c r="A883" t="str">
        <f>CONCATENATE(I883,E883,LEFT(G883,10))</f>
        <v>HFA851LLHA2026-02-01</v>
      </c>
      <c r="B883" s="14" t="s">
        <v>2037</v>
      </c>
      <c r="C883" s="14" t="s">
        <v>336</v>
      </c>
      <c r="D883" s="14" t="s">
        <v>337</v>
      </c>
      <c r="E883" s="14" t="s">
        <v>43</v>
      </c>
      <c r="F883" s="14" t="s">
        <v>69</v>
      </c>
      <c r="G883" s="14" t="s">
        <v>2038</v>
      </c>
      <c r="H883" s="14" t="s">
        <v>393</v>
      </c>
      <c r="I883" s="14" t="s">
        <v>66</v>
      </c>
      <c r="J883" s="14" t="s">
        <v>87</v>
      </c>
      <c r="K883" s="14" t="s">
        <v>349</v>
      </c>
      <c r="L883" s="14" t="s">
        <v>341</v>
      </c>
      <c r="M883" s="16" t="s">
        <v>2039</v>
      </c>
      <c r="N883" s="14"/>
      <c r="O883" s="14" t="s">
        <v>451</v>
      </c>
      <c r="P883" s="14">
        <v>140</v>
      </c>
      <c r="Q883" s="14">
        <v>2</v>
      </c>
      <c r="R883" s="14">
        <v>2000</v>
      </c>
      <c r="S883" s="14" t="s">
        <v>2040</v>
      </c>
      <c r="T883" s="14" t="s">
        <v>2041</v>
      </c>
      <c r="U883" s="14">
        <v>0.94722222222222197</v>
      </c>
      <c r="V883" s="14">
        <v>1.11944444444444</v>
      </c>
      <c r="W883" s="14">
        <v>738</v>
      </c>
      <c r="X883" s="14">
        <v>50</v>
      </c>
      <c r="Y883" s="14">
        <v>688</v>
      </c>
      <c r="Z883" s="14">
        <v>872</v>
      </c>
      <c r="AA883" s="14">
        <v>264</v>
      </c>
      <c r="AB883" s="14">
        <v>242</v>
      </c>
      <c r="AC883" s="14">
        <v>325</v>
      </c>
      <c r="AD883" s="14">
        <v>40</v>
      </c>
      <c r="AE883" s="14">
        <v>1610</v>
      </c>
      <c r="AF883" s="14">
        <v>5000</v>
      </c>
      <c r="AG883" s="14">
        <v>2333</v>
      </c>
      <c r="AH883" s="14">
        <v>0</v>
      </c>
      <c r="AI883" s="14">
        <v>50</v>
      </c>
      <c r="AJ883" s="14">
        <v>126</v>
      </c>
      <c r="AK883" s="14" t="s">
        <v>2038</v>
      </c>
      <c r="AL883" s="14" t="s">
        <v>2042</v>
      </c>
      <c r="AM883" s="14">
        <v>200.62</v>
      </c>
      <c r="AN883" s="14">
        <v>171.59</v>
      </c>
      <c r="AO883" s="14">
        <v>61.53</v>
      </c>
      <c r="AP883" s="14">
        <v>16921</v>
      </c>
      <c r="AQ883" s="14">
        <v>16871</v>
      </c>
      <c r="AR883" s="14">
        <v>23000</v>
      </c>
      <c r="AS883" s="14">
        <v>15311</v>
      </c>
      <c r="AT883" s="14">
        <v>16183</v>
      </c>
      <c r="AU883" s="14">
        <v>-9</v>
      </c>
      <c r="AV883" s="14">
        <v>247.07</v>
      </c>
      <c r="AW883" s="14">
        <v>32.61</v>
      </c>
      <c r="AX883" s="14">
        <v>4.9000000000000004</v>
      </c>
      <c r="AY883" s="14" t="b">
        <v>0</v>
      </c>
    </row>
    <row r="884" spans="1:51" hidden="1" x14ac:dyDescent="0.3">
      <c r="A884" t="str">
        <f>CONCATENATE(I884,E884,LEFT(G884,10))</f>
        <v>HFA851LLHA2026-02-04</v>
      </c>
      <c r="B884" s="14" t="s">
        <v>5857</v>
      </c>
      <c r="C884" s="14" t="s">
        <v>336</v>
      </c>
      <c r="D884" s="14" t="s">
        <v>337</v>
      </c>
      <c r="E884" s="14" t="s">
        <v>43</v>
      </c>
      <c r="F884" s="14" t="s">
        <v>69</v>
      </c>
      <c r="G884" s="14" t="s">
        <v>5858</v>
      </c>
      <c r="H884" s="14" t="s">
        <v>339</v>
      </c>
      <c r="I884" s="14" t="s">
        <v>66</v>
      </c>
      <c r="J884" s="14" t="s">
        <v>87</v>
      </c>
      <c r="K884" s="14" t="s">
        <v>349</v>
      </c>
      <c r="L884" s="14" t="s">
        <v>341</v>
      </c>
      <c r="M884" s="16" t="s">
        <v>5859</v>
      </c>
      <c r="N884" s="14"/>
      <c r="O884" s="14" t="s">
        <v>596</v>
      </c>
      <c r="P884" s="14">
        <v>50</v>
      </c>
      <c r="Q884" s="14">
        <v>2</v>
      </c>
      <c r="R884" s="14">
        <v>4000</v>
      </c>
      <c r="S884" s="14" t="s">
        <v>5860</v>
      </c>
      <c r="T884" s="14" t="s">
        <v>5861</v>
      </c>
      <c r="U884" s="14">
        <v>0.83444444444444399</v>
      </c>
      <c r="V884" s="14">
        <v>1.00444444444444</v>
      </c>
      <c r="W884" s="14">
        <v>688</v>
      </c>
      <c r="X884" s="14">
        <v>50</v>
      </c>
      <c r="Y884" s="14">
        <v>638</v>
      </c>
      <c r="Z884" s="14">
        <v>677</v>
      </c>
      <c r="AA884" s="14">
        <v>278</v>
      </c>
      <c r="AB884" s="14">
        <v>256</v>
      </c>
      <c r="AC884" s="14">
        <v>100</v>
      </c>
      <c r="AD884" s="14">
        <v>43</v>
      </c>
      <c r="AE884" s="14">
        <v>1365</v>
      </c>
      <c r="AF884" s="14">
        <v>5000</v>
      </c>
      <c r="AG884" s="14">
        <v>2175</v>
      </c>
      <c r="AH884" s="14">
        <v>0</v>
      </c>
      <c r="AI884" s="14">
        <v>53</v>
      </c>
      <c r="AJ884" s="14">
        <v>114</v>
      </c>
      <c r="AK884" s="14" t="s">
        <v>5858</v>
      </c>
      <c r="AL884" s="14" t="s">
        <v>5862</v>
      </c>
      <c r="AM884" s="14">
        <v>200.62</v>
      </c>
      <c r="AN884" s="14">
        <v>171.59</v>
      </c>
      <c r="AO884" s="14">
        <v>61.53</v>
      </c>
      <c r="AP884" s="14">
        <v>18690</v>
      </c>
      <c r="AQ884" s="14">
        <v>18640</v>
      </c>
      <c r="AR884" s="14">
        <v>23000</v>
      </c>
      <c r="AS884" s="14">
        <v>17325</v>
      </c>
      <c r="AT884" s="14">
        <v>18002</v>
      </c>
      <c r="AU884" s="14">
        <v>-12</v>
      </c>
      <c r="AV884" s="14">
        <v>288.02</v>
      </c>
      <c r="AW884" s="14">
        <v>14.24</v>
      </c>
      <c r="AX884" s="14">
        <v>4.96</v>
      </c>
      <c r="AY884" s="14" t="b">
        <v>0</v>
      </c>
    </row>
    <row r="885" spans="1:51" hidden="1" x14ac:dyDescent="0.3">
      <c r="A885" t="str">
        <f>CONCATENATE(I885,E885,LEFT(G885,10))</f>
        <v>HFA851LLHA2026-02-05</v>
      </c>
      <c r="B885" s="14" t="s">
        <v>4691</v>
      </c>
      <c r="C885" s="14" t="s">
        <v>336</v>
      </c>
      <c r="D885" s="14" t="s">
        <v>337</v>
      </c>
      <c r="E885" s="14" t="s">
        <v>43</v>
      </c>
      <c r="F885" s="14" t="s">
        <v>69</v>
      </c>
      <c r="G885" s="14" t="s">
        <v>4692</v>
      </c>
      <c r="H885" s="14" t="s">
        <v>339</v>
      </c>
      <c r="I885" s="14" t="s">
        <v>66</v>
      </c>
      <c r="J885" s="14" t="s">
        <v>87</v>
      </c>
      <c r="K885" s="14" t="s">
        <v>349</v>
      </c>
      <c r="L885" s="14" t="s">
        <v>341</v>
      </c>
      <c r="M885" s="16" t="s">
        <v>4693</v>
      </c>
      <c r="N885" s="14"/>
      <c r="O885" s="14" t="s">
        <v>596</v>
      </c>
      <c r="P885" s="14">
        <v>50</v>
      </c>
      <c r="Q885" s="14">
        <v>2</v>
      </c>
      <c r="R885" s="14">
        <v>5600</v>
      </c>
      <c r="S885" s="14" t="s">
        <v>4694</v>
      </c>
      <c r="T885" s="14" t="s">
        <v>4695</v>
      </c>
      <c r="U885" s="14">
        <v>0.95750000000000002</v>
      </c>
      <c r="V885" s="14">
        <v>1.11194444444444</v>
      </c>
      <c r="W885" s="14">
        <v>680</v>
      </c>
      <c r="X885" s="14">
        <v>50</v>
      </c>
      <c r="Y885" s="14">
        <v>630</v>
      </c>
      <c r="Z885" s="14">
        <v>840</v>
      </c>
      <c r="AA885" s="14">
        <v>282</v>
      </c>
      <c r="AB885" s="14">
        <v>271</v>
      </c>
      <c r="AC885" s="14">
        <v>242</v>
      </c>
      <c r="AD885" s="14">
        <v>45</v>
      </c>
      <c r="AE885" s="14">
        <v>1520</v>
      </c>
      <c r="AF885" s="14">
        <v>5000</v>
      </c>
      <c r="AG885" s="14">
        <v>2148</v>
      </c>
      <c r="AH885" s="14">
        <v>0</v>
      </c>
      <c r="AI885" s="14">
        <v>51</v>
      </c>
      <c r="AJ885" s="14">
        <v>123</v>
      </c>
      <c r="AK885" s="14" t="s">
        <v>4692</v>
      </c>
      <c r="AL885" s="14" t="s">
        <v>4696</v>
      </c>
      <c r="AM885" s="14">
        <v>200.62</v>
      </c>
      <c r="AN885" s="14">
        <v>171.59</v>
      </c>
      <c r="AO885" s="14">
        <v>61.53</v>
      </c>
      <c r="AP885" s="14">
        <v>20445</v>
      </c>
      <c r="AQ885" s="14">
        <v>20395</v>
      </c>
      <c r="AR885" s="14">
        <v>23000</v>
      </c>
      <c r="AS885" s="14">
        <v>18925</v>
      </c>
      <c r="AT885" s="14">
        <v>19765</v>
      </c>
      <c r="AU885" s="14">
        <v>-3</v>
      </c>
      <c r="AV885" s="14">
        <v>233.79</v>
      </c>
      <c r="AW885" s="14">
        <v>13.3</v>
      </c>
      <c r="AX885" s="14">
        <v>4.22</v>
      </c>
      <c r="AY885" s="14" t="b">
        <v>0</v>
      </c>
    </row>
    <row r="886" spans="1:51" hidden="1" x14ac:dyDescent="0.3">
      <c r="A886" t="str">
        <f>CONCATENATE(I886,E886,LEFT(G886,10))</f>
        <v>HFA851LLHA2026-02-08</v>
      </c>
      <c r="B886" s="14" t="s">
        <v>448</v>
      </c>
      <c r="C886" s="14" t="s">
        <v>336</v>
      </c>
      <c r="D886" s="14" t="s">
        <v>337</v>
      </c>
      <c r="E886" s="14" t="s">
        <v>43</v>
      </c>
      <c r="F886" s="14" t="s">
        <v>69</v>
      </c>
      <c r="G886" s="14" t="s">
        <v>449</v>
      </c>
      <c r="H886" s="14" t="s">
        <v>339</v>
      </c>
      <c r="I886" s="14" t="s">
        <v>66</v>
      </c>
      <c r="J886" s="14" t="s">
        <v>87</v>
      </c>
      <c r="K886" s="14" t="s">
        <v>349</v>
      </c>
      <c r="L886" s="14" t="s">
        <v>341</v>
      </c>
      <c r="M886" s="16" t="s">
        <v>450</v>
      </c>
      <c r="N886" s="14"/>
      <c r="O886" s="14" t="s">
        <v>451</v>
      </c>
      <c r="P886" s="14">
        <v>140</v>
      </c>
      <c r="Q886" s="14">
        <v>2</v>
      </c>
      <c r="R886" s="14">
        <v>4900</v>
      </c>
      <c r="S886" s="14" t="s">
        <v>452</v>
      </c>
      <c r="T886" s="14" t="s">
        <v>453</v>
      </c>
      <c r="U886" s="14">
        <v>0.89638888888888801</v>
      </c>
      <c r="V886" s="14">
        <v>1.06083333333333</v>
      </c>
      <c r="W886" s="14">
        <v>730</v>
      </c>
      <c r="X886" s="14">
        <v>50</v>
      </c>
      <c r="Y886" s="14">
        <v>680</v>
      </c>
      <c r="Z886" s="14">
        <v>910</v>
      </c>
      <c r="AA886" s="14">
        <v>262</v>
      </c>
      <c r="AB886" s="14">
        <v>265</v>
      </c>
      <c r="AC886" s="14">
        <v>339</v>
      </c>
      <c r="AD886" s="14">
        <v>44</v>
      </c>
      <c r="AE886" s="14">
        <v>1640</v>
      </c>
      <c r="AF886" s="14">
        <v>5000</v>
      </c>
      <c r="AG886" s="14">
        <v>2308</v>
      </c>
      <c r="AH886" s="14">
        <v>0</v>
      </c>
      <c r="AI886" s="14">
        <v>56</v>
      </c>
      <c r="AJ886" s="14">
        <v>135</v>
      </c>
      <c r="AK886" s="14" t="s">
        <v>449</v>
      </c>
      <c r="AL886" s="14" t="s">
        <v>454</v>
      </c>
      <c r="AM886" s="14">
        <v>200.62</v>
      </c>
      <c r="AN886" s="14">
        <v>171.59</v>
      </c>
      <c r="AO886" s="14">
        <v>61.53</v>
      </c>
      <c r="AP886" s="14">
        <v>19865</v>
      </c>
      <c r="AQ886" s="14">
        <v>19815</v>
      </c>
      <c r="AR886" s="14">
        <v>23000</v>
      </c>
      <c r="AS886" s="14">
        <v>18225</v>
      </c>
      <c r="AT886" s="14">
        <v>19135</v>
      </c>
      <c r="AU886" s="14">
        <v>-29</v>
      </c>
      <c r="AV886" s="14">
        <v>269.88</v>
      </c>
      <c r="AW886" s="14">
        <v>51.37</v>
      </c>
      <c r="AX886" s="14">
        <v>5.89</v>
      </c>
      <c r="AY886" s="14" t="b">
        <v>0</v>
      </c>
    </row>
    <row r="887" spans="1:51" hidden="1" x14ac:dyDescent="0.3">
      <c r="A887" t="str">
        <f>CONCATENATE(I887,E887,LEFT(G887,10))</f>
        <v>HFA851LLHA2026-02-11</v>
      </c>
      <c r="B887" s="14" t="s">
        <v>2707</v>
      </c>
      <c r="C887" s="14" t="s">
        <v>336</v>
      </c>
      <c r="D887" s="14" t="s">
        <v>337</v>
      </c>
      <c r="E887" s="14" t="s">
        <v>43</v>
      </c>
      <c r="F887" s="14" t="s">
        <v>69</v>
      </c>
      <c r="G887" s="14" t="s">
        <v>2708</v>
      </c>
      <c r="H887" s="14" t="s">
        <v>339</v>
      </c>
      <c r="I887" s="14" t="s">
        <v>66</v>
      </c>
      <c r="J887" s="14" t="s">
        <v>87</v>
      </c>
      <c r="K887" s="14" t="s">
        <v>349</v>
      </c>
      <c r="L887" s="14" t="s">
        <v>341</v>
      </c>
      <c r="M887" s="16" t="s">
        <v>2689</v>
      </c>
      <c r="N887" s="14"/>
      <c r="O887" s="14" t="s">
        <v>596</v>
      </c>
      <c r="P887" s="14">
        <v>50</v>
      </c>
      <c r="Q887" s="14">
        <v>2</v>
      </c>
      <c r="R887" s="14">
        <v>5550</v>
      </c>
      <c r="S887" s="14" t="s">
        <v>2709</v>
      </c>
      <c r="T887" s="14" t="s">
        <v>2710</v>
      </c>
      <c r="U887" s="14">
        <v>1.05</v>
      </c>
      <c r="V887" s="14">
        <v>1.24277777777777</v>
      </c>
      <c r="W887" s="14">
        <v>707</v>
      </c>
      <c r="X887" s="14">
        <v>50</v>
      </c>
      <c r="Y887" s="14">
        <v>657</v>
      </c>
      <c r="Z887" s="14">
        <v>693</v>
      </c>
      <c r="AA887" s="14">
        <v>279</v>
      </c>
      <c r="AB887" s="14">
        <v>269</v>
      </c>
      <c r="AC887" s="14">
        <v>100</v>
      </c>
      <c r="AD887" s="14">
        <v>45</v>
      </c>
      <c r="AE887" s="14">
        <v>1400</v>
      </c>
      <c r="AF887" s="14">
        <v>5000</v>
      </c>
      <c r="AG887" s="14">
        <v>2235</v>
      </c>
      <c r="AH887" s="14">
        <v>0</v>
      </c>
      <c r="AI887" s="14">
        <v>52</v>
      </c>
      <c r="AJ887" s="14">
        <v>112</v>
      </c>
      <c r="AK887" s="14" t="s">
        <v>2708</v>
      </c>
      <c r="AL887" s="14" t="s">
        <v>2711</v>
      </c>
      <c r="AM887" s="14">
        <v>200.62</v>
      </c>
      <c r="AN887" s="14">
        <v>171.59</v>
      </c>
      <c r="AO887" s="14">
        <v>61.53</v>
      </c>
      <c r="AP887" s="14">
        <v>20275</v>
      </c>
      <c r="AQ887" s="14">
        <v>20225</v>
      </c>
      <c r="AR887" s="14">
        <v>23000</v>
      </c>
      <c r="AS887" s="14">
        <v>18875</v>
      </c>
      <c r="AT887" s="14">
        <v>19568</v>
      </c>
      <c r="AU887" s="14">
        <v>-11</v>
      </c>
      <c r="AV887" s="14">
        <v>249.09</v>
      </c>
      <c r="AW887" s="14">
        <v>30.6</v>
      </c>
      <c r="AX887" s="14">
        <v>0.71</v>
      </c>
      <c r="AY887" s="14" t="b">
        <v>0</v>
      </c>
    </row>
    <row r="888" spans="1:51" hidden="1" x14ac:dyDescent="0.3">
      <c r="A888" t="str">
        <f>CONCATENATE(I888,E888,LEFT(G888,10))</f>
        <v>HFA851LLHA2026-02-12</v>
      </c>
      <c r="B888" s="14" t="s">
        <v>593</v>
      </c>
      <c r="C888" s="14" t="s">
        <v>336</v>
      </c>
      <c r="D888" s="14" t="s">
        <v>337</v>
      </c>
      <c r="E888" s="14" t="s">
        <v>43</v>
      </c>
      <c r="F888" s="14" t="s">
        <v>69</v>
      </c>
      <c r="G888" s="14" t="s">
        <v>594</v>
      </c>
      <c r="H888" s="14" t="s">
        <v>393</v>
      </c>
      <c r="I888" s="14" t="s">
        <v>66</v>
      </c>
      <c r="J888" s="14" t="s">
        <v>83</v>
      </c>
      <c r="K888" s="14" t="s">
        <v>349</v>
      </c>
      <c r="L888" s="14" t="s">
        <v>341</v>
      </c>
      <c r="M888" s="16" t="s">
        <v>595</v>
      </c>
      <c r="N888" s="14"/>
      <c r="O888" s="14" t="s">
        <v>596</v>
      </c>
      <c r="P888" s="14">
        <v>50</v>
      </c>
      <c r="Q888" s="14">
        <v>2</v>
      </c>
      <c r="R888" s="14">
        <v>6300</v>
      </c>
      <c r="S888" s="14" t="s">
        <v>597</v>
      </c>
      <c r="T888" s="14" t="s">
        <v>598</v>
      </c>
      <c r="U888" s="14">
        <v>0.94027777777777699</v>
      </c>
      <c r="V888" s="14">
        <v>1.14027777777777</v>
      </c>
      <c r="W888" s="14">
        <v>780</v>
      </c>
      <c r="X888" s="14">
        <v>50</v>
      </c>
      <c r="Y888" s="14">
        <v>730</v>
      </c>
      <c r="Z888" s="14">
        <v>1320</v>
      </c>
      <c r="AA888" s="14">
        <v>774</v>
      </c>
      <c r="AB888" s="14">
        <v>281</v>
      </c>
      <c r="AC888" s="14">
        <v>218</v>
      </c>
      <c r="AD888" s="14">
        <v>47</v>
      </c>
      <c r="AE888" s="14">
        <v>2100</v>
      </c>
      <c r="AF888" s="14">
        <v>5000</v>
      </c>
      <c r="AG888" s="14">
        <v>2464</v>
      </c>
      <c r="AH888" s="14">
        <v>0</v>
      </c>
      <c r="AI888" s="14">
        <v>53</v>
      </c>
      <c r="AJ888" s="14">
        <v>159</v>
      </c>
      <c r="AK888" s="14" t="s">
        <v>594</v>
      </c>
      <c r="AL888" s="14" t="s">
        <v>599</v>
      </c>
      <c r="AM888" s="14">
        <v>200.62</v>
      </c>
      <c r="AN888" s="14">
        <v>171.59</v>
      </c>
      <c r="AO888" s="14">
        <v>221.8</v>
      </c>
      <c r="AP888" s="14">
        <v>21711</v>
      </c>
      <c r="AQ888" s="14">
        <v>21661</v>
      </c>
      <c r="AR888" s="14">
        <v>23000</v>
      </c>
      <c r="AS888" s="14">
        <v>19611</v>
      </c>
      <c r="AT888" s="14">
        <v>20931</v>
      </c>
      <c r="AU888" s="14">
        <v>-10</v>
      </c>
      <c r="AV888" s="14">
        <v>248.75</v>
      </c>
      <c r="AW888" s="14">
        <v>29.86</v>
      </c>
      <c r="AX888" s="14">
        <v>3.36</v>
      </c>
      <c r="AY888" s="14" t="b">
        <v>0</v>
      </c>
    </row>
    <row r="889" spans="1:51" hidden="1" x14ac:dyDescent="0.3">
      <c r="A889" t="str">
        <f>CONCATENATE(I889,E889,LEFT(G889,10))</f>
        <v>HFA851LLHA2026-02-15</v>
      </c>
      <c r="B889" s="14" t="s">
        <v>4249</v>
      </c>
      <c r="C889" s="14" t="s">
        <v>336</v>
      </c>
      <c r="D889" s="14" t="s">
        <v>337</v>
      </c>
      <c r="E889" s="14" t="s">
        <v>43</v>
      </c>
      <c r="F889" s="14" t="s">
        <v>69</v>
      </c>
      <c r="G889" s="14" t="s">
        <v>4250</v>
      </c>
      <c r="H889" s="14" t="s">
        <v>357</v>
      </c>
      <c r="I889" s="14" t="s">
        <v>66</v>
      </c>
      <c r="J889" s="14" t="s">
        <v>87</v>
      </c>
      <c r="K889" s="14" t="s">
        <v>349</v>
      </c>
      <c r="L889" s="14" t="s">
        <v>341</v>
      </c>
      <c r="M889" s="16" t="s">
        <v>4251</v>
      </c>
      <c r="N889" s="14" t="s">
        <v>359</v>
      </c>
      <c r="O889" s="14" t="s">
        <v>596</v>
      </c>
      <c r="P889" s="14">
        <v>50</v>
      </c>
      <c r="Q889" s="14">
        <v>2</v>
      </c>
      <c r="R889" s="14">
        <v>5900</v>
      </c>
      <c r="S889" s="14" t="s">
        <v>4252</v>
      </c>
      <c r="T889" s="14" t="s">
        <v>4253</v>
      </c>
      <c r="U889" s="14">
        <v>0.88305555555555504</v>
      </c>
      <c r="V889" s="14">
        <v>1.09361111111111</v>
      </c>
      <c r="W889" s="14">
        <v>678</v>
      </c>
      <c r="X889" s="14">
        <v>50</v>
      </c>
      <c r="Y889" s="14">
        <v>628</v>
      </c>
      <c r="Z889" s="14">
        <v>1372</v>
      </c>
      <c r="AA889" s="14">
        <v>278</v>
      </c>
      <c r="AB889" s="14">
        <v>277</v>
      </c>
      <c r="AC889" s="14">
        <v>770</v>
      </c>
      <c r="AD889" s="14">
        <v>46</v>
      </c>
      <c r="AE889" s="14">
        <v>2050</v>
      </c>
      <c r="AF889" s="14">
        <v>5000</v>
      </c>
      <c r="AG889" s="14">
        <v>2141</v>
      </c>
      <c r="AH889" s="14">
        <v>0</v>
      </c>
      <c r="AI889" s="14">
        <v>52</v>
      </c>
      <c r="AJ889" s="14">
        <v>173</v>
      </c>
      <c r="AK889" s="14" t="s">
        <v>4250</v>
      </c>
      <c r="AL889" s="14" t="s">
        <v>4254</v>
      </c>
      <c r="AM889" s="14">
        <v>200.62</v>
      </c>
      <c r="AN889" s="14">
        <v>171.59</v>
      </c>
      <c r="AO889" s="14">
        <v>61.53</v>
      </c>
      <c r="AP889" s="14">
        <v>21175</v>
      </c>
      <c r="AQ889" s="14">
        <v>21125</v>
      </c>
      <c r="AR889" s="14">
        <v>23000</v>
      </c>
      <c r="AS889" s="14">
        <v>19125</v>
      </c>
      <c r="AT889" s="14">
        <v>20497</v>
      </c>
      <c r="AU889" s="14">
        <v>-7</v>
      </c>
      <c r="AV889" s="14">
        <v>251.38</v>
      </c>
      <c r="AW889" s="14">
        <v>11.97</v>
      </c>
      <c r="AX889" s="14">
        <v>8.76</v>
      </c>
      <c r="AY889" s="14" t="b">
        <v>0</v>
      </c>
    </row>
    <row r="890" spans="1:51" hidden="1" x14ac:dyDescent="0.3">
      <c r="A890" t="str">
        <f>CONCATENATE(I890,E890,LEFT(G890,10))</f>
        <v>HFA851LLHA2026-02-18</v>
      </c>
      <c r="B890" s="14" t="s">
        <v>1910</v>
      </c>
      <c r="C890" s="14" t="s">
        <v>336</v>
      </c>
      <c r="D890" s="14" t="s">
        <v>337</v>
      </c>
      <c r="E890" s="14" t="s">
        <v>43</v>
      </c>
      <c r="F890" s="14" t="s">
        <v>69</v>
      </c>
      <c r="G890" s="14" t="s">
        <v>1911</v>
      </c>
      <c r="H890" s="14" t="s">
        <v>393</v>
      </c>
      <c r="I890" s="14" t="s">
        <v>66</v>
      </c>
      <c r="J890" s="14" t="s">
        <v>87</v>
      </c>
      <c r="K890" s="14" t="s">
        <v>349</v>
      </c>
      <c r="L890" s="14" t="s">
        <v>341</v>
      </c>
      <c r="M890" s="16" t="s">
        <v>1912</v>
      </c>
      <c r="N890" s="14"/>
      <c r="O890" s="14" t="s">
        <v>596</v>
      </c>
      <c r="P890" s="14">
        <v>50</v>
      </c>
      <c r="Q890" s="14">
        <v>2</v>
      </c>
      <c r="R890" s="14">
        <v>6100</v>
      </c>
      <c r="S890" s="14" t="s">
        <v>1913</v>
      </c>
      <c r="T890" s="14" t="s">
        <v>1914</v>
      </c>
      <c r="U890" s="14">
        <v>0.9375</v>
      </c>
      <c r="V890" s="14">
        <v>1.11388888888888</v>
      </c>
      <c r="W890" s="14">
        <v>819</v>
      </c>
      <c r="X890" s="14">
        <v>50</v>
      </c>
      <c r="Y890" s="14">
        <v>769</v>
      </c>
      <c r="Z890" s="14">
        <v>694</v>
      </c>
      <c r="AA890" s="14">
        <v>274</v>
      </c>
      <c r="AB890" s="14">
        <v>274</v>
      </c>
      <c r="AC890" s="14">
        <v>100</v>
      </c>
      <c r="AD890" s="14">
        <v>46</v>
      </c>
      <c r="AE890" s="14">
        <v>1513</v>
      </c>
      <c r="AF890" s="14">
        <v>5000</v>
      </c>
      <c r="AG890" s="14">
        <v>2589</v>
      </c>
      <c r="AH890" s="14">
        <v>0</v>
      </c>
      <c r="AI890" s="14">
        <v>57</v>
      </c>
      <c r="AJ890" s="14">
        <v>115</v>
      </c>
      <c r="AK890" s="14" t="s">
        <v>1911</v>
      </c>
      <c r="AL890" s="14" t="s">
        <v>1915</v>
      </c>
      <c r="AM890" s="14">
        <v>200.62</v>
      </c>
      <c r="AN890" s="14">
        <v>171.59</v>
      </c>
      <c r="AO890" s="14">
        <v>61.53</v>
      </c>
      <c r="AP890" s="14">
        <v>20924</v>
      </c>
      <c r="AQ890" s="14">
        <v>20874</v>
      </c>
      <c r="AR890" s="14">
        <v>23000</v>
      </c>
      <c r="AS890" s="14">
        <v>19411</v>
      </c>
      <c r="AT890" s="14">
        <v>20105</v>
      </c>
      <c r="AU890" s="14">
        <v>-27</v>
      </c>
      <c r="AV890" s="14">
        <v>248.74</v>
      </c>
      <c r="AW890" s="14">
        <v>58.56</v>
      </c>
      <c r="AX890" s="14">
        <v>4.59</v>
      </c>
      <c r="AY890" s="14" t="b">
        <v>0</v>
      </c>
    </row>
    <row r="891" spans="1:51" hidden="1" x14ac:dyDescent="0.3">
      <c r="A891" t="str">
        <f>CONCATENATE(I891,E891,LEFT(G891,10))</f>
        <v>HFA851LLHA2026-02-19</v>
      </c>
      <c r="B891" s="14" t="s">
        <v>3979</v>
      </c>
      <c r="C891" s="14" t="s">
        <v>336</v>
      </c>
      <c r="D891" s="14" t="s">
        <v>337</v>
      </c>
      <c r="E891" s="14" t="s">
        <v>43</v>
      </c>
      <c r="F891" s="14" t="s">
        <v>69</v>
      </c>
      <c r="G891" s="14" t="s">
        <v>3980</v>
      </c>
      <c r="H891" s="14" t="s">
        <v>393</v>
      </c>
      <c r="I891" s="14" t="s">
        <v>66</v>
      </c>
      <c r="J891" s="14" t="s">
        <v>87</v>
      </c>
      <c r="K891" s="14" t="s">
        <v>349</v>
      </c>
      <c r="L891" s="14" t="s">
        <v>341</v>
      </c>
      <c r="M891" s="16" t="s">
        <v>3981</v>
      </c>
      <c r="N891" s="14"/>
      <c r="O891" s="14" t="s">
        <v>3982</v>
      </c>
      <c r="P891" s="14">
        <v>50</v>
      </c>
      <c r="Q891" s="14">
        <v>2</v>
      </c>
      <c r="R891" s="14">
        <v>6000</v>
      </c>
      <c r="S891" s="14" t="s">
        <v>3983</v>
      </c>
      <c r="T891" s="14" t="s">
        <v>3984</v>
      </c>
      <c r="U891" s="14">
        <v>0.91500000000000004</v>
      </c>
      <c r="V891" s="14">
        <v>1.11805555555555</v>
      </c>
      <c r="W891" s="14">
        <v>798</v>
      </c>
      <c r="X891" s="14">
        <v>50</v>
      </c>
      <c r="Y891" s="14">
        <v>748</v>
      </c>
      <c r="Z891" s="14">
        <v>812</v>
      </c>
      <c r="AA891" s="14">
        <v>292</v>
      </c>
      <c r="AB891" s="14">
        <v>274</v>
      </c>
      <c r="AC891" s="14">
        <v>200</v>
      </c>
      <c r="AD891" s="14">
        <v>46</v>
      </c>
      <c r="AE891" s="14">
        <v>1610</v>
      </c>
      <c r="AF891" s="14">
        <v>5000</v>
      </c>
      <c r="AG891" s="14">
        <v>2522</v>
      </c>
      <c r="AH891" s="14">
        <v>0</v>
      </c>
      <c r="AI891" s="14">
        <v>54</v>
      </c>
      <c r="AJ891" s="14">
        <v>122</v>
      </c>
      <c r="AK891" s="14" t="s">
        <v>3980</v>
      </c>
      <c r="AL891" s="14" t="s">
        <v>3985</v>
      </c>
      <c r="AM891" s="14">
        <v>200.62</v>
      </c>
      <c r="AN891" s="14">
        <v>171.59</v>
      </c>
      <c r="AO891" s="14">
        <v>61.53</v>
      </c>
      <c r="AP891" s="14">
        <v>20921</v>
      </c>
      <c r="AQ891" s="14">
        <v>20871</v>
      </c>
      <c r="AR891" s="14">
        <v>23000</v>
      </c>
      <c r="AS891" s="14">
        <v>19311</v>
      </c>
      <c r="AT891" s="14">
        <v>20123</v>
      </c>
      <c r="AU891" s="14">
        <v>-19</v>
      </c>
      <c r="AV891" s="14">
        <v>288.64</v>
      </c>
      <c r="AW891" s="14">
        <v>23.3</v>
      </c>
      <c r="AX891" s="14">
        <v>3.18</v>
      </c>
      <c r="AY891" s="14" t="b">
        <v>0</v>
      </c>
    </row>
    <row r="892" spans="1:51" hidden="1" x14ac:dyDescent="0.3">
      <c r="A892" t="str">
        <f>CONCATENATE(I892,E892,LEFT(G892,10))</f>
        <v>HFA851LLHA2026-02-22</v>
      </c>
      <c r="B892" s="14" t="s">
        <v>1070</v>
      </c>
      <c r="C892" s="14" t="s">
        <v>336</v>
      </c>
      <c r="D892" s="14" t="s">
        <v>337</v>
      </c>
      <c r="E892" s="14" t="s">
        <v>43</v>
      </c>
      <c r="F892" s="14" t="s">
        <v>69</v>
      </c>
      <c r="G892" s="14" t="s">
        <v>1071</v>
      </c>
      <c r="H892" s="14" t="s">
        <v>393</v>
      </c>
      <c r="I892" s="14" t="s">
        <v>66</v>
      </c>
      <c r="J892" s="14" t="s">
        <v>87</v>
      </c>
      <c r="K892" s="14" t="s">
        <v>349</v>
      </c>
      <c r="L892" s="14" t="s">
        <v>341</v>
      </c>
      <c r="M892" s="16" t="s">
        <v>1072</v>
      </c>
      <c r="N892" s="14"/>
      <c r="O892" s="14" t="s">
        <v>596</v>
      </c>
      <c r="P892" s="14">
        <v>50</v>
      </c>
      <c r="Q892" s="14">
        <v>2</v>
      </c>
      <c r="R892" s="14">
        <v>4400</v>
      </c>
      <c r="S892" s="14" t="s">
        <v>1073</v>
      </c>
      <c r="T892" s="14" t="s">
        <v>1074</v>
      </c>
      <c r="U892" s="14">
        <v>0.84083333333333299</v>
      </c>
      <c r="V892" s="14">
        <v>0.98666666666666603</v>
      </c>
      <c r="W892" s="14">
        <v>780</v>
      </c>
      <c r="X892" s="14">
        <v>50</v>
      </c>
      <c r="Y892" s="14">
        <v>730</v>
      </c>
      <c r="Z892" s="14">
        <v>840</v>
      </c>
      <c r="AA892" s="14">
        <v>284</v>
      </c>
      <c r="AB892" s="14">
        <v>260</v>
      </c>
      <c r="AC892" s="14">
        <v>252</v>
      </c>
      <c r="AD892" s="14">
        <v>43</v>
      </c>
      <c r="AE892" s="14">
        <v>1620</v>
      </c>
      <c r="AF892" s="14">
        <v>5000</v>
      </c>
      <c r="AG892" s="14">
        <v>2463</v>
      </c>
      <c r="AH892" s="14">
        <v>0</v>
      </c>
      <c r="AI892" s="14">
        <v>53</v>
      </c>
      <c r="AJ892" s="14">
        <v>124</v>
      </c>
      <c r="AK892" s="14" t="s">
        <v>1071</v>
      </c>
      <c r="AL892" s="14" t="s">
        <v>1075</v>
      </c>
      <c r="AM892" s="14">
        <v>200.62</v>
      </c>
      <c r="AN892" s="14">
        <v>171.59</v>
      </c>
      <c r="AO892" s="14">
        <v>61.53</v>
      </c>
      <c r="AP892" s="14">
        <v>19331</v>
      </c>
      <c r="AQ892" s="14">
        <v>19281</v>
      </c>
      <c r="AR892" s="14">
        <v>23000</v>
      </c>
      <c r="AS892" s="14">
        <v>17711</v>
      </c>
      <c r="AT892" s="14">
        <v>18552</v>
      </c>
      <c r="AU892" s="14">
        <v>-13</v>
      </c>
      <c r="AV892" s="14">
        <v>252.08</v>
      </c>
      <c r="AW892" s="14">
        <v>30.68</v>
      </c>
      <c r="AX892" s="14">
        <v>1.8</v>
      </c>
      <c r="AY892" s="14" t="b">
        <v>0</v>
      </c>
    </row>
    <row r="893" spans="1:51" hidden="1" x14ac:dyDescent="0.3">
      <c r="A893" t="str">
        <f>CONCATENATE(I893,E893,LEFT(G893,10))</f>
        <v>HFA851LLHA2026-02-25</v>
      </c>
      <c r="B893" s="14" t="s">
        <v>3591</v>
      </c>
      <c r="C893" s="14" t="s">
        <v>336</v>
      </c>
      <c r="D893" s="14" t="s">
        <v>337</v>
      </c>
      <c r="E893" s="14" t="s">
        <v>43</v>
      </c>
      <c r="F893" s="14" t="s">
        <v>69</v>
      </c>
      <c r="G893" s="14" t="s">
        <v>3592</v>
      </c>
      <c r="H893" s="14" t="s">
        <v>339</v>
      </c>
      <c r="I893" s="14" t="s">
        <v>66</v>
      </c>
      <c r="J893" s="14" t="s">
        <v>87</v>
      </c>
      <c r="K893" s="14" t="s">
        <v>349</v>
      </c>
      <c r="L893" s="14" t="s">
        <v>341</v>
      </c>
      <c r="M893" s="16" t="s">
        <v>3593</v>
      </c>
      <c r="N893" s="14"/>
      <c r="O893" s="14" t="s">
        <v>451</v>
      </c>
      <c r="P893" s="14">
        <v>140</v>
      </c>
      <c r="Q893" s="14">
        <v>2</v>
      </c>
      <c r="R893" s="14">
        <v>4900</v>
      </c>
      <c r="S893" s="14" t="s">
        <v>3594</v>
      </c>
      <c r="T893" s="14" t="s">
        <v>3595</v>
      </c>
      <c r="U893" s="14">
        <v>0.98472222222222205</v>
      </c>
      <c r="V893" s="14">
        <v>1.12194444444444</v>
      </c>
      <c r="W893" s="14">
        <v>707</v>
      </c>
      <c r="X893" s="14">
        <v>50</v>
      </c>
      <c r="Y893" s="14">
        <v>657</v>
      </c>
      <c r="Z893" s="14">
        <v>677</v>
      </c>
      <c r="AA893" s="14">
        <v>270</v>
      </c>
      <c r="AB893" s="14">
        <v>263</v>
      </c>
      <c r="AC893" s="14">
        <v>100</v>
      </c>
      <c r="AD893" s="14">
        <v>44</v>
      </c>
      <c r="AE893" s="14">
        <v>1384</v>
      </c>
      <c r="AF893" s="14">
        <v>5000</v>
      </c>
      <c r="AG893" s="14">
        <v>2234</v>
      </c>
      <c r="AH893" s="14">
        <v>0</v>
      </c>
      <c r="AI893" s="14">
        <v>53</v>
      </c>
      <c r="AJ893" s="14">
        <v>113</v>
      </c>
      <c r="AK893" s="14" t="s">
        <v>3592</v>
      </c>
      <c r="AL893" s="14" t="s">
        <v>3596</v>
      </c>
      <c r="AM893" s="14">
        <v>200.62</v>
      </c>
      <c r="AN893" s="14">
        <v>171.59</v>
      </c>
      <c r="AO893" s="14">
        <v>61.53</v>
      </c>
      <c r="AP893" s="14">
        <v>19609</v>
      </c>
      <c r="AQ893" s="14">
        <v>19559</v>
      </c>
      <c r="AR893" s="14">
        <v>23000</v>
      </c>
      <c r="AS893" s="14">
        <v>18225</v>
      </c>
      <c r="AT893" s="14">
        <v>18902</v>
      </c>
      <c r="AU893" s="14">
        <v>-18</v>
      </c>
      <c r="AV893" s="14">
        <v>264.37</v>
      </c>
      <c r="AW893" s="14">
        <v>34.909999999999997</v>
      </c>
      <c r="AX893" s="14">
        <v>2.82</v>
      </c>
      <c r="AY893" s="14" t="b">
        <v>0</v>
      </c>
    </row>
    <row r="894" spans="1:51" hidden="1" x14ac:dyDescent="0.3">
      <c r="A894" t="str">
        <f>CONCATENATE(I894,E894,LEFT(G894,10))</f>
        <v>HFA851LLHA2026-02-26</v>
      </c>
      <c r="B894" s="14" t="s">
        <v>3533</v>
      </c>
      <c r="C894" s="14" t="s">
        <v>336</v>
      </c>
      <c r="D894" s="14" t="s">
        <v>337</v>
      </c>
      <c r="E894" s="14" t="s">
        <v>43</v>
      </c>
      <c r="F894" s="14" t="s">
        <v>69</v>
      </c>
      <c r="G894" s="14" t="s">
        <v>3534</v>
      </c>
      <c r="H894" s="14" t="s">
        <v>357</v>
      </c>
      <c r="I894" s="14" t="s">
        <v>66</v>
      </c>
      <c r="J894" s="14" t="s">
        <v>87</v>
      </c>
      <c r="K894" s="14" t="s">
        <v>349</v>
      </c>
      <c r="L894" s="14" t="s">
        <v>341</v>
      </c>
      <c r="M894" s="16" t="s">
        <v>3535</v>
      </c>
      <c r="N894" s="14" t="s">
        <v>359</v>
      </c>
      <c r="O894" s="14" t="s">
        <v>3536</v>
      </c>
      <c r="P894" s="14">
        <v>50</v>
      </c>
      <c r="Q894" s="14">
        <v>2</v>
      </c>
      <c r="R894" s="14">
        <v>6300</v>
      </c>
      <c r="S894" s="14" t="s">
        <v>3537</v>
      </c>
      <c r="T894" s="14" t="s">
        <v>3538</v>
      </c>
      <c r="U894" s="14">
        <v>0.98333333333333295</v>
      </c>
      <c r="V894" s="14">
        <v>1.1183333333333301</v>
      </c>
      <c r="W894" s="14">
        <v>768</v>
      </c>
      <c r="X894" s="14">
        <v>50</v>
      </c>
      <c r="Y894" s="14">
        <v>718</v>
      </c>
      <c r="Z894" s="14">
        <v>1092</v>
      </c>
      <c r="AA894" s="14">
        <v>278</v>
      </c>
      <c r="AB894" s="14">
        <v>279</v>
      </c>
      <c r="AC894" s="14">
        <v>489</v>
      </c>
      <c r="AD894" s="14">
        <v>46</v>
      </c>
      <c r="AE894" s="14">
        <v>1860</v>
      </c>
      <c r="AF894" s="14">
        <v>5000</v>
      </c>
      <c r="AG894" s="14">
        <v>2427</v>
      </c>
      <c r="AH894" s="14">
        <v>0</v>
      </c>
      <c r="AI894" s="14">
        <v>55</v>
      </c>
      <c r="AJ894" s="14">
        <v>143</v>
      </c>
      <c r="AK894" s="14" t="s">
        <v>3534</v>
      </c>
      <c r="AL894" s="14" t="s">
        <v>3539</v>
      </c>
      <c r="AM894" s="14">
        <v>200.62</v>
      </c>
      <c r="AN894" s="14">
        <v>171.59</v>
      </c>
      <c r="AO894" s="14">
        <v>61.53</v>
      </c>
      <c r="AP894" s="14">
        <v>21385</v>
      </c>
      <c r="AQ894" s="14">
        <v>21335</v>
      </c>
      <c r="AR894" s="14">
        <v>23000</v>
      </c>
      <c r="AS894" s="14">
        <v>19525</v>
      </c>
      <c r="AT894" s="14">
        <v>20617</v>
      </c>
      <c r="AU894" s="14">
        <v>-24</v>
      </c>
      <c r="AV894" s="14">
        <v>277.14999999999998</v>
      </c>
      <c r="AW894" s="14">
        <v>33.33</v>
      </c>
      <c r="AX894" s="14">
        <v>-1.44</v>
      </c>
      <c r="AY894" s="14" t="b">
        <v>0</v>
      </c>
    </row>
    <row r="895" spans="1:51" hidden="1" x14ac:dyDescent="0.3">
      <c r="A895" t="str">
        <f>CONCATENATE(I895,E895,LEFT(G895,10))</f>
        <v>HFA852LCPH2026-01-01</v>
      </c>
      <c r="B895" s="14" t="s">
        <v>4528</v>
      </c>
      <c r="C895" s="14" t="s">
        <v>336</v>
      </c>
      <c r="D895" s="14" t="s">
        <v>337</v>
      </c>
      <c r="E895" s="14" t="s">
        <v>69</v>
      </c>
      <c r="F895" s="14" t="s">
        <v>43</v>
      </c>
      <c r="G895" s="14" t="s">
        <v>4529</v>
      </c>
      <c r="H895" s="14" t="s">
        <v>357</v>
      </c>
      <c r="I895" s="14" t="s">
        <v>71</v>
      </c>
      <c r="J895" s="14" t="s">
        <v>83</v>
      </c>
      <c r="K895" s="14" t="s">
        <v>340</v>
      </c>
      <c r="L895" s="14" t="s">
        <v>341</v>
      </c>
      <c r="M895" s="16" t="s">
        <v>4530</v>
      </c>
      <c r="N895" s="14" t="s">
        <v>359</v>
      </c>
      <c r="O895" s="14" t="s">
        <v>4531</v>
      </c>
      <c r="P895" s="14">
        <v>130</v>
      </c>
      <c r="Q895" s="14">
        <v>2</v>
      </c>
      <c r="R895" s="14">
        <v>4200</v>
      </c>
      <c r="S895" s="14" t="s">
        <v>4532</v>
      </c>
      <c r="T895" s="14" t="s">
        <v>4533</v>
      </c>
      <c r="U895" s="14">
        <v>0.85750000000000004</v>
      </c>
      <c r="V895" s="14">
        <v>1.08833333333333</v>
      </c>
      <c r="W895" s="14">
        <v>789</v>
      </c>
      <c r="X895" s="14">
        <v>80</v>
      </c>
      <c r="Y895" s="14">
        <v>709</v>
      </c>
      <c r="Z895" s="14">
        <v>1811</v>
      </c>
      <c r="AA895" s="14">
        <v>264</v>
      </c>
      <c r="AB895" s="14">
        <v>266</v>
      </c>
      <c r="AC895" s="14">
        <v>1237</v>
      </c>
      <c r="AD895" s="14">
        <v>44</v>
      </c>
      <c r="AE895" s="14">
        <v>2600</v>
      </c>
      <c r="AF895" s="14">
        <v>5000</v>
      </c>
      <c r="AG895" s="14">
        <v>2492</v>
      </c>
      <c r="AH895" s="14">
        <v>0</v>
      </c>
      <c r="AI895" s="14">
        <v>56</v>
      </c>
      <c r="AJ895" s="14">
        <v>213</v>
      </c>
      <c r="AK895" s="14" t="s">
        <v>4529</v>
      </c>
      <c r="AL895" s="14" t="s">
        <v>4534</v>
      </c>
      <c r="AM895" s="14">
        <v>248.74</v>
      </c>
      <c r="AN895" s="14">
        <v>171.59</v>
      </c>
      <c r="AO895" s="14">
        <v>54.99</v>
      </c>
      <c r="AP895" s="14">
        <v>20025</v>
      </c>
      <c r="AQ895" s="14">
        <v>19945</v>
      </c>
      <c r="AR895" s="14">
        <v>23000</v>
      </c>
      <c r="AS895" s="14">
        <v>17425</v>
      </c>
      <c r="AT895" s="14">
        <v>19236</v>
      </c>
      <c r="AU895" s="14">
        <v>15</v>
      </c>
      <c r="AV895" s="14">
        <v>260.04000000000002</v>
      </c>
      <c r="AW895" s="14">
        <v>39.49</v>
      </c>
      <c r="AX895" s="14">
        <v>-0.27</v>
      </c>
      <c r="AY895" s="14" t="b">
        <v>0</v>
      </c>
    </row>
    <row r="896" spans="1:51" hidden="1" x14ac:dyDescent="0.3">
      <c r="A896" t="str">
        <f>CONCATENATE(I896,E896,LEFT(G896,10))</f>
        <v>HFA852LCPH2026-01-02</v>
      </c>
      <c r="B896" s="14" t="s">
        <v>6215</v>
      </c>
      <c r="C896" s="14" t="s">
        <v>336</v>
      </c>
      <c r="D896" s="14" t="s">
        <v>337</v>
      </c>
      <c r="E896" s="14" t="s">
        <v>69</v>
      </c>
      <c r="F896" s="14" t="s">
        <v>43</v>
      </c>
      <c r="G896" s="14" t="s">
        <v>6216</v>
      </c>
      <c r="H896" s="14" t="s">
        <v>339</v>
      </c>
      <c r="I896" s="14" t="s">
        <v>71</v>
      </c>
      <c r="J896" s="14" t="s">
        <v>83</v>
      </c>
      <c r="K896" s="14" t="s">
        <v>340</v>
      </c>
      <c r="L896" s="14" t="s">
        <v>341</v>
      </c>
      <c r="M896" s="16" t="s">
        <v>6217</v>
      </c>
      <c r="N896" s="14"/>
      <c r="O896" s="14" t="s">
        <v>653</v>
      </c>
      <c r="P896" s="14">
        <v>130</v>
      </c>
      <c r="Q896" s="14">
        <v>2</v>
      </c>
      <c r="R896" s="14">
        <v>6100</v>
      </c>
      <c r="S896" s="14" t="s">
        <v>6218</v>
      </c>
      <c r="T896" s="14" t="s">
        <v>6219</v>
      </c>
      <c r="U896" s="14">
        <v>0.84277777777777696</v>
      </c>
      <c r="V896" s="14">
        <v>1.1147222222222199</v>
      </c>
      <c r="W896" s="14">
        <v>690</v>
      </c>
      <c r="X896" s="14">
        <v>80</v>
      </c>
      <c r="Y896" s="14">
        <v>610</v>
      </c>
      <c r="Z896" s="14">
        <v>1510</v>
      </c>
      <c r="AA896" s="14">
        <v>259</v>
      </c>
      <c r="AB896" s="14">
        <v>281</v>
      </c>
      <c r="AC896" s="14">
        <v>923</v>
      </c>
      <c r="AD896" s="14">
        <v>47</v>
      </c>
      <c r="AE896" s="14">
        <v>2200</v>
      </c>
      <c r="AF896" s="14">
        <v>5000</v>
      </c>
      <c r="AG896" s="14">
        <v>2182</v>
      </c>
      <c r="AH896" s="14">
        <v>0</v>
      </c>
      <c r="AI896" s="14">
        <v>47</v>
      </c>
      <c r="AJ896" s="14">
        <v>172</v>
      </c>
      <c r="AK896" s="14" t="s">
        <v>6216</v>
      </c>
      <c r="AL896" s="14" t="s">
        <v>6220</v>
      </c>
      <c r="AM896" s="14">
        <v>203.15</v>
      </c>
      <c r="AN896" s="14">
        <v>171.59</v>
      </c>
      <c r="AO896" s="14">
        <v>54.99</v>
      </c>
      <c r="AP896" s="14">
        <v>21625</v>
      </c>
      <c r="AQ896" s="14">
        <v>21545</v>
      </c>
      <c r="AR896" s="14">
        <v>23000</v>
      </c>
      <c r="AS896" s="14">
        <v>19425</v>
      </c>
      <c r="AT896" s="14">
        <v>20935</v>
      </c>
      <c r="AU896" s="14">
        <v>16</v>
      </c>
      <c r="AV896" s="14">
        <v>304.27</v>
      </c>
      <c r="AW896" s="14">
        <v>22.81</v>
      </c>
      <c r="AX896" s="14">
        <v>-1.54</v>
      </c>
      <c r="AY896" s="14" t="b">
        <v>0</v>
      </c>
    </row>
    <row r="897" spans="1:51" hidden="1" x14ac:dyDescent="0.3">
      <c r="A897" t="str">
        <f>CONCATENATE(I897,E897,LEFT(G897,10))</f>
        <v>HFA852LCPH2026-01-04</v>
      </c>
      <c r="B897" s="14" t="s">
        <v>5377</v>
      </c>
      <c r="C897" s="14" t="s">
        <v>336</v>
      </c>
      <c r="D897" s="14" t="s">
        <v>337</v>
      </c>
      <c r="E897" s="14" t="s">
        <v>69</v>
      </c>
      <c r="F897" s="14" t="s">
        <v>43</v>
      </c>
      <c r="G897" s="14" t="s">
        <v>5378</v>
      </c>
      <c r="H897" s="14" t="s">
        <v>393</v>
      </c>
      <c r="I897" s="14" t="s">
        <v>71</v>
      </c>
      <c r="J897" s="14" t="s">
        <v>83</v>
      </c>
      <c r="K897" s="14" t="s">
        <v>340</v>
      </c>
      <c r="L897" s="14" t="s">
        <v>341</v>
      </c>
      <c r="M897" s="16" t="s">
        <v>731</v>
      </c>
      <c r="N897" s="14"/>
      <c r="O897" s="14" t="s">
        <v>5379</v>
      </c>
      <c r="P897" s="14">
        <v>130</v>
      </c>
      <c r="Q897" s="14">
        <v>2</v>
      </c>
      <c r="R897" s="14">
        <v>5950</v>
      </c>
      <c r="S897" s="14" t="s">
        <v>5380</v>
      </c>
      <c r="T897" s="14" t="s">
        <v>5381</v>
      </c>
      <c r="U897" s="14">
        <v>1.0277777777777699</v>
      </c>
      <c r="V897" s="14">
        <v>1.6013888888888801</v>
      </c>
      <c r="W897" s="14">
        <v>794</v>
      </c>
      <c r="X897" s="14">
        <v>80</v>
      </c>
      <c r="Y897" s="14">
        <v>714</v>
      </c>
      <c r="Z897" s="14">
        <v>1406</v>
      </c>
      <c r="AA897" s="14">
        <v>277</v>
      </c>
      <c r="AB897" s="14">
        <v>279</v>
      </c>
      <c r="AC897" s="14">
        <v>804</v>
      </c>
      <c r="AD897" s="14">
        <v>46</v>
      </c>
      <c r="AE897" s="14">
        <v>2200</v>
      </c>
      <c r="AF897" s="14">
        <v>5000</v>
      </c>
      <c r="AG897" s="14">
        <v>2508</v>
      </c>
      <c r="AH897" s="14">
        <v>0</v>
      </c>
      <c r="AI897" s="14">
        <v>51</v>
      </c>
      <c r="AJ897" s="14">
        <v>165</v>
      </c>
      <c r="AK897" s="14" t="s">
        <v>5378</v>
      </c>
      <c r="AL897" s="14" t="s">
        <v>5382</v>
      </c>
      <c r="AM897" s="14">
        <v>203.15</v>
      </c>
      <c r="AN897" s="14">
        <v>171.59</v>
      </c>
      <c r="AO897" s="14">
        <v>54.99</v>
      </c>
      <c r="AP897" s="14">
        <v>21461</v>
      </c>
      <c r="AQ897" s="14">
        <v>21381</v>
      </c>
      <c r="AR897" s="14">
        <v>23000</v>
      </c>
      <c r="AS897" s="14">
        <v>19261</v>
      </c>
      <c r="AT897" s="14">
        <v>20667</v>
      </c>
      <c r="AU897" s="14">
        <v>-3</v>
      </c>
      <c r="AV897" s="14">
        <v>217.91</v>
      </c>
      <c r="AW897" s="14">
        <v>16.63</v>
      </c>
      <c r="AX897" s="14">
        <v>4.84</v>
      </c>
      <c r="AY897" s="14" t="b">
        <v>0</v>
      </c>
    </row>
    <row r="898" spans="1:51" hidden="1" x14ac:dyDescent="0.3">
      <c r="A898" t="str">
        <f>CONCATENATE(I898,E898,LEFT(G898,10))</f>
        <v>HFA852LCPH2026-01-05</v>
      </c>
      <c r="B898" s="14" t="s">
        <v>1686</v>
      </c>
      <c r="C898" s="14" t="s">
        <v>336</v>
      </c>
      <c r="D898" s="14" t="s">
        <v>337</v>
      </c>
      <c r="E898" s="14" t="s">
        <v>69</v>
      </c>
      <c r="F898" s="14" t="s">
        <v>43</v>
      </c>
      <c r="G898" s="14" t="s">
        <v>1687</v>
      </c>
      <c r="H898" s="14" t="s">
        <v>339</v>
      </c>
      <c r="I898" s="14" t="s">
        <v>71</v>
      </c>
      <c r="J898" s="14" t="s">
        <v>83</v>
      </c>
      <c r="K898" s="14" t="s">
        <v>340</v>
      </c>
      <c r="L898" s="14" t="s">
        <v>341</v>
      </c>
      <c r="M898" s="16" t="s">
        <v>1688</v>
      </c>
      <c r="N898" s="14"/>
      <c r="O898" s="14" t="s">
        <v>1314</v>
      </c>
      <c r="P898" s="14">
        <v>130</v>
      </c>
      <c r="Q898" s="14">
        <v>3</v>
      </c>
      <c r="R898" s="14">
        <v>0</v>
      </c>
      <c r="S898" s="14" t="s">
        <v>1689</v>
      </c>
      <c r="T898" s="14" t="s">
        <v>1690</v>
      </c>
      <c r="U898" s="14">
        <v>0.87333333333333296</v>
      </c>
      <c r="V898" s="14">
        <v>1.1200000000000001</v>
      </c>
      <c r="W898" s="14">
        <v>723</v>
      </c>
      <c r="X898" s="14">
        <v>80</v>
      </c>
      <c r="Y898" s="14">
        <v>643</v>
      </c>
      <c r="Z898" s="14">
        <v>1377</v>
      </c>
      <c r="AA898" s="14">
        <v>261</v>
      </c>
      <c r="AB898" s="14">
        <v>288</v>
      </c>
      <c r="AC898" s="14">
        <v>780</v>
      </c>
      <c r="AD898" s="14">
        <v>48</v>
      </c>
      <c r="AE898" s="14">
        <v>2100</v>
      </c>
      <c r="AF898" s="14">
        <v>5000</v>
      </c>
      <c r="AG898" s="14">
        <v>2285</v>
      </c>
      <c r="AH898" s="14">
        <v>0</v>
      </c>
      <c r="AI898" s="14">
        <v>52</v>
      </c>
      <c r="AJ898" s="14">
        <v>170</v>
      </c>
      <c r="AK898" s="14" t="s">
        <v>1687</v>
      </c>
      <c r="AL898" s="14" t="s">
        <v>1691</v>
      </c>
      <c r="AM898" s="14">
        <v>205.54</v>
      </c>
      <c r="AN898" s="14">
        <v>171.59</v>
      </c>
      <c r="AO898" s="14">
        <v>54.99</v>
      </c>
      <c r="AP898" s="14">
        <v>22326</v>
      </c>
      <c r="AQ898" s="14">
        <v>22246</v>
      </c>
      <c r="AR898" s="14">
        <v>23000</v>
      </c>
      <c r="AS898" s="14">
        <v>20226</v>
      </c>
      <c r="AT898" s="14">
        <v>21603</v>
      </c>
      <c r="AU898" s="14">
        <v>-2</v>
      </c>
      <c r="AV898" s="14">
        <v>222.45</v>
      </c>
      <c r="AW898" s="14">
        <v>13.28</v>
      </c>
      <c r="AX898" s="14">
        <v>7.66</v>
      </c>
      <c r="AY898" s="14" t="b">
        <v>0</v>
      </c>
    </row>
    <row r="899" spans="1:51" hidden="1" x14ac:dyDescent="0.3">
      <c r="A899" t="str">
        <f>CONCATENATE(I899,E899,LEFT(G899,10))</f>
        <v>HFA852LCPH2026-01-07</v>
      </c>
      <c r="B899" s="14" t="s">
        <v>1407</v>
      </c>
      <c r="C899" s="14" t="s">
        <v>336</v>
      </c>
      <c r="D899" s="14" t="s">
        <v>337</v>
      </c>
      <c r="E899" s="14" t="s">
        <v>69</v>
      </c>
      <c r="F899" s="14" t="s">
        <v>43</v>
      </c>
      <c r="G899" s="14" t="s">
        <v>1408</v>
      </c>
      <c r="H899" s="14" t="s">
        <v>339</v>
      </c>
      <c r="I899" s="14" t="s">
        <v>71</v>
      </c>
      <c r="J899" s="14" t="s">
        <v>83</v>
      </c>
      <c r="K899" s="14" t="s">
        <v>340</v>
      </c>
      <c r="L899" s="14" t="s">
        <v>341</v>
      </c>
      <c r="M899" s="16" t="s">
        <v>543</v>
      </c>
      <c r="N899" s="14"/>
      <c r="O899" s="14" t="s">
        <v>1409</v>
      </c>
      <c r="P899" s="14">
        <v>130</v>
      </c>
      <c r="Q899" s="14">
        <v>2</v>
      </c>
      <c r="R899" s="14">
        <v>4700</v>
      </c>
      <c r="S899" s="14" t="s">
        <v>1410</v>
      </c>
      <c r="T899" s="14" t="s">
        <v>1411</v>
      </c>
      <c r="U899" s="14">
        <v>0.73277777777777697</v>
      </c>
      <c r="V899" s="14">
        <v>0.97416666666666596</v>
      </c>
      <c r="W899" s="14">
        <v>669</v>
      </c>
      <c r="X899" s="14">
        <v>80</v>
      </c>
      <c r="Y899" s="14">
        <v>589</v>
      </c>
      <c r="Z899" s="14">
        <v>1531</v>
      </c>
      <c r="AA899" s="14">
        <v>246</v>
      </c>
      <c r="AB899" s="14">
        <v>269</v>
      </c>
      <c r="AC899" s="14">
        <v>971</v>
      </c>
      <c r="AD899" s="14">
        <v>45</v>
      </c>
      <c r="AE899" s="14">
        <v>2200</v>
      </c>
      <c r="AF899" s="14">
        <v>5000</v>
      </c>
      <c r="AG899" s="14">
        <v>2114</v>
      </c>
      <c r="AH899" s="14">
        <v>0</v>
      </c>
      <c r="AI899" s="14">
        <v>47</v>
      </c>
      <c r="AJ899" s="14">
        <v>179</v>
      </c>
      <c r="AK899" s="14" t="s">
        <v>1408</v>
      </c>
      <c r="AL899" s="14" t="s">
        <v>1412</v>
      </c>
      <c r="AM899" s="14">
        <v>205.27</v>
      </c>
      <c r="AN899" s="14">
        <v>171.59</v>
      </c>
      <c r="AO899" s="14">
        <v>54.99</v>
      </c>
      <c r="AP899" s="14">
        <v>20225</v>
      </c>
      <c r="AQ899" s="14">
        <v>20145</v>
      </c>
      <c r="AR899" s="14">
        <v>23000</v>
      </c>
      <c r="AS899" s="14">
        <v>18025</v>
      </c>
      <c r="AT899" s="14">
        <v>19556</v>
      </c>
      <c r="AU899" s="14">
        <v>19</v>
      </c>
      <c r="AV899" s="14">
        <v>285.69</v>
      </c>
      <c r="AW899" s="14">
        <v>31.94</v>
      </c>
      <c r="AX899" s="14">
        <v>6</v>
      </c>
      <c r="AY899" s="14" t="b">
        <v>0</v>
      </c>
    </row>
    <row r="900" spans="1:51" hidden="1" x14ac:dyDescent="0.3">
      <c r="A900" t="str">
        <f>CONCATENATE(I900,E900,LEFT(G900,10))</f>
        <v>HFA852LCPH2026-01-08</v>
      </c>
      <c r="B900" s="14" t="s">
        <v>2884</v>
      </c>
      <c r="C900" s="14" t="s">
        <v>336</v>
      </c>
      <c r="D900" s="14" t="s">
        <v>337</v>
      </c>
      <c r="E900" s="14" t="s">
        <v>69</v>
      </c>
      <c r="F900" s="14" t="s">
        <v>43</v>
      </c>
      <c r="G900" s="14" t="s">
        <v>2885</v>
      </c>
      <c r="H900" s="14" t="s">
        <v>339</v>
      </c>
      <c r="I900" s="14" t="s">
        <v>71</v>
      </c>
      <c r="J900" s="14" t="s">
        <v>83</v>
      </c>
      <c r="K900" s="14" t="s">
        <v>340</v>
      </c>
      <c r="L900" s="14" t="s">
        <v>341</v>
      </c>
      <c r="M900" s="16" t="s">
        <v>1688</v>
      </c>
      <c r="N900" s="14"/>
      <c r="O900" s="14" t="s">
        <v>1314</v>
      </c>
      <c r="P900" s="14">
        <v>130</v>
      </c>
      <c r="Q900" s="14">
        <v>2</v>
      </c>
      <c r="R900" s="14">
        <v>4000</v>
      </c>
      <c r="S900" s="14" t="s">
        <v>2886</v>
      </c>
      <c r="T900" s="14" t="s">
        <v>2887</v>
      </c>
      <c r="U900" s="14">
        <v>0.84333333333333305</v>
      </c>
      <c r="V900" s="14">
        <v>1.17444444444444</v>
      </c>
      <c r="W900" s="14">
        <v>720</v>
      </c>
      <c r="X900" s="14">
        <v>80</v>
      </c>
      <c r="Y900" s="14">
        <v>640</v>
      </c>
      <c r="Z900" s="14">
        <v>1380</v>
      </c>
      <c r="AA900" s="14">
        <v>261</v>
      </c>
      <c r="AB900" s="14">
        <v>262</v>
      </c>
      <c r="AC900" s="14">
        <v>814</v>
      </c>
      <c r="AD900" s="14">
        <v>44</v>
      </c>
      <c r="AE900" s="14">
        <v>2100</v>
      </c>
      <c r="AF900" s="14">
        <v>5000</v>
      </c>
      <c r="AG900" s="14">
        <v>2275</v>
      </c>
      <c r="AH900" s="14">
        <v>0</v>
      </c>
      <c r="AI900" s="14">
        <v>52</v>
      </c>
      <c r="AJ900" s="14">
        <v>174</v>
      </c>
      <c r="AK900" s="14" t="s">
        <v>2885</v>
      </c>
      <c r="AL900" s="14" t="s">
        <v>2888</v>
      </c>
      <c r="AM900" s="14">
        <v>205.54</v>
      </c>
      <c r="AN900" s="14">
        <v>171.59</v>
      </c>
      <c r="AO900" s="14">
        <v>54.99</v>
      </c>
      <c r="AP900" s="14">
        <v>19425</v>
      </c>
      <c r="AQ900" s="14">
        <v>19345</v>
      </c>
      <c r="AR900" s="14">
        <v>23000</v>
      </c>
      <c r="AS900" s="14">
        <v>17325</v>
      </c>
      <c r="AT900" s="14">
        <v>18705</v>
      </c>
      <c r="AU900" s="14">
        <v>-7</v>
      </c>
      <c r="AV900" s="14">
        <v>209.96</v>
      </c>
      <c r="AW900" s="14">
        <v>31.66</v>
      </c>
      <c r="AX900" s="14">
        <v>7.42</v>
      </c>
      <c r="AY900" s="14" t="b">
        <v>0</v>
      </c>
    </row>
    <row r="901" spans="1:51" hidden="1" x14ac:dyDescent="0.3">
      <c r="A901" t="str">
        <f>CONCATENATE(I901,E901,LEFT(G901,10))</f>
        <v>HFA852LCPH2026-01-11</v>
      </c>
      <c r="B901" s="14" t="s">
        <v>2222</v>
      </c>
      <c r="C901" s="14" t="s">
        <v>336</v>
      </c>
      <c r="D901" s="14" t="s">
        <v>337</v>
      </c>
      <c r="E901" s="14" t="s">
        <v>69</v>
      </c>
      <c r="F901" s="14" t="s">
        <v>43</v>
      </c>
      <c r="G901" s="14" t="s">
        <v>2223</v>
      </c>
      <c r="H901" s="14" t="s">
        <v>371</v>
      </c>
      <c r="I901" s="14" t="s">
        <v>71</v>
      </c>
      <c r="J901" s="14" t="s">
        <v>83</v>
      </c>
      <c r="K901" s="14" t="s">
        <v>340</v>
      </c>
      <c r="L901" s="14" t="s">
        <v>341</v>
      </c>
      <c r="M901" s="16" t="s">
        <v>731</v>
      </c>
      <c r="N901" s="14"/>
      <c r="O901" s="14" t="s">
        <v>582</v>
      </c>
      <c r="P901" s="14">
        <v>130</v>
      </c>
      <c r="Q901" s="14">
        <v>2</v>
      </c>
      <c r="R901" s="14">
        <v>4850</v>
      </c>
      <c r="S901" s="14" t="s">
        <v>2224</v>
      </c>
      <c r="T901" s="14" t="s">
        <v>2225</v>
      </c>
      <c r="U901" s="14">
        <v>0.81111111111111101</v>
      </c>
      <c r="V901" s="14">
        <v>1.0005555555555501</v>
      </c>
      <c r="W901" s="14">
        <v>723</v>
      </c>
      <c r="X901" s="14">
        <v>80</v>
      </c>
      <c r="Y901" s="14">
        <v>643</v>
      </c>
      <c r="Z901" s="14">
        <v>1377</v>
      </c>
      <c r="AA901" s="14">
        <v>270</v>
      </c>
      <c r="AB901" s="14">
        <v>271</v>
      </c>
      <c r="AC901" s="14">
        <v>792</v>
      </c>
      <c r="AD901" s="14">
        <v>45</v>
      </c>
      <c r="AE901" s="14">
        <v>2100</v>
      </c>
      <c r="AF901" s="14">
        <v>5000</v>
      </c>
      <c r="AG901" s="14">
        <v>2285</v>
      </c>
      <c r="AH901" s="14">
        <v>0</v>
      </c>
      <c r="AI901" s="14">
        <v>49</v>
      </c>
      <c r="AJ901" s="14">
        <v>165</v>
      </c>
      <c r="AK901" s="14" t="s">
        <v>2223</v>
      </c>
      <c r="AL901" s="14" t="s">
        <v>2226</v>
      </c>
      <c r="AM901" s="14">
        <v>205.27</v>
      </c>
      <c r="AN901" s="14">
        <v>171.59</v>
      </c>
      <c r="AO901" s="14">
        <v>54.99</v>
      </c>
      <c r="AP901" s="14">
        <v>20450</v>
      </c>
      <c r="AQ901" s="14">
        <v>20370</v>
      </c>
      <c r="AR901" s="14">
        <v>23000</v>
      </c>
      <c r="AS901" s="14">
        <v>18350</v>
      </c>
      <c r="AT901" s="14">
        <v>19727</v>
      </c>
      <c r="AU901" s="14">
        <v>4</v>
      </c>
      <c r="AV901" s="14">
        <v>236.7</v>
      </c>
      <c r="AW901" s="14">
        <v>36.9</v>
      </c>
      <c r="AX901" s="14">
        <v>2.1800000000000002</v>
      </c>
      <c r="AY901" s="14" t="b">
        <v>0</v>
      </c>
    </row>
    <row r="902" spans="1:51" hidden="1" x14ac:dyDescent="0.3">
      <c r="A902" t="str">
        <f>CONCATENATE(I902,E902,LEFT(G902,10))</f>
        <v>HFA852LCPH2026-01-14</v>
      </c>
      <c r="B902" s="14" t="s">
        <v>5721</v>
      </c>
      <c r="C902" s="14" t="s">
        <v>336</v>
      </c>
      <c r="D902" s="14" t="s">
        <v>337</v>
      </c>
      <c r="E902" s="14" t="s">
        <v>69</v>
      </c>
      <c r="F902" s="14" t="s">
        <v>43</v>
      </c>
      <c r="G902" s="14" t="s">
        <v>5722</v>
      </c>
      <c r="H902" s="14" t="s">
        <v>339</v>
      </c>
      <c r="I902" s="14" t="s">
        <v>71</v>
      </c>
      <c r="J902" s="14" t="s">
        <v>83</v>
      </c>
      <c r="K902" s="14" t="s">
        <v>340</v>
      </c>
      <c r="L902" s="14" t="s">
        <v>341</v>
      </c>
      <c r="M902" s="16" t="s">
        <v>5723</v>
      </c>
      <c r="N902" s="14"/>
      <c r="O902" s="14" t="s">
        <v>1314</v>
      </c>
      <c r="P902" s="14">
        <v>130</v>
      </c>
      <c r="Q902" s="14">
        <v>2</v>
      </c>
      <c r="R902" s="14">
        <v>2700</v>
      </c>
      <c r="S902" s="14" t="s">
        <v>5724</v>
      </c>
      <c r="T902" s="14" t="s">
        <v>5725</v>
      </c>
      <c r="U902" s="14">
        <v>0.73027777777777703</v>
      </c>
      <c r="V902" s="14">
        <v>0.88666666666666605</v>
      </c>
      <c r="W902" s="14">
        <v>639</v>
      </c>
      <c r="X902" s="14">
        <v>80</v>
      </c>
      <c r="Y902" s="14">
        <v>559</v>
      </c>
      <c r="Z902" s="14">
        <v>1561</v>
      </c>
      <c r="AA902" s="14">
        <v>244</v>
      </c>
      <c r="AB902" s="14">
        <v>253</v>
      </c>
      <c r="AC902" s="14">
        <v>1022</v>
      </c>
      <c r="AD902" s="14">
        <v>42</v>
      </c>
      <c r="AE902" s="14">
        <v>2200</v>
      </c>
      <c r="AF902" s="14">
        <v>5000</v>
      </c>
      <c r="AG902" s="14">
        <v>2019</v>
      </c>
      <c r="AH902" s="14">
        <v>0</v>
      </c>
      <c r="AI902" s="14">
        <v>44</v>
      </c>
      <c r="AJ902" s="14">
        <v>176</v>
      </c>
      <c r="AK902" s="14" t="s">
        <v>5722</v>
      </c>
      <c r="AL902" s="14" t="s">
        <v>5726</v>
      </c>
      <c r="AM902" s="14">
        <v>205.54</v>
      </c>
      <c r="AN902" s="14">
        <v>171.59</v>
      </c>
      <c r="AO902" s="14">
        <v>54.99</v>
      </c>
      <c r="AP902" s="14">
        <v>18225</v>
      </c>
      <c r="AQ902" s="14">
        <v>18145</v>
      </c>
      <c r="AR902" s="14">
        <v>23000</v>
      </c>
      <c r="AS902" s="14">
        <v>16025</v>
      </c>
      <c r="AT902" s="14">
        <v>17586</v>
      </c>
      <c r="AU902" s="14">
        <v>36</v>
      </c>
      <c r="AV902" s="14">
        <v>320.85000000000002</v>
      </c>
      <c r="AW902" s="14">
        <v>50.84</v>
      </c>
      <c r="AX902" s="14">
        <v>0.46</v>
      </c>
      <c r="AY902" s="14" t="b">
        <v>0</v>
      </c>
    </row>
    <row r="903" spans="1:51" hidden="1" x14ac:dyDescent="0.3">
      <c r="A903" t="str">
        <f>CONCATENATE(I903,E903,LEFT(G903,10))</f>
        <v>HFA852LCPH2026-01-15</v>
      </c>
      <c r="B903" s="14" t="s">
        <v>6159</v>
      </c>
      <c r="C903" s="14" t="s">
        <v>336</v>
      </c>
      <c r="D903" s="14" t="s">
        <v>337</v>
      </c>
      <c r="E903" s="14" t="s">
        <v>69</v>
      </c>
      <c r="F903" s="14" t="s">
        <v>43</v>
      </c>
      <c r="G903" s="14" t="s">
        <v>6160</v>
      </c>
      <c r="H903" s="14" t="s">
        <v>436</v>
      </c>
      <c r="I903" s="14" t="s">
        <v>71</v>
      </c>
      <c r="J903" s="14" t="s">
        <v>83</v>
      </c>
      <c r="K903" s="14" t="s">
        <v>340</v>
      </c>
      <c r="L903" s="14" t="s">
        <v>341</v>
      </c>
      <c r="M903" s="16" t="s">
        <v>6161</v>
      </c>
      <c r="N903" s="14" t="s">
        <v>359</v>
      </c>
      <c r="O903" s="14" t="s">
        <v>6162</v>
      </c>
      <c r="P903" s="14">
        <v>130</v>
      </c>
      <c r="Q903" s="14">
        <v>3</v>
      </c>
      <c r="R903" s="14">
        <v>2200</v>
      </c>
      <c r="S903" s="14" t="s">
        <v>6163</v>
      </c>
      <c r="T903" s="14" t="s">
        <v>6164</v>
      </c>
      <c r="U903" s="14">
        <v>0.77222222222222203</v>
      </c>
      <c r="V903" s="14">
        <v>0.92805555555555497</v>
      </c>
      <c r="W903" s="14">
        <v>666</v>
      </c>
      <c r="X903" s="14">
        <v>80</v>
      </c>
      <c r="Y903" s="14">
        <v>586</v>
      </c>
      <c r="Z903" s="14">
        <v>1834</v>
      </c>
      <c r="AA903" s="14">
        <v>246</v>
      </c>
      <c r="AB903" s="14">
        <v>250</v>
      </c>
      <c r="AC903" s="14">
        <v>1296</v>
      </c>
      <c r="AD903" s="14">
        <v>42</v>
      </c>
      <c r="AE903" s="14">
        <v>2500</v>
      </c>
      <c r="AF903" s="14">
        <v>5000</v>
      </c>
      <c r="AG903" s="14">
        <v>2105</v>
      </c>
      <c r="AH903" s="14">
        <v>0</v>
      </c>
      <c r="AI903" s="14">
        <v>46</v>
      </c>
      <c r="AJ903" s="14">
        <v>201</v>
      </c>
      <c r="AK903" s="14" t="s">
        <v>6160</v>
      </c>
      <c r="AL903" s="14" t="s">
        <v>6165</v>
      </c>
      <c r="AM903" s="14">
        <v>205.27</v>
      </c>
      <c r="AN903" s="14">
        <v>171.59</v>
      </c>
      <c r="AO903" s="14">
        <v>54.99</v>
      </c>
      <c r="AP903" s="14">
        <v>17905</v>
      </c>
      <c r="AQ903" s="14">
        <v>17825</v>
      </c>
      <c r="AR903" s="14">
        <v>23000</v>
      </c>
      <c r="AS903" s="14">
        <v>15405</v>
      </c>
      <c r="AT903" s="14">
        <v>17239</v>
      </c>
      <c r="AU903" s="14">
        <v>19</v>
      </c>
      <c r="AV903" s="14">
        <v>323.72000000000003</v>
      </c>
      <c r="AW903" s="14">
        <v>26.66</v>
      </c>
      <c r="AX903" s="14">
        <v>2.4500000000000002</v>
      </c>
      <c r="AY903" s="14" t="b">
        <v>0</v>
      </c>
    </row>
    <row r="904" spans="1:51" hidden="1" x14ac:dyDescent="0.3">
      <c r="A904" t="str">
        <f>CONCATENATE(I904,E904,LEFT(G904,10))</f>
        <v>HFA852LCPH2026-01-16</v>
      </c>
      <c r="B904" s="14" t="s">
        <v>5006</v>
      </c>
      <c r="C904" s="14" t="s">
        <v>336</v>
      </c>
      <c r="D904" s="14" t="s">
        <v>337</v>
      </c>
      <c r="E904" s="14" t="s">
        <v>69</v>
      </c>
      <c r="F904" s="14" t="s">
        <v>43</v>
      </c>
      <c r="G904" s="14" t="s">
        <v>5007</v>
      </c>
      <c r="H904" s="14" t="s">
        <v>339</v>
      </c>
      <c r="I904" s="14" t="s">
        <v>71</v>
      </c>
      <c r="J904" s="14" t="s">
        <v>83</v>
      </c>
      <c r="K904" s="14" t="s">
        <v>340</v>
      </c>
      <c r="L904" s="14" t="s">
        <v>341</v>
      </c>
      <c r="M904" s="16" t="s">
        <v>5008</v>
      </c>
      <c r="N904" s="14"/>
      <c r="O904" s="14" t="s">
        <v>4920</v>
      </c>
      <c r="P904" s="14">
        <v>130</v>
      </c>
      <c r="Q904" s="14">
        <v>2</v>
      </c>
      <c r="R904" s="14">
        <v>2100</v>
      </c>
      <c r="S904" s="14" t="s">
        <v>5009</v>
      </c>
      <c r="T904" s="14" t="s">
        <v>5010</v>
      </c>
      <c r="U904" s="14">
        <v>0.73250000000000004</v>
      </c>
      <c r="V904" s="14">
        <v>0.90361111111111103</v>
      </c>
      <c r="W904" s="14">
        <v>669</v>
      </c>
      <c r="X904" s="14">
        <v>80</v>
      </c>
      <c r="Y904" s="14">
        <v>589</v>
      </c>
      <c r="Z904" s="14">
        <v>1531</v>
      </c>
      <c r="AA904" s="14">
        <v>245</v>
      </c>
      <c r="AB904" s="14">
        <v>248</v>
      </c>
      <c r="AC904" s="14">
        <v>998</v>
      </c>
      <c r="AD904" s="14">
        <v>41</v>
      </c>
      <c r="AE904" s="14">
        <v>2200</v>
      </c>
      <c r="AF904" s="14">
        <v>5000</v>
      </c>
      <c r="AG904" s="14">
        <v>2113</v>
      </c>
      <c r="AH904" s="14">
        <v>0</v>
      </c>
      <c r="AI904" s="14">
        <v>47</v>
      </c>
      <c r="AJ904" s="14">
        <v>179</v>
      </c>
      <c r="AK904" s="14" t="s">
        <v>5007</v>
      </c>
      <c r="AL904" s="14" t="s">
        <v>5011</v>
      </c>
      <c r="AM904" s="14">
        <v>205.27</v>
      </c>
      <c r="AN904" s="14">
        <v>171.59</v>
      </c>
      <c r="AO904" s="14">
        <v>54.99</v>
      </c>
      <c r="AP904" s="14">
        <v>17625</v>
      </c>
      <c r="AQ904" s="14">
        <v>17545</v>
      </c>
      <c r="AR904" s="14">
        <v>23000</v>
      </c>
      <c r="AS904" s="14">
        <v>15425</v>
      </c>
      <c r="AT904" s="14">
        <v>16956</v>
      </c>
      <c r="AU904" s="14">
        <v>15</v>
      </c>
      <c r="AV904" s="14">
        <v>285.39</v>
      </c>
      <c r="AW904" s="14">
        <v>23.9</v>
      </c>
      <c r="AX904" s="14">
        <v>3.04</v>
      </c>
      <c r="AY904" s="14" t="b">
        <v>0</v>
      </c>
    </row>
    <row r="905" spans="1:51" hidden="1" x14ac:dyDescent="0.3">
      <c r="A905" t="str">
        <f>CONCATENATE(I905,E905,LEFT(G905,10))</f>
        <v>HFA852LCPH2026-01-18</v>
      </c>
      <c r="B905" s="14" t="s">
        <v>5560</v>
      </c>
      <c r="C905" s="14" t="s">
        <v>336</v>
      </c>
      <c r="D905" s="14" t="s">
        <v>337</v>
      </c>
      <c r="E905" s="14" t="s">
        <v>69</v>
      </c>
      <c r="F905" s="14" t="s">
        <v>43</v>
      </c>
      <c r="G905" s="14" t="s">
        <v>5561</v>
      </c>
      <c r="H905" s="14" t="s">
        <v>393</v>
      </c>
      <c r="I905" s="14" t="s">
        <v>71</v>
      </c>
      <c r="J905" s="14" t="s">
        <v>83</v>
      </c>
      <c r="K905" s="14" t="s">
        <v>340</v>
      </c>
      <c r="L905" s="14" t="s">
        <v>341</v>
      </c>
      <c r="M905" s="16" t="s">
        <v>5562</v>
      </c>
      <c r="N905" s="14"/>
      <c r="O905" s="14" t="s">
        <v>5563</v>
      </c>
      <c r="P905" s="14">
        <v>130</v>
      </c>
      <c r="Q905" s="14">
        <v>2</v>
      </c>
      <c r="R905" s="14">
        <v>5100</v>
      </c>
      <c r="S905" s="14" t="s">
        <v>5564</v>
      </c>
      <c r="T905" s="14" t="s">
        <v>5565</v>
      </c>
      <c r="U905" s="14">
        <v>0.75194444444444397</v>
      </c>
      <c r="V905" s="14">
        <v>0.98194444444444395</v>
      </c>
      <c r="W905" s="14">
        <v>762</v>
      </c>
      <c r="X905" s="14">
        <v>80</v>
      </c>
      <c r="Y905" s="14">
        <v>682</v>
      </c>
      <c r="Z905" s="14">
        <v>1838</v>
      </c>
      <c r="AA905" s="14">
        <v>686</v>
      </c>
      <c r="AB905" s="14">
        <v>275</v>
      </c>
      <c r="AC905" s="14">
        <v>831</v>
      </c>
      <c r="AD905" s="14">
        <v>46</v>
      </c>
      <c r="AE905" s="14">
        <v>2600</v>
      </c>
      <c r="AF905" s="14">
        <v>5000</v>
      </c>
      <c r="AG905" s="14">
        <v>2409</v>
      </c>
      <c r="AH905" s="14">
        <v>0</v>
      </c>
      <c r="AI905" s="14">
        <v>47</v>
      </c>
      <c r="AJ905" s="14">
        <v>188</v>
      </c>
      <c r="AK905" s="14" t="s">
        <v>5561</v>
      </c>
      <c r="AL905" s="14" t="s">
        <v>5566</v>
      </c>
      <c r="AM905" s="14">
        <v>205.27</v>
      </c>
      <c r="AN905" s="14">
        <v>171.59</v>
      </c>
      <c r="AO905" s="14">
        <v>54.99</v>
      </c>
      <c r="AP905" s="14">
        <v>21011</v>
      </c>
      <c r="AQ905" s="14">
        <v>20931</v>
      </c>
      <c r="AR905" s="14">
        <v>23000</v>
      </c>
      <c r="AS905" s="14">
        <v>18411</v>
      </c>
      <c r="AT905" s="14">
        <v>20249</v>
      </c>
      <c r="AU905" s="14">
        <v>19</v>
      </c>
      <c r="AV905" s="14">
        <v>273.66000000000003</v>
      </c>
      <c r="AW905" s="14">
        <v>32.92</v>
      </c>
      <c r="AX905" s="14">
        <v>-2.13</v>
      </c>
      <c r="AY905" s="14" t="b">
        <v>0</v>
      </c>
    </row>
    <row r="906" spans="1:51" hidden="1" x14ac:dyDescent="0.3">
      <c r="A906" t="str">
        <f>CONCATENATE(I906,E906,LEFT(G906,10))</f>
        <v>HFA852LCPH2026-01-21</v>
      </c>
      <c r="B906" s="14" t="s">
        <v>1540</v>
      </c>
      <c r="C906" s="14" t="s">
        <v>336</v>
      </c>
      <c r="D906" s="14" t="s">
        <v>337</v>
      </c>
      <c r="E906" s="14" t="s">
        <v>69</v>
      </c>
      <c r="F906" s="14" t="s">
        <v>43</v>
      </c>
      <c r="G906" s="14" t="s">
        <v>1534</v>
      </c>
      <c r="H906" s="14" t="s">
        <v>371</v>
      </c>
      <c r="I906" s="14" t="s">
        <v>71</v>
      </c>
      <c r="J906" s="14" t="s">
        <v>83</v>
      </c>
      <c r="K906" s="14" t="s">
        <v>340</v>
      </c>
      <c r="L906" s="14" t="s">
        <v>341</v>
      </c>
      <c r="M906" s="16" t="s">
        <v>543</v>
      </c>
      <c r="N906" s="14"/>
      <c r="O906" s="14" t="s">
        <v>1541</v>
      </c>
      <c r="P906" s="14">
        <v>130</v>
      </c>
      <c r="Q906" s="14">
        <v>2</v>
      </c>
      <c r="R906" s="14">
        <v>3300</v>
      </c>
      <c r="S906" s="14" t="s">
        <v>1542</v>
      </c>
      <c r="T906" s="14" t="s">
        <v>1543</v>
      </c>
      <c r="U906" s="14">
        <v>0.80083333333333295</v>
      </c>
      <c r="V906" s="14">
        <v>1.0049999999999999</v>
      </c>
      <c r="W906" s="14">
        <v>689</v>
      </c>
      <c r="X906" s="14">
        <v>80</v>
      </c>
      <c r="Y906" s="14">
        <v>609</v>
      </c>
      <c r="Z906" s="14">
        <v>1811</v>
      </c>
      <c r="AA906" s="14">
        <v>255</v>
      </c>
      <c r="AB906" s="14">
        <v>261</v>
      </c>
      <c r="AC906" s="14">
        <v>1252</v>
      </c>
      <c r="AD906" s="14">
        <v>43</v>
      </c>
      <c r="AE906" s="14">
        <v>2500</v>
      </c>
      <c r="AF906" s="14">
        <v>5000</v>
      </c>
      <c r="AG906" s="14">
        <v>2177</v>
      </c>
      <c r="AH906" s="14">
        <v>0</v>
      </c>
      <c r="AI906" s="14">
        <v>48</v>
      </c>
      <c r="AJ906" s="14">
        <v>198</v>
      </c>
      <c r="AK906" s="14" t="s">
        <v>1534</v>
      </c>
      <c r="AL906" s="14" t="s">
        <v>1544</v>
      </c>
      <c r="AM906" s="14">
        <v>205.54</v>
      </c>
      <c r="AN906" s="14">
        <v>171.59</v>
      </c>
      <c r="AO906" s="14">
        <v>54.99</v>
      </c>
      <c r="AP906" s="14">
        <v>19300</v>
      </c>
      <c r="AQ906" s="14">
        <v>19220</v>
      </c>
      <c r="AR906" s="14">
        <v>23000</v>
      </c>
      <c r="AS906" s="14">
        <v>16800</v>
      </c>
      <c r="AT906" s="14">
        <v>18611</v>
      </c>
      <c r="AU906" s="14">
        <v>16</v>
      </c>
      <c r="AV906" s="14">
        <v>281.11</v>
      </c>
      <c r="AW906" s="14">
        <v>31.9</v>
      </c>
      <c r="AX906" s="14">
        <v>3.79</v>
      </c>
      <c r="AY906" s="14" t="b">
        <v>0</v>
      </c>
    </row>
    <row r="907" spans="1:51" hidden="1" x14ac:dyDescent="0.3">
      <c r="A907" t="str">
        <f>CONCATENATE(I907,E907,LEFT(G907,10))</f>
        <v>HFA852LCPH2026-01-22</v>
      </c>
      <c r="B907" s="14" t="s">
        <v>2116</v>
      </c>
      <c r="C907" s="14" t="s">
        <v>336</v>
      </c>
      <c r="D907" s="14" t="s">
        <v>337</v>
      </c>
      <c r="E907" s="14" t="s">
        <v>69</v>
      </c>
      <c r="F907" s="14" t="s">
        <v>43</v>
      </c>
      <c r="G907" s="14" t="s">
        <v>2117</v>
      </c>
      <c r="H907" s="14" t="s">
        <v>339</v>
      </c>
      <c r="I907" s="14" t="s">
        <v>71</v>
      </c>
      <c r="J907" s="14" t="s">
        <v>83</v>
      </c>
      <c r="K907" s="14" t="s">
        <v>340</v>
      </c>
      <c r="L907" s="14" t="s">
        <v>341</v>
      </c>
      <c r="M907" s="16" t="s">
        <v>2118</v>
      </c>
      <c r="N907" s="14"/>
      <c r="O907" s="14" t="s">
        <v>1314</v>
      </c>
      <c r="P907" s="14">
        <v>130</v>
      </c>
      <c r="Q907" s="14">
        <v>2</v>
      </c>
      <c r="R907" s="14">
        <v>1800</v>
      </c>
      <c r="S907" s="14" t="s">
        <v>2119</v>
      </c>
      <c r="T907" s="14" t="s">
        <v>2120</v>
      </c>
      <c r="U907" s="14">
        <v>0.86750000000000005</v>
      </c>
      <c r="V907" s="14">
        <v>1.13944444444444</v>
      </c>
      <c r="W907" s="14">
        <v>695</v>
      </c>
      <c r="X907" s="14">
        <v>80</v>
      </c>
      <c r="Y907" s="14">
        <v>615</v>
      </c>
      <c r="Z907" s="14">
        <v>1605</v>
      </c>
      <c r="AA907" s="14">
        <v>581</v>
      </c>
      <c r="AB907" s="14">
        <v>246</v>
      </c>
      <c r="AC907" s="14">
        <v>737</v>
      </c>
      <c r="AD907" s="14">
        <v>41</v>
      </c>
      <c r="AE907" s="14">
        <v>2300</v>
      </c>
      <c r="AF907" s="14">
        <v>5000</v>
      </c>
      <c r="AG907" s="14">
        <v>2195</v>
      </c>
      <c r="AH907" s="14">
        <v>0</v>
      </c>
      <c r="AI907" s="14">
        <v>49</v>
      </c>
      <c r="AJ907" s="14">
        <v>186</v>
      </c>
      <c r="AK907" s="14" t="s">
        <v>2117</v>
      </c>
      <c r="AL907" s="14" t="s">
        <v>2121</v>
      </c>
      <c r="AM907" s="14">
        <v>205.54</v>
      </c>
      <c r="AN907" s="14">
        <v>171.59</v>
      </c>
      <c r="AO907" s="14">
        <v>54.99</v>
      </c>
      <c r="AP907" s="14">
        <v>17425</v>
      </c>
      <c r="AQ907" s="14">
        <v>17345</v>
      </c>
      <c r="AR907" s="14">
        <v>23000</v>
      </c>
      <c r="AS907" s="14">
        <v>15125</v>
      </c>
      <c r="AT907" s="14">
        <v>16730</v>
      </c>
      <c r="AU907" s="14">
        <v>2</v>
      </c>
      <c r="AV907" s="14">
        <v>240.05</v>
      </c>
      <c r="AW907" s="14">
        <v>50.98</v>
      </c>
      <c r="AX907" s="14">
        <v>3.85</v>
      </c>
      <c r="AY907" s="14" t="b">
        <v>0</v>
      </c>
    </row>
    <row r="908" spans="1:51" hidden="1" x14ac:dyDescent="0.3">
      <c r="A908" t="str">
        <f>CONCATENATE(I908,E908,LEFT(G908,10))</f>
        <v>HFA852LCPH2026-01-25</v>
      </c>
      <c r="B908" s="14" t="s">
        <v>5217</v>
      </c>
      <c r="C908" s="14" t="s">
        <v>336</v>
      </c>
      <c r="D908" s="14" t="s">
        <v>337</v>
      </c>
      <c r="E908" s="14" t="s">
        <v>69</v>
      </c>
      <c r="F908" s="14" t="s">
        <v>43</v>
      </c>
      <c r="G908" s="14" t="s">
        <v>5218</v>
      </c>
      <c r="H908" s="14" t="s">
        <v>436</v>
      </c>
      <c r="I908" s="14" t="s">
        <v>71</v>
      </c>
      <c r="J908" s="14" t="s">
        <v>83</v>
      </c>
      <c r="K908" s="14" t="s">
        <v>340</v>
      </c>
      <c r="L908" s="14" t="s">
        <v>341</v>
      </c>
      <c r="M908" s="16" t="s">
        <v>731</v>
      </c>
      <c r="N908" s="14" t="s">
        <v>359</v>
      </c>
      <c r="O908" s="14" t="s">
        <v>5219</v>
      </c>
      <c r="P908" s="14">
        <v>130</v>
      </c>
      <c r="Q908" s="14">
        <v>3</v>
      </c>
      <c r="R908" s="14">
        <v>4000</v>
      </c>
      <c r="S908" s="14" t="s">
        <v>5220</v>
      </c>
      <c r="T908" s="14" t="s">
        <v>5221</v>
      </c>
      <c r="U908" s="14">
        <v>0.77500000000000002</v>
      </c>
      <c r="V908" s="14">
        <v>1.05</v>
      </c>
      <c r="W908" s="14">
        <v>684</v>
      </c>
      <c r="X908" s="14">
        <v>80</v>
      </c>
      <c r="Y908" s="14">
        <v>604</v>
      </c>
      <c r="Z908" s="14">
        <v>1616</v>
      </c>
      <c r="AA908" s="14">
        <v>255</v>
      </c>
      <c r="AB908" s="14">
        <v>263</v>
      </c>
      <c r="AC908" s="14">
        <v>1055</v>
      </c>
      <c r="AD908" s="14">
        <v>44</v>
      </c>
      <c r="AE908" s="14">
        <v>2300</v>
      </c>
      <c r="AF908" s="14">
        <v>5000</v>
      </c>
      <c r="AG908" s="14">
        <v>2162</v>
      </c>
      <c r="AH908" s="14">
        <v>0</v>
      </c>
      <c r="AI908" s="14">
        <v>48</v>
      </c>
      <c r="AJ908" s="14">
        <v>186</v>
      </c>
      <c r="AK908" s="14" t="s">
        <v>5218</v>
      </c>
      <c r="AL908" s="14" t="s">
        <v>5222</v>
      </c>
      <c r="AM908" s="14">
        <v>205.27</v>
      </c>
      <c r="AN908" s="14">
        <v>171.59</v>
      </c>
      <c r="AO908" s="14">
        <v>54.99</v>
      </c>
      <c r="AP908" s="14">
        <v>19505</v>
      </c>
      <c r="AQ908" s="14">
        <v>19425</v>
      </c>
      <c r="AR908" s="14">
        <v>23000</v>
      </c>
      <c r="AS908" s="14">
        <v>17205</v>
      </c>
      <c r="AT908" s="14">
        <v>18821</v>
      </c>
      <c r="AU908" s="14">
        <v>12</v>
      </c>
      <c r="AV908" s="14">
        <v>288.70999999999998</v>
      </c>
      <c r="AW908" s="14">
        <v>19.86</v>
      </c>
      <c r="AX908" s="14">
        <v>5.21</v>
      </c>
      <c r="AY908" s="14" t="b">
        <v>0</v>
      </c>
    </row>
    <row r="909" spans="1:51" hidden="1" x14ac:dyDescent="0.3">
      <c r="A909" t="str">
        <f>CONCATENATE(I909,E909,LEFT(G909,10))</f>
        <v>HFA852LCPH2026-01-28</v>
      </c>
      <c r="B909" s="14" t="s">
        <v>1312</v>
      </c>
      <c r="C909" s="14" t="s">
        <v>336</v>
      </c>
      <c r="D909" s="14" t="s">
        <v>337</v>
      </c>
      <c r="E909" s="14" t="s">
        <v>69</v>
      </c>
      <c r="F909" s="14" t="s">
        <v>43</v>
      </c>
      <c r="G909" s="14" t="s">
        <v>1313</v>
      </c>
      <c r="H909" s="14" t="s">
        <v>339</v>
      </c>
      <c r="I909" s="14" t="s">
        <v>71</v>
      </c>
      <c r="J909" s="14" t="s">
        <v>83</v>
      </c>
      <c r="K909" s="14" t="s">
        <v>340</v>
      </c>
      <c r="L909" s="14" t="s">
        <v>341</v>
      </c>
      <c r="M909" s="16" t="s">
        <v>731</v>
      </c>
      <c r="N909" s="14"/>
      <c r="O909" s="14" t="s">
        <v>1314</v>
      </c>
      <c r="P909" s="14">
        <v>130</v>
      </c>
      <c r="Q909" s="14">
        <v>2</v>
      </c>
      <c r="R909" s="14">
        <v>2800</v>
      </c>
      <c r="S909" s="14" t="s">
        <v>1315</v>
      </c>
      <c r="T909" s="14" t="s">
        <v>1316</v>
      </c>
      <c r="U909" s="14">
        <v>0.72499999999999998</v>
      </c>
      <c r="V909" s="14">
        <v>0.93305555555555497</v>
      </c>
      <c r="W909" s="14">
        <v>677</v>
      </c>
      <c r="X909" s="14">
        <v>80</v>
      </c>
      <c r="Y909" s="14">
        <v>597</v>
      </c>
      <c r="Z909" s="14">
        <v>1523</v>
      </c>
      <c r="AA909" s="14">
        <v>255</v>
      </c>
      <c r="AB909" s="14">
        <v>253</v>
      </c>
      <c r="AC909" s="14">
        <v>973</v>
      </c>
      <c r="AD909" s="14">
        <v>42</v>
      </c>
      <c r="AE909" s="14">
        <v>2200</v>
      </c>
      <c r="AF909" s="14">
        <v>5000</v>
      </c>
      <c r="AG909" s="14">
        <v>2140</v>
      </c>
      <c r="AH909" s="14">
        <v>0</v>
      </c>
      <c r="AI909" s="14">
        <v>47</v>
      </c>
      <c r="AJ909" s="14">
        <v>176</v>
      </c>
      <c r="AK909" s="14" t="s">
        <v>1313</v>
      </c>
      <c r="AL909" s="14" t="s">
        <v>1317</v>
      </c>
      <c r="AM909" s="14">
        <v>205.54</v>
      </c>
      <c r="AN909" s="14">
        <v>171.59</v>
      </c>
      <c r="AO909" s="14">
        <v>54.99</v>
      </c>
      <c r="AP909" s="14">
        <v>18325</v>
      </c>
      <c r="AQ909" s="14">
        <v>18245</v>
      </c>
      <c r="AR909" s="14">
        <v>23000</v>
      </c>
      <c r="AS909" s="14">
        <v>16125</v>
      </c>
      <c r="AT909" s="14">
        <v>17648</v>
      </c>
      <c r="AU909" s="14">
        <v>17</v>
      </c>
      <c r="AV909" s="14">
        <v>288.37</v>
      </c>
      <c r="AW909" s="14">
        <v>23.7</v>
      </c>
      <c r="AX909" s="14">
        <v>-0.56000000000000005</v>
      </c>
      <c r="AY909" s="14" t="b">
        <v>0</v>
      </c>
    </row>
    <row r="910" spans="1:51" hidden="1" x14ac:dyDescent="0.3">
      <c r="A910" t="str">
        <f>CONCATENATE(I910,E910,LEFT(G910,10))</f>
        <v>HFA852LCPH2026-01-29</v>
      </c>
      <c r="B910" s="14" t="s">
        <v>6316</v>
      </c>
      <c r="C910" s="14" t="s">
        <v>336</v>
      </c>
      <c r="D910" s="14" t="s">
        <v>337</v>
      </c>
      <c r="E910" s="14" t="s">
        <v>69</v>
      </c>
      <c r="F910" s="14" t="s">
        <v>43</v>
      </c>
      <c r="G910" s="14" t="s">
        <v>6317</v>
      </c>
      <c r="H910" s="14" t="s">
        <v>339</v>
      </c>
      <c r="I910" s="14" t="s">
        <v>71</v>
      </c>
      <c r="J910" s="14" t="s">
        <v>83</v>
      </c>
      <c r="K910" s="14" t="s">
        <v>340</v>
      </c>
      <c r="L910" s="14" t="s">
        <v>341</v>
      </c>
      <c r="M910" s="16" t="s">
        <v>731</v>
      </c>
      <c r="N910" s="14"/>
      <c r="O910" s="14" t="s">
        <v>582</v>
      </c>
      <c r="P910" s="14">
        <v>130</v>
      </c>
      <c r="Q910" s="14">
        <v>2</v>
      </c>
      <c r="R910" s="14">
        <v>1100</v>
      </c>
      <c r="S910" s="14" t="s">
        <v>6318</v>
      </c>
      <c r="T910" s="14" t="s">
        <v>6319</v>
      </c>
      <c r="U910" s="14">
        <v>0.76722222222222203</v>
      </c>
      <c r="V910" s="14">
        <v>1.09666666666666</v>
      </c>
      <c r="W910" s="14">
        <v>655</v>
      </c>
      <c r="X910" s="14">
        <v>80</v>
      </c>
      <c r="Y910" s="14">
        <v>575</v>
      </c>
      <c r="Z910" s="14">
        <v>1445</v>
      </c>
      <c r="AA910" s="14">
        <v>250</v>
      </c>
      <c r="AB910" s="14">
        <v>240</v>
      </c>
      <c r="AC910" s="14">
        <v>914</v>
      </c>
      <c r="AD910" s="14">
        <v>40</v>
      </c>
      <c r="AE910" s="14">
        <v>2100</v>
      </c>
      <c r="AF910" s="14">
        <v>5000</v>
      </c>
      <c r="AG910" s="14">
        <v>2071</v>
      </c>
      <c r="AH910" s="14">
        <v>0</v>
      </c>
      <c r="AI910" s="14">
        <v>46</v>
      </c>
      <c r="AJ910" s="14">
        <v>173</v>
      </c>
      <c r="AK910" s="14" t="s">
        <v>6317</v>
      </c>
      <c r="AL910" s="14" t="s">
        <v>6320</v>
      </c>
      <c r="AM910" s="14">
        <v>205.27</v>
      </c>
      <c r="AN910" s="14">
        <v>171.59</v>
      </c>
      <c r="AO910" s="14">
        <v>54.99</v>
      </c>
      <c r="AP910" s="14">
        <v>16525</v>
      </c>
      <c r="AQ910" s="14">
        <v>16445</v>
      </c>
      <c r="AR910" s="14">
        <v>23000</v>
      </c>
      <c r="AS910" s="14">
        <v>14425</v>
      </c>
      <c r="AT910" s="14">
        <v>15870</v>
      </c>
      <c r="AU910" s="14">
        <v>19</v>
      </c>
      <c r="AV910" s="14">
        <v>275.26</v>
      </c>
      <c r="AW910" s="14">
        <v>33.630000000000003</v>
      </c>
      <c r="AX910" s="14">
        <v>3.48</v>
      </c>
      <c r="AY910" s="14" t="b">
        <v>0</v>
      </c>
    </row>
    <row r="911" spans="1:51" hidden="1" x14ac:dyDescent="0.3">
      <c r="A911" t="str">
        <f>CONCATENATE(I911,E911,LEFT(G911,10))</f>
        <v>HFA852LCPH2026-02-01</v>
      </c>
      <c r="B911" s="14" t="s">
        <v>2020</v>
      </c>
      <c r="C911" s="14" t="s">
        <v>336</v>
      </c>
      <c r="D911" s="14" t="s">
        <v>337</v>
      </c>
      <c r="E911" s="14" t="s">
        <v>69</v>
      </c>
      <c r="F911" s="14" t="s">
        <v>43</v>
      </c>
      <c r="G911" s="14" t="s">
        <v>2021</v>
      </c>
      <c r="H911" s="14" t="s">
        <v>393</v>
      </c>
      <c r="I911" s="14" t="s">
        <v>71</v>
      </c>
      <c r="J911" s="14" t="s">
        <v>83</v>
      </c>
      <c r="K911" s="14" t="s">
        <v>340</v>
      </c>
      <c r="L911" s="14" t="s">
        <v>341</v>
      </c>
      <c r="M911" s="16" t="s">
        <v>2022</v>
      </c>
      <c r="N911" s="14"/>
      <c r="O911" s="14" t="s">
        <v>423</v>
      </c>
      <c r="P911" s="14">
        <v>130</v>
      </c>
      <c r="Q911" s="14">
        <v>2</v>
      </c>
      <c r="R911" s="14">
        <v>2300</v>
      </c>
      <c r="S911" s="14" t="s">
        <v>2023</v>
      </c>
      <c r="T911" s="14" t="s">
        <v>2024</v>
      </c>
      <c r="U911" s="14">
        <v>0.83333333333333304</v>
      </c>
      <c r="V911" s="14">
        <v>1.1358333333333299</v>
      </c>
      <c r="W911" s="14">
        <v>765</v>
      </c>
      <c r="X911" s="14">
        <v>80</v>
      </c>
      <c r="Y911" s="14">
        <v>685</v>
      </c>
      <c r="Z911" s="14">
        <v>1535</v>
      </c>
      <c r="AA911" s="14">
        <v>265</v>
      </c>
      <c r="AB911" s="14">
        <v>249</v>
      </c>
      <c r="AC911" s="14">
        <v>979</v>
      </c>
      <c r="AD911" s="14">
        <v>42</v>
      </c>
      <c r="AE911" s="14">
        <v>2300</v>
      </c>
      <c r="AF911" s="14">
        <v>5000</v>
      </c>
      <c r="AG911" s="14">
        <v>2417</v>
      </c>
      <c r="AH911" s="14">
        <v>0</v>
      </c>
      <c r="AI911" s="14">
        <v>49</v>
      </c>
      <c r="AJ911" s="14">
        <v>176</v>
      </c>
      <c r="AK911" s="14" t="s">
        <v>2021</v>
      </c>
      <c r="AL911" s="14" t="s">
        <v>2025</v>
      </c>
      <c r="AM911" s="14">
        <v>205.27</v>
      </c>
      <c r="AN911" s="14">
        <v>171.59</v>
      </c>
      <c r="AO911" s="14">
        <v>54.99</v>
      </c>
      <c r="AP911" s="14">
        <v>17911</v>
      </c>
      <c r="AQ911" s="14">
        <v>17831</v>
      </c>
      <c r="AR911" s="14">
        <v>23000</v>
      </c>
      <c r="AS911" s="14">
        <v>15611</v>
      </c>
      <c r="AT911" s="14">
        <v>17146</v>
      </c>
      <c r="AU911" s="14">
        <v>4</v>
      </c>
      <c r="AV911" s="14">
        <v>237.56</v>
      </c>
      <c r="AW911" s="14">
        <v>31.3</v>
      </c>
      <c r="AX911" s="14">
        <v>4.72</v>
      </c>
      <c r="AY911" s="14" t="b">
        <v>0</v>
      </c>
    </row>
    <row r="912" spans="1:51" hidden="1" x14ac:dyDescent="0.3">
      <c r="A912" t="str">
        <f>CONCATENATE(I912,E912,LEFT(G912,10))</f>
        <v>HFA852LCPH2026-02-04</v>
      </c>
      <c r="B912" s="14" t="s">
        <v>5845</v>
      </c>
      <c r="C912" s="14" t="s">
        <v>336</v>
      </c>
      <c r="D912" s="14" t="s">
        <v>337</v>
      </c>
      <c r="E912" s="14" t="s">
        <v>69</v>
      </c>
      <c r="F912" s="14" t="s">
        <v>43</v>
      </c>
      <c r="G912" s="14" t="s">
        <v>5846</v>
      </c>
      <c r="H912" s="14" t="s">
        <v>339</v>
      </c>
      <c r="I912" s="14" t="s">
        <v>71</v>
      </c>
      <c r="J912" s="14" t="s">
        <v>83</v>
      </c>
      <c r="K912" s="14" t="s">
        <v>340</v>
      </c>
      <c r="L912" s="14" t="s">
        <v>341</v>
      </c>
      <c r="M912" s="16" t="s">
        <v>5847</v>
      </c>
      <c r="N912" s="14"/>
      <c r="O912" s="14" t="s">
        <v>582</v>
      </c>
      <c r="P912" s="14">
        <v>130</v>
      </c>
      <c r="Q912" s="14">
        <v>2</v>
      </c>
      <c r="R912" s="14">
        <v>3000</v>
      </c>
      <c r="S912" s="14" t="s">
        <v>5848</v>
      </c>
      <c r="T912" s="14" t="s">
        <v>5849</v>
      </c>
      <c r="U912" s="14">
        <v>0.81416666666666604</v>
      </c>
      <c r="V912" s="14">
        <v>1.07833333333333</v>
      </c>
      <c r="W912" s="14">
        <v>680</v>
      </c>
      <c r="X912" s="14">
        <v>80</v>
      </c>
      <c r="Y912" s="14">
        <v>600</v>
      </c>
      <c r="Z912" s="14">
        <v>1420</v>
      </c>
      <c r="AA912" s="14">
        <v>245</v>
      </c>
      <c r="AB912" s="14">
        <v>254</v>
      </c>
      <c r="AC912" s="14">
        <v>878</v>
      </c>
      <c r="AD912" s="14">
        <v>42</v>
      </c>
      <c r="AE912" s="14">
        <v>2100</v>
      </c>
      <c r="AF912" s="14">
        <v>5000</v>
      </c>
      <c r="AG912" s="14">
        <v>2149</v>
      </c>
      <c r="AH912" s="14">
        <v>0</v>
      </c>
      <c r="AI912" s="14">
        <v>49</v>
      </c>
      <c r="AJ912" s="14">
        <v>173</v>
      </c>
      <c r="AK912" s="14" t="s">
        <v>5846</v>
      </c>
      <c r="AL912" s="14" t="s">
        <v>5850</v>
      </c>
      <c r="AM912" s="14">
        <v>205.27</v>
      </c>
      <c r="AN912" s="14">
        <v>171.59</v>
      </c>
      <c r="AO912" s="14">
        <v>54.99</v>
      </c>
      <c r="AP912" s="14">
        <v>18425</v>
      </c>
      <c r="AQ912" s="14">
        <v>18345</v>
      </c>
      <c r="AR912" s="14">
        <v>23000</v>
      </c>
      <c r="AS912" s="14">
        <v>16325</v>
      </c>
      <c r="AT912" s="14">
        <v>17745</v>
      </c>
      <c r="AU912" s="14">
        <v>8</v>
      </c>
      <c r="AV912" s="14">
        <v>275.72000000000003</v>
      </c>
      <c r="AW912" s="14">
        <v>14.1</v>
      </c>
      <c r="AX912" s="14">
        <v>5.54</v>
      </c>
      <c r="AY912" s="14" t="b">
        <v>0</v>
      </c>
    </row>
    <row r="913" spans="1:51" hidden="1" x14ac:dyDescent="0.3">
      <c r="A913" t="str">
        <f>CONCATENATE(I913,E913,LEFT(G913,10))</f>
        <v>HFA852LCPH2026-02-05</v>
      </c>
      <c r="B913" s="14" t="s">
        <v>4666</v>
      </c>
      <c r="C913" s="14" t="s">
        <v>336</v>
      </c>
      <c r="D913" s="14" t="s">
        <v>337</v>
      </c>
      <c r="E913" s="14" t="s">
        <v>69</v>
      </c>
      <c r="F913" s="14" t="s">
        <v>43</v>
      </c>
      <c r="G913" s="14" t="s">
        <v>4667</v>
      </c>
      <c r="H913" s="14" t="s">
        <v>339</v>
      </c>
      <c r="I913" s="14" t="s">
        <v>71</v>
      </c>
      <c r="J913" s="14" t="s">
        <v>83</v>
      </c>
      <c r="K913" s="14" t="s">
        <v>340</v>
      </c>
      <c r="L913" s="14" t="s">
        <v>341</v>
      </c>
      <c r="M913" s="16" t="s">
        <v>4668</v>
      </c>
      <c r="N913" s="14"/>
      <c r="O913" s="14" t="s">
        <v>1314</v>
      </c>
      <c r="P913" s="14">
        <v>130</v>
      </c>
      <c r="Q913" s="14">
        <v>2</v>
      </c>
      <c r="R913" s="14">
        <v>2000</v>
      </c>
      <c r="S913" s="14" t="s">
        <v>4669</v>
      </c>
      <c r="T913" s="14" t="s">
        <v>4670</v>
      </c>
      <c r="U913" s="14">
        <v>0.74305555555555503</v>
      </c>
      <c r="V913" s="14">
        <v>0.98138888888888798</v>
      </c>
      <c r="W913" s="14">
        <v>693</v>
      </c>
      <c r="X913" s="14">
        <v>80</v>
      </c>
      <c r="Y913" s="14">
        <v>613</v>
      </c>
      <c r="Z913" s="14">
        <v>1507</v>
      </c>
      <c r="AA913" s="14">
        <v>249</v>
      </c>
      <c r="AB913" s="14">
        <v>247</v>
      </c>
      <c r="AC913" s="14">
        <v>970</v>
      </c>
      <c r="AD913" s="14">
        <v>41</v>
      </c>
      <c r="AE913" s="14">
        <v>2200</v>
      </c>
      <c r="AF913" s="14">
        <v>5000</v>
      </c>
      <c r="AG913" s="14">
        <v>2190</v>
      </c>
      <c r="AH913" s="14">
        <v>0</v>
      </c>
      <c r="AI913" s="14">
        <v>49</v>
      </c>
      <c r="AJ913" s="14">
        <v>181</v>
      </c>
      <c r="AK913" s="14" t="s">
        <v>4667</v>
      </c>
      <c r="AL913" s="14" t="s">
        <v>4671</v>
      </c>
      <c r="AM913" s="14">
        <v>205.54</v>
      </c>
      <c r="AN913" s="14">
        <v>171.59</v>
      </c>
      <c r="AO913" s="14">
        <v>54.99</v>
      </c>
      <c r="AP913" s="14">
        <v>17525</v>
      </c>
      <c r="AQ913" s="14">
        <v>17445</v>
      </c>
      <c r="AR913" s="14">
        <v>23000</v>
      </c>
      <c r="AS913" s="14">
        <v>15325</v>
      </c>
      <c r="AT913" s="14">
        <v>16832</v>
      </c>
      <c r="AU913" s="14">
        <v>2</v>
      </c>
      <c r="AV913" s="14">
        <v>238.2</v>
      </c>
      <c r="AW913" s="14">
        <v>20.079999999999998</v>
      </c>
      <c r="AX913" s="14">
        <v>4.4400000000000004</v>
      </c>
      <c r="AY913" s="14" t="b">
        <v>0</v>
      </c>
    </row>
    <row r="914" spans="1:51" hidden="1" x14ac:dyDescent="0.3">
      <c r="A914" t="str">
        <f>CONCATENATE(I914,E914,LEFT(G914,10))</f>
        <v>HFA852LCPH2026-02-08</v>
      </c>
      <c r="B914" s="14" t="s">
        <v>420</v>
      </c>
      <c r="C914" s="14" t="s">
        <v>336</v>
      </c>
      <c r="D914" s="14" t="s">
        <v>337</v>
      </c>
      <c r="E914" s="14" t="s">
        <v>69</v>
      </c>
      <c r="F914" s="14" t="s">
        <v>43</v>
      </c>
      <c r="G914" s="14" t="s">
        <v>421</v>
      </c>
      <c r="H914" s="14" t="s">
        <v>339</v>
      </c>
      <c r="I914" s="14" t="s">
        <v>71</v>
      </c>
      <c r="J914" s="14" t="s">
        <v>83</v>
      </c>
      <c r="K914" s="14" t="s">
        <v>340</v>
      </c>
      <c r="L914" s="14" t="s">
        <v>341</v>
      </c>
      <c r="M914" s="16" t="s">
        <v>422</v>
      </c>
      <c r="N914" s="14"/>
      <c r="O914" s="14" t="s">
        <v>423</v>
      </c>
      <c r="P914" s="14">
        <v>130</v>
      </c>
      <c r="Q914" s="14">
        <v>2</v>
      </c>
      <c r="R914" s="14">
        <v>3000</v>
      </c>
      <c r="S914" s="14" t="s">
        <v>424</v>
      </c>
      <c r="T914" s="14" t="s">
        <v>425</v>
      </c>
      <c r="U914" s="14">
        <v>0.80944444444444397</v>
      </c>
      <c r="V914" s="14">
        <v>0.96638888888888796</v>
      </c>
      <c r="W914" s="14">
        <v>650</v>
      </c>
      <c r="X914" s="14">
        <v>80</v>
      </c>
      <c r="Y914" s="14">
        <v>570</v>
      </c>
      <c r="Z914" s="14">
        <v>1450</v>
      </c>
      <c r="AA914" s="14">
        <v>254</v>
      </c>
      <c r="AB914" s="14">
        <v>254</v>
      </c>
      <c r="AC914" s="14">
        <v>900</v>
      </c>
      <c r="AD914" s="14">
        <v>42</v>
      </c>
      <c r="AE914" s="14">
        <v>2100</v>
      </c>
      <c r="AF914" s="14">
        <v>5000</v>
      </c>
      <c r="AG914" s="14">
        <v>2053</v>
      </c>
      <c r="AH914" s="14">
        <v>0</v>
      </c>
      <c r="AI914" s="14">
        <v>46</v>
      </c>
      <c r="AJ914" s="14">
        <v>173</v>
      </c>
      <c r="AK914" s="14" t="s">
        <v>421</v>
      </c>
      <c r="AL914" s="14" t="s">
        <v>426</v>
      </c>
      <c r="AM914" s="14">
        <v>205.27</v>
      </c>
      <c r="AN914" s="14">
        <v>171.59</v>
      </c>
      <c r="AO914" s="14">
        <v>54.99</v>
      </c>
      <c r="AP914" s="14">
        <v>18425</v>
      </c>
      <c r="AQ914" s="14">
        <v>18345</v>
      </c>
      <c r="AR914" s="14">
        <v>23000</v>
      </c>
      <c r="AS914" s="14">
        <v>16325</v>
      </c>
      <c r="AT914" s="14">
        <v>17775</v>
      </c>
      <c r="AU914" s="14">
        <v>25</v>
      </c>
      <c r="AV914" s="14">
        <v>267.67</v>
      </c>
      <c r="AW914" s="14">
        <v>50.94</v>
      </c>
      <c r="AX914" s="14">
        <v>5.32</v>
      </c>
      <c r="AY914" s="14" t="b">
        <v>0</v>
      </c>
    </row>
    <row r="915" spans="1:51" hidden="1" x14ac:dyDescent="0.3">
      <c r="A915" t="str">
        <f>CONCATENATE(I915,E915,LEFT(G915,10))</f>
        <v>HFA852LCPH2026-02-11</v>
      </c>
      <c r="B915" s="14" t="s">
        <v>2681</v>
      </c>
      <c r="C915" s="14" t="s">
        <v>336</v>
      </c>
      <c r="D915" s="14" t="s">
        <v>337</v>
      </c>
      <c r="E915" s="14" t="s">
        <v>69</v>
      </c>
      <c r="F915" s="14" t="s">
        <v>43</v>
      </c>
      <c r="G915" s="14" t="s">
        <v>2682</v>
      </c>
      <c r="H915" s="14" t="s">
        <v>339</v>
      </c>
      <c r="I915" s="14" t="s">
        <v>71</v>
      </c>
      <c r="J915" s="14" t="s">
        <v>83</v>
      </c>
      <c r="K915" s="14" t="s">
        <v>340</v>
      </c>
      <c r="L915" s="14" t="s">
        <v>341</v>
      </c>
      <c r="M915" s="16" t="s">
        <v>2683</v>
      </c>
      <c r="N915" s="14"/>
      <c r="O915" s="14" t="s">
        <v>582</v>
      </c>
      <c r="P915" s="14">
        <v>130</v>
      </c>
      <c r="Q915" s="14">
        <v>2</v>
      </c>
      <c r="R915" s="14">
        <v>2600</v>
      </c>
      <c r="S915" s="14" t="s">
        <v>2684</v>
      </c>
      <c r="T915" s="14" t="s">
        <v>2685</v>
      </c>
      <c r="U915" s="14">
        <v>0.80777777777777704</v>
      </c>
      <c r="V915" s="14">
        <v>1.00555555555555</v>
      </c>
      <c r="W915" s="14">
        <v>688</v>
      </c>
      <c r="X915" s="14">
        <v>80</v>
      </c>
      <c r="Y915" s="14">
        <v>608</v>
      </c>
      <c r="Z915" s="14">
        <v>1912</v>
      </c>
      <c r="AA915" s="14">
        <v>257</v>
      </c>
      <c r="AB915" s="14">
        <v>255</v>
      </c>
      <c r="AC915" s="14">
        <v>1358</v>
      </c>
      <c r="AD915" s="14">
        <v>42</v>
      </c>
      <c r="AE915" s="14">
        <v>2600</v>
      </c>
      <c r="AF915" s="14">
        <v>5000</v>
      </c>
      <c r="AG915" s="14">
        <v>2175</v>
      </c>
      <c r="AH915" s="14">
        <v>0</v>
      </c>
      <c r="AI915" s="14">
        <v>48</v>
      </c>
      <c r="AJ915" s="14">
        <v>208</v>
      </c>
      <c r="AK915" s="14" t="s">
        <v>2682</v>
      </c>
      <c r="AL915" s="14" t="s">
        <v>2686</v>
      </c>
      <c r="AM915" s="14">
        <v>205.27</v>
      </c>
      <c r="AN915" s="14">
        <v>171.59</v>
      </c>
      <c r="AO915" s="14">
        <v>54.99</v>
      </c>
      <c r="AP915" s="14">
        <v>18525</v>
      </c>
      <c r="AQ915" s="14">
        <v>18445</v>
      </c>
      <c r="AR915" s="14">
        <v>23000</v>
      </c>
      <c r="AS915" s="14">
        <v>15925</v>
      </c>
      <c r="AT915" s="14">
        <v>17837</v>
      </c>
      <c r="AU915" s="14">
        <v>11</v>
      </c>
      <c r="AV915" s="14">
        <v>249.67</v>
      </c>
      <c r="AW915" s="14">
        <v>33.51</v>
      </c>
      <c r="AX915" s="14">
        <v>0.3</v>
      </c>
      <c r="AY915" s="14" t="b">
        <v>0</v>
      </c>
    </row>
    <row r="916" spans="1:51" hidden="1" x14ac:dyDescent="0.3">
      <c r="A916" t="str">
        <f>CONCATENATE(I916,E916,LEFT(G916,10))</f>
        <v>HFA852LCPH2026-02-12</v>
      </c>
      <c r="B916" s="14" t="s">
        <v>580</v>
      </c>
      <c r="C916" s="14" t="s">
        <v>336</v>
      </c>
      <c r="D916" s="14" t="s">
        <v>337</v>
      </c>
      <c r="E916" s="14" t="s">
        <v>69</v>
      </c>
      <c r="F916" s="14" t="s">
        <v>43</v>
      </c>
      <c r="G916" s="14" t="s">
        <v>581</v>
      </c>
      <c r="H916" s="14" t="s">
        <v>393</v>
      </c>
      <c r="I916" s="14" t="s">
        <v>71</v>
      </c>
      <c r="J916" s="14" t="s">
        <v>83</v>
      </c>
      <c r="K916" s="14" t="s">
        <v>340</v>
      </c>
      <c r="L916" s="14" t="s">
        <v>341</v>
      </c>
      <c r="M916" s="16" t="s">
        <v>543</v>
      </c>
      <c r="N916" s="14"/>
      <c r="O916" s="14" t="s">
        <v>582</v>
      </c>
      <c r="P916" s="14">
        <v>130</v>
      </c>
      <c r="Q916" s="14">
        <v>2</v>
      </c>
      <c r="R916" s="14">
        <v>4200</v>
      </c>
      <c r="S916" s="14" t="s">
        <v>583</v>
      </c>
      <c r="T916" s="14" t="s">
        <v>584</v>
      </c>
      <c r="U916" s="14">
        <v>0.77249999999999996</v>
      </c>
      <c r="V916" s="14">
        <v>0.97666666666666602</v>
      </c>
      <c r="W916" s="14">
        <v>781</v>
      </c>
      <c r="X916" s="14">
        <v>80</v>
      </c>
      <c r="Y916" s="14">
        <v>701</v>
      </c>
      <c r="Z916" s="14">
        <v>1919</v>
      </c>
      <c r="AA916" s="14">
        <v>276</v>
      </c>
      <c r="AB916" s="14">
        <v>268</v>
      </c>
      <c r="AC916" s="14">
        <v>1331</v>
      </c>
      <c r="AD916" s="14">
        <v>45</v>
      </c>
      <c r="AE916" s="14">
        <v>2700</v>
      </c>
      <c r="AF916" s="14">
        <v>5000</v>
      </c>
      <c r="AG916" s="14">
        <v>2467</v>
      </c>
      <c r="AH916" s="14">
        <v>0</v>
      </c>
      <c r="AI916" s="14">
        <v>49</v>
      </c>
      <c r="AJ916" s="14">
        <v>202</v>
      </c>
      <c r="AK916" s="14" t="s">
        <v>581</v>
      </c>
      <c r="AL916" s="14" t="s">
        <v>585</v>
      </c>
      <c r="AM916" s="14">
        <v>205.27</v>
      </c>
      <c r="AN916" s="14">
        <v>171.59</v>
      </c>
      <c r="AO916" s="14">
        <v>54.99</v>
      </c>
      <c r="AP916" s="14">
        <v>20211</v>
      </c>
      <c r="AQ916" s="14">
        <v>20131</v>
      </c>
      <c r="AR916" s="14">
        <v>23000</v>
      </c>
      <c r="AS916" s="14">
        <v>17511</v>
      </c>
      <c r="AT916" s="14">
        <v>19430</v>
      </c>
      <c r="AU916" s="14">
        <v>4</v>
      </c>
      <c r="AV916" s="14">
        <v>234.67</v>
      </c>
      <c r="AW916" s="14">
        <v>36.07</v>
      </c>
      <c r="AX916" s="14">
        <v>2.95</v>
      </c>
      <c r="AY916" s="14" t="b">
        <v>0</v>
      </c>
    </row>
    <row r="917" spans="1:51" hidden="1" x14ac:dyDescent="0.3">
      <c r="A917" t="str">
        <f>CONCATENATE(I917,E917,LEFT(G917,10))</f>
        <v>HFA852LCPH2026-02-15</v>
      </c>
      <c r="B917" s="14" t="s">
        <v>4227</v>
      </c>
      <c r="C917" s="14" t="s">
        <v>336</v>
      </c>
      <c r="D917" s="14" t="s">
        <v>337</v>
      </c>
      <c r="E917" s="14" t="s">
        <v>69</v>
      </c>
      <c r="F917" s="14" t="s">
        <v>43</v>
      </c>
      <c r="G917" s="14" t="s">
        <v>4228</v>
      </c>
      <c r="H917" s="14" t="s">
        <v>357</v>
      </c>
      <c r="I917" s="14" t="s">
        <v>71</v>
      </c>
      <c r="J917" s="14" t="s">
        <v>83</v>
      </c>
      <c r="K917" s="14" t="s">
        <v>340</v>
      </c>
      <c r="L917" s="14" t="s">
        <v>341</v>
      </c>
      <c r="M917" s="16" t="s">
        <v>731</v>
      </c>
      <c r="N917" s="14" t="s">
        <v>359</v>
      </c>
      <c r="O917" s="14" t="s">
        <v>582</v>
      </c>
      <c r="P917" s="14">
        <v>130</v>
      </c>
      <c r="Q917" s="14">
        <v>2</v>
      </c>
      <c r="R917" s="14">
        <v>6350</v>
      </c>
      <c r="S917" s="14" t="s">
        <v>4229</v>
      </c>
      <c r="T917" s="14" t="s">
        <v>4230</v>
      </c>
      <c r="U917" s="14">
        <v>0.82305555555555499</v>
      </c>
      <c r="V917" s="14">
        <v>1.08</v>
      </c>
      <c r="W917" s="14">
        <v>691</v>
      </c>
      <c r="X917" s="14">
        <v>80</v>
      </c>
      <c r="Y917" s="14">
        <v>611</v>
      </c>
      <c r="Z917" s="14">
        <v>1609</v>
      </c>
      <c r="AA917" s="14">
        <v>256</v>
      </c>
      <c r="AB917" s="14">
        <v>284</v>
      </c>
      <c r="AC917" s="14">
        <v>1021</v>
      </c>
      <c r="AD917" s="14">
        <v>47</v>
      </c>
      <c r="AE917" s="14">
        <v>2300</v>
      </c>
      <c r="AF917" s="14">
        <v>5000</v>
      </c>
      <c r="AG917" s="14">
        <v>2184</v>
      </c>
      <c r="AH917" s="14">
        <v>0</v>
      </c>
      <c r="AI917" s="14">
        <v>51</v>
      </c>
      <c r="AJ917" s="14">
        <v>192</v>
      </c>
      <c r="AK917" s="14" t="s">
        <v>4228</v>
      </c>
      <c r="AL917" s="14" t="s">
        <v>4231</v>
      </c>
      <c r="AM917" s="14">
        <v>205.27</v>
      </c>
      <c r="AN917" s="14">
        <v>171.59</v>
      </c>
      <c r="AO917" s="14">
        <v>54.99</v>
      </c>
      <c r="AP917" s="14">
        <v>21875</v>
      </c>
      <c r="AQ917" s="14">
        <v>21795</v>
      </c>
      <c r="AR917" s="14">
        <v>23000</v>
      </c>
      <c r="AS917" s="14">
        <v>19575</v>
      </c>
      <c r="AT917" s="14">
        <v>21184</v>
      </c>
      <c r="AU917" s="14">
        <v>6</v>
      </c>
      <c r="AV917" s="14">
        <v>249.03</v>
      </c>
      <c r="AW917" s="14">
        <v>23.35</v>
      </c>
      <c r="AX917" s="14">
        <v>9.52</v>
      </c>
      <c r="AY917" s="14" t="b">
        <v>0</v>
      </c>
    </row>
    <row r="918" spans="1:51" hidden="1" x14ac:dyDescent="0.3">
      <c r="A918" t="str">
        <f>CONCATENATE(I918,E918,LEFT(G918,10))</f>
        <v>HFA852LCPH2026-02-18</v>
      </c>
      <c r="B918" s="14" t="s">
        <v>1898</v>
      </c>
      <c r="C918" s="14" t="s">
        <v>336</v>
      </c>
      <c r="D918" s="14" t="s">
        <v>337</v>
      </c>
      <c r="E918" s="14" t="s">
        <v>69</v>
      </c>
      <c r="F918" s="14" t="s">
        <v>43</v>
      </c>
      <c r="G918" s="14" t="s">
        <v>1899</v>
      </c>
      <c r="H918" s="14" t="s">
        <v>393</v>
      </c>
      <c r="I918" s="14" t="s">
        <v>71</v>
      </c>
      <c r="J918" s="14" t="s">
        <v>83</v>
      </c>
      <c r="K918" s="14" t="s">
        <v>340</v>
      </c>
      <c r="L918" s="14" t="s">
        <v>341</v>
      </c>
      <c r="M918" s="16" t="s">
        <v>731</v>
      </c>
      <c r="N918" s="14"/>
      <c r="O918" s="14" t="s">
        <v>582</v>
      </c>
      <c r="P918" s="14">
        <v>130</v>
      </c>
      <c r="Q918" s="14">
        <v>2</v>
      </c>
      <c r="R918" s="14">
        <v>5300</v>
      </c>
      <c r="S918" s="14" t="s">
        <v>1900</v>
      </c>
      <c r="T918" s="14" t="s">
        <v>1901</v>
      </c>
      <c r="U918" s="14">
        <v>0.80805555555555497</v>
      </c>
      <c r="V918" s="14">
        <v>1.0302777777777701</v>
      </c>
      <c r="W918" s="14">
        <v>740</v>
      </c>
      <c r="X918" s="14">
        <v>80</v>
      </c>
      <c r="Y918" s="14">
        <v>660</v>
      </c>
      <c r="Z918" s="14">
        <v>1460</v>
      </c>
      <c r="AA918" s="14">
        <v>278</v>
      </c>
      <c r="AB918" s="14">
        <v>274</v>
      </c>
      <c r="AC918" s="14">
        <v>863</v>
      </c>
      <c r="AD918" s="14">
        <v>46</v>
      </c>
      <c r="AE918" s="14">
        <v>2200</v>
      </c>
      <c r="AF918" s="14">
        <v>5000</v>
      </c>
      <c r="AG918" s="14">
        <v>2338</v>
      </c>
      <c r="AH918" s="14">
        <v>0</v>
      </c>
      <c r="AI918" s="14">
        <v>46</v>
      </c>
      <c r="AJ918" s="14">
        <v>164</v>
      </c>
      <c r="AK918" s="14" t="s">
        <v>1899</v>
      </c>
      <c r="AL918" s="14" t="s">
        <v>1902</v>
      </c>
      <c r="AM918" s="14">
        <v>205.27</v>
      </c>
      <c r="AN918" s="14">
        <v>171.59</v>
      </c>
      <c r="AO918" s="14">
        <v>54.99</v>
      </c>
      <c r="AP918" s="14">
        <v>20811</v>
      </c>
      <c r="AQ918" s="14">
        <v>20731</v>
      </c>
      <c r="AR918" s="14">
        <v>23000</v>
      </c>
      <c r="AS918" s="14">
        <v>18611</v>
      </c>
      <c r="AT918" s="14">
        <v>20071</v>
      </c>
      <c r="AU918" s="14">
        <v>23</v>
      </c>
      <c r="AV918" s="14">
        <v>261.2</v>
      </c>
      <c r="AW918" s="14">
        <v>59.82</v>
      </c>
      <c r="AX918" s="14">
        <v>3.16</v>
      </c>
      <c r="AY918" s="14" t="b">
        <v>0</v>
      </c>
    </row>
    <row r="919" spans="1:51" hidden="1" x14ac:dyDescent="0.3">
      <c r="A919" t="str">
        <f>CONCATENATE(I919,E919,LEFT(G919,10))</f>
        <v>HFA852LCPH2026-02-19</v>
      </c>
      <c r="B919" s="14" t="s">
        <v>3955</v>
      </c>
      <c r="C919" s="14" t="s">
        <v>336</v>
      </c>
      <c r="D919" s="14" t="s">
        <v>337</v>
      </c>
      <c r="E919" s="14" t="s">
        <v>69</v>
      </c>
      <c r="F919" s="14" t="s">
        <v>43</v>
      </c>
      <c r="G919" s="14" t="s">
        <v>3956</v>
      </c>
      <c r="H919" s="14" t="s">
        <v>393</v>
      </c>
      <c r="I919" s="14" t="s">
        <v>71</v>
      </c>
      <c r="J919" s="14" t="s">
        <v>83</v>
      </c>
      <c r="K919" s="14" t="s">
        <v>340</v>
      </c>
      <c r="L919" s="14" t="s">
        <v>341</v>
      </c>
      <c r="M919" s="16" t="s">
        <v>422</v>
      </c>
      <c r="N919" s="14"/>
      <c r="O919" s="14" t="s">
        <v>3957</v>
      </c>
      <c r="P919" s="14">
        <v>130</v>
      </c>
      <c r="Q919" s="14">
        <v>2</v>
      </c>
      <c r="R919" s="14">
        <v>4300</v>
      </c>
      <c r="S919" s="14" t="s">
        <v>3958</v>
      </c>
      <c r="T919" s="14" t="s">
        <v>3959</v>
      </c>
      <c r="U919" s="14">
        <v>0.79694444444444401</v>
      </c>
      <c r="V919" s="14">
        <v>0.95083333333333298</v>
      </c>
      <c r="W919" s="14">
        <v>748</v>
      </c>
      <c r="X919" s="14">
        <v>80</v>
      </c>
      <c r="Y919" s="14">
        <v>668</v>
      </c>
      <c r="Z919" s="14">
        <v>1752</v>
      </c>
      <c r="AA919" s="14">
        <v>266</v>
      </c>
      <c r="AB919" s="14">
        <v>267</v>
      </c>
      <c r="AC919" s="14">
        <v>1175</v>
      </c>
      <c r="AD919" s="14">
        <v>45</v>
      </c>
      <c r="AE919" s="14">
        <v>2500</v>
      </c>
      <c r="AF919" s="14">
        <v>5000</v>
      </c>
      <c r="AG919" s="14">
        <v>2363</v>
      </c>
      <c r="AH919" s="14">
        <v>0</v>
      </c>
      <c r="AI919" s="14">
        <v>47</v>
      </c>
      <c r="AJ919" s="14">
        <v>189</v>
      </c>
      <c r="AK919" s="14" t="s">
        <v>3956</v>
      </c>
      <c r="AL919" s="14" t="s">
        <v>3960</v>
      </c>
      <c r="AM919" s="14">
        <v>205.27</v>
      </c>
      <c r="AN919" s="14">
        <v>171.59</v>
      </c>
      <c r="AO919" s="14">
        <v>54.99</v>
      </c>
      <c r="AP919" s="14">
        <v>20111</v>
      </c>
      <c r="AQ919" s="14">
        <v>20031</v>
      </c>
      <c r="AR919" s="14">
        <v>23000</v>
      </c>
      <c r="AS919" s="14">
        <v>17611</v>
      </c>
      <c r="AT919" s="14">
        <v>19363</v>
      </c>
      <c r="AU919" s="14">
        <v>16</v>
      </c>
      <c r="AV919" s="14">
        <v>297.95</v>
      </c>
      <c r="AW919" s="14">
        <v>22.68</v>
      </c>
      <c r="AX919" s="14">
        <v>5</v>
      </c>
      <c r="AY919" s="14" t="b">
        <v>0</v>
      </c>
    </row>
    <row r="920" spans="1:51" hidden="1" x14ac:dyDescent="0.3">
      <c r="A920" t="str">
        <f>CONCATENATE(I920,E920,LEFT(G920,10))</f>
        <v>HFA852LCPH2026-02-22</v>
      </c>
      <c r="B920" s="14" t="s">
        <v>1047</v>
      </c>
      <c r="C920" s="14" t="s">
        <v>336</v>
      </c>
      <c r="D920" s="14" t="s">
        <v>337</v>
      </c>
      <c r="E920" s="14" t="s">
        <v>69</v>
      </c>
      <c r="F920" s="14" t="s">
        <v>43</v>
      </c>
      <c r="G920" s="14" t="s">
        <v>1048</v>
      </c>
      <c r="H920" s="14" t="s">
        <v>393</v>
      </c>
      <c r="I920" s="14" t="s">
        <v>71</v>
      </c>
      <c r="J920" s="14" t="s">
        <v>83</v>
      </c>
      <c r="K920" s="14" t="s">
        <v>340</v>
      </c>
      <c r="L920" s="14" t="s">
        <v>341</v>
      </c>
      <c r="M920" s="16" t="s">
        <v>731</v>
      </c>
      <c r="N920" s="14"/>
      <c r="O920" s="14" t="s">
        <v>582</v>
      </c>
      <c r="P920" s="14">
        <v>130</v>
      </c>
      <c r="Q920" s="14">
        <v>2</v>
      </c>
      <c r="R920" s="14">
        <v>5500</v>
      </c>
      <c r="S920" s="14" t="s">
        <v>1049</v>
      </c>
      <c r="T920" s="14" t="s">
        <v>1050</v>
      </c>
      <c r="U920" s="14">
        <v>0.81833333333333302</v>
      </c>
      <c r="V920" s="14">
        <v>1.0388888888888801</v>
      </c>
      <c r="W920" s="14">
        <v>771</v>
      </c>
      <c r="X920" s="14">
        <v>80</v>
      </c>
      <c r="Y920" s="14">
        <v>691</v>
      </c>
      <c r="Z920" s="14">
        <v>1729</v>
      </c>
      <c r="AA920" s="14">
        <v>271</v>
      </c>
      <c r="AB920" s="14">
        <v>278</v>
      </c>
      <c r="AC920" s="14">
        <v>1133</v>
      </c>
      <c r="AD920" s="14">
        <v>46</v>
      </c>
      <c r="AE920" s="14">
        <v>2500</v>
      </c>
      <c r="AF920" s="14">
        <v>5000</v>
      </c>
      <c r="AG920" s="14">
        <v>2438</v>
      </c>
      <c r="AH920" s="14">
        <v>0</v>
      </c>
      <c r="AI920" s="14">
        <v>48</v>
      </c>
      <c r="AJ920" s="14">
        <v>186</v>
      </c>
      <c r="AK920" s="14" t="s">
        <v>1048</v>
      </c>
      <c r="AL920" s="14" t="s">
        <v>1051</v>
      </c>
      <c r="AM920" s="14">
        <v>205.27</v>
      </c>
      <c r="AN920" s="14">
        <v>171.59</v>
      </c>
      <c r="AO920" s="14">
        <v>54.99</v>
      </c>
      <c r="AP920" s="14">
        <v>21311</v>
      </c>
      <c r="AQ920" s="14">
        <v>21231</v>
      </c>
      <c r="AR920" s="14">
        <v>23000</v>
      </c>
      <c r="AS920" s="14">
        <v>18811</v>
      </c>
      <c r="AT920" s="14">
        <v>20540</v>
      </c>
      <c r="AU920" s="14">
        <v>11</v>
      </c>
      <c r="AV920" s="14">
        <v>260.05</v>
      </c>
      <c r="AW920" s="14">
        <v>28.96</v>
      </c>
      <c r="AX920" s="14">
        <v>1.95</v>
      </c>
      <c r="AY920" s="14" t="b">
        <v>0</v>
      </c>
    </row>
    <row r="921" spans="1:51" hidden="1" x14ac:dyDescent="0.3">
      <c r="A921" t="str">
        <f>CONCATENATE(I921,E921,LEFT(G921,10))</f>
        <v>HFA852LCPH2026-02-25</v>
      </c>
      <c r="B921" s="14" t="s">
        <v>3581</v>
      </c>
      <c r="C921" s="14" t="s">
        <v>336</v>
      </c>
      <c r="D921" s="14" t="s">
        <v>337</v>
      </c>
      <c r="E921" s="14" t="s">
        <v>69</v>
      </c>
      <c r="F921" s="14" t="s">
        <v>43</v>
      </c>
      <c r="G921" s="14" t="s">
        <v>3582</v>
      </c>
      <c r="H921" s="14" t="s">
        <v>339</v>
      </c>
      <c r="I921" s="14" t="s">
        <v>71</v>
      </c>
      <c r="J921" s="14" t="s">
        <v>83</v>
      </c>
      <c r="K921" s="14" t="s">
        <v>340</v>
      </c>
      <c r="L921" s="14" t="s">
        <v>341</v>
      </c>
      <c r="M921" s="16" t="s">
        <v>731</v>
      </c>
      <c r="N921" s="14"/>
      <c r="O921" s="14" t="s">
        <v>1409</v>
      </c>
      <c r="P921" s="14">
        <v>130</v>
      </c>
      <c r="Q921" s="14">
        <v>2</v>
      </c>
      <c r="R921" s="14">
        <v>4600</v>
      </c>
      <c r="S921" s="14" t="s">
        <v>3583</v>
      </c>
      <c r="T921" s="14" t="s">
        <v>3584</v>
      </c>
      <c r="U921" s="14">
        <v>0.87555555555555498</v>
      </c>
      <c r="V921" s="14">
        <v>1.0163888888888799</v>
      </c>
      <c r="W921" s="14">
        <v>680</v>
      </c>
      <c r="X921" s="14">
        <v>80</v>
      </c>
      <c r="Y921" s="14">
        <v>600</v>
      </c>
      <c r="Z921" s="14">
        <v>1420</v>
      </c>
      <c r="AA921" s="14">
        <v>261</v>
      </c>
      <c r="AB921" s="14">
        <v>267</v>
      </c>
      <c r="AC921" s="14">
        <v>848</v>
      </c>
      <c r="AD921" s="14">
        <v>45</v>
      </c>
      <c r="AE921" s="14">
        <v>2100</v>
      </c>
      <c r="AF921" s="14">
        <v>5000</v>
      </c>
      <c r="AG921" s="14">
        <v>2148</v>
      </c>
      <c r="AH921" s="14">
        <v>0</v>
      </c>
      <c r="AI921" s="14">
        <v>47</v>
      </c>
      <c r="AJ921" s="14">
        <v>168</v>
      </c>
      <c r="AK921" s="14" t="s">
        <v>3582</v>
      </c>
      <c r="AL921" s="14" t="s">
        <v>3585</v>
      </c>
      <c r="AM921" s="14">
        <v>205.27</v>
      </c>
      <c r="AN921" s="14">
        <v>171.59</v>
      </c>
      <c r="AO921" s="14">
        <v>54.99</v>
      </c>
      <c r="AP921" s="14">
        <v>20025</v>
      </c>
      <c r="AQ921" s="14">
        <v>19945</v>
      </c>
      <c r="AR921" s="14">
        <v>23000</v>
      </c>
      <c r="AS921" s="14">
        <v>17925</v>
      </c>
      <c r="AT921" s="14">
        <v>19345</v>
      </c>
      <c r="AU921" s="14">
        <v>16</v>
      </c>
      <c r="AV921" s="14">
        <v>264.77</v>
      </c>
      <c r="AW921" s="14">
        <v>35.99</v>
      </c>
      <c r="AX921" s="14">
        <v>2.71</v>
      </c>
      <c r="AY921" s="14" t="b">
        <v>0</v>
      </c>
    </row>
    <row r="922" spans="1:51" hidden="1" x14ac:dyDescent="0.3">
      <c r="A922" t="str">
        <f>CONCATENATE(I922,E922,LEFT(G922,10))</f>
        <v>HFA852LCPH2026-02-26</v>
      </c>
      <c r="B922" s="14" t="s">
        <v>3510</v>
      </c>
      <c r="C922" s="14" t="s">
        <v>336</v>
      </c>
      <c r="D922" s="14" t="s">
        <v>337</v>
      </c>
      <c r="E922" s="14" t="s">
        <v>69</v>
      </c>
      <c r="F922" s="14" t="s">
        <v>43</v>
      </c>
      <c r="G922" s="14" t="s">
        <v>3511</v>
      </c>
      <c r="H922" s="14" t="s">
        <v>357</v>
      </c>
      <c r="I922" s="14" t="s">
        <v>71</v>
      </c>
      <c r="J922" s="14" t="s">
        <v>83</v>
      </c>
      <c r="K922" s="14" t="s">
        <v>340</v>
      </c>
      <c r="L922" s="14" t="s">
        <v>341</v>
      </c>
      <c r="M922" s="16" t="s">
        <v>543</v>
      </c>
      <c r="N922" s="14" t="s">
        <v>359</v>
      </c>
      <c r="O922" s="14" t="s">
        <v>582</v>
      </c>
      <c r="P922" s="14">
        <v>130</v>
      </c>
      <c r="Q922" s="14">
        <v>2</v>
      </c>
      <c r="R922" s="14">
        <v>3200</v>
      </c>
      <c r="S922" s="14" t="s">
        <v>3512</v>
      </c>
      <c r="T922" s="14" t="s">
        <v>3513</v>
      </c>
      <c r="U922" s="14">
        <v>0.72638888888888797</v>
      </c>
      <c r="V922" s="14">
        <v>0.97194444444444394</v>
      </c>
      <c r="W922" s="14">
        <v>638</v>
      </c>
      <c r="X922" s="14">
        <v>80</v>
      </c>
      <c r="Y922" s="14">
        <v>558</v>
      </c>
      <c r="Z922" s="14">
        <v>2062</v>
      </c>
      <c r="AA922" s="14">
        <v>253</v>
      </c>
      <c r="AB922" s="14">
        <v>260</v>
      </c>
      <c r="AC922" s="14">
        <v>1506</v>
      </c>
      <c r="AD922" s="14">
        <v>43</v>
      </c>
      <c r="AE922" s="14">
        <v>2700</v>
      </c>
      <c r="AF922" s="14">
        <v>5000</v>
      </c>
      <c r="AG922" s="14">
        <v>2017</v>
      </c>
      <c r="AH922" s="14">
        <v>0</v>
      </c>
      <c r="AI922" s="14">
        <v>44</v>
      </c>
      <c r="AJ922" s="14">
        <v>219</v>
      </c>
      <c r="AK922" s="14" t="s">
        <v>3511</v>
      </c>
      <c r="AL922" s="14" t="s">
        <v>3514</v>
      </c>
      <c r="AM922" s="14">
        <v>205.27</v>
      </c>
      <c r="AN922" s="14">
        <v>171.59</v>
      </c>
      <c r="AO922" s="14">
        <v>54.99</v>
      </c>
      <c r="AP922" s="14">
        <v>19125</v>
      </c>
      <c r="AQ922" s="14">
        <v>19045</v>
      </c>
      <c r="AR922" s="14">
        <v>23000</v>
      </c>
      <c r="AS922" s="14">
        <v>16425</v>
      </c>
      <c r="AT922" s="14">
        <v>18487</v>
      </c>
      <c r="AU922" s="14">
        <v>35</v>
      </c>
      <c r="AV922" s="14">
        <v>284.08</v>
      </c>
      <c r="AW922" s="14">
        <v>56.41</v>
      </c>
      <c r="AX922" s="14">
        <v>0.69</v>
      </c>
      <c r="AY922" s="14" t="b">
        <v>0</v>
      </c>
    </row>
    <row r="923" spans="1:51" hidden="1" x14ac:dyDescent="0.3">
      <c r="A923" t="str">
        <f>CONCATENATE(I923,E923,LEFT(G923,10))</f>
        <v>HFA853LLHA2026-01-03</v>
      </c>
      <c r="B923" s="14" t="s">
        <v>4987</v>
      </c>
      <c r="C923" s="14" t="s">
        <v>336</v>
      </c>
      <c r="D923" s="14" t="s">
        <v>337</v>
      </c>
      <c r="E923" s="14" t="s">
        <v>43</v>
      </c>
      <c r="F923" s="14" t="s">
        <v>69</v>
      </c>
      <c r="G923" s="14" t="s">
        <v>4988</v>
      </c>
      <c r="H923" s="14" t="s">
        <v>339</v>
      </c>
      <c r="I923" s="14" t="s">
        <v>223</v>
      </c>
      <c r="J923" s="14" t="s">
        <v>87</v>
      </c>
      <c r="K923" s="14" t="s">
        <v>349</v>
      </c>
      <c r="L923" s="14" t="s">
        <v>341</v>
      </c>
      <c r="M923" s="16" t="s">
        <v>4989</v>
      </c>
      <c r="N923" s="14"/>
      <c r="O923" s="14" t="s">
        <v>451</v>
      </c>
      <c r="P923" s="14">
        <v>140</v>
      </c>
      <c r="Q923" s="14">
        <v>2</v>
      </c>
      <c r="R923" s="14">
        <v>4000</v>
      </c>
      <c r="S923" s="14" t="s">
        <v>4990</v>
      </c>
      <c r="T923" s="14" t="s">
        <v>4991</v>
      </c>
      <c r="U923" s="14">
        <v>0.84666666666666601</v>
      </c>
      <c r="V923" s="14">
        <v>1.0586111111111101</v>
      </c>
      <c r="W923" s="14">
        <v>689</v>
      </c>
      <c r="X923" s="14">
        <v>50</v>
      </c>
      <c r="Y923" s="14">
        <v>639</v>
      </c>
      <c r="Z923" s="14">
        <v>881</v>
      </c>
      <c r="AA923" s="14">
        <v>273</v>
      </c>
      <c r="AB923" s="14">
        <v>258</v>
      </c>
      <c r="AC923" s="14">
        <v>308</v>
      </c>
      <c r="AD923" s="14">
        <v>43</v>
      </c>
      <c r="AE923" s="14">
        <v>1570</v>
      </c>
      <c r="AF923" s="14">
        <v>5000</v>
      </c>
      <c r="AG923" s="14">
        <v>2176</v>
      </c>
      <c r="AH923" s="14">
        <v>0</v>
      </c>
      <c r="AI923" s="14">
        <v>52</v>
      </c>
      <c r="AJ923" s="14">
        <v>129</v>
      </c>
      <c r="AK923" s="14" t="s">
        <v>4988</v>
      </c>
      <c r="AL923" s="14" t="s">
        <v>4992</v>
      </c>
      <c r="AM923" s="14">
        <v>200.62</v>
      </c>
      <c r="AN923" s="14">
        <v>171.59</v>
      </c>
      <c r="AO923" s="14">
        <v>61.53</v>
      </c>
      <c r="AP923" s="14">
        <v>18895</v>
      </c>
      <c r="AQ923" s="14">
        <v>18845</v>
      </c>
      <c r="AR923" s="14">
        <v>23000</v>
      </c>
      <c r="AS923" s="14">
        <v>17325</v>
      </c>
      <c r="AT923" s="14">
        <v>18206</v>
      </c>
      <c r="AU923" s="14">
        <v>-12</v>
      </c>
      <c r="AV923" s="14">
        <v>282.64</v>
      </c>
      <c r="AW923" s="14">
        <v>17.96</v>
      </c>
      <c r="AX923" s="14">
        <v>1.89</v>
      </c>
      <c r="AY923" s="14" t="b">
        <v>0</v>
      </c>
    </row>
    <row r="924" spans="1:51" hidden="1" x14ac:dyDescent="0.3">
      <c r="A924" t="str">
        <f>CONCATENATE(I924,E924,LEFT(G924,10))</f>
        <v>HFA853LLHA2026-01-10</v>
      </c>
      <c r="B924" s="14" t="s">
        <v>1129</v>
      </c>
      <c r="C924" s="14" t="s">
        <v>336</v>
      </c>
      <c r="D924" s="14" t="s">
        <v>337</v>
      </c>
      <c r="E924" s="14" t="s">
        <v>43</v>
      </c>
      <c r="F924" s="14" t="s">
        <v>69</v>
      </c>
      <c r="G924" s="14" t="s">
        <v>1130</v>
      </c>
      <c r="H924" s="14" t="s">
        <v>339</v>
      </c>
      <c r="I924" s="14" t="s">
        <v>223</v>
      </c>
      <c r="J924" s="14" t="s">
        <v>87</v>
      </c>
      <c r="K924" s="14" t="s">
        <v>349</v>
      </c>
      <c r="L924" s="14" t="s">
        <v>341</v>
      </c>
      <c r="M924" s="16" t="s">
        <v>1131</v>
      </c>
      <c r="N924" s="14"/>
      <c r="O924" s="14" t="s">
        <v>451</v>
      </c>
      <c r="P924" s="14">
        <v>140</v>
      </c>
      <c r="Q924" s="14">
        <v>2</v>
      </c>
      <c r="R924" s="14">
        <v>1400</v>
      </c>
      <c r="S924" s="14" t="s">
        <v>1132</v>
      </c>
      <c r="T924" s="14" t="s">
        <v>1133</v>
      </c>
      <c r="U924" s="14">
        <v>0.87027777777777704</v>
      </c>
      <c r="V924" s="14">
        <v>0.98333333333333295</v>
      </c>
      <c r="W924" s="14">
        <v>696</v>
      </c>
      <c r="X924" s="14">
        <v>50</v>
      </c>
      <c r="Y924" s="14">
        <v>646</v>
      </c>
      <c r="Z924" s="14">
        <v>1124</v>
      </c>
      <c r="AA924" s="14">
        <v>259</v>
      </c>
      <c r="AB924" s="14">
        <v>240</v>
      </c>
      <c r="AC924" s="14">
        <v>585</v>
      </c>
      <c r="AD924" s="14">
        <v>40</v>
      </c>
      <c r="AE924" s="14">
        <v>1820</v>
      </c>
      <c r="AF924" s="14">
        <v>5000</v>
      </c>
      <c r="AG924" s="14">
        <v>2199</v>
      </c>
      <c r="AH924" s="14">
        <v>0</v>
      </c>
      <c r="AI924" s="14">
        <v>52</v>
      </c>
      <c r="AJ924" s="14">
        <v>152</v>
      </c>
      <c r="AK924" s="14" t="s">
        <v>1130</v>
      </c>
      <c r="AL924" s="14" t="s">
        <v>1134</v>
      </c>
      <c r="AM924" s="14">
        <v>200.62</v>
      </c>
      <c r="AN924" s="14">
        <v>171.59</v>
      </c>
      <c r="AO924" s="14">
        <v>61.53</v>
      </c>
      <c r="AP924" s="14">
        <v>16545</v>
      </c>
      <c r="AQ924" s="14">
        <v>16495</v>
      </c>
      <c r="AR924" s="14">
        <v>23000</v>
      </c>
      <c r="AS924" s="14">
        <v>14725</v>
      </c>
      <c r="AT924" s="14">
        <v>15849</v>
      </c>
      <c r="AU924" s="14">
        <v>-22</v>
      </c>
      <c r="AV924" s="14">
        <v>281.72000000000003</v>
      </c>
      <c r="AW924" s="14">
        <v>33.92</v>
      </c>
      <c r="AX924" s="14">
        <v>3.06</v>
      </c>
      <c r="AY924" s="14" t="b">
        <v>0</v>
      </c>
    </row>
    <row r="925" spans="1:51" hidden="1" x14ac:dyDescent="0.3">
      <c r="A925" t="str">
        <f>CONCATENATE(I925,E925,LEFT(G925,10))</f>
        <v>HFA853LLHA2026-01-17</v>
      </c>
      <c r="B925" s="14" t="s">
        <v>6442</v>
      </c>
      <c r="C925" s="14" t="s">
        <v>336</v>
      </c>
      <c r="D925" s="14" t="s">
        <v>337</v>
      </c>
      <c r="E925" s="14" t="s">
        <v>43</v>
      </c>
      <c r="F925" s="14" t="s">
        <v>69</v>
      </c>
      <c r="G925" s="14" t="s">
        <v>6443</v>
      </c>
      <c r="H925" s="14" t="s">
        <v>339</v>
      </c>
      <c r="I925" s="14" t="s">
        <v>223</v>
      </c>
      <c r="J925" s="14" t="s">
        <v>87</v>
      </c>
      <c r="K925" s="14" t="s">
        <v>349</v>
      </c>
      <c r="L925" s="14" t="s">
        <v>341</v>
      </c>
      <c r="M925" s="16" t="s">
        <v>6444</v>
      </c>
      <c r="N925" s="14"/>
      <c r="O925" s="14" t="s">
        <v>596</v>
      </c>
      <c r="P925" s="14">
        <v>50</v>
      </c>
      <c r="Q925" s="14">
        <v>2</v>
      </c>
      <c r="R925" s="14">
        <v>2100</v>
      </c>
      <c r="S925" s="14" t="s">
        <v>6445</v>
      </c>
      <c r="T925" s="14"/>
      <c r="U925" s="14"/>
      <c r="V925" s="14">
        <v>0.91888888888888798</v>
      </c>
      <c r="W925" s="14">
        <v>710</v>
      </c>
      <c r="X925" s="14">
        <v>50</v>
      </c>
      <c r="Y925" s="14">
        <v>660</v>
      </c>
      <c r="Z925" s="14">
        <v>960</v>
      </c>
      <c r="AA925" s="14">
        <v>270</v>
      </c>
      <c r="AB925" s="14">
        <v>244</v>
      </c>
      <c r="AC925" s="14">
        <v>405</v>
      </c>
      <c r="AD925" s="14">
        <v>41</v>
      </c>
      <c r="AE925" s="14">
        <v>1670</v>
      </c>
      <c r="AF925" s="14">
        <v>5000</v>
      </c>
      <c r="AG925" s="14">
        <v>2243</v>
      </c>
      <c r="AH925" s="14">
        <v>0</v>
      </c>
      <c r="AI925" s="14">
        <v>52</v>
      </c>
      <c r="AJ925" s="14">
        <v>137</v>
      </c>
      <c r="AK925" s="14" t="s">
        <v>6443</v>
      </c>
      <c r="AL925" s="14" t="s">
        <v>6446</v>
      </c>
      <c r="AM925" s="14">
        <v>200.62</v>
      </c>
      <c r="AN925" s="14">
        <v>171.59</v>
      </c>
      <c r="AO925" s="14">
        <v>61.53</v>
      </c>
      <c r="AP925" s="14">
        <v>17095</v>
      </c>
      <c r="AQ925" s="14">
        <v>17045</v>
      </c>
      <c r="AR925" s="14">
        <v>23000</v>
      </c>
      <c r="AS925" s="14">
        <v>15425</v>
      </c>
      <c r="AT925" s="14">
        <v>16385</v>
      </c>
      <c r="AU925" s="14">
        <v>-20</v>
      </c>
      <c r="AV925" s="14">
        <v>277.19</v>
      </c>
      <c r="AW925" s="14">
        <v>25.13</v>
      </c>
      <c r="AX925" s="14">
        <v>-0.42</v>
      </c>
      <c r="AY925" s="14" t="b">
        <v>0</v>
      </c>
    </row>
    <row r="926" spans="1:51" hidden="1" x14ac:dyDescent="0.3">
      <c r="A926" t="str">
        <f>CONCATENATE(I926,E926,LEFT(G926,10))</f>
        <v>HFA853LLHA2026-01-24</v>
      </c>
      <c r="B926" s="14" t="s">
        <v>657</v>
      </c>
      <c r="C926" s="14" t="s">
        <v>336</v>
      </c>
      <c r="D926" s="14" t="s">
        <v>337</v>
      </c>
      <c r="E926" s="14" t="s">
        <v>43</v>
      </c>
      <c r="F926" s="14" t="s">
        <v>69</v>
      </c>
      <c r="G926" s="14" t="s">
        <v>658</v>
      </c>
      <c r="H926" s="14" t="s">
        <v>339</v>
      </c>
      <c r="I926" s="14" t="s">
        <v>223</v>
      </c>
      <c r="J926" s="14" t="s">
        <v>87</v>
      </c>
      <c r="K926" s="14" t="s">
        <v>349</v>
      </c>
      <c r="L926" s="14" t="s">
        <v>341</v>
      </c>
      <c r="M926" s="16" t="s">
        <v>659</v>
      </c>
      <c r="N926" s="14"/>
      <c r="O926" s="14" t="s">
        <v>660</v>
      </c>
      <c r="P926" s="14">
        <v>50</v>
      </c>
      <c r="Q926" s="14">
        <v>2</v>
      </c>
      <c r="R926" s="14">
        <v>1700</v>
      </c>
      <c r="S926" s="14" t="s">
        <v>661</v>
      </c>
      <c r="T926" s="14" t="s">
        <v>662</v>
      </c>
      <c r="U926" s="14">
        <v>0.92888888888888799</v>
      </c>
      <c r="V926" s="14">
        <v>1.08833333333333</v>
      </c>
      <c r="W926" s="14">
        <v>683</v>
      </c>
      <c r="X926" s="14">
        <v>50</v>
      </c>
      <c r="Y926" s="14">
        <v>633</v>
      </c>
      <c r="Z926" s="14">
        <v>817</v>
      </c>
      <c r="AA926" s="14">
        <v>268</v>
      </c>
      <c r="AB926" s="14">
        <v>240</v>
      </c>
      <c r="AC926" s="14">
        <v>269</v>
      </c>
      <c r="AD926" s="14">
        <v>40</v>
      </c>
      <c r="AE926" s="14">
        <v>1500</v>
      </c>
      <c r="AF926" s="14">
        <v>5000</v>
      </c>
      <c r="AG926" s="14">
        <v>2157</v>
      </c>
      <c r="AH926" s="14">
        <v>0</v>
      </c>
      <c r="AI926" s="14">
        <v>50</v>
      </c>
      <c r="AJ926" s="14">
        <v>123</v>
      </c>
      <c r="AK926" s="14" t="s">
        <v>658</v>
      </c>
      <c r="AL926" s="14" t="s">
        <v>663</v>
      </c>
      <c r="AM926" s="14">
        <v>200.62</v>
      </c>
      <c r="AN926" s="14">
        <v>171.59</v>
      </c>
      <c r="AO926" s="14">
        <v>61.53</v>
      </c>
      <c r="AP926" s="14">
        <v>16525</v>
      </c>
      <c r="AQ926" s="14">
        <v>16475</v>
      </c>
      <c r="AR926" s="14">
        <v>23000</v>
      </c>
      <c r="AS926" s="14">
        <v>15025</v>
      </c>
      <c r="AT926" s="14">
        <v>15842</v>
      </c>
      <c r="AU926" s="14">
        <v>-12</v>
      </c>
      <c r="AV926" s="14">
        <v>309.69</v>
      </c>
      <c r="AW926" s="14">
        <v>18</v>
      </c>
      <c r="AX926" s="14">
        <v>-0.28999999999999998</v>
      </c>
      <c r="AY926" s="14" t="b">
        <v>0</v>
      </c>
    </row>
    <row r="927" spans="1:51" hidden="1" x14ac:dyDescent="0.3">
      <c r="A927" t="str">
        <f>CONCATENATE(I927,E927,LEFT(G927,10))</f>
        <v>HFA853LLHA2026-01-31</v>
      </c>
      <c r="B927" s="14" t="s">
        <v>2399</v>
      </c>
      <c r="C927" s="14" t="s">
        <v>336</v>
      </c>
      <c r="D927" s="14" t="s">
        <v>337</v>
      </c>
      <c r="E927" s="14" t="s">
        <v>43</v>
      </c>
      <c r="F927" s="14" t="s">
        <v>69</v>
      </c>
      <c r="G927" s="14" t="s">
        <v>2400</v>
      </c>
      <c r="H927" s="14" t="s">
        <v>339</v>
      </c>
      <c r="I927" s="14" t="s">
        <v>223</v>
      </c>
      <c r="J927" s="14" t="s">
        <v>87</v>
      </c>
      <c r="K927" s="14" t="s">
        <v>349</v>
      </c>
      <c r="L927" s="14" t="s">
        <v>341</v>
      </c>
      <c r="M927" s="16" t="s">
        <v>2401</v>
      </c>
      <c r="N927" s="14"/>
      <c r="O927" s="14" t="s">
        <v>451</v>
      </c>
      <c r="P927" s="14">
        <v>140</v>
      </c>
      <c r="Q927" s="14">
        <v>2</v>
      </c>
      <c r="R927" s="14">
        <v>1600</v>
      </c>
      <c r="S927" s="14" t="s">
        <v>2402</v>
      </c>
      <c r="T927" s="14" t="s">
        <v>2403</v>
      </c>
      <c r="U927" s="14">
        <v>0.82972222222222203</v>
      </c>
      <c r="V927" s="14">
        <v>0.98916666666666597</v>
      </c>
      <c r="W927" s="14">
        <v>688</v>
      </c>
      <c r="X927" s="14">
        <v>50</v>
      </c>
      <c r="Y927" s="14">
        <v>638</v>
      </c>
      <c r="Z927" s="14">
        <v>932</v>
      </c>
      <c r="AA927" s="14">
        <v>250</v>
      </c>
      <c r="AB927" s="14">
        <v>240</v>
      </c>
      <c r="AC927" s="14">
        <v>401</v>
      </c>
      <c r="AD927" s="14">
        <v>40</v>
      </c>
      <c r="AE927" s="14">
        <v>1620</v>
      </c>
      <c r="AF927" s="14">
        <v>5000</v>
      </c>
      <c r="AG927" s="14">
        <v>2175</v>
      </c>
      <c r="AH927" s="14">
        <v>0</v>
      </c>
      <c r="AI927" s="14">
        <v>52</v>
      </c>
      <c r="AJ927" s="14">
        <v>136</v>
      </c>
      <c r="AK927" s="14" t="s">
        <v>2400</v>
      </c>
      <c r="AL927" s="14" t="s">
        <v>2404</v>
      </c>
      <c r="AM927" s="14">
        <v>200.62</v>
      </c>
      <c r="AN927" s="14">
        <v>171.59</v>
      </c>
      <c r="AO927" s="14">
        <v>61.53</v>
      </c>
      <c r="AP927" s="14">
        <v>16545</v>
      </c>
      <c r="AQ927" s="14">
        <v>16495</v>
      </c>
      <c r="AR927" s="14">
        <v>23000</v>
      </c>
      <c r="AS927" s="14">
        <v>14925</v>
      </c>
      <c r="AT927" s="14">
        <v>15857</v>
      </c>
      <c r="AU927" s="14">
        <v>-19</v>
      </c>
      <c r="AV927" s="14">
        <v>259.02</v>
      </c>
      <c r="AW927" s="14">
        <v>40.97</v>
      </c>
      <c r="AX927" s="14">
        <v>3.93</v>
      </c>
      <c r="AY927" s="14" t="b">
        <v>0</v>
      </c>
    </row>
    <row r="928" spans="1:51" hidden="1" x14ac:dyDescent="0.3">
      <c r="A928" t="str">
        <f>CONCATENATE(I928,E928,LEFT(G928,10))</f>
        <v>HFA853LLHA2026-02-07</v>
      </c>
      <c r="B928" s="14" t="s">
        <v>4930</v>
      </c>
      <c r="C928" s="14" t="s">
        <v>336</v>
      </c>
      <c r="D928" s="14" t="s">
        <v>337</v>
      </c>
      <c r="E928" s="14" t="s">
        <v>43</v>
      </c>
      <c r="F928" s="14" t="s">
        <v>69</v>
      </c>
      <c r="G928" s="14" t="s">
        <v>4931</v>
      </c>
      <c r="H928" s="14" t="s">
        <v>339</v>
      </c>
      <c r="I928" s="14" t="s">
        <v>223</v>
      </c>
      <c r="J928" s="14" t="s">
        <v>87</v>
      </c>
      <c r="K928" s="14" t="s">
        <v>349</v>
      </c>
      <c r="L928" s="14" t="s">
        <v>341</v>
      </c>
      <c r="M928" s="16" t="s">
        <v>4932</v>
      </c>
      <c r="N928" s="14"/>
      <c r="O928" s="14" t="s">
        <v>4319</v>
      </c>
      <c r="P928" s="14">
        <v>50</v>
      </c>
      <c r="Q928" s="14">
        <v>2</v>
      </c>
      <c r="R928" s="14">
        <v>3100</v>
      </c>
      <c r="S928" s="14" t="s">
        <v>4933</v>
      </c>
      <c r="T928" s="14" t="s">
        <v>4934</v>
      </c>
      <c r="U928" s="14">
        <v>0.92416666666666603</v>
      </c>
      <c r="V928" s="14">
        <v>1.0786111111111101</v>
      </c>
      <c r="W928" s="14">
        <v>756</v>
      </c>
      <c r="X928" s="14">
        <v>50</v>
      </c>
      <c r="Y928" s="14">
        <v>706</v>
      </c>
      <c r="Z928" s="14">
        <v>714</v>
      </c>
      <c r="AA928" s="14">
        <v>250</v>
      </c>
      <c r="AB928" s="14">
        <v>249</v>
      </c>
      <c r="AC928" s="14">
        <v>173</v>
      </c>
      <c r="AD928" s="14">
        <v>42</v>
      </c>
      <c r="AE928" s="14">
        <v>1470</v>
      </c>
      <c r="AF928" s="14">
        <v>5000</v>
      </c>
      <c r="AG928" s="14">
        <v>2389</v>
      </c>
      <c r="AH928" s="14">
        <v>0</v>
      </c>
      <c r="AI928" s="14">
        <v>58</v>
      </c>
      <c r="AJ928" s="14">
        <v>124</v>
      </c>
      <c r="AK928" s="14" t="s">
        <v>4931</v>
      </c>
      <c r="AL928" s="14" t="s">
        <v>4935</v>
      </c>
      <c r="AM928" s="14">
        <v>200.62</v>
      </c>
      <c r="AN928" s="14">
        <v>171.59</v>
      </c>
      <c r="AO928" s="14">
        <v>61.53</v>
      </c>
      <c r="AP928" s="14">
        <v>17895</v>
      </c>
      <c r="AQ928" s="14">
        <v>17845</v>
      </c>
      <c r="AR928" s="14">
        <v>23000</v>
      </c>
      <c r="AS928" s="14">
        <v>16425</v>
      </c>
      <c r="AT928" s="14">
        <v>17139</v>
      </c>
      <c r="AU928" s="14">
        <v>-38</v>
      </c>
      <c r="AV928" s="14">
        <v>283.82</v>
      </c>
      <c r="AW928" s="14">
        <v>50.85</v>
      </c>
      <c r="AX928" s="14">
        <v>6.59</v>
      </c>
      <c r="AY928" s="14" t="b">
        <v>0</v>
      </c>
    </row>
    <row r="929" spans="1:51" hidden="1" x14ac:dyDescent="0.3">
      <c r="A929" t="str">
        <f>CONCATENATE(I929,E929,LEFT(G929,10))</f>
        <v>HFA853LLHA2026-02-14</v>
      </c>
      <c r="B929" s="14" t="s">
        <v>4316</v>
      </c>
      <c r="C929" s="14" t="s">
        <v>336</v>
      </c>
      <c r="D929" s="14" t="s">
        <v>337</v>
      </c>
      <c r="E929" s="14" t="s">
        <v>43</v>
      </c>
      <c r="F929" s="14" t="s">
        <v>69</v>
      </c>
      <c r="G929" s="14" t="s">
        <v>4317</v>
      </c>
      <c r="H929" s="14" t="s">
        <v>339</v>
      </c>
      <c r="I929" s="14" t="s">
        <v>223</v>
      </c>
      <c r="J929" s="14" t="s">
        <v>87</v>
      </c>
      <c r="K929" s="14" t="s">
        <v>349</v>
      </c>
      <c r="L929" s="14" t="s">
        <v>341</v>
      </c>
      <c r="M929" s="16" t="s">
        <v>4318</v>
      </c>
      <c r="N929" s="14"/>
      <c r="O929" s="14" t="s">
        <v>4319</v>
      </c>
      <c r="P929" s="14">
        <v>50</v>
      </c>
      <c r="Q929" s="14">
        <v>2</v>
      </c>
      <c r="R929" s="14">
        <v>4200</v>
      </c>
      <c r="S929" s="14" t="s">
        <v>4320</v>
      </c>
      <c r="T929" s="14" t="s">
        <v>4321</v>
      </c>
      <c r="U929" s="14">
        <v>0.85111111111111104</v>
      </c>
      <c r="V929" s="14">
        <v>0.91472222222222199</v>
      </c>
      <c r="W929" s="14">
        <v>729</v>
      </c>
      <c r="X929" s="14">
        <v>50</v>
      </c>
      <c r="Y929" s="14">
        <v>679</v>
      </c>
      <c r="Z929" s="14">
        <v>851</v>
      </c>
      <c r="AA929" s="14">
        <v>270</v>
      </c>
      <c r="AB929" s="14">
        <v>259</v>
      </c>
      <c r="AC929" s="14">
        <v>279</v>
      </c>
      <c r="AD929" s="14">
        <v>43</v>
      </c>
      <c r="AE929" s="14">
        <v>1580</v>
      </c>
      <c r="AF929" s="14">
        <v>5000</v>
      </c>
      <c r="AG929" s="14">
        <v>2303</v>
      </c>
      <c r="AH929" s="14">
        <v>0</v>
      </c>
      <c r="AI929" s="14">
        <v>56</v>
      </c>
      <c r="AJ929" s="14">
        <v>131</v>
      </c>
      <c r="AK929" s="14" t="s">
        <v>4317</v>
      </c>
      <c r="AL929" s="14" t="s">
        <v>4322</v>
      </c>
      <c r="AM929" s="14">
        <v>200.62</v>
      </c>
      <c r="AN929" s="14">
        <v>171.59</v>
      </c>
      <c r="AO929" s="14">
        <v>61.53</v>
      </c>
      <c r="AP929" s="14">
        <v>19105</v>
      </c>
      <c r="AQ929" s="14">
        <v>19055</v>
      </c>
      <c r="AR929" s="14">
        <v>23000</v>
      </c>
      <c r="AS929" s="14">
        <v>17525</v>
      </c>
      <c r="AT929" s="14">
        <v>18376</v>
      </c>
      <c r="AU929" s="14">
        <v>-26</v>
      </c>
      <c r="AV929" s="14">
        <v>293.24</v>
      </c>
      <c r="AW929" s="14">
        <v>30.79</v>
      </c>
      <c r="AX929" s="14">
        <v>4.3600000000000003</v>
      </c>
      <c r="AY929" s="14" t="b">
        <v>0</v>
      </c>
    </row>
    <row r="930" spans="1:51" hidden="1" x14ac:dyDescent="0.3">
      <c r="A930" t="str">
        <f>CONCATENATE(I930,E930,LEFT(G930,10))</f>
        <v>HFA853LLHA2026-02-21</v>
      </c>
      <c r="B930" s="14" t="s">
        <v>3868</v>
      </c>
      <c r="C930" s="14" t="s">
        <v>336</v>
      </c>
      <c r="D930" s="14" t="s">
        <v>337</v>
      </c>
      <c r="E930" s="14" t="s">
        <v>43</v>
      </c>
      <c r="F930" s="14" t="s">
        <v>69</v>
      </c>
      <c r="G930" s="14" t="s">
        <v>3869</v>
      </c>
      <c r="H930" s="14" t="s">
        <v>339</v>
      </c>
      <c r="I930" s="14" t="s">
        <v>223</v>
      </c>
      <c r="J930" s="14" t="s">
        <v>87</v>
      </c>
      <c r="K930" s="14" t="s">
        <v>349</v>
      </c>
      <c r="L930" s="14" t="s">
        <v>341</v>
      </c>
      <c r="M930" s="16" t="s">
        <v>3870</v>
      </c>
      <c r="N930" s="14"/>
      <c r="O930" s="14" t="s">
        <v>3871</v>
      </c>
      <c r="P930" s="14">
        <v>50</v>
      </c>
      <c r="Q930" s="14">
        <v>2</v>
      </c>
      <c r="R930" s="14">
        <v>4800</v>
      </c>
      <c r="S930" s="14" t="s">
        <v>3872</v>
      </c>
      <c r="T930" s="14" t="s">
        <v>3873</v>
      </c>
      <c r="U930" s="14">
        <v>0.92833333333333301</v>
      </c>
      <c r="V930" s="14">
        <v>1.15055555555555</v>
      </c>
      <c r="W930" s="14">
        <v>666</v>
      </c>
      <c r="X930" s="14">
        <v>50</v>
      </c>
      <c r="Y930" s="14">
        <v>616</v>
      </c>
      <c r="Z930" s="14">
        <v>1084</v>
      </c>
      <c r="AA930" s="14">
        <v>278</v>
      </c>
      <c r="AB930" s="14">
        <v>266</v>
      </c>
      <c r="AC930" s="14">
        <v>495</v>
      </c>
      <c r="AD930" s="14">
        <v>44</v>
      </c>
      <c r="AE930" s="14">
        <v>1750</v>
      </c>
      <c r="AF930" s="14">
        <v>5000</v>
      </c>
      <c r="AG930" s="14">
        <v>2105</v>
      </c>
      <c r="AH930" s="14">
        <v>0</v>
      </c>
      <c r="AI930" s="14">
        <v>50</v>
      </c>
      <c r="AJ930" s="14">
        <v>144</v>
      </c>
      <c r="AK930" s="14" t="s">
        <v>3869</v>
      </c>
      <c r="AL930" s="14" t="s">
        <v>3874</v>
      </c>
      <c r="AM930" s="14">
        <v>200.62</v>
      </c>
      <c r="AN930" s="14">
        <v>171.59</v>
      </c>
      <c r="AO930" s="14">
        <v>61.53</v>
      </c>
      <c r="AP930" s="14">
        <v>19875</v>
      </c>
      <c r="AQ930" s="14">
        <v>19825</v>
      </c>
      <c r="AR930" s="14">
        <v>23000</v>
      </c>
      <c r="AS930" s="14">
        <v>18125</v>
      </c>
      <c r="AT930" s="14">
        <v>19209</v>
      </c>
      <c r="AU930" s="14">
        <v>2</v>
      </c>
      <c r="AV930" s="14">
        <v>214</v>
      </c>
      <c r="AW930" s="14">
        <v>34.409999999999997</v>
      </c>
      <c r="AX930" s="14">
        <v>5.0599999999999996</v>
      </c>
      <c r="AY930" s="14" t="b">
        <v>0</v>
      </c>
    </row>
    <row r="931" spans="1:51" hidden="1" x14ac:dyDescent="0.3">
      <c r="A931" t="str">
        <f>CONCATENATE(I931,E931,LEFT(G931,10))</f>
        <v>HFA854LCPH2026-01-03</v>
      </c>
      <c r="B931" s="14" t="s">
        <v>4976</v>
      </c>
      <c r="C931" s="14" t="s">
        <v>336</v>
      </c>
      <c r="D931" s="14" t="s">
        <v>337</v>
      </c>
      <c r="E931" s="14" t="s">
        <v>69</v>
      </c>
      <c r="F931" s="14" t="s">
        <v>43</v>
      </c>
      <c r="G931" s="14" t="s">
        <v>4977</v>
      </c>
      <c r="H931" s="14" t="s">
        <v>339</v>
      </c>
      <c r="I931" s="14" t="s">
        <v>224</v>
      </c>
      <c r="J931" s="14" t="s">
        <v>83</v>
      </c>
      <c r="K931" s="14" t="s">
        <v>340</v>
      </c>
      <c r="L931" s="14" t="s">
        <v>341</v>
      </c>
      <c r="M931" s="16" t="s">
        <v>4978</v>
      </c>
      <c r="N931" s="14"/>
      <c r="O931" s="14" t="s">
        <v>653</v>
      </c>
      <c r="P931" s="14">
        <v>130</v>
      </c>
      <c r="Q931" s="14">
        <v>2</v>
      </c>
      <c r="R931" s="14">
        <v>6800</v>
      </c>
      <c r="S931" s="14" t="s">
        <v>4979</v>
      </c>
      <c r="T931" s="14" t="s">
        <v>4980</v>
      </c>
      <c r="U931" s="14">
        <v>0.81555555555555503</v>
      </c>
      <c r="V931" s="14">
        <v>1.0488888888888801</v>
      </c>
      <c r="W931" s="14">
        <v>701</v>
      </c>
      <c r="X931" s="14">
        <v>80</v>
      </c>
      <c r="Y931" s="14">
        <v>621</v>
      </c>
      <c r="Z931" s="14">
        <v>1699</v>
      </c>
      <c r="AA931" s="14">
        <v>260</v>
      </c>
      <c r="AB931" s="14">
        <v>291</v>
      </c>
      <c r="AC931" s="14">
        <v>1100</v>
      </c>
      <c r="AD931" s="14">
        <v>48</v>
      </c>
      <c r="AE931" s="14">
        <v>2400</v>
      </c>
      <c r="AF931" s="14">
        <v>5000</v>
      </c>
      <c r="AG931" s="14">
        <v>2216</v>
      </c>
      <c r="AH931" s="14">
        <v>0</v>
      </c>
      <c r="AI931" s="14">
        <v>49</v>
      </c>
      <c r="AJ931" s="14">
        <v>190</v>
      </c>
      <c r="AK931" s="14" t="s">
        <v>4977</v>
      </c>
      <c r="AL931" s="14" t="s">
        <v>4981</v>
      </c>
      <c r="AM931" s="14">
        <v>203.15</v>
      </c>
      <c r="AN931" s="14">
        <v>171.59</v>
      </c>
      <c r="AO931" s="14">
        <v>54.99</v>
      </c>
      <c r="AP931" s="14">
        <v>22525</v>
      </c>
      <c r="AQ931" s="14">
        <v>22445</v>
      </c>
      <c r="AR931" s="14">
        <v>23000</v>
      </c>
      <c r="AS931" s="14">
        <v>20125</v>
      </c>
      <c r="AT931" s="14">
        <v>21824</v>
      </c>
      <c r="AU931" s="14">
        <v>10</v>
      </c>
      <c r="AV931" s="14">
        <v>277.83</v>
      </c>
      <c r="AW931" s="14">
        <v>18.649999999999999</v>
      </c>
      <c r="AX931" s="14">
        <v>2.38</v>
      </c>
      <c r="AY931" s="14" t="b">
        <v>0</v>
      </c>
    </row>
    <row r="932" spans="1:51" hidden="1" x14ac:dyDescent="0.3">
      <c r="A932" t="str">
        <f>CONCATENATE(I932,E932,LEFT(G932,10))</f>
        <v>HFA854LCPH2026-01-10</v>
      </c>
      <c r="B932" s="14" t="s">
        <v>1119</v>
      </c>
      <c r="C932" s="14" t="s">
        <v>336</v>
      </c>
      <c r="D932" s="14" t="s">
        <v>337</v>
      </c>
      <c r="E932" s="14" t="s">
        <v>69</v>
      </c>
      <c r="F932" s="14" t="s">
        <v>43</v>
      </c>
      <c r="G932" s="14" t="s">
        <v>1120</v>
      </c>
      <c r="H932" s="14" t="s">
        <v>339</v>
      </c>
      <c r="I932" s="14" t="s">
        <v>224</v>
      </c>
      <c r="J932" s="14" t="s">
        <v>83</v>
      </c>
      <c r="K932" s="14" t="s">
        <v>340</v>
      </c>
      <c r="L932" s="14" t="s">
        <v>341</v>
      </c>
      <c r="M932" s="16" t="s">
        <v>1090</v>
      </c>
      <c r="N932" s="14"/>
      <c r="O932" s="14" t="s">
        <v>423</v>
      </c>
      <c r="P932" s="14">
        <v>130</v>
      </c>
      <c r="Q932" s="14">
        <v>2</v>
      </c>
      <c r="R932" s="14">
        <v>5300</v>
      </c>
      <c r="S932" s="14" t="s">
        <v>1121</v>
      </c>
      <c r="T932" s="14" t="s">
        <v>1122</v>
      </c>
      <c r="U932" s="14">
        <v>0.82416666666666605</v>
      </c>
      <c r="V932" s="14">
        <v>1.0705555555555499</v>
      </c>
      <c r="W932" s="14">
        <v>685</v>
      </c>
      <c r="X932" s="14">
        <v>80</v>
      </c>
      <c r="Y932" s="14">
        <v>605</v>
      </c>
      <c r="Z932" s="14">
        <v>1715</v>
      </c>
      <c r="AA932" s="14">
        <v>264</v>
      </c>
      <c r="AB932" s="14">
        <v>276</v>
      </c>
      <c r="AC932" s="14">
        <v>1129</v>
      </c>
      <c r="AD932" s="14">
        <v>46</v>
      </c>
      <c r="AE932" s="14">
        <v>2400</v>
      </c>
      <c r="AF932" s="14">
        <v>5000</v>
      </c>
      <c r="AG932" s="14">
        <v>2164</v>
      </c>
      <c r="AH932" s="14">
        <v>0</v>
      </c>
      <c r="AI932" s="14">
        <v>48</v>
      </c>
      <c r="AJ932" s="14">
        <v>192</v>
      </c>
      <c r="AK932" s="14" t="s">
        <v>1120</v>
      </c>
      <c r="AL932" s="14" t="s">
        <v>1123</v>
      </c>
      <c r="AM932" s="14">
        <v>205.27</v>
      </c>
      <c r="AN932" s="14">
        <v>171.59</v>
      </c>
      <c r="AO932" s="14">
        <v>54.99</v>
      </c>
      <c r="AP932" s="14">
        <v>21025</v>
      </c>
      <c r="AQ932" s="14">
        <v>20945</v>
      </c>
      <c r="AR932" s="14">
        <v>23000</v>
      </c>
      <c r="AS932" s="14">
        <v>18625</v>
      </c>
      <c r="AT932" s="14">
        <v>20340</v>
      </c>
      <c r="AU932" s="14">
        <v>16</v>
      </c>
      <c r="AV932" s="14">
        <v>271.3</v>
      </c>
      <c r="AW932" s="14">
        <v>30.33</v>
      </c>
      <c r="AX932" s="14">
        <v>2.41</v>
      </c>
      <c r="AY932" s="14" t="b">
        <v>0</v>
      </c>
    </row>
    <row r="933" spans="1:51" hidden="1" x14ac:dyDescent="0.3">
      <c r="A933" t="str">
        <f>CONCATENATE(I933,E933,LEFT(G933,10))</f>
        <v>HFA854LCPH2026-01-17</v>
      </c>
      <c r="B933" s="14" t="s">
        <v>6431</v>
      </c>
      <c r="C933" s="14" t="s">
        <v>336</v>
      </c>
      <c r="D933" s="14" t="s">
        <v>337</v>
      </c>
      <c r="E933" s="14" t="s">
        <v>69</v>
      </c>
      <c r="F933" s="14" t="s">
        <v>43</v>
      </c>
      <c r="G933" s="14" t="s">
        <v>6432</v>
      </c>
      <c r="H933" s="14" t="s">
        <v>339</v>
      </c>
      <c r="I933" s="14" t="s">
        <v>224</v>
      </c>
      <c r="J933" s="14" t="s">
        <v>83</v>
      </c>
      <c r="K933" s="14" t="s">
        <v>340</v>
      </c>
      <c r="L933" s="14" t="s">
        <v>341</v>
      </c>
      <c r="M933" s="16" t="s">
        <v>1352</v>
      </c>
      <c r="N933" s="14"/>
      <c r="O933" s="14" t="s">
        <v>1314</v>
      </c>
      <c r="P933" s="14">
        <v>130</v>
      </c>
      <c r="Q933" s="14">
        <v>2</v>
      </c>
      <c r="R933" s="14">
        <v>4500</v>
      </c>
      <c r="S933" s="14" t="s">
        <v>6433</v>
      </c>
      <c r="T933" s="14" t="s">
        <v>6434</v>
      </c>
      <c r="U933" s="14">
        <v>0.80472222222222201</v>
      </c>
      <c r="V933" s="14">
        <v>1.08083333333333</v>
      </c>
      <c r="W933" s="14">
        <v>685</v>
      </c>
      <c r="X933" s="14">
        <v>80</v>
      </c>
      <c r="Y933" s="14">
        <v>605</v>
      </c>
      <c r="Z933" s="14">
        <v>1715</v>
      </c>
      <c r="AA933" s="14">
        <v>255</v>
      </c>
      <c r="AB933" s="14">
        <v>269</v>
      </c>
      <c r="AC933" s="14">
        <v>1146</v>
      </c>
      <c r="AD933" s="14">
        <v>45</v>
      </c>
      <c r="AE933" s="14">
        <v>2400</v>
      </c>
      <c r="AF933" s="14">
        <v>5000</v>
      </c>
      <c r="AG933" s="14">
        <v>2165</v>
      </c>
      <c r="AH933" s="14">
        <v>0</v>
      </c>
      <c r="AI933" s="14">
        <v>47</v>
      </c>
      <c r="AJ933" s="14">
        <v>190</v>
      </c>
      <c r="AK933" s="14" t="s">
        <v>6432</v>
      </c>
      <c r="AL933" s="14" t="s">
        <v>6435</v>
      </c>
      <c r="AM933" s="14">
        <v>205.54</v>
      </c>
      <c r="AN933" s="14">
        <v>171.59</v>
      </c>
      <c r="AO933" s="14">
        <v>54.99</v>
      </c>
      <c r="AP933" s="14">
        <v>20225</v>
      </c>
      <c r="AQ933" s="14">
        <v>20145</v>
      </c>
      <c r="AR933" s="14">
        <v>23000</v>
      </c>
      <c r="AS933" s="14">
        <v>17825</v>
      </c>
      <c r="AT933" s="14">
        <v>19540</v>
      </c>
      <c r="AU933" s="14">
        <v>17</v>
      </c>
      <c r="AV933" s="14">
        <v>278.10000000000002</v>
      </c>
      <c r="AW933" s="14">
        <v>30.54</v>
      </c>
      <c r="AX933" s="14">
        <v>0.04</v>
      </c>
      <c r="AY933" s="14" t="b">
        <v>0</v>
      </c>
    </row>
    <row r="934" spans="1:51" hidden="1" x14ac:dyDescent="0.3">
      <c r="A934" t="str">
        <f>CONCATENATE(I934,E934,LEFT(G934,10))</f>
        <v>HFA854LCPH2026-01-24</v>
      </c>
      <c r="B934" s="14" t="s">
        <v>650</v>
      </c>
      <c r="C934" s="14" t="s">
        <v>336</v>
      </c>
      <c r="D934" s="14" t="s">
        <v>337</v>
      </c>
      <c r="E934" s="14" t="s">
        <v>69</v>
      </c>
      <c r="F934" s="14" t="s">
        <v>43</v>
      </c>
      <c r="G934" s="14" t="s">
        <v>651</v>
      </c>
      <c r="H934" s="14" t="s">
        <v>339</v>
      </c>
      <c r="I934" s="14" t="s">
        <v>224</v>
      </c>
      <c r="J934" s="14" t="s">
        <v>83</v>
      </c>
      <c r="K934" s="14" t="s">
        <v>340</v>
      </c>
      <c r="L934" s="14" t="s">
        <v>341</v>
      </c>
      <c r="M934" s="16" t="s">
        <v>652</v>
      </c>
      <c r="N934" s="14"/>
      <c r="O934" s="14" t="s">
        <v>653</v>
      </c>
      <c r="P934" s="14">
        <v>130</v>
      </c>
      <c r="Q934" s="14">
        <v>2</v>
      </c>
      <c r="R934" s="14">
        <v>5300</v>
      </c>
      <c r="S934" s="14" t="s">
        <v>654</v>
      </c>
      <c r="T934" s="14" t="s">
        <v>655</v>
      </c>
      <c r="U934" s="14">
        <v>0.82861111111111097</v>
      </c>
      <c r="V934" s="14">
        <v>1.08805555555555</v>
      </c>
      <c r="W934" s="14">
        <v>692</v>
      </c>
      <c r="X934" s="14">
        <v>80</v>
      </c>
      <c r="Y934" s="14">
        <v>612</v>
      </c>
      <c r="Z934" s="14">
        <v>1808</v>
      </c>
      <c r="AA934" s="14">
        <v>254</v>
      </c>
      <c r="AB934" s="14">
        <v>277</v>
      </c>
      <c r="AC934" s="14">
        <v>1231</v>
      </c>
      <c r="AD934" s="14">
        <v>46</v>
      </c>
      <c r="AE934" s="14">
        <v>2500</v>
      </c>
      <c r="AF934" s="14">
        <v>5000</v>
      </c>
      <c r="AG934" s="14">
        <v>2186</v>
      </c>
      <c r="AH934" s="14">
        <v>0</v>
      </c>
      <c r="AI934" s="14">
        <v>48</v>
      </c>
      <c r="AJ934" s="14">
        <v>198</v>
      </c>
      <c r="AK934" s="14" t="s">
        <v>651</v>
      </c>
      <c r="AL934" s="14" t="s">
        <v>656</v>
      </c>
      <c r="AM934" s="14">
        <v>203.15</v>
      </c>
      <c r="AN934" s="14">
        <v>171.59</v>
      </c>
      <c r="AO934" s="14">
        <v>54.99</v>
      </c>
      <c r="AP934" s="14">
        <v>21125</v>
      </c>
      <c r="AQ934" s="14">
        <v>21045</v>
      </c>
      <c r="AR934" s="14">
        <v>23000</v>
      </c>
      <c r="AS934" s="14">
        <v>18625</v>
      </c>
      <c r="AT934" s="14">
        <v>20433</v>
      </c>
      <c r="AU934" s="14">
        <v>11</v>
      </c>
      <c r="AV934" s="14">
        <v>322.57</v>
      </c>
      <c r="AW934" s="14">
        <v>15.06</v>
      </c>
      <c r="AX934" s="14">
        <v>0.83</v>
      </c>
      <c r="AY934" s="14" t="b">
        <v>0</v>
      </c>
    </row>
    <row r="935" spans="1:51" hidden="1" x14ac:dyDescent="0.3">
      <c r="A935" t="str">
        <f>CONCATENATE(I935,E935,LEFT(G935,10))</f>
        <v>HFA854LCPH2026-01-31</v>
      </c>
      <c r="B935" s="14" t="s">
        <v>2388</v>
      </c>
      <c r="C935" s="14" t="s">
        <v>336</v>
      </c>
      <c r="D935" s="14" t="s">
        <v>337</v>
      </c>
      <c r="E935" s="14" t="s">
        <v>69</v>
      </c>
      <c r="F935" s="14" t="s">
        <v>43</v>
      </c>
      <c r="G935" s="14" t="s">
        <v>2389</v>
      </c>
      <c r="H935" s="14" t="s">
        <v>339</v>
      </c>
      <c r="I935" s="14" t="s">
        <v>224</v>
      </c>
      <c r="J935" s="14" t="s">
        <v>83</v>
      </c>
      <c r="K935" s="14" t="s">
        <v>340</v>
      </c>
      <c r="L935" s="14" t="s">
        <v>341</v>
      </c>
      <c r="M935" s="16" t="s">
        <v>1090</v>
      </c>
      <c r="N935" s="14"/>
      <c r="O935" s="14" t="s">
        <v>423</v>
      </c>
      <c r="P935" s="14">
        <v>130</v>
      </c>
      <c r="Q935" s="14">
        <v>2</v>
      </c>
      <c r="R935" s="14">
        <v>6600</v>
      </c>
      <c r="S935" s="14" t="s">
        <v>2390</v>
      </c>
      <c r="T935" s="14" t="s">
        <v>2391</v>
      </c>
      <c r="U935" s="14">
        <v>0.80333333333333301</v>
      </c>
      <c r="V935" s="14">
        <v>1.0225</v>
      </c>
      <c r="W935" s="14">
        <v>695</v>
      </c>
      <c r="X935" s="14">
        <v>80</v>
      </c>
      <c r="Y935" s="14">
        <v>615</v>
      </c>
      <c r="Z935" s="14">
        <v>1705</v>
      </c>
      <c r="AA935" s="14">
        <v>267</v>
      </c>
      <c r="AB935" s="14">
        <v>289</v>
      </c>
      <c r="AC935" s="14">
        <v>1101</v>
      </c>
      <c r="AD935" s="14">
        <v>48</v>
      </c>
      <c r="AE935" s="14">
        <v>2400</v>
      </c>
      <c r="AF935" s="14">
        <v>5000</v>
      </c>
      <c r="AG935" s="14">
        <v>2195</v>
      </c>
      <c r="AH935" s="14">
        <v>0</v>
      </c>
      <c r="AI935" s="14">
        <v>49</v>
      </c>
      <c r="AJ935" s="14">
        <v>192</v>
      </c>
      <c r="AK935" s="14" t="s">
        <v>2389</v>
      </c>
      <c r="AL935" s="14" t="s">
        <v>2392</v>
      </c>
      <c r="AM935" s="14">
        <v>205.27</v>
      </c>
      <c r="AN935" s="14">
        <v>171.59</v>
      </c>
      <c r="AO935" s="14">
        <v>54.99</v>
      </c>
      <c r="AP935" s="14">
        <v>22325</v>
      </c>
      <c r="AQ935" s="14">
        <v>22245</v>
      </c>
      <c r="AR935" s="14">
        <v>23000</v>
      </c>
      <c r="AS935" s="14">
        <v>19925</v>
      </c>
      <c r="AT935" s="14">
        <v>21630</v>
      </c>
      <c r="AU935" s="14">
        <v>14</v>
      </c>
      <c r="AV935" s="14">
        <v>254.69</v>
      </c>
      <c r="AW935" s="14">
        <v>39.770000000000003</v>
      </c>
      <c r="AX935" s="14">
        <v>3.79</v>
      </c>
      <c r="AY935" s="14" t="b">
        <v>0</v>
      </c>
    </row>
    <row r="936" spans="1:51" hidden="1" x14ac:dyDescent="0.3">
      <c r="A936" t="str">
        <f>CONCATENATE(I936,E936,LEFT(G936,10))</f>
        <v>HFA854LCPH2026-02-07</v>
      </c>
      <c r="B936" s="15" t="s">
        <v>4918</v>
      </c>
      <c r="C936" s="14" t="s">
        <v>336</v>
      </c>
      <c r="D936" s="14" t="s">
        <v>337</v>
      </c>
      <c r="E936" s="14" t="s">
        <v>69</v>
      </c>
      <c r="F936" s="14" t="s">
        <v>43</v>
      </c>
      <c r="G936" s="14" t="s">
        <v>4919</v>
      </c>
      <c r="H936" s="14" t="s">
        <v>339</v>
      </c>
      <c r="I936" s="14" t="s">
        <v>224</v>
      </c>
      <c r="J936" s="14" t="s">
        <v>83</v>
      </c>
      <c r="K936" s="14" t="s">
        <v>340</v>
      </c>
      <c r="L936" s="14" t="s">
        <v>341</v>
      </c>
      <c r="M936" s="16" t="s">
        <v>1090</v>
      </c>
      <c r="N936" s="14"/>
      <c r="O936" s="14" t="s">
        <v>4920</v>
      </c>
      <c r="P936" s="14">
        <v>130</v>
      </c>
      <c r="Q936" s="14">
        <v>2</v>
      </c>
      <c r="R936" s="14">
        <v>6500</v>
      </c>
      <c r="S936" s="14" t="s">
        <v>4921</v>
      </c>
      <c r="T936" s="14" t="s">
        <v>4922</v>
      </c>
      <c r="U936" s="14">
        <v>0.84250000000000003</v>
      </c>
      <c r="V936" s="14">
        <v>1.06361111111111</v>
      </c>
      <c r="W936" s="14">
        <v>647</v>
      </c>
      <c r="X936" s="14">
        <v>80</v>
      </c>
      <c r="Y936" s="14">
        <v>567</v>
      </c>
      <c r="Z936" s="14">
        <v>1753</v>
      </c>
      <c r="AA936" s="14">
        <v>263</v>
      </c>
      <c r="AB936" s="14">
        <v>288</v>
      </c>
      <c r="AC936" s="14">
        <v>1154</v>
      </c>
      <c r="AD936" s="14">
        <v>48</v>
      </c>
      <c r="AE936" s="14">
        <v>2400</v>
      </c>
      <c r="AF936" s="14">
        <v>5000</v>
      </c>
      <c r="AG936" s="14">
        <v>2044</v>
      </c>
      <c r="AH936" s="14">
        <v>0</v>
      </c>
      <c r="AI936" s="14">
        <v>46</v>
      </c>
      <c r="AJ936" s="14">
        <v>194</v>
      </c>
      <c r="AK936" s="14" t="s">
        <v>4919</v>
      </c>
      <c r="AL936" s="14" t="s">
        <v>4923</v>
      </c>
      <c r="AM936" s="14">
        <v>205.27</v>
      </c>
      <c r="AN936" s="14">
        <v>171.59</v>
      </c>
      <c r="AO936" s="14">
        <v>54.99</v>
      </c>
      <c r="AP936" s="14">
        <v>22225</v>
      </c>
      <c r="AQ936" s="14">
        <v>22145</v>
      </c>
      <c r="AR936" s="14">
        <v>23000</v>
      </c>
      <c r="AS936" s="14">
        <v>19825</v>
      </c>
      <c r="AT936" s="14">
        <v>21578</v>
      </c>
      <c r="AU936" s="14">
        <v>35</v>
      </c>
      <c r="AV936" s="14">
        <v>284.83</v>
      </c>
      <c r="AW936" s="14">
        <v>56.71</v>
      </c>
      <c r="AX936" s="14">
        <v>6.41</v>
      </c>
      <c r="AY936" s="14" t="b">
        <v>0</v>
      </c>
    </row>
    <row r="937" spans="1:51" hidden="1" x14ac:dyDescent="0.3">
      <c r="A937" t="str">
        <f>CONCATENATE(I937,E937,LEFT(G937,10))</f>
        <v>HFA854LCPH2026-02-14</v>
      </c>
      <c r="B937" s="14" t="s">
        <v>4297</v>
      </c>
      <c r="C937" s="14" t="s">
        <v>336</v>
      </c>
      <c r="D937" s="14" t="s">
        <v>337</v>
      </c>
      <c r="E937" s="14" t="s">
        <v>69</v>
      </c>
      <c r="F937" s="14" t="s">
        <v>43</v>
      </c>
      <c r="G937" s="14" t="s">
        <v>4298</v>
      </c>
      <c r="H937" s="14" t="s">
        <v>339</v>
      </c>
      <c r="I937" s="14" t="s">
        <v>224</v>
      </c>
      <c r="J937" s="14" t="s">
        <v>83</v>
      </c>
      <c r="K937" s="14" t="s">
        <v>340</v>
      </c>
      <c r="L937" s="14" t="s">
        <v>341</v>
      </c>
      <c r="M937" s="16" t="s">
        <v>4299</v>
      </c>
      <c r="N937" s="14"/>
      <c r="O937" s="14" t="s">
        <v>423</v>
      </c>
      <c r="P937" s="14">
        <v>130</v>
      </c>
      <c r="Q937" s="14">
        <v>2</v>
      </c>
      <c r="R937" s="14">
        <v>7000</v>
      </c>
      <c r="S937" s="14" t="s">
        <v>4300</v>
      </c>
      <c r="T937" s="14" t="s">
        <v>4301</v>
      </c>
      <c r="U937" s="14">
        <v>0.79222222222222205</v>
      </c>
      <c r="V937" s="14">
        <v>0.99972222222222196</v>
      </c>
      <c r="W937" s="14">
        <v>670</v>
      </c>
      <c r="X937" s="14">
        <v>80</v>
      </c>
      <c r="Y937" s="14">
        <v>590</v>
      </c>
      <c r="Z937" s="14">
        <v>1730</v>
      </c>
      <c r="AA937" s="14">
        <v>263</v>
      </c>
      <c r="AB937" s="14">
        <v>293</v>
      </c>
      <c r="AC937" s="14">
        <v>1125</v>
      </c>
      <c r="AD937" s="14">
        <v>49</v>
      </c>
      <c r="AE937" s="14">
        <v>2400</v>
      </c>
      <c r="AF937" s="14">
        <v>5000</v>
      </c>
      <c r="AG937" s="14">
        <v>2117</v>
      </c>
      <c r="AH937" s="14">
        <v>0</v>
      </c>
      <c r="AI937" s="14">
        <v>47</v>
      </c>
      <c r="AJ937" s="14">
        <v>193</v>
      </c>
      <c r="AK937" s="14" t="s">
        <v>4298</v>
      </c>
      <c r="AL937" s="14" t="s">
        <v>4302</v>
      </c>
      <c r="AM937" s="14">
        <v>205.27</v>
      </c>
      <c r="AN937" s="14">
        <v>171.59</v>
      </c>
      <c r="AO937" s="14">
        <v>54.99</v>
      </c>
      <c r="AP937" s="14">
        <v>22725</v>
      </c>
      <c r="AQ937" s="14">
        <v>22645</v>
      </c>
      <c r="AR937" s="14">
        <v>23000</v>
      </c>
      <c r="AS937" s="14">
        <v>20325</v>
      </c>
      <c r="AT937" s="14">
        <v>22055</v>
      </c>
      <c r="AU937" s="14">
        <v>26</v>
      </c>
      <c r="AV937" s="14">
        <v>301.12</v>
      </c>
      <c r="AW937" s="14">
        <v>37.74</v>
      </c>
      <c r="AX937" s="14">
        <v>5.58</v>
      </c>
      <c r="AY937" s="14" t="b">
        <v>0</v>
      </c>
    </row>
    <row r="938" spans="1:51" hidden="1" x14ac:dyDescent="0.3">
      <c r="A938" t="str">
        <f>CONCATENATE(I938,E938,LEFT(G938,10))</f>
        <v>HFA854LCPH2026-02-21</v>
      </c>
      <c r="B938" s="14" t="s">
        <v>3855</v>
      </c>
      <c r="C938" s="14" t="s">
        <v>336</v>
      </c>
      <c r="D938" s="14" t="s">
        <v>337</v>
      </c>
      <c r="E938" s="14" t="s">
        <v>69</v>
      </c>
      <c r="F938" s="14" t="s">
        <v>43</v>
      </c>
      <c r="G938" s="14" t="s">
        <v>3856</v>
      </c>
      <c r="H938" s="14" t="s">
        <v>339</v>
      </c>
      <c r="I938" s="14" t="s">
        <v>224</v>
      </c>
      <c r="J938" s="14" t="s">
        <v>83</v>
      </c>
      <c r="K938" s="14" t="s">
        <v>340</v>
      </c>
      <c r="L938" s="14" t="s">
        <v>341</v>
      </c>
      <c r="M938" s="16" t="s">
        <v>3857</v>
      </c>
      <c r="N938" s="14"/>
      <c r="O938" s="14" t="s">
        <v>3858</v>
      </c>
      <c r="P938" s="14">
        <v>130</v>
      </c>
      <c r="Q938" s="14">
        <v>2</v>
      </c>
      <c r="R938" s="14">
        <v>6000</v>
      </c>
      <c r="S938" s="14" t="s">
        <v>3859</v>
      </c>
      <c r="T938" s="14" t="s">
        <v>3860</v>
      </c>
      <c r="U938" s="14">
        <v>0.83222222222222197</v>
      </c>
      <c r="V938" s="14">
        <v>1.0855555555555501</v>
      </c>
      <c r="W938" s="14">
        <v>725</v>
      </c>
      <c r="X938" s="14">
        <v>80</v>
      </c>
      <c r="Y938" s="14">
        <v>645</v>
      </c>
      <c r="Z938" s="14">
        <v>1775</v>
      </c>
      <c r="AA938" s="14">
        <v>267</v>
      </c>
      <c r="AB938" s="14">
        <v>283</v>
      </c>
      <c r="AC938" s="14">
        <v>1178</v>
      </c>
      <c r="AD938" s="14">
        <v>47</v>
      </c>
      <c r="AE938" s="14">
        <v>2500</v>
      </c>
      <c r="AF938" s="14">
        <v>5000</v>
      </c>
      <c r="AG938" s="14">
        <v>2289</v>
      </c>
      <c r="AH938" s="14">
        <v>0</v>
      </c>
      <c r="AI938" s="14">
        <v>52</v>
      </c>
      <c r="AJ938" s="14">
        <v>203</v>
      </c>
      <c r="AK938" s="14" t="s">
        <v>3856</v>
      </c>
      <c r="AL938" s="14" t="s">
        <v>3861</v>
      </c>
      <c r="AM938" s="14">
        <v>205.27</v>
      </c>
      <c r="AN938" s="14">
        <v>171.59</v>
      </c>
      <c r="AO938" s="14">
        <v>54.99</v>
      </c>
      <c r="AP938" s="14">
        <v>21825</v>
      </c>
      <c r="AQ938" s="14">
        <v>21745</v>
      </c>
      <c r="AR938" s="14">
        <v>23000</v>
      </c>
      <c r="AS938" s="14">
        <v>19325</v>
      </c>
      <c r="AT938" s="14">
        <v>21100</v>
      </c>
      <c r="AU938" s="14">
        <v>-2</v>
      </c>
      <c r="AV938" s="14">
        <v>221.17</v>
      </c>
      <c r="AW938" s="14">
        <v>42.31</v>
      </c>
      <c r="AX938" s="14">
        <v>4.82</v>
      </c>
      <c r="AY938" s="14" t="b">
        <v>0</v>
      </c>
    </row>
    <row r="939" spans="1:51" hidden="1" x14ac:dyDescent="0.3">
      <c r="A939" t="str">
        <f>CONCATENATE(I939,E939,LEFT(G939,10))</f>
        <v>HFA951LLHA2026-01-07</v>
      </c>
      <c r="B939" s="14" t="s">
        <v>1473</v>
      </c>
      <c r="C939" s="14" t="s">
        <v>336</v>
      </c>
      <c r="D939" s="14" t="s">
        <v>337</v>
      </c>
      <c r="E939" s="14" t="s">
        <v>43</v>
      </c>
      <c r="F939" s="14" t="s">
        <v>77</v>
      </c>
      <c r="G939" s="14" t="s">
        <v>1474</v>
      </c>
      <c r="H939" s="14" t="s">
        <v>357</v>
      </c>
      <c r="I939" s="14" t="s">
        <v>74</v>
      </c>
      <c r="J939" s="14" t="s">
        <v>759</v>
      </c>
      <c r="K939" s="14" t="s">
        <v>349</v>
      </c>
      <c r="L939" s="14" t="s">
        <v>341</v>
      </c>
      <c r="M939" s="16" t="s">
        <v>1475</v>
      </c>
      <c r="N939" s="14" t="s">
        <v>1416</v>
      </c>
      <c r="O939" s="14" t="s">
        <v>1476</v>
      </c>
      <c r="P939" s="14">
        <v>50</v>
      </c>
      <c r="Q939" s="14">
        <v>3</v>
      </c>
      <c r="R939" s="14">
        <v>5300</v>
      </c>
      <c r="S939" s="14" t="s">
        <v>1477</v>
      </c>
      <c r="T939" s="14" t="s">
        <v>1478</v>
      </c>
      <c r="U939" s="14">
        <v>3.7763888888888801</v>
      </c>
      <c r="V939" s="14">
        <v>3.8997222222222199</v>
      </c>
      <c r="W939" s="14">
        <v>2612</v>
      </c>
      <c r="X939" s="14">
        <v>50</v>
      </c>
      <c r="Y939" s="14">
        <v>2562</v>
      </c>
      <c r="Z939" s="14">
        <v>988</v>
      </c>
      <c r="AA939" s="14">
        <v>392</v>
      </c>
      <c r="AB939" s="14">
        <v>264</v>
      </c>
      <c r="AC939" s="14">
        <v>204</v>
      </c>
      <c r="AD939" s="14">
        <v>128</v>
      </c>
      <c r="AE939" s="14">
        <v>3600</v>
      </c>
      <c r="AF939" s="14">
        <v>5000</v>
      </c>
      <c r="AG939" s="14">
        <v>8255</v>
      </c>
      <c r="AH939" s="14">
        <v>0</v>
      </c>
      <c r="AI939" s="14">
        <v>224</v>
      </c>
      <c r="AJ939" s="14">
        <v>314</v>
      </c>
      <c r="AK939" s="14" t="s">
        <v>1474</v>
      </c>
      <c r="AL939" s="14" t="s">
        <v>1479</v>
      </c>
      <c r="AM939" s="14">
        <v>924.53</v>
      </c>
      <c r="AN939" s="14">
        <v>809.32</v>
      </c>
      <c r="AO939" s="14">
        <v>102.22</v>
      </c>
      <c r="AP939" s="14">
        <v>22125</v>
      </c>
      <c r="AQ939" s="14">
        <v>22075</v>
      </c>
      <c r="AR939" s="14">
        <v>23000</v>
      </c>
      <c r="AS939" s="14">
        <v>18525</v>
      </c>
      <c r="AT939" s="14">
        <v>19513</v>
      </c>
      <c r="AU939" s="14">
        <v>-16</v>
      </c>
      <c r="AV939" s="14">
        <v>250.18</v>
      </c>
      <c r="AW939" s="14">
        <v>40.28</v>
      </c>
      <c r="AX939" s="14">
        <v>3.26</v>
      </c>
      <c r="AY939" s="14" t="b">
        <v>0</v>
      </c>
    </row>
    <row r="940" spans="1:51" hidden="1" x14ac:dyDescent="0.3">
      <c r="A940" t="str">
        <f>CONCATENATE(I940,E940,LEFT(G940,10))</f>
        <v>HFA951LLHA2026-01-09</v>
      </c>
      <c r="B940" s="14" t="s">
        <v>2339</v>
      </c>
      <c r="C940" s="14" t="s">
        <v>336</v>
      </c>
      <c r="D940" s="14" t="s">
        <v>337</v>
      </c>
      <c r="E940" s="14" t="s">
        <v>43</v>
      </c>
      <c r="F940" s="14" t="s">
        <v>77</v>
      </c>
      <c r="G940" s="14" t="s">
        <v>2340</v>
      </c>
      <c r="H940" s="14" t="s">
        <v>357</v>
      </c>
      <c r="I940" s="14" t="s">
        <v>74</v>
      </c>
      <c r="J940" s="14" t="s">
        <v>759</v>
      </c>
      <c r="K940" s="14" t="s">
        <v>349</v>
      </c>
      <c r="L940" s="14" t="s">
        <v>341</v>
      </c>
      <c r="M940" s="16" t="s">
        <v>2341</v>
      </c>
      <c r="N940" s="14" t="s">
        <v>2290</v>
      </c>
      <c r="O940" s="14" t="s">
        <v>2342</v>
      </c>
      <c r="P940" s="14">
        <v>50</v>
      </c>
      <c r="Q940" s="14">
        <v>2</v>
      </c>
      <c r="R940" s="14">
        <v>4900</v>
      </c>
      <c r="S940" s="14" t="s">
        <v>2343</v>
      </c>
      <c r="T940" s="14" t="s">
        <v>2344</v>
      </c>
      <c r="U940" s="14">
        <v>4.1030555555555503</v>
      </c>
      <c r="V940" s="14">
        <v>4.2136111111111099</v>
      </c>
      <c r="W940" s="14">
        <v>3130</v>
      </c>
      <c r="X940" s="14">
        <v>50</v>
      </c>
      <c r="Y940" s="14">
        <v>3080</v>
      </c>
      <c r="Z940" s="14">
        <v>1081</v>
      </c>
      <c r="AA940" s="14">
        <v>366</v>
      </c>
      <c r="AB940" s="14">
        <v>261</v>
      </c>
      <c r="AC940" s="14">
        <v>300</v>
      </c>
      <c r="AD940" s="14">
        <v>154</v>
      </c>
      <c r="AE940" s="14">
        <v>4211</v>
      </c>
      <c r="AF940" s="14">
        <v>5000</v>
      </c>
      <c r="AG940" s="14">
        <v>9892</v>
      </c>
      <c r="AH940" s="14">
        <v>0</v>
      </c>
      <c r="AI940" s="14">
        <v>247</v>
      </c>
      <c r="AJ940" s="14">
        <v>344</v>
      </c>
      <c r="AK940" s="14" t="s">
        <v>2340</v>
      </c>
      <c r="AL940" s="14" t="s">
        <v>2345</v>
      </c>
      <c r="AM940" s="14">
        <v>924.53</v>
      </c>
      <c r="AN940" s="14">
        <v>809.32</v>
      </c>
      <c r="AO940" s="14">
        <v>102.22</v>
      </c>
      <c r="AP940" s="14">
        <v>22336</v>
      </c>
      <c r="AQ940" s="14">
        <v>22286</v>
      </c>
      <c r="AR940" s="14">
        <v>23000</v>
      </c>
      <c r="AS940" s="14">
        <v>18125</v>
      </c>
      <c r="AT940" s="14">
        <v>19206</v>
      </c>
      <c r="AU940" s="14">
        <v>-47</v>
      </c>
      <c r="AV940" s="14">
        <v>302.82</v>
      </c>
      <c r="AW940" s="14">
        <v>50.73</v>
      </c>
      <c r="AX940" s="14">
        <v>-3.04</v>
      </c>
      <c r="AY940" s="14" t="b">
        <v>0</v>
      </c>
    </row>
    <row r="941" spans="1:51" hidden="1" x14ac:dyDescent="0.3">
      <c r="A941" t="str">
        <f>CONCATENATE(I941,E941,LEFT(G941,10))</f>
        <v>HFA951LLHA2026-01-12</v>
      </c>
      <c r="B941" s="14" t="s">
        <v>6076</v>
      </c>
      <c r="C941" s="14" t="s">
        <v>336</v>
      </c>
      <c r="D941" s="14" t="s">
        <v>337</v>
      </c>
      <c r="E941" s="14" t="s">
        <v>43</v>
      </c>
      <c r="F941" s="14" t="s">
        <v>77</v>
      </c>
      <c r="G941" s="14" t="s">
        <v>6077</v>
      </c>
      <c r="H941" s="14" t="s">
        <v>357</v>
      </c>
      <c r="I941" s="14" t="s">
        <v>74</v>
      </c>
      <c r="J941" s="14" t="s">
        <v>759</v>
      </c>
      <c r="K941" s="14" t="s">
        <v>349</v>
      </c>
      <c r="L941" s="14" t="s">
        <v>341</v>
      </c>
      <c r="M941" s="16" t="s">
        <v>6078</v>
      </c>
      <c r="N941" s="14" t="s">
        <v>705</v>
      </c>
      <c r="O941" s="14" t="s">
        <v>6079</v>
      </c>
      <c r="P941" s="14">
        <v>50</v>
      </c>
      <c r="Q941" s="14">
        <v>2</v>
      </c>
      <c r="R941" s="14">
        <v>3000</v>
      </c>
      <c r="S941" s="14" t="s">
        <v>6080</v>
      </c>
      <c r="T941" s="14" t="s">
        <v>6081</v>
      </c>
      <c r="U941" s="14">
        <v>3.7980555555555502</v>
      </c>
      <c r="V941" s="14">
        <v>3.9458333333333302</v>
      </c>
      <c r="W941" s="14">
        <v>2630</v>
      </c>
      <c r="X941" s="14">
        <v>50</v>
      </c>
      <c r="Y941" s="14">
        <v>2580</v>
      </c>
      <c r="Z941" s="14">
        <v>1270</v>
      </c>
      <c r="AA941" s="14">
        <v>379</v>
      </c>
      <c r="AB941" s="14">
        <v>246</v>
      </c>
      <c r="AC941" s="14">
        <v>517</v>
      </c>
      <c r="AD941" s="14">
        <v>129</v>
      </c>
      <c r="AE941" s="14">
        <v>3900</v>
      </c>
      <c r="AF941" s="14">
        <v>5000</v>
      </c>
      <c r="AG941" s="14">
        <v>8310</v>
      </c>
      <c r="AH941" s="14">
        <v>0</v>
      </c>
      <c r="AI941" s="14">
        <v>222</v>
      </c>
      <c r="AJ941" s="14">
        <v>336</v>
      </c>
      <c r="AK941" s="14" t="s">
        <v>6077</v>
      </c>
      <c r="AL941" s="14" t="s">
        <v>6082</v>
      </c>
      <c r="AM941" s="14">
        <v>924.53</v>
      </c>
      <c r="AN941" s="14">
        <v>809.32</v>
      </c>
      <c r="AO941" s="14">
        <v>102.22</v>
      </c>
      <c r="AP941" s="14">
        <v>20125</v>
      </c>
      <c r="AQ941" s="14">
        <v>20075</v>
      </c>
      <c r="AR941" s="14">
        <v>23000</v>
      </c>
      <c r="AS941" s="14">
        <v>16225</v>
      </c>
      <c r="AT941" s="14">
        <v>17495</v>
      </c>
      <c r="AU941" s="14">
        <v>-22</v>
      </c>
      <c r="AV941" s="14">
        <v>260.8</v>
      </c>
      <c r="AW941" s="14">
        <v>26.69</v>
      </c>
      <c r="AX941" s="14">
        <v>-6.39</v>
      </c>
      <c r="AY941" s="14" t="b">
        <v>0</v>
      </c>
    </row>
    <row r="942" spans="1:51" hidden="1" x14ac:dyDescent="0.3">
      <c r="A942" t="str">
        <f>CONCATENATE(I942,E942,LEFT(G942,10))</f>
        <v>HFA951LLHA2026-01-14</v>
      </c>
      <c r="B942" s="14" t="s">
        <v>5780</v>
      </c>
      <c r="C942" s="14" t="s">
        <v>336</v>
      </c>
      <c r="D942" s="14" t="s">
        <v>337</v>
      </c>
      <c r="E942" s="14" t="s">
        <v>43</v>
      </c>
      <c r="F942" s="14" t="s">
        <v>77</v>
      </c>
      <c r="G942" s="14" t="s">
        <v>5781</v>
      </c>
      <c r="H942" s="14" t="s">
        <v>393</v>
      </c>
      <c r="I942" s="14" t="s">
        <v>74</v>
      </c>
      <c r="J942" s="14" t="s">
        <v>759</v>
      </c>
      <c r="K942" s="14" t="s">
        <v>349</v>
      </c>
      <c r="L942" s="14" t="s">
        <v>341</v>
      </c>
      <c r="M942" s="16" t="s">
        <v>5782</v>
      </c>
      <c r="N942" s="14" t="s">
        <v>3136</v>
      </c>
      <c r="O942" s="14" t="s">
        <v>5783</v>
      </c>
      <c r="P942" s="14">
        <v>50</v>
      </c>
      <c r="Q942" s="14">
        <v>2</v>
      </c>
      <c r="R942" s="14">
        <v>4400</v>
      </c>
      <c r="S942" s="14" t="s">
        <v>5784</v>
      </c>
      <c r="T942" s="14" t="s">
        <v>5785</v>
      </c>
      <c r="U942" s="14">
        <v>3.7888888888888799</v>
      </c>
      <c r="V942" s="14">
        <v>3.9433333333333298</v>
      </c>
      <c r="W942" s="14">
        <v>3187</v>
      </c>
      <c r="X942" s="14">
        <v>50</v>
      </c>
      <c r="Y942" s="14">
        <v>3137</v>
      </c>
      <c r="Z942" s="14">
        <v>1098</v>
      </c>
      <c r="AA942" s="14">
        <v>384</v>
      </c>
      <c r="AB942" s="14">
        <v>257</v>
      </c>
      <c r="AC942" s="14">
        <v>300</v>
      </c>
      <c r="AD942" s="14">
        <v>157</v>
      </c>
      <c r="AE942" s="14">
        <v>4285</v>
      </c>
      <c r="AF942" s="14">
        <v>5000</v>
      </c>
      <c r="AG942" s="14">
        <v>10070</v>
      </c>
      <c r="AH942" s="14">
        <v>0</v>
      </c>
      <c r="AI942" s="14">
        <v>232</v>
      </c>
      <c r="AJ942" s="14">
        <v>329</v>
      </c>
      <c r="AK942" s="14" t="s">
        <v>5781</v>
      </c>
      <c r="AL942" s="14" t="s">
        <v>5786</v>
      </c>
      <c r="AM942" s="14">
        <v>924.53</v>
      </c>
      <c r="AN942" s="14">
        <v>809.32</v>
      </c>
      <c r="AO942" s="14">
        <v>102.22</v>
      </c>
      <c r="AP942" s="14">
        <v>21996</v>
      </c>
      <c r="AQ942" s="14">
        <v>21946</v>
      </c>
      <c r="AR942" s="14">
        <v>23000</v>
      </c>
      <c r="AS942" s="14">
        <v>17711</v>
      </c>
      <c r="AT942" s="14">
        <v>18809</v>
      </c>
      <c r="AU942" s="14">
        <v>-31</v>
      </c>
      <c r="AV942" s="14">
        <v>319.99</v>
      </c>
      <c r="AW942" s="14">
        <v>32.840000000000003</v>
      </c>
      <c r="AX942" s="14">
        <v>0.59</v>
      </c>
      <c r="AY942" s="14" t="b">
        <v>0</v>
      </c>
    </row>
    <row r="943" spans="1:51" hidden="1" x14ac:dyDescent="0.3">
      <c r="A943" t="str">
        <f>CONCATENATE(I943,E943,LEFT(G943,10))</f>
        <v>HFA951LLHA2026-01-16</v>
      </c>
      <c r="B943" s="14" t="s">
        <v>5076</v>
      </c>
      <c r="C943" s="14" t="s">
        <v>336</v>
      </c>
      <c r="D943" s="14" t="s">
        <v>337</v>
      </c>
      <c r="E943" s="14" t="s">
        <v>43</v>
      </c>
      <c r="F943" s="14" t="s">
        <v>77</v>
      </c>
      <c r="G943" s="14" t="s">
        <v>5077</v>
      </c>
      <c r="H943" s="14" t="s">
        <v>357</v>
      </c>
      <c r="I943" s="14" t="s">
        <v>74</v>
      </c>
      <c r="J943" s="14" t="s">
        <v>759</v>
      </c>
      <c r="K943" s="14" t="s">
        <v>349</v>
      </c>
      <c r="L943" s="14" t="s">
        <v>341</v>
      </c>
      <c r="M943" s="16" t="s">
        <v>5078</v>
      </c>
      <c r="N943" s="14" t="s">
        <v>705</v>
      </c>
      <c r="O943" s="14" t="s">
        <v>5079</v>
      </c>
      <c r="P943" s="14">
        <v>50</v>
      </c>
      <c r="Q943" s="14">
        <v>2</v>
      </c>
      <c r="R943" s="14">
        <v>4400</v>
      </c>
      <c r="S943" s="14" t="s">
        <v>5080</v>
      </c>
      <c r="T943" s="14" t="s">
        <v>5081</v>
      </c>
      <c r="U943" s="14">
        <v>3.59</v>
      </c>
      <c r="V943" s="14">
        <v>3.72694444444444</v>
      </c>
      <c r="W943" s="14">
        <v>2592</v>
      </c>
      <c r="X943" s="14">
        <v>50</v>
      </c>
      <c r="Y943" s="14">
        <v>2542</v>
      </c>
      <c r="Z943" s="14">
        <v>969</v>
      </c>
      <c r="AA943" s="14">
        <v>387</v>
      </c>
      <c r="AB943" s="14">
        <v>255</v>
      </c>
      <c r="AC943" s="14">
        <v>200</v>
      </c>
      <c r="AD943" s="14">
        <v>127</v>
      </c>
      <c r="AE943" s="14">
        <v>3561</v>
      </c>
      <c r="AF943" s="14">
        <v>5000</v>
      </c>
      <c r="AG943" s="14">
        <v>8191</v>
      </c>
      <c r="AH943" s="14">
        <v>0</v>
      </c>
      <c r="AI943" s="14">
        <v>219</v>
      </c>
      <c r="AJ943" s="14">
        <v>307</v>
      </c>
      <c r="AK943" s="14" t="s">
        <v>5077</v>
      </c>
      <c r="AL943" s="14" t="s">
        <v>5082</v>
      </c>
      <c r="AM943" s="14">
        <v>913.97</v>
      </c>
      <c r="AN943" s="14">
        <v>809.32</v>
      </c>
      <c r="AO943" s="14">
        <v>102.22</v>
      </c>
      <c r="AP943" s="14">
        <v>21186</v>
      </c>
      <c r="AQ943" s="14">
        <v>21136</v>
      </c>
      <c r="AR943" s="14">
        <v>23000</v>
      </c>
      <c r="AS943" s="14">
        <v>17625</v>
      </c>
      <c r="AT943" s="14">
        <v>18594</v>
      </c>
      <c r="AU943" s="14">
        <v>-18</v>
      </c>
      <c r="AV943" s="14">
        <v>290.25</v>
      </c>
      <c r="AW943" s="14">
        <v>22.12</v>
      </c>
      <c r="AX943" s="14">
        <v>0.85</v>
      </c>
      <c r="AY943" s="14" t="b">
        <v>0</v>
      </c>
    </row>
    <row r="944" spans="1:51" hidden="1" x14ac:dyDescent="0.3">
      <c r="A944" t="str">
        <f>CONCATENATE(I944,E944,LEFT(G944,10))</f>
        <v>HFA951LLHA2026-01-19</v>
      </c>
      <c r="B944" s="14" t="s">
        <v>5979</v>
      </c>
      <c r="C944" s="14" t="s">
        <v>336</v>
      </c>
      <c r="D944" s="14" t="s">
        <v>337</v>
      </c>
      <c r="E944" s="14" t="s">
        <v>43</v>
      </c>
      <c r="F944" s="14" t="s">
        <v>77</v>
      </c>
      <c r="G944" s="14" t="s">
        <v>5980</v>
      </c>
      <c r="H944" s="14" t="s">
        <v>357</v>
      </c>
      <c r="I944" s="14" t="s">
        <v>74</v>
      </c>
      <c r="J944" s="14" t="s">
        <v>759</v>
      </c>
      <c r="K944" s="14" t="s">
        <v>349</v>
      </c>
      <c r="L944" s="14" t="s">
        <v>341</v>
      </c>
      <c r="M944" s="16" t="s">
        <v>5981</v>
      </c>
      <c r="N944" s="14" t="s">
        <v>705</v>
      </c>
      <c r="O944" s="14" t="s">
        <v>5982</v>
      </c>
      <c r="P944" s="14">
        <v>50</v>
      </c>
      <c r="Q944" s="14">
        <v>2</v>
      </c>
      <c r="R944" s="14">
        <v>3500</v>
      </c>
      <c r="S944" s="14" t="s">
        <v>5983</v>
      </c>
      <c r="T944" s="14" t="s">
        <v>5984</v>
      </c>
      <c r="U944" s="14">
        <v>3.7983333333333298</v>
      </c>
      <c r="V944" s="14">
        <v>3.9644444444444402</v>
      </c>
      <c r="W944" s="14">
        <v>2882</v>
      </c>
      <c r="X944" s="14">
        <v>50</v>
      </c>
      <c r="Y944" s="14">
        <v>2832</v>
      </c>
      <c r="Z944" s="14">
        <v>988</v>
      </c>
      <c r="AA944" s="14">
        <v>399</v>
      </c>
      <c r="AB944" s="14">
        <v>247</v>
      </c>
      <c r="AC944" s="14">
        <v>200</v>
      </c>
      <c r="AD944" s="14">
        <v>142</v>
      </c>
      <c r="AE944" s="14">
        <v>3870</v>
      </c>
      <c r="AF944" s="14">
        <v>5000</v>
      </c>
      <c r="AG944" s="14">
        <v>9107</v>
      </c>
      <c r="AH944" s="14">
        <v>0</v>
      </c>
      <c r="AI944" s="14">
        <v>227</v>
      </c>
      <c r="AJ944" s="14">
        <v>317</v>
      </c>
      <c r="AK944" s="14" t="s">
        <v>5980</v>
      </c>
      <c r="AL944" s="14" t="s">
        <v>5985</v>
      </c>
      <c r="AM944" s="14">
        <v>913.97</v>
      </c>
      <c r="AN944" s="14">
        <v>809.32</v>
      </c>
      <c r="AO944" s="14">
        <v>102.22</v>
      </c>
      <c r="AP944" s="14">
        <v>20595</v>
      </c>
      <c r="AQ944" s="14">
        <v>20545</v>
      </c>
      <c r="AR944" s="14">
        <v>23000</v>
      </c>
      <c r="AS944" s="14">
        <v>16725</v>
      </c>
      <c r="AT944" s="14">
        <v>17713</v>
      </c>
      <c r="AU944" s="14">
        <v>-32</v>
      </c>
      <c r="AV944" s="14">
        <v>318.45</v>
      </c>
      <c r="AW944" s="14">
        <v>26.28</v>
      </c>
      <c r="AX944" s="14">
        <v>-3.9</v>
      </c>
      <c r="AY944" s="14" t="b">
        <v>0</v>
      </c>
    </row>
    <row r="945" spans="1:51" hidden="1" x14ac:dyDescent="0.3">
      <c r="A945" t="str">
        <f>CONCATENATE(I945,E945,LEFT(G945,10))</f>
        <v>HFA951LLHA2026-01-21</v>
      </c>
      <c r="B945" s="14" t="s">
        <v>1583</v>
      </c>
      <c r="C945" s="14" t="s">
        <v>336</v>
      </c>
      <c r="D945" s="14" t="s">
        <v>337</v>
      </c>
      <c r="E945" s="14" t="s">
        <v>43</v>
      </c>
      <c r="F945" s="14" t="s">
        <v>77</v>
      </c>
      <c r="G945" s="14" t="s">
        <v>1584</v>
      </c>
      <c r="H945" s="14" t="s">
        <v>357</v>
      </c>
      <c r="I945" s="14" t="s">
        <v>74</v>
      </c>
      <c r="J945" s="14" t="s">
        <v>759</v>
      </c>
      <c r="K945" s="14" t="s">
        <v>349</v>
      </c>
      <c r="L945" s="14" t="s">
        <v>341</v>
      </c>
      <c r="M945" s="16" t="s">
        <v>1585</v>
      </c>
      <c r="N945" s="14" t="s">
        <v>705</v>
      </c>
      <c r="O945" s="14" t="s">
        <v>1586</v>
      </c>
      <c r="P945" s="14">
        <v>50</v>
      </c>
      <c r="Q945" s="14">
        <v>2</v>
      </c>
      <c r="R945" s="14">
        <v>4500</v>
      </c>
      <c r="S945" s="14" t="s">
        <v>1587</v>
      </c>
      <c r="T945" s="14" t="s">
        <v>1588</v>
      </c>
      <c r="U945" s="14">
        <v>3.7052777777777699</v>
      </c>
      <c r="V945" s="14">
        <v>3.8791666666666602</v>
      </c>
      <c r="W945" s="14">
        <v>2582</v>
      </c>
      <c r="X945" s="14">
        <v>50</v>
      </c>
      <c r="Y945" s="14">
        <v>2532</v>
      </c>
      <c r="Z945" s="14">
        <v>1118</v>
      </c>
      <c r="AA945" s="14">
        <v>399</v>
      </c>
      <c r="AB945" s="14">
        <v>257</v>
      </c>
      <c r="AC945" s="14">
        <v>335</v>
      </c>
      <c r="AD945" s="14">
        <v>127</v>
      </c>
      <c r="AE945" s="14">
        <v>3700</v>
      </c>
      <c r="AF945" s="14">
        <v>5000</v>
      </c>
      <c r="AG945" s="14">
        <v>8159</v>
      </c>
      <c r="AH945" s="14">
        <v>0</v>
      </c>
      <c r="AI945" s="14">
        <v>219</v>
      </c>
      <c r="AJ945" s="14">
        <v>320</v>
      </c>
      <c r="AK945" s="14" t="s">
        <v>1584</v>
      </c>
      <c r="AL945" s="14" t="s">
        <v>1589</v>
      </c>
      <c r="AM945" s="14">
        <v>932.78</v>
      </c>
      <c r="AN945" s="14">
        <v>809.32</v>
      </c>
      <c r="AO945" s="14">
        <v>102.22</v>
      </c>
      <c r="AP945" s="14">
        <v>21425</v>
      </c>
      <c r="AQ945" s="14">
        <v>21375</v>
      </c>
      <c r="AR945" s="14">
        <v>23000</v>
      </c>
      <c r="AS945" s="14">
        <v>17725</v>
      </c>
      <c r="AT945" s="14">
        <v>18843</v>
      </c>
      <c r="AU945" s="14">
        <v>-12</v>
      </c>
      <c r="AV945" s="14">
        <v>245.61</v>
      </c>
      <c r="AW945" s="14">
        <v>29.66</v>
      </c>
      <c r="AX945" s="14">
        <v>1.25</v>
      </c>
      <c r="AY945" s="14" t="b">
        <v>0</v>
      </c>
    </row>
    <row r="946" spans="1:51" hidden="1" x14ac:dyDescent="0.3">
      <c r="A946" t="str">
        <f>CONCATENATE(I946,E946,LEFT(G946,10))</f>
        <v>HFA951LLHA2026-01-23</v>
      </c>
      <c r="B946" s="14" t="s">
        <v>5143</v>
      </c>
      <c r="C946" s="14" t="s">
        <v>336</v>
      </c>
      <c r="D946" s="14" t="s">
        <v>337</v>
      </c>
      <c r="E946" s="14" t="s">
        <v>43</v>
      </c>
      <c r="F946" s="14" t="s">
        <v>77</v>
      </c>
      <c r="G946" s="14" t="s">
        <v>5144</v>
      </c>
      <c r="H946" s="14" t="s">
        <v>357</v>
      </c>
      <c r="I946" s="14" t="s">
        <v>74</v>
      </c>
      <c r="J946" s="14" t="s">
        <v>759</v>
      </c>
      <c r="K946" s="14" t="s">
        <v>349</v>
      </c>
      <c r="L946" s="14" t="s">
        <v>341</v>
      </c>
      <c r="M946" s="16" t="s">
        <v>5145</v>
      </c>
      <c r="N946" s="14" t="s">
        <v>705</v>
      </c>
      <c r="O946" s="14" t="s">
        <v>5146</v>
      </c>
      <c r="P946" s="14">
        <v>50</v>
      </c>
      <c r="Q946" s="14">
        <v>2</v>
      </c>
      <c r="R946" s="14">
        <v>5000</v>
      </c>
      <c r="S946" s="14" t="s">
        <v>5147</v>
      </c>
      <c r="T946" s="14" t="s">
        <v>5148</v>
      </c>
      <c r="U946" s="14">
        <v>3.6980555555555501</v>
      </c>
      <c r="V946" s="14">
        <v>3.8233333333333301</v>
      </c>
      <c r="W946" s="14">
        <v>2551</v>
      </c>
      <c r="X946" s="14">
        <v>50</v>
      </c>
      <c r="Y946" s="14">
        <v>2501</v>
      </c>
      <c r="Z946" s="14">
        <v>1149</v>
      </c>
      <c r="AA946" s="14">
        <v>395</v>
      </c>
      <c r="AB946" s="14">
        <v>262</v>
      </c>
      <c r="AC946" s="14">
        <v>367</v>
      </c>
      <c r="AD946" s="14">
        <v>125</v>
      </c>
      <c r="AE946" s="14">
        <v>3700</v>
      </c>
      <c r="AF946" s="14">
        <v>5000</v>
      </c>
      <c r="AG946" s="14">
        <v>8061</v>
      </c>
      <c r="AH946" s="14">
        <v>0</v>
      </c>
      <c r="AI946" s="14">
        <v>220</v>
      </c>
      <c r="AJ946" s="14">
        <v>325</v>
      </c>
      <c r="AK946" s="14" t="s">
        <v>5144</v>
      </c>
      <c r="AL946" s="14" t="s">
        <v>5149</v>
      </c>
      <c r="AM946" s="14">
        <v>924.53</v>
      </c>
      <c r="AN946" s="14">
        <v>809.32</v>
      </c>
      <c r="AO946" s="14">
        <v>102.22</v>
      </c>
      <c r="AP946" s="14">
        <v>21925</v>
      </c>
      <c r="AQ946" s="14">
        <v>21875</v>
      </c>
      <c r="AR946" s="14">
        <v>23000</v>
      </c>
      <c r="AS946" s="14">
        <v>18225</v>
      </c>
      <c r="AT946" s="14">
        <v>19374</v>
      </c>
      <c r="AU946" s="14">
        <v>-15</v>
      </c>
      <c r="AV946" s="14">
        <v>255.57</v>
      </c>
      <c r="AW946" s="14">
        <v>27.79</v>
      </c>
      <c r="AX946" s="14">
        <v>-0.52</v>
      </c>
      <c r="AY946" s="14" t="b">
        <v>0</v>
      </c>
    </row>
    <row r="947" spans="1:51" hidden="1" x14ac:dyDescent="0.3">
      <c r="A947" t="str">
        <f>CONCATENATE(I947,E947,LEFT(G947,10))</f>
        <v>HFA951LLHA2026-01-26</v>
      </c>
      <c r="B947" s="14" t="s">
        <v>2998</v>
      </c>
      <c r="C947" s="14" t="s">
        <v>336</v>
      </c>
      <c r="D947" s="14" t="s">
        <v>337</v>
      </c>
      <c r="E947" s="14" t="s">
        <v>43</v>
      </c>
      <c r="F947" s="14" t="s">
        <v>77</v>
      </c>
      <c r="G947" s="14" t="s">
        <v>2999</v>
      </c>
      <c r="H947" s="14" t="s">
        <v>357</v>
      </c>
      <c r="I947" s="14" t="s">
        <v>74</v>
      </c>
      <c r="J947" s="14" t="s">
        <v>759</v>
      </c>
      <c r="K947" s="14" t="s">
        <v>349</v>
      </c>
      <c r="L947" s="14" t="s">
        <v>341</v>
      </c>
      <c r="M947" s="16" t="s">
        <v>3000</v>
      </c>
      <c r="N947" s="14" t="s">
        <v>705</v>
      </c>
      <c r="O947" s="14" t="s">
        <v>1586</v>
      </c>
      <c r="P947" s="14">
        <v>50</v>
      </c>
      <c r="Q947" s="14">
        <v>2</v>
      </c>
      <c r="R947" s="14">
        <v>2800</v>
      </c>
      <c r="S947" s="14" t="s">
        <v>3001</v>
      </c>
      <c r="T947" s="14" t="s">
        <v>3002</v>
      </c>
      <c r="U947" s="14">
        <v>3.2544444444444398</v>
      </c>
      <c r="V947" s="14">
        <v>3.4272222222222202</v>
      </c>
      <c r="W947" s="14">
        <v>2307</v>
      </c>
      <c r="X947" s="14">
        <v>50</v>
      </c>
      <c r="Y947" s="14">
        <v>2257</v>
      </c>
      <c r="Z947" s="14">
        <v>1193</v>
      </c>
      <c r="AA947" s="14">
        <v>410</v>
      </c>
      <c r="AB947" s="14">
        <v>243</v>
      </c>
      <c r="AC947" s="14">
        <v>427</v>
      </c>
      <c r="AD947" s="14">
        <v>113</v>
      </c>
      <c r="AE947" s="14">
        <v>3500</v>
      </c>
      <c r="AF947" s="14">
        <v>5000</v>
      </c>
      <c r="AG947" s="14">
        <v>7290</v>
      </c>
      <c r="AH947" s="14">
        <v>0</v>
      </c>
      <c r="AI947" s="14">
        <v>196</v>
      </c>
      <c r="AJ947" s="14">
        <v>307</v>
      </c>
      <c r="AK947" s="14" t="s">
        <v>2999</v>
      </c>
      <c r="AL947" s="14" t="s">
        <v>3003</v>
      </c>
      <c r="AM947" s="14">
        <v>932.78</v>
      </c>
      <c r="AN947" s="14">
        <v>809.32</v>
      </c>
      <c r="AO947" s="14">
        <v>102.22</v>
      </c>
      <c r="AP947" s="14">
        <v>19525</v>
      </c>
      <c r="AQ947" s="14">
        <v>19475</v>
      </c>
      <c r="AR947" s="14">
        <v>23000</v>
      </c>
      <c r="AS947" s="14">
        <v>16025</v>
      </c>
      <c r="AT947" s="14">
        <v>17218</v>
      </c>
      <c r="AU947" s="14">
        <v>17</v>
      </c>
      <c r="AV947" s="14">
        <v>189.52</v>
      </c>
      <c r="AW947" s="14">
        <v>41.89</v>
      </c>
      <c r="AX947" s="14">
        <v>2.29</v>
      </c>
      <c r="AY947" s="14" t="b">
        <v>0</v>
      </c>
    </row>
    <row r="948" spans="1:51" hidden="1" x14ac:dyDescent="0.3">
      <c r="A948" t="str">
        <f>CONCATENATE(I948,E948,LEFT(G948,10))</f>
        <v>HFA951LLHA2026-01-28</v>
      </c>
      <c r="B948" s="14" t="s">
        <v>1356</v>
      </c>
      <c r="C948" s="14" t="s">
        <v>336</v>
      </c>
      <c r="D948" s="14" t="s">
        <v>337</v>
      </c>
      <c r="E948" s="14" t="s">
        <v>43</v>
      </c>
      <c r="F948" s="14" t="s">
        <v>77</v>
      </c>
      <c r="G948" s="14" t="s">
        <v>1357</v>
      </c>
      <c r="H948" s="14" t="s">
        <v>357</v>
      </c>
      <c r="I948" s="14" t="s">
        <v>74</v>
      </c>
      <c r="J948" s="14" t="s">
        <v>759</v>
      </c>
      <c r="K948" s="14" t="s">
        <v>349</v>
      </c>
      <c r="L948" s="14" t="s">
        <v>341</v>
      </c>
      <c r="M948" s="16" t="s">
        <v>1345</v>
      </c>
      <c r="N948" s="14" t="s">
        <v>705</v>
      </c>
      <c r="O948" s="14" t="s">
        <v>1358</v>
      </c>
      <c r="P948" s="14">
        <v>50</v>
      </c>
      <c r="Q948" s="14">
        <v>2</v>
      </c>
      <c r="R948" s="14">
        <v>3350</v>
      </c>
      <c r="S948" s="14" t="s">
        <v>1359</v>
      </c>
      <c r="T948" s="14" t="s">
        <v>1360</v>
      </c>
      <c r="U948" s="14">
        <v>3.7694444444444399</v>
      </c>
      <c r="V948" s="14">
        <v>3.9141666666666599</v>
      </c>
      <c r="W948" s="14">
        <v>2552</v>
      </c>
      <c r="X948" s="14">
        <v>50</v>
      </c>
      <c r="Y948" s="14">
        <v>2502</v>
      </c>
      <c r="Z948" s="14">
        <v>843</v>
      </c>
      <c r="AA948" s="14">
        <v>373</v>
      </c>
      <c r="AB948" s="14">
        <v>245</v>
      </c>
      <c r="AC948" s="14">
        <v>100</v>
      </c>
      <c r="AD948" s="14">
        <v>125</v>
      </c>
      <c r="AE948" s="14">
        <v>3395</v>
      </c>
      <c r="AF948" s="14">
        <v>5000</v>
      </c>
      <c r="AG948" s="14">
        <v>8064</v>
      </c>
      <c r="AH948" s="14">
        <v>0</v>
      </c>
      <c r="AI948" s="14">
        <v>219</v>
      </c>
      <c r="AJ948" s="14">
        <v>300</v>
      </c>
      <c r="AK948" s="14" t="s">
        <v>1357</v>
      </c>
      <c r="AL948" s="14" t="s">
        <v>1361</v>
      </c>
      <c r="AM948" s="14">
        <v>916.31</v>
      </c>
      <c r="AN948" s="14">
        <v>809.32</v>
      </c>
      <c r="AO948" s="14">
        <v>102.22</v>
      </c>
      <c r="AP948" s="14">
        <v>19970</v>
      </c>
      <c r="AQ948" s="14">
        <v>19920</v>
      </c>
      <c r="AR948" s="14">
        <v>23000</v>
      </c>
      <c r="AS948" s="14">
        <v>16575</v>
      </c>
      <c r="AT948" s="14">
        <v>17418</v>
      </c>
      <c r="AU948" s="14">
        <v>-20</v>
      </c>
      <c r="AV948" s="14">
        <v>289.93</v>
      </c>
      <c r="AW948" s="14">
        <v>22.67</v>
      </c>
      <c r="AX948" s="14">
        <v>0.41</v>
      </c>
      <c r="AY948" s="14" t="b">
        <v>0</v>
      </c>
    </row>
    <row r="949" spans="1:51" hidden="1" x14ac:dyDescent="0.3">
      <c r="A949" t="str">
        <f>CONCATENATE(I949,E949,LEFT(G949,10))</f>
        <v>HFA951LLHA2026-01-30</v>
      </c>
      <c r="B949" s="14" t="s">
        <v>1203</v>
      </c>
      <c r="C949" s="14" t="s">
        <v>336</v>
      </c>
      <c r="D949" s="14" t="s">
        <v>337</v>
      </c>
      <c r="E949" s="14" t="s">
        <v>43</v>
      </c>
      <c r="F949" s="14" t="s">
        <v>77</v>
      </c>
      <c r="G949" s="14" t="s">
        <v>1204</v>
      </c>
      <c r="H949" s="14" t="s">
        <v>357</v>
      </c>
      <c r="I949" s="14" t="s">
        <v>74</v>
      </c>
      <c r="J949" s="14" t="s">
        <v>759</v>
      </c>
      <c r="K949" s="14" t="s">
        <v>349</v>
      </c>
      <c r="L949" s="14" t="s">
        <v>341</v>
      </c>
      <c r="M949" s="16" t="s">
        <v>1205</v>
      </c>
      <c r="N949" s="14" t="s">
        <v>705</v>
      </c>
      <c r="O949" s="14" t="s">
        <v>1206</v>
      </c>
      <c r="P949" s="14">
        <v>50</v>
      </c>
      <c r="Q949" s="14">
        <v>2</v>
      </c>
      <c r="R949" s="14">
        <v>3900</v>
      </c>
      <c r="S949" s="14" t="s">
        <v>1207</v>
      </c>
      <c r="T949" s="14" t="s">
        <v>1208</v>
      </c>
      <c r="U949" s="14">
        <v>3.6941666666666602</v>
      </c>
      <c r="V949" s="14">
        <v>3.8683333333333301</v>
      </c>
      <c r="W949" s="14">
        <v>2739</v>
      </c>
      <c r="X949" s="14">
        <v>50</v>
      </c>
      <c r="Y949" s="14">
        <v>2689</v>
      </c>
      <c r="Z949" s="14">
        <v>1061</v>
      </c>
      <c r="AA949" s="14">
        <v>394</v>
      </c>
      <c r="AB949" s="14">
        <v>252</v>
      </c>
      <c r="AC949" s="14">
        <v>280</v>
      </c>
      <c r="AD949" s="14">
        <v>134</v>
      </c>
      <c r="AE949" s="14">
        <v>3800</v>
      </c>
      <c r="AF949" s="14">
        <v>5000</v>
      </c>
      <c r="AG949" s="14">
        <v>8656</v>
      </c>
      <c r="AH949" s="14">
        <v>0</v>
      </c>
      <c r="AI949" s="14">
        <v>222</v>
      </c>
      <c r="AJ949" s="14">
        <v>318</v>
      </c>
      <c r="AK949" s="14" t="s">
        <v>1204</v>
      </c>
      <c r="AL949" s="14" t="s">
        <v>1209</v>
      </c>
      <c r="AM949" s="14">
        <v>916.31</v>
      </c>
      <c r="AN949" s="14">
        <v>809.32</v>
      </c>
      <c r="AO949" s="14">
        <v>102.22</v>
      </c>
      <c r="AP949" s="14">
        <v>20925</v>
      </c>
      <c r="AQ949" s="14">
        <v>20875</v>
      </c>
      <c r="AR949" s="14">
        <v>23000</v>
      </c>
      <c r="AS949" s="14">
        <v>17125</v>
      </c>
      <c r="AT949" s="14">
        <v>18186</v>
      </c>
      <c r="AU949" s="14">
        <v>-22</v>
      </c>
      <c r="AV949" s="14">
        <v>264.02</v>
      </c>
      <c r="AW949" s="14">
        <v>28.45</v>
      </c>
      <c r="AX949" s="14">
        <v>1.18</v>
      </c>
      <c r="AY949" s="14" t="b">
        <v>0</v>
      </c>
    </row>
    <row r="950" spans="1:51" hidden="1" x14ac:dyDescent="0.3">
      <c r="A950" t="str">
        <f>CONCATENATE(I950,E950,LEFT(G950,10))</f>
        <v>HFA951LLHA2026-02-02</v>
      </c>
      <c r="B950" s="14" t="s">
        <v>903</v>
      </c>
      <c r="C950" s="14" t="s">
        <v>336</v>
      </c>
      <c r="D950" s="14" t="s">
        <v>337</v>
      </c>
      <c r="E950" s="14" t="s">
        <v>43</v>
      </c>
      <c r="F950" s="14" t="s">
        <v>77</v>
      </c>
      <c r="G950" s="14" t="s">
        <v>904</v>
      </c>
      <c r="H950" s="14" t="s">
        <v>357</v>
      </c>
      <c r="I950" s="14" t="s">
        <v>74</v>
      </c>
      <c r="J950" s="14" t="s">
        <v>759</v>
      </c>
      <c r="K950" s="14" t="s">
        <v>349</v>
      </c>
      <c r="L950" s="14" t="s">
        <v>341</v>
      </c>
      <c r="M950" s="16" t="s">
        <v>898</v>
      </c>
      <c r="N950" s="14" t="s">
        <v>705</v>
      </c>
      <c r="O950" s="14" t="s">
        <v>905</v>
      </c>
      <c r="P950" s="14">
        <v>50</v>
      </c>
      <c r="Q950" s="14">
        <v>2</v>
      </c>
      <c r="R950" s="14">
        <v>3300</v>
      </c>
      <c r="S950" s="14" t="s">
        <v>906</v>
      </c>
      <c r="T950" s="14" t="s">
        <v>907</v>
      </c>
      <c r="U950" s="14">
        <v>3.6241666666666599</v>
      </c>
      <c r="V950" s="14">
        <v>3.7811111111111102</v>
      </c>
      <c r="W950" s="14">
        <v>2489</v>
      </c>
      <c r="X950" s="14">
        <v>50</v>
      </c>
      <c r="Y950" s="14">
        <v>2439</v>
      </c>
      <c r="Z950" s="14">
        <v>848</v>
      </c>
      <c r="AA950" s="14">
        <v>382</v>
      </c>
      <c r="AB950" s="14">
        <v>244</v>
      </c>
      <c r="AC950" s="14">
        <v>100</v>
      </c>
      <c r="AD950" s="14">
        <v>122</v>
      </c>
      <c r="AE950" s="14">
        <v>3338</v>
      </c>
      <c r="AF950" s="14">
        <v>5000</v>
      </c>
      <c r="AG950" s="14">
        <v>7867</v>
      </c>
      <c r="AH950" s="14">
        <v>0</v>
      </c>
      <c r="AI950" s="14">
        <v>217</v>
      </c>
      <c r="AJ950" s="14">
        <v>296</v>
      </c>
      <c r="AK950" s="14" t="s">
        <v>904</v>
      </c>
      <c r="AL950" s="14" t="s">
        <v>908</v>
      </c>
      <c r="AM950" s="14">
        <v>916.31</v>
      </c>
      <c r="AN950" s="14">
        <v>809.32</v>
      </c>
      <c r="AO950" s="14">
        <v>103.97</v>
      </c>
      <c r="AP950" s="14">
        <v>19863</v>
      </c>
      <c r="AQ950" s="14">
        <v>19813</v>
      </c>
      <c r="AR950" s="14">
        <v>23000</v>
      </c>
      <c r="AS950" s="14">
        <v>16525</v>
      </c>
      <c r="AT950" s="14">
        <v>17373</v>
      </c>
      <c r="AU950" s="14">
        <v>-17</v>
      </c>
      <c r="AV950" s="14">
        <v>246.2</v>
      </c>
      <c r="AW950" s="14">
        <v>35.64</v>
      </c>
      <c r="AX950" s="14">
        <v>-1.27</v>
      </c>
      <c r="AY950" s="14" t="b">
        <v>0</v>
      </c>
    </row>
    <row r="951" spans="1:51" hidden="1" x14ac:dyDescent="0.3">
      <c r="A951" t="str">
        <f>CONCATENATE(I951,E951,LEFT(G951,10))</f>
        <v>HFA951LLHA2026-02-04</v>
      </c>
      <c r="B951" s="14" t="s">
        <v>5879</v>
      </c>
      <c r="C951" s="14" t="s">
        <v>336</v>
      </c>
      <c r="D951" s="14" t="s">
        <v>337</v>
      </c>
      <c r="E951" s="14" t="s">
        <v>43</v>
      </c>
      <c r="F951" s="14" t="s">
        <v>77</v>
      </c>
      <c r="G951" s="14" t="s">
        <v>5880</v>
      </c>
      <c r="H951" s="14" t="s">
        <v>357</v>
      </c>
      <c r="I951" s="14" t="s">
        <v>74</v>
      </c>
      <c r="J951" s="14" t="s">
        <v>759</v>
      </c>
      <c r="K951" s="14" t="s">
        <v>349</v>
      </c>
      <c r="L951" s="14" t="s">
        <v>341</v>
      </c>
      <c r="M951" s="16" t="s">
        <v>5881</v>
      </c>
      <c r="N951" s="14" t="s">
        <v>705</v>
      </c>
      <c r="O951" s="14" t="s">
        <v>5882</v>
      </c>
      <c r="P951" s="14">
        <v>50</v>
      </c>
      <c r="Q951" s="14">
        <v>2</v>
      </c>
      <c r="R951" s="14">
        <v>5500</v>
      </c>
      <c r="S951" s="14" t="s">
        <v>5883</v>
      </c>
      <c r="T951" s="14" t="s">
        <v>5884</v>
      </c>
      <c r="U951" s="14">
        <v>3.5827777777777698</v>
      </c>
      <c r="V951" s="14">
        <v>3.7722222222222199</v>
      </c>
      <c r="W951" s="14">
        <v>2396</v>
      </c>
      <c r="X951" s="14">
        <v>50</v>
      </c>
      <c r="Y951" s="14">
        <v>2346</v>
      </c>
      <c r="Z951" s="14">
        <v>879</v>
      </c>
      <c r="AA951" s="14">
        <v>398</v>
      </c>
      <c r="AB951" s="14">
        <v>265</v>
      </c>
      <c r="AC951" s="14">
        <v>100</v>
      </c>
      <c r="AD951" s="14">
        <v>117</v>
      </c>
      <c r="AE951" s="14">
        <v>3275</v>
      </c>
      <c r="AF951" s="14">
        <v>5000</v>
      </c>
      <c r="AG951" s="14">
        <v>7570</v>
      </c>
      <c r="AH951" s="14">
        <v>0</v>
      </c>
      <c r="AI951" s="14">
        <v>214</v>
      </c>
      <c r="AJ951" s="14">
        <v>294</v>
      </c>
      <c r="AK951" s="14" t="s">
        <v>5880</v>
      </c>
      <c r="AL951" s="14" t="s">
        <v>5885</v>
      </c>
      <c r="AM951" s="14">
        <v>916.31</v>
      </c>
      <c r="AN951" s="14">
        <v>809.32</v>
      </c>
      <c r="AO951" s="14">
        <v>102.22</v>
      </c>
      <c r="AP951" s="14">
        <v>22000</v>
      </c>
      <c r="AQ951" s="14">
        <v>21950</v>
      </c>
      <c r="AR951" s="14">
        <v>23000</v>
      </c>
      <c r="AS951" s="14">
        <v>18725</v>
      </c>
      <c r="AT951" s="14">
        <v>19604</v>
      </c>
      <c r="AU951" s="14">
        <v>-6</v>
      </c>
      <c r="AV951" s="14">
        <v>240.71</v>
      </c>
      <c r="AW951" s="14">
        <v>21.89</v>
      </c>
      <c r="AX951" s="14">
        <v>3.05</v>
      </c>
      <c r="AY951" s="14" t="b">
        <v>0</v>
      </c>
    </row>
    <row r="952" spans="1:51" hidden="1" x14ac:dyDescent="0.3">
      <c r="A952" t="str">
        <f>CONCATENATE(I952,E952,LEFT(G952,10))</f>
        <v>HFA951LLHA2026-02-06</v>
      </c>
      <c r="B952" s="14" t="s">
        <v>5483</v>
      </c>
      <c r="C952" s="14" t="s">
        <v>336</v>
      </c>
      <c r="D952" s="14" t="s">
        <v>337</v>
      </c>
      <c r="E952" s="14" t="s">
        <v>43</v>
      </c>
      <c r="F952" s="14" t="s">
        <v>77</v>
      </c>
      <c r="G952" s="14" t="s">
        <v>5484</v>
      </c>
      <c r="H952" s="14" t="s">
        <v>357</v>
      </c>
      <c r="I952" s="14" t="s">
        <v>74</v>
      </c>
      <c r="J952" s="14" t="s">
        <v>759</v>
      </c>
      <c r="K952" s="14" t="s">
        <v>349</v>
      </c>
      <c r="L952" s="14" t="s">
        <v>341</v>
      </c>
      <c r="M952" s="16" t="s">
        <v>5485</v>
      </c>
      <c r="N952" s="14" t="s">
        <v>705</v>
      </c>
      <c r="O952" s="14" t="s">
        <v>5486</v>
      </c>
      <c r="P952" s="14">
        <v>50</v>
      </c>
      <c r="Q952" s="14">
        <v>2</v>
      </c>
      <c r="R952" s="14">
        <v>4000</v>
      </c>
      <c r="S952" s="14" t="s">
        <v>5487</v>
      </c>
      <c r="T952" s="14" t="s">
        <v>5488</v>
      </c>
      <c r="U952" s="14">
        <v>3.5588888888888799</v>
      </c>
      <c r="V952" s="14">
        <v>3.74138888888888</v>
      </c>
      <c r="W952" s="14">
        <v>2650</v>
      </c>
      <c r="X952" s="14">
        <v>50</v>
      </c>
      <c r="Y952" s="14">
        <v>2600</v>
      </c>
      <c r="Z952" s="14">
        <v>867</v>
      </c>
      <c r="AA952" s="14">
        <v>386</v>
      </c>
      <c r="AB952" s="14">
        <v>251</v>
      </c>
      <c r="AC952" s="14">
        <v>100</v>
      </c>
      <c r="AD952" s="14">
        <v>130</v>
      </c>
      <c r="AE952" s="14">
        <v>3517</v>
      </c>
      <c r="AF952" s="14">
        <v>5000</v>
      </c>
      <c r="AG952" s="14">
        <v>8375</v>
      </c>
      <c r="AH952" s="14">
        <v>0</v>
      </c>
      <c r="AI952" s="14">
        <v>220</v>
      </c>
      <c r="AJ952" s="14">
        <v>301</v>
      </c>
      <c r="AK952" s="14" t="s">
        <v>5484</v>
      </c>
      <c r="AL952" s="14" t="s">
        <v>5489</v>
      </c>
      <c r="AM952" s="14">
        <v>916.31</v>
      </c>
      <c r="AN952" s="14">
        <v>809.32</v>
      </c>
      <c r="AO952" s="14">
        <v>102.22</v>
      </c>
      <c r="AP952" s="14">
        <v>20742</v>
      </c>
      <c r="AQ952" s="14">
        <v>20692</v>
      </c>
      <c r="AR952" s="14">
        <v>23000</v>
      </c>
      <c r="AS952" s="14">
        <v>17225</v>
      </c>
      <c r="AT952" s="14">
        <v>18092</v>
      </c>
      <c r="AU952" s="14">
        <v>-19</v>
      </c>
      <c r="AV952" s="14">
        <v>265.42</v>
      </c>
      <c r="AW952" s="14">
        <v>26.61</v>
      </c>
      <c r="AX952" s="14">
        <v>1.97</v>
      </c>
      <c r="AY952" s="14" t="b">
        <v>0</v>
      </c>
    </row>
    <row r="953" spans="1:51" hidden="1" x14ac:dyDescent="0.3">
      <c r="A953" t="str">
        <f>CONCATENATE(I953,E953,LEFT(G953,10))</f>
        <v>HFA951LLHA2026-02-09</v>
      </c>
      <c r="B953" s="14" t="s">
        <v>1273</v>
      </c>
      <c r="C953" s="14" t="s">
        <v>336</v>
      </c>
      <c r="D953" s="14" t="s">
        <v>337</v>
      </c>
      <c r="E953" s="14" t="s">
        <v>43</v>
      </c>
      <c r="F953" s="14" t="s">
        <v>77</v>
      </c>
      <c r="G953" s="14" t="s">
        <v>1274</v>
      </c>
      <c r="H953" s="14" t="s">
        <v>357</v>
      </c>
      <c r="I953" s="14" t="s">
        <v>74</v>
      </c>
      <c r="J953" s="14" t="s">
        <v>759</v>
      </c>
      <c r="K953" s="14" t="s">
        <v>349</v>
      </c>
      <c r="L953" s="14" t="s">
        <v>341</v>
      </c>
      <c r="M953" s="16" t="s">
        <v>1275</v>
      </c>
      <c r="N953" s="14" t="s">
        <v>705</v>
      </c>
      <c r="O953" s="14" t="s">
        <v>1276</v>
      </c>
      <c r="P953" s="14">
        <v>50</v>
      </c>
      <c r="Q953" s="14">
        <v>3</v>
      </c>
      <c r="R953" s="14">
        <v>3350</v>
      </c>
      <c r="S953" s="14" t="s">
        <v>1277</v>
      </c>
      <c r="T953" s="14" t="s">
        <v>1278</v>
      </c>
      <c r="U953" s="14">
        <v>3.8374999999999999</v>
      </c>
      <c r="V953" s="14">
        <v>3.9663888888888801</v>
      </c>
      <c r="W953" s="14">
        <v>2532</v>
      </c>
      <c r="X953" s="14">
        <v>50</v>
      </c>
      <c r="Y953" s="14">
        <v>2482</v>
      </c>
      <c r="Z953" s="14">
        <v>954</v>
      </c>
      <c r="AA953" s="14">
        <v>384</v>
      </c>
      <c r="AB953" s="14">
        <v>246</v>
      </c>
      <c r="AC953" s="14">
        <v>200</v>
      </c>
      <c r="AD953" s="14">
        <v>124</v>
      </c>
      <c r="AE953" s="14">
        <v>3486</v>
      </c>
      <c r="AF953" s="14">
        <v>5000</v>
      </c>
      <c r="AG953" s="14">
        <v>8001</v>
      </c>
      <c r="AH953" s="14">
        <v>0</v>
      </c>
      <c r="AI953" s="14">
        <v>224</v>
      </c>
      <c r="AJ953" s="14">
        <v>313</v>
      </c>
      <c r="AK953" s="14" t="s">
        <v>1274</v>
      </c>
      <c r="AL953" s="14" t="s">
        <v>1279</v>
      </c>
      <c r="AM953" s="14">
        <v>916.31</v>
      </c>
      <c r="AN953" s="14">
        <v>809.32</v>
      </c>
      <c r="AO953" s="14">
        <v>102.22</v>
      </c>
      <c r="AP953" s="14">
        <v>20061</v>
      </c>
      <c r="AQ953" s="14">
        <v>20011</v>
      </c>
      <c r="AR953" s="14">
        <v>23000</v>
      </c>
      <c r="AS953" s="14">
        <v>16575</v>
      </c>
      <c r="AT953" s="14">
        <v>17529</v>
      </c>
      <c r="AU953" s="14">
        <v>-23</v>
      </c>
      <c r="AV953" s="14">
        <v>255.89</v>
      </c>
      <c r="AW953" s="14">
        <v>39.950000000000003</v>
      </c>
      <c r="AX953" s="14">
        <v>0.8</v>
      </c>
      <c r="AY953" s="14" t="b">
        <v>0</v>
      </c>
    </row>
    <row r="954" spans="1:51" hidden="1" x14ac:dyDescent="0.3">
      <c r="A954" t="str">
        <f>CONCATENATE(I954,E954,LEFT(G954,10))</f>
        <v>HFA951LLHA2026-02-11</v>
      </c>
      <c r="B954" s="14" t="s">
        <v>2736</v>
      </c>
      <c r="C954" s="14" t="s">
        <v>336</v>
      </c>
      <c r="D954" s="14" t="s">
        <v>337</v>
      </c>
      <c r="E954" s="14" t="s">
        <v>43</v>
      </c>
      <c r="F954" s="14" t="s">
        <v>77</v>
      </c>
      <c r="G954" s="14" t="s">
        <v>2737</v>
      </c>
      <c r="H954" s="14" t="s">
        <v>357</v>
      </c>
      <c r="I954" s="14" t="s">
        <v>74</v>
      </c>
      <c r="J954" s="14" t="s">
        <v>759</v>
      </c>
      <c r="K954" s="14" t="s">
        <v>349</v>
      </c>
      <c r="L954" s="14" t="s">
        <v>341</v>
      </c>
      <c r="M954" s="16" t="s">
        <v>2738</v>
      </c>
      <c r="N954" s="14" t="s">
        <v>705</v>
      </c>
      <c r="O954" s="14" t="s">
        <v>2739</v>
      </c>
      <c r="P954" s="14">
        <v>50</v>
      </c>
      <c r="Q954" s="14">
        <v>2</v>
      </c>
      <c r="R954" s="14">
        <v>3300</v>
      </c>
      <c r="S954" s="14" t="s">
        <v>2740</v>
      </c>
      <c r="T954" s="14" t="s">
        <v>2741</v>
      </c>
      <c r="U954" s="14">
        <v>3.5161111111111101</v>
      </c>
      <c r="V954" s="14">
        <v>3.6722222222222198</v>
      </c>
      <c r="W954" s="14">
        <v>2613</v>
      </c>
      <c r="X954" s="14">
        <v>50</v>
      </c>
      <c r="Y954" s="14">
        <v>2563</v>
      </c>
      <c r="Z954" s="14">
        <v>845</v>
      </c>
      <c r="AA954" s="14">
        <v>373</v>
      </c>
      <c r="AB954" s="14">
        <v>244</v>
      </c>
      <c r="AC954" s="14">
        <v>100</v>
      </c>
      <c r="AD954" s="14">
        <v>128</v>
      </c>
      <c r="AE954" s="14">
        <v>3459</v>
      </c>
      <c r="AF954" s="14">
        <v>5000</v>
      </c>
      <c r="AG954" s="14">
        <v>8258</v>
      </c>
      <c r="AH954" s="14">
        <v>0</v>
      </c>
      <c r="AI954" s="14">
        <v>217</v>
      </c>
      <c r="AJ954" s="14">
        <v>297</v>
      </c>
      <c r="AK954" s="14" t="s">
        <v>2737</v>
      </c>
      <c r="AL954" s="14" t="s">
        <v>2742</v>
      </c>
      <c r="AM954" s="14">
        <v>932.78</v>
      </c>
      <c r="AN954" s="14">
        <v>809.32</v>
      </c>
      <c r="AO954" s="14">
        <v>102.22</v>
      </c>
      <c r="AP954" s="14">
        <v>19984</v>
      </c>
      <c r="AQ954" s="14">
        <v>19934</v>
      </c>
      <c r="AR954" s="14">
        <v>23000</v>
      </c>
      <c r="AS954" s="14">
        <v>16525</v>
      </c>
      <c r="AT954" s="14">
        <v>17370</v>
      </c>
      <c r="AU954" s="14">
        <v>-14</v>
      </c>
      <c r="AV954" s="14">
        <v>260.04000000000002</v>
      </c>
      <c r="AW954" s="14">
        <v>24.79</v>
      </c>
      <c r="AX954" s="14">
        <v>-1.72</v>
      </c>
      <c r="AY954" s="14" t="b">
        <v>0</v>
      </c>
    </row>
    <row r="955" spans="1:51" hidden="1" x14ac:dyDescent="0.3">
      <c r="A955" t="str">
        <f>CONCATENATE(I955,E955,LEFT(G955,10))</f>
        <v>HFA951LLHA2026-02-13</v>
      </c>
      <c r="B955" s="14" t="s">
        <v>4388</v>
      </c>
      <c r="C955" s="14" t="s">
        <v>336</v>
      </c>
      <c r="D955" s="14" t="s">
        <v>337</v>
      </c>
      <c r="E955" s="14" t="s">
        <v>43</v>
      </c>
      <c r="F955" s="14" t="s">
        <v>77</v>
      </c>
      <c r="G955" s="14" t="s">
        <v>4389</v>
      </c>
      <c r="H955" s="14" t="s">
        <v>436</v>
      </c>
      <c r="I955" s="14" t="s">
        <v>74</v>
      </c>
      <c r="J955" s="14" t="s">
        <v>759</v>
      </c>
      <c r="K955" s="14" t="s">
        <v>349</v>
      </c>
      <c r="L955" s="14" t="s">
        <v>341</v>
      </c>
      <c r="M955" s="16" t="s">
        <v>4390</v>
      </c>
      <c r="N955" s="14" t="s">
        <v>705</v>
      </c>
      <c r="O955" s="14" t="s">
        <v>4391</v>
      </c>
      <c r="P955" s="14">
        <v>50</v>
      </c>
      <c r="Q955" s="14">
        <v>2</v>
      </c>
      <c r="R955" s="14">
        <v>4300</v>
      </c>
      <c r="S955" s="14" t="s">
        <v>4392</v>
      </c>
      <c r="T955" s="14" t="s">
        <v>4393</v>
      </c>
      <c r="U955" s="14">
        <v>3.6638888888888799</v>
      </c>
      <c r="V955" s="14">
        <v>3.7966666666666602</v>
      </c>
      <c r="W955" s="14">
        <v>2652</v>
      </c>
      <c r="X955" s="14">
        <v>50</v>
      </c>
      <c r="Y955" s="14">
        <v>2602</v>
      </c>
      <c r="Z955" s="14">
        <v>1048</v>
      </c>
      <c r="AA955" s="14">
        <v>402</v>
      </c>
      <c r="AB955" s="14">
        <v>255</v>
      </c>
      <c r="AC955" s="14">
        <v>261</v>
      </c>
      <c r="AD955" s="14">
        <v>130</v>
      </c>
      <c r="AE955" s="14">
        <v>3700</v>
      </c>
      <c r="AF955" s="14">
        <v>5000</v>
      </c>
      <c r="AG955" s="14">
        <v>8379</v>
      </c>
      <c r="AH955" s="14">
        <v>0</v>
      </c>
      <c r="AI955" s="14">
        <v>210</v>
      </c>
      <c r="AJ955" s="14">
        <v>304</v>
      </c>
      <c r="AK955" s="14" t="s">
        <v>4389</v>
      </c>
      <c r="AL955" s="14" t="s">
        <v>4394</v>
      </c>
      <c r="AM955" s="14">
        <v>932.78</v>
      </c>
      <c r="AN955" s="14">
        <v>809.32</v>
      </c>
      <c r="AO955" s="14">
        <v>102.22</v>
      </c>
      <c r="AP955" s="14">
        <v>21205</v>
      </c>
      <c r="AQ955" s="14">
        <v>21155</v>
      </c>
      <c r="AR955" s="14">
        <v>23000</v>
      </c>
      <c r="AS955" s="14">
        <v>17505</v>
      </c>
      <c r="AT955" s="14">
        <v>18553</v>
      </c>
      <c r="AU955" s="14">
        <v>-3</v>
      </c>
      <c r="AV955" s="14">
        <v>218.43</v>
      </c>
      <c r="AW955" s="14">
        <v>25.09</v>
      </c>
      <c r="AX955" s="14">
        <v>1.61</v>
      </c>
      <c r="AY955" s="14" t="b">
        <v>0</v>
      </c>
    </row>
    <row r="956" spans="1:51" hidden="1" x14ac:dyDescent="0.3">
      <c r="A956" t="str">
        <f>CONCATENATE(I956,E956,LEFT(G956,10))</f>
        <v>HFA951LLHA2026-02-16</v>
      </c>
      <c r="B956" s="14" t="s">
        <v>4143</v>
      </c>
      <c r="C956" s="14" t="s">
        <v>336</v>
      </c>
      <c r="D956" s="14" t="s">
        <v>337</v>
      </c>
      <c r="E956" s="14" t="s">
        <v>43</v>
      </c>
      <c r="F956" s="14" t="s">
        <v>77</v>
      </c>
      <c r="G956" s="14" t="s">
        <v>4144</v>
      </c>
      <c r="H956" s="14" t="s">
        <v>357</v>
      </c>
      <c r="I956" s="14" t="s">
        <v>74</v>
      </c>
      <c r="J956" s="14" t="s">
        <v>759</v>
      </c>
      <c r="K956" s="14" t="s">
        <v>349</v>
      </c>
      <c r="L956" s="14" t="s">
        <v>341</v>
      </c>
      <c r="M956" s="16" t="s">
        <v>4145</v>
      </c>
      <c r="N956" s="14" t="s">
        <v>705</v>
      </c>
      <c r="O956" s="14" t="s">
        <v>4146</v>
      </c>
      <c r="P956" s="14">
        <v>50</v>
      </c>
      <c r="Q956" s="14">
        <v>2</v>
      </c>
      <c r="R956" s="14">
        <v>3900</v>
      </c>
      <c r="S956" s="14" t="s">
        <v>4147</v>
      </c>
      <c r="T956" s="14" t="s">
        <v>4148</v>
      </c>
      <c r="U956" s="14">
        <v>3.51722222222222</v>
      </c>
      <c r="V956" s="14">
        <v>3.6766666666666601</v>
      </c>
      <c r="W956" s="14">
        <v>2175</v>
      </c>
      <c r="X956" s="14">
        <v>50</v>
      </c>
      <c r="Y956" s="14">
        <v>2125</v>
      </c>
      <c r="Z956" s="14">
        <v>838</v>
      </c>
      <c r="AA956" s="14">
        <v>383</v>
      </c>
      <c r="AB956" s="14">
        <v>250</v>
      </c>
      <c r="AC956" s="14">
        <v>100</v>
      </c>
      <c r="AD956" s="14">
        <v>106</v>
      </c>
      <c r="AE956" s="14">
        <v>3014</v>
      </c>
      <c r="AF956" s="14">
        <v>5000</v>
      </c>
      <c r="AG956" s="14">
        <v>6874</v>
      </c>
      <c r="AH956" s="14">
        <v>0</v>
      </c>
      <c r="AI956" s="14">
        <v>207</v>
      </c>
      <c r="AJ956" s="14">
        <v>286</v>
      </c>
      <c r="AK956" s="14" t="s">
        <v>4144</v>
      </c>
      <c r="AL956" s="14" t="s">
        <v>4149</v>
      </c>
      <c r="AM956" s="14">
        <v>913.97</v>
      </c>
      <c r="AN956" s="14">
        <v>809.32</v>
      </c>
      <c r="AO956" s="14">
        <v>102.22</v>
      </c>
      <c r="AP956" s="14">
        <v>20139</v>
      </c>
      <c r="AQ956" s="14">
        <v>20089</v>
      </c>
      <c r="AR956" s="14">
        <v>23000</v>
      </c>
      <c r="AS956" s="14">
        <v>17125</v>
      </c>
      <c r="AT956" s="14">
        <v>17964</v>
      </c>
      <c r="AU956" s="14">
        <v>3</v>
      </c>
      <c r="AV956" s="14">
        <v>219.43</v>
      </c>
      <c r="AW956" s="14">
        <v>53.31</v>
      </c>
      <c r="AX956" s="14">
        <v>1.38</v>
      </c>
      <c r="AY956" s="14" t="b">
        <v>0</v>
      </c>
    </row>
    <row r="957" spans="1:51" hidden="1" x14ac:dyDescent="0.3">
      <c r="A957" t="str">
        <f>CONCATENATE(I957,E957,LEFT(G957,10))</f>
        <v>HFA951LLHA2026-02-18</v>
      </c>
      <c r="B957" s="14" t="s">
        <v>1963</v>
      </c>
      <c r="C957" s="14" t="s">
        <v>336</v>
      </c>
      <c r="D957" s="14" t="s">
        <v>337</v>
      </c>
      <c r="E957" s="14" t="s">
        <v>43</v>
      </c>
      <c r="F957" s="14" t="s">
        <v>77</v>
      </c>
      <c r="G957" s="14" t="s">
        <v>1964</v>
      </c>
      <c r="H957" s="14" t="s">
        <v>357</v>
      </c>
      <c r="I957" s="14" t="s">
        <v>74</v>
      </c>
      <c r="J957" s="14" t="s">
        <v>759</v>
      </c>
      <c r="K957" s="14" t="s">
        <v>349</v>
      </c>
      <c r="L957" s="14" t="s">
        <v>341</v>
      </c>
      <c r="M957" s="16" t="s">
        <v>1965</v>
      </c>
      <c r="N957" s="14" t="s">
        <v>705</v>
      </c>
      <c r="O957" s="14" t="s">
        <v>1966</v>
      </c>
      <c r="P957" s="14">
        <v>50</v>
      </c>
      <c r="Q957" s="14">
        <v>2</v>
      </c>
      <c r="R957" s="14">
        <v>4700</v>
      </c>
      <c r="S957" s="14" t="s">
        <v>1967</v>
      </c>
      <c r="T957" s="14" t="s">
        <v>1968</v>
      </c>
      <c r="U957" s="14">
        <v>3.8788888888888802</v>
      </c>
      <c r="V957" s="14">
        <v>4.0855555555555503</v>
      </c>
      <c r="W957" s="14">
        <v>2940</v>
      </c>
      <c r="X957" s="14">
        <v>50</v>
      </c>
      <c r="Y957" s="14">
        <v>2890</v>
      </c>
      <c r="Z957" s="14">
        <v>1160</v>
      </c>
      <c r="AA957" s="14">
        <v>386</v>
      </c>
      <c r="AB957" s="14">
        <v>260</v>
      </c>
      <c r="AC957" s="14">
        <v>371</v>
      </c>
      <c r="AD957" s="14">
        <v>144</v>
      </c>
      <c r="AE957" s="14">
        <v>4100</v>
      </c>
      <c r="AF957" s="14">
        <v>5000</v>
      </c>
      <c r="AG957" s="14">
        <v>9290</v>
      </c>
      <c r="AH957" s="14">
        <v>0</v>
      </c>
      <c r="AI957" s="14">
        <v>235</v>
      </c>
      <c r="AJ957" s="14">
        <v>337</v>
      </c>
      <c r="AK957" s="14" t="s">
        <v>1964</v>
      </c>
      <c r="AL957" s="14" t="s">
        <v>1969</v>
      </c>
      <c r="AM957" s="14">
        <v>924.53</v>
      </c>
      <c r="AN957" s="14">
        <v>809.32</v>
      </c>
      <c r="AO957" s="14">
        <v>102.22</v>
      </c>
      <c r="AP957" s="14">
        <v>22025</v>
      </c>
      <c r="AQ957" s="14">
        <v>21975</v>
      </c>
      <c r="AR957" s="14">
        <v>23000</v>
      </c>
      <c r="AS957" s="14">
        <v>17925</v>
      </c>
      <c r="AT957" s="14">
        <v>19085</v>
      </c>
      <c r="AU957" s="14">
        <v>-34</v>
      </c>
      <c r="AV957" s="14">
        <v>283.14</v>
      </c>
      <c r="AW957" s="14">
        <v>34.51</v>
      </c>
      <c r="AX957" s="14">
        <v>-2</v>
      </c>
      <c r="AY957" s="14" t="b">
        <v>0</v>
      </c>
    </row>
    <row r="958" spans="1:51" hidden="1" x14ac:dyDescent="0.3">
      <c r="A958" t="str">
        <f>CONCATENATE(I958,E958,LEFT(G958,10))</f>
        <v>HFA951LLHA2026-02-20</v>
      </c>
      <c r="B958" s="14" t="s">
        <v>757</v>
      </c>
      <c r="C958" s="14" t="s">
        <v>336</v>
      </c>
      <c r="D958" s="14" t="s">
        <v>337</v>
      </c>
      <c r="E958" s="14" t="s">
        <v>43</v>
      </c>
      <c r="F958" s="14" t="s">
        <v>77</v>
      </c>
      <c r="G958" s="14" t="s">
        <v>758</v>
      </c>
      <c r="H958" s="14" t="s">
        <v>357</v>
      </c>
      <c r="I958" s="14" t="s">
        <v>74</v>
      </c>
      <c r="J958" s="14" t="s">
        <v>759</v>
      </c>
      <c r="K958" s="14" t="s">
        <v>349</v>
      </c>
      <c r="L958" s="14" t="s">
        <v>341</v>
      </c>
      <c r="M958" s="16" t="s">
        <v>760</v>
      </c>
      <c r="N958" s="14" t="s">
        <v>705</v>
      </c>
      <c r="O958" s="14" t="s">
        <v>761</v>
      </c>
      <c r="P958" s="14">
        <v>50</v>
      </c>
      <c r="Q958" s="14">
        <v>2</v>
      </c>
      <c r="R958" s="14">
        <v>5500</v>
      </c>
      <c r="S958" s="14" t="s">
        <v>762</v>
      </c>
      <c r="T958" s="14" t="s">
        <v>763</v>
      </c>
      <c r="U958" s="14">
        <v>3.6361111111111102</v>
      </c>
      <c r="V958" s="14">
        <v>3.6430555555555499</v>
      </c>
      <c r="W958" s="14">
        <v>2528</v>
      </c>
      <c r="X958" s="14">
        <v>50</v>
      </c>
      <c r="Y958" s="14">
        <v>2478</v>
      </c>
      <c r="Z958" s="14">
        <v>990</v>
      </c>
      <c r="AA958" s="14">
        <v>400</v>
      </c>
      <c r="AB958" s="14">
        <v>266</v>
      </c>
      <c r="AC958" s="14">
        <v>200</v>
      </c>
      <c r="AD958" s="14">
        <v>124</v>
      </c>
      <c r="AE958" s="14">
        <v>3518</v>
      </c>
      <c r="AF958" s="14">
        <v>5000</v>
      </c>
      <c r="AG958" s="14">
        <v>7988</v>
      </c>
      <c r="AH958" s="14">
        <v>0</v>
      </c>
      <c r="AI958" s="14">
        <v>208</v>
      </c>
      <c r="AJ958" s="14">
        <v>296</v>
      </c>
      <c r="AK958" s="14" t="s">
        <v>758</v>
      </c>
      <c r="AL958" s="14" t="s">
        <v>764</v>
      </c>
      <c r="AM958" s="14">
        <v>924.53</v>
      </c>
      <c r="AN958" s="14">
        <v>809.32</v>
      </c>
      <c r="AO958" s="14">
        <v>102.22</v>
      </c>
      <c r="AP958" s="14">
        <v>22243</v>
      </c>
      <c r="AQ958" s="14">
        <v>22193</v>
      </c>
      <c r="AR958" s="14">
        <v>23000</v>
      </c>
      <c r="AS958" s="14">
        <v>18725</v>
      </c>
      <c r="AT958" s="14">
        <v>19715</v>
      </c>
      <c r="AU958" s="14">
        <v>1</v>
      </c>
      <c r="AV958" s="14">
        <v>225.34</v>
      </c>
      <c r="AW958" s="14">
        <v>24.33</v>
      </c>
      <c r="AX958" s="14">
        <v>3.89</v>
      </c>
      <c r="AY958" s="14" t="b">
        <v>0</v>
      </c>
    </row>
    <row r="959" spans="1:51" hidden="1" x14ac:dyDescent="0.3">
      <c r="A959" t="str">
        <f>CONCATENATE(I959,E959,LEFT(G959,10))</f>
        <v>HFA951LLHA2026-02-23</v>
      </c>
      <c r="B959" s="14" t="s">
        <v>3808</v>
      </c>
      <c r="C959" s="14" t="s">
        <v>336</v>
      </c>
      <c r="D959" s="14" t="s">
        <v>337</v>
      </c>
      <c r="E959" s="14" t="s">
        <v>43</v>
      </c>
      <c r="F959" s="14" t="s">
        <v>77</v>
      </c>
      <c r="G959" s="14" t="s">
        <v>3809</v>
      </c>
      <c r="H959" s="14" t="s">
        <v>357</v>
      </c>
      <c r="I959" s="14" t="s">
        <v>74</v>
      </c>
      <c r="J959" s="14" t="s">
        <v>759</v>
      </c>
      <c r="K959" s="14" t="s">
        <v>349</v>
      </c>
      <c r="L959" s="14" t="s">
        <v>341</v>
      </c>
      <c r="M959" s="16" t="s">
        <v>3810</v>
      </c>
      <c r="N959" s="14" t="s">
        <v>705</v>
      </c>
      <c r="O959" s="14" t="s">
        <v>3811</v>
      </c>
      <c r="P959" s="14">
        <v>50</v>
      </c>
      <c r="Q959" s="14">
        <v>2</v>
      </c>
      <c r="R959" s="14">
        <v>3500</v>
      </c>
      <c r="S959" s="14" t="s">
        <v>3812</v>
      </c>
      <c r="T959" s="14" t="s">
        <v>3813</v>
      </c>
      <c r="U959" s="14">
        <v>4.5413888888888803</v>
      </c>
      <c r="V959" s="14">
        <v>4.6772222222222197</v>
      </c>
      <c r="W959" s="14">
        <v>2575</v>
      </c>
      <c r="X959" s="14">
        <v>50</v>
      </c>
      <c r="Y959" s="14">
        <v>2525</v>
      </c>
      <c r="Z959" s="14">
        <v>848</v>
      </c>
      <c r="AA959" s="14">
        <v>375</v>
      </c>
      <c r="AB959" s="14">
        <v>246</v>
      </c>
      <c r="AC959" s="14">
        <v>100</v>
      </c>
      <c r="AD959" s="14">
        <v>126</v>
      </c>
      <c r="AE959" s="14">
        <v>3423</v>
      </c>
      <c r="AF959" s="14">
        <v>5000</v>
      </c>
      <c r="AG959" s="14">
        <v>8137</v>
      </c>
      <c r="AH959" s="14">
        <v>0</v>
      </c>
      <c r="AI959" s="14">
        <v>213</v>
      </c>
      <c r="AJ959" s="14">
        <v>294</v>
      </c>
      <c r="AK959" s="14" t="s">
        <v>3809</v>
      </c>
      <c r="AL959" s="14" t="s">
        <v>3814</v>
      </c>
      <c r="AM959" s="14">
        <v>924.53</v>
      </c>
      <c r="AN959" s="14">
        <v>809.32</v>
      </c>
      <c r="AO959" s="14">
        <v>102.22</v>
      </c>
      <c r="AP959" s="14">
        <v>20148</v>
      </c>
      <c r="AQ959" s="14">
        <v>20098</v>
      </c>
      <c r="AR959" s="14">
        <v>23000</v>
      </c>
      <c r="AS959" s="14">
        <v>16725</v>
      </c>
      <c r="AT959" s="14">
        <v>17573</v>
      </c>
      <c r="AU959" s="14">
        <v>-12</v>
      </c>
      <c r="AV959" s="14">
        <v>338.84</v>
      </c>
      <c r="AW959" s="14">
        <v>13.19</v>
      </c>
      <c r="AX959" s="14">
        <v>-1.81</v>
      </c>
      <c r="AY959" s="14" t="b">
        <v>0</v>
      </c>
    </row>
    <row r="960" spans="1:51" hidden="1" x14ac:dyDescent="0.3">
      <c r="A960" t="str">
        <f>CONCATENATE(I960,E960,LEFT(G960,10))</f>
        <v>HFA951LLHA2026-02-25</v>
      </c>
      <c r="B960" s="14" t="s">
        <v>3652</v>
      </c>
      <c r="C960" s="14" t="s">
        <v>336</v>
      </c>
      <c r="D960" s="14" t="s">
        <v>337</v>
      </c>
      <c r="E960" s="14" t="s">
        <v>43</v>
      </c>
      <c r="F960" s="14" t="s">
        <v>77</v>
      </c>
      <c r="G960" s="14" t="s">
        <v>3647</v>
      </c>
      <c r="H960" s="14" t="s">
        <v>357</v>
      </c>
      <c r="I960" s="14" t="s">
        <v>74</v>
      </c>
      <c r="J960" s="14" t="s">
        <v>759</v>
      </c>
      <c r="K960" s="14" t="s">
        <v>349</v>
      </c>
      <c r="L960" s="14" t="s">
        <v>341</v>
      </c>
      <c r="M960" s="16" t="s">
        <v>3653</v>
      </c>
      <c r="N960" s="14" t="s">
        <v>705</v>
      </c>
      <c r="O960" s="14" t="s">
        <v>3654</v>
      </c>
      <c r="P960" s="14">
        <v>50</v>
      </c>
      <c r="Q960" s="14">
        <v>2</v>
      </c>
      <c r="R960" s="14">
        <v>5000</v>
      </c>
      <c r="S960" s="14" t="s">
        <v>3655</v>
      </c>
      <c r="T960" s="14" t="s">
        <v>3656</v>
      </c>
      <c r="U960" s="14">
        <v>3.8088888888888799</v>
      </c>
      <c r="V960" s="14">
        <v>3.9602777777777698</v>
      </c>
      <c r="W960" s="14">
        <v>2857</v>
      </c>
      <c r="X960" s="14">
        <v>50</v>
      </c>
      <c r="Y960" s="14">
        <v>2807</v>
      </c>
      <c r="Z960" s="14">
        <v>884</v>
      </c>
      <c r="AA960" s="14">
        <v>384</v>
      </c>
      <c r="AB960" s="14">
        <v>260</v>
      </c>
      <c r="AC960" s="14">
        <v>100</v>
      </c>
      <c r="AD960" s="14">
        <v>140</v>
      </c>
      <c r="AE960" s="14">
        <v>3740</v>
      </c>
      <c r="AF960" s="14">
        <v>5000</v>
      </c>
      <c r="AG960" s="14">
        <v>9027</v>
      </c>
      <c r="AH960" s="14">
        <v>0</v>
      </c>
      <c r="AI960" s="14">
        <v>228</v>
      </c>
      <c r="AJ960" s="14">
        <v>308</v>
      </c>
      <c r="AK960" s="14" t="s">
        <v>3647</v>
      </c>
      <c r="AL960" s="14" t="s">
        <v>3657</v>
      </c>
      <c r="AM960" s="14">
        <v>924.53</v>
      </c>
      <c r="AN960" s="14">
        <v>809.32</v>
      </c>
      <c r="AO960" s="14">
        <v>102.22</v>
      </c>
      <c r="AP960" s="14">
        <v>21965</v>
      </c>
      <c r="AQ960" s="14">
        <v>21915</v>
      </c>
      <c r="AR960" s="14">
        <v>23000</v>
      </c>
      <c r="AS960" s="14">
        <v>18225</v>
      </c>
      <c r="AT960" s="14">
        <v>19109</v>
      </c>
      <c r="AU960" s="14">
        <v>-27</v>
      </c>
      <c r="AV960" s="14">
        <v>299.22000000000003</v>
      </c>
      <c r="AW960" s="14">
        <v>29.13</v>
      </c>
      <c r="AX960" s="14">
        <v>-1.45</v>
      </c>
      <c r="AY960" s="14" t="b">
        <v>0</v>
      </c>
    </row>
    <row r="961" spans="1:51" hidden="1" x14ac:dyDescent="0.3">
      <c r="A961" t="str">
        <f>CONCATENATE(I961,E961,LEFT(G961,10))</f>
        <v>HFA951LLHA2026-02-27</v>
      </c>
      <c r="B961" s="14" t="s">
        <v>3447</v>
      </c>
      <c r="C961" s="14" t="s">
        <v>336</v>
      </c>
      <c r="D961" s="14" t="s">
        <v>337</v>
      </c>
      <c r="E961" s="14" t="s">
        <v>43</v>
      </c>
      <c r="F961" s="14" t="s">
        <v>77</v>
      </c>
      <c r="G961" s="14" t="s">
        <v>3448</v>
      </c>
      <c r="H961" s="14" t="s">
        <v>357</v>
      </c>
      <c r="I961" s="14" t="s">
        <v>74</v>
      </c>
      <c r="J961" s="14" t="s">
        <v>759</v>
      </c>
      <c r="K961" s="14" t="s">
        <v>349</v>
      </c>
      <c r="L961" s="14" t="s">
        <v>341</v>
      </c>
      <c r="M961" s="16" t="s">
        <v>3449</v>
      </c>
      <c r="N961" s="14" t="s">
        <v>705</v>
      </c>
      <c r="O961" s="14" t="s">
        <v>3450</v>
      </c>
      <c r="P961" s="14">
        <v>50</v>
      </c>
      <c r="Q961" s="14">
        <v>2</v>
      </c>
      <c r="R961" s="14">
        <v>5400</v>
      </c>
      <c r="S961" s="14" t="s">
        <v>3451</v>
      </c>
      <c r="T961" s="14" t="s">
        <v>3452</v>
      </c>
      <c r="U961" s="14">
        <v>3.8586111111111099</v>
      </c>
      <c r="V961" s="14">
        <v>3.9766666666666599</v>
      </c>
      <c r="W961" s="14">
        <v>2969</v>
      </c>
      <c r="X961" s="14">
        <v>50</v>
      </c>
      <c r="Y961" s="14">
        <v>2919</v>
      </c>
      <c r="Z961" s="14">
        <v>1031</v>
      </c>
      <c r="AA961" s="14">
        <v>389</v>
      </c>
      <c r="AB961" s="14">
        <v>265</v>
      </c>
      <c r="AC961" s="14">
        <v>231</v>
      </c>
      <c r="AD961" s="14">
        <v>146</v>
      </c>
      <c r="AE961" s="14">
        <v>4000</v>
      </c>
      <c r="AF961" s="14">
        <v>5000</v>
      </c>
      <c r="AG961" s="14">
        <v>9381</v>
      </c>
      <c r="AH961" s="14">
        <v>0</v>
      </c>
      <c r="AI961" s="14">
        <v>239</v>
      </c>
      <c r="AJ961" s="14">
        <v>331</v>
      </c>
      <c r="AK961" s="14" t="s">
        <v>3448</v>
      </c>
      <c r="AL961" s="14" t="s">
        <v>3453</v>
      </c>
      <c r="AM961" s="14">
        <v>924.53</v>
      </c>
      <c r="AN961" s="14">
        <v>809.32</v>
      </c>
      <c r="AO961" s="14">
        <v>102.22</v>
      </c>
      <c r="AP961" s="14">
        <v>22625</v>
      </c>
      <c r="AQ961" s="14">
        <v>22575</v>
      </c>
      <c r="AR961" s="14">
        <v>23000</v>
      </c>
      <c r="AS961" s="14">
        <v>18625</v>
      </c>
      <c r="AT961" s="14">
        <v>19656</v>
      </c>
      <c r="AU961" s="14">
        <v>-37</v>
      </c>
      <c r="AV961" s="14">
        <v>342.06</v>
      </c>
      <c r="AW961" s="14">
        <v>37.340000000000003</v>
      </c>
      <c r="AX961" s="14">
        <v>0.02</v>
      </c>
      <c r="AY961" s="14" t="b">
        <v>0</v>
      </c>
    </row>
    <row r="962" spans="1:51" hidden="1" x14ac:dyDescent="0.3">
      <c r="A962" t="str">
        <f>CONCATENATE(I962,E962,LEFT(G962,10))</f>
        <v>HFA952ALLBG2026-02-02</v>
      </c>
      <c r="B962" s="14" t="s">
        <v>827</v>
      </c>
      <c r="C962" s="14" t="s">
        <v>336</v>
      </c>
      <c r="D962" s="14" t="s">
        <v>337</v>
      </c>
      <c r="E962" s="14" t="s">
        <v>83</v>
      </c>
      <c r="F962" s="14" t="s">
        <v>43</v>
      </c>
      <c r="G962" s="14" t="s">
        <v>828</v>
      </c>
      <c r="H962" s="14" t="s">
        <v>357</v>
      </c>
      <c r="I962" s="14" t="s">
        <v>177</v>
      </c>
      <c r="J962" s="14" t="s">
        <v>83</v>
      </c>
      <c r="K962" s="14" t="s">
        <v>340</v>
      </c>
      <c r="L962" s="14" t="s">
        <v>542</v>
      </c>
      <c r="M962" s="16" t="s">
        <v>829</v>
      </c>
      <c r="N962" s="14" t="s">
        <v>359</v>
      </c>
      <c r="O962" s="14" t="s">
        <v>830</v>
      </c>
      <c r="P962" s="14">
        <v>40</v>
      </c>
      <c r="Q962" s="14">
        <v>2</v>
      </c>
      <c r="R962" s="14">
        <v>800</v>
      </c>
      <c r="S962" s="14" t="s">
        <v>831</v>
      </c>
      <c r="T962" s="14" t="s">
        <v>832</v>
      </c>
      <c r="U962" s="14">
        <v>0.33750000000000002</v>
      </c>
      <c r="V962" s="14">
        <v>0.69472222222222202</v>
      </c>
      <c r="W962" s="14">
        <v>256</v>
      </c>
      <c r="X962" s="14">
        <v>80</v>
      </c>
      <c r="Y962" s="14">
        <v>176</v>
      </c>
      <c r="Z962" s="14">
        <v>944</v>
      </c>
      <c r="AA962" s="14">
        <v>247</v>
      </c>
      <c r="AB962" s="14">
        <v>234</v>
      </c>
      <c r="AC962" s="14">
        <v>424</v>
      </c>
      <c r="AD962" s="14">
        <v>39</v>
      </c>
      <c r="AE962" s="14">
        <v>1200</v>
      </c>
      <c r="AF962" s="14">
        <v>5000</v>
      </c>
      <c r="AG962" s="14">
        <v>808</v>
      </c>
      <c r="AH962" s="14">
        <v>0</v>
      </c>
      <c r="AI962" s="14">
        <v>16</v>
      </c>
      <c r="AJ962" s="14">
        <v>106</v>
      </c>
      <c r="AK962" s="14" t="s">
        <v>828</v>
      </c>
      <c r="AL962" s="14" t="s">
        <v>833</v>
      </c>
      <c r="AM962" s="14">
        <v>51.19</v>
      </c>
      <c r="AN962" s="14">
        <v>48.59</v>
      </c>
      <c r="AO962" s="14">
        <v>54.99</v>
      </c>
      <c r="AP962" s="14">
        <v>15225</v>
      </c>
      <c r="AQ962" s="14">
        <v>15145</v>
      </c>
      <c r="AR962" s="14">
        <v>23000</v>
      </c>
      <c r="AS962" s="14">
        <v>14025</v>
      </c>
      <c r="AT962" s="14">
        <v>14969</v>
      </c>
      <c r="AU962" s="14">
        <v>6</v>
      </c>
      <c r="AV962" s="14">
        <v>259.42</v>
      </c>
      <c r="AW962" s="14">
        <v>20.010000000000002</v>
      </c>
      <c r="AX962" s="14">
        <v>1.1000000000000001</v>
      </c>
      <c r="AY962" s="14" t="b">
        <v>0</v>
      </c>
    </row>
    <row r="963" spans="1:51" hidden="1" x14ac:dyDescent="0.3">
      <c r="A963" t="str">
        <f>CONCATENATE(I963,E963,LEFT(G963,10))</f>
        <v>HFA952LBSF2026-01-07</v>
      </c>
      <c r="B963" s="14" t="s">
        <v>1413</v>
      </c>
      <c r="C963" s="14" t="s">
        <v>336</v>
      </c>
      <c r="D963" s="14" t="s">
        <v>337</v>
      </c>
      <c r="E963" s="14" t="s">
        <v>77</v>
      </c>
      <c r="F963" s="14" t="s">
        <v>43</v>
      </c>
      <c r="G963" s="14" t="s">
        <v>1414</v>
      </c>
      <c r="H963" s="14" t="s">
        <v>357</v>
      </c>
      <c r="I963" s="14" t="s">
        <v>79</v>
      </c>
      <c r="J963" s="14" t="s">
        <v>83</v>
      </c>
      <c r="K963" s="14" t="s">
        <v>340</v>
      </c>
      <c r="L963" s="14" t="s">
        <v>341</v>
      </c>
      <c r="M963" s="16" t="s">
        <v>1415</v>
      </c>
      <c r="N963" s="14" t="s">
        <v>1416</v>
      </c>
      <c r="O963" s="14" t="s">
        <v>1417</v>
      </c>
      <c r="P963" s="14">
        <v>210</v>
      </c>
      <c r="Q963" s="14">
        <v>3</v>
      </c>
      <c r="R963" s="14">
        <v>0</v>
      </c>
      <c r="S963" s="14" t="s">
        <v>1418</v>
      </c>
      <c r="T963" s="14" t="s">
        <v>1419</v>
      </c>
      <c r="U963" s="14">
        <v>3.1933333333333298</v>
      </c>
      <c r="V963" s="14">
        <v>3.59944444444444</v>
      </c>
      <c r="W963" s="14">
        <v>2044</v>
      </c>
      <c r="X963" s="14">
        <v>80</v>
      </c>
      <c r="Y963" s="14">
        <v>1964</v>
      </c>
      <c r="Z963" s="14">
        <v>1556</v>
      </c>
      <c r="AA963" s="14">
        <v>234</v>
      </c>
      <c r="AB963" s="14">
        <v>240</v>
      </c>
      <c r="AC963" s="14">
        <v>983</v>
      </c>
      <c r="AD963" s="14">
        <v>98</v>
      </c>
      <c r="AE963" s="14">
        <v>3600</v>
      </c>
      <c r="AF963" s="14">
        <v>5000</v>
      </c>
      <c r="AG963" s="14">
        <v>6460</v>
      </c>
      <c r="AH963" s="14">
        <v>0</v>
      </c>
      <c r="AI963" s="14">
        <v>194</v>
      </c>
      <c r="AJ963" s="14">
        <v>345</v>
      </c>
      <c r="AK963" s="14" t="s">
        <v>1414</v>
      </c>
      <c r="AL963" s="14" t="s">
        <v>1420</v>
      </c>
      <c r="AM963" s="14">
        <v>885.81</v>
      </c>
      <c r="AN963" s="14">
        <v>809.32</v>
      </c>
      <c r="AO963" s="14">
        <v>54.99</v>
      </c>
      <c r="AP963" s="14">
        <v>17889</v>
      </c>
      <c r="AQ963" s="14">
        <v>17809</v>
      </c>
      <c r="AR963" s="14">
        <v>23000</v>
      </c>
      <c r="AS963" s="14">
        <v>14289</v>
      </c>
      <c r="AT963" s="14">
        <v>15845</v>
      </c>
      <c r="AU963" s="14">
        <v>9</v>
      </c>
      <c r="AV963" s="14">
        <v>248.82</v>
      </c>
      <c r="AW963" s="14">
        <v>57.03</v>
      </c>
      <c r="AX963" s="14">
        <v>3.46</v>
      </c>
      <c r="AY963" s="14" t="b">
        <v>0</v>
      </c>
    </row>
    <row r="964" spans="1:51" hidden="1" x14ac:dyDescent="0.3">
      <c r="A964" t="str">
        <f>CONCATENATE(I964,E964,LEFT(G964,10))</f>
        <v>HFA952LBSF2026-01-09</v>
      </c>
      <c r="B964" s="14" t="s">
        <v>2288</v>
      </c>
      <c r="C964" s="14" t="s">
        <v>336</v>
      </c>
      <c r="D964" s="14" t="s">
        <v>337</v>
      </c>
      <c r="E964" s="14" t="s">
        <v>77</v>
      </c>
      <c r="F964" s="14" t="s">
        <v>43</v>
      </c>
      <c r="G964" s="14" t="s">
        <v>2289</v>
      </c>
      <c r="H964" s="14" t="s">
        <v>357</v>
      </c>
      <c r="I964" s="14" t="s">
        <v>79</v>
      </c>
      <c r="J964" s="14" t="s">
        <v>83</v>
      </c>
      <c r="K964" s="14" t="s">
        <v>340</v>
      </c>
      <c r="L964" s="14" t="s">
        <v>341</v>
      </c>
      <c r="M964" s="16" t="s">
        <v>1090</v>
      </c>
      <c r="N964" s="14" t="s">
        <v>2290</v>
      </c>
      <c r="O964" s="14" t="s">
        <v>2291</v>
      </c>
      <c r="P964" s="14">
        <v>210</v>
      </c>
      <c r="Q964" s="14">
        <v>2</v>
      </c>
      <c r="R964" s="14">
        <v>3400</v>
      </c>
      <c r="S964" s="14" t="s">
        <v>2292</v>
      </c>
      <c r="T964" s="14" t="s">
        <v>2293</v>
      </c>
      <c r="U964" s="14">
        <v>2.8261111111111101</v>
      </c>
      <c r="V964" s="14">
        <v>2.9497222222222201</v>
      </c>
      <c r="W964" s="14">
        <v>1797</v>
      </c>
      <c r="X964" s="14">
        <v>80</v>
      </c>
      <c r="Y964" s="14">
        <v>1717</v>
      </c>
      <c r="Z964" s="14">
        <v>1903</v>
      </c>
      <c r="AA964" s="14">
        <v>253</v>
      </c>
      <c r="AB964" s="14">
        <v>260</v>
      </c>
      <c r="AC964" s="14">
        <v>1303</v>
      </c>
      <c r="AD964" s="14">
        <v>86</v>
      </c>
      <c r="AE964" s="14">
        <v>3700</v>
      </c>
      <c r="AF964" s="14">
        <v>5000</v>
      </c>
      <c r="AG964" s="14">
        <v>5680</v>
      </c>
      <c r="AH964" s="14">
        <v>0</v>
      </c>
      <c r="AI964" s="14">
        <v>164</v>
      </c>
      <c r="AJ964" s="14">
        <v>350</v>
      </c>
      <c r="AK964" s="14" t="s">
        <v>2289</v>
      </c>
      <c r="AL964" s="14" t="s">
        <v>2294</v>
      </c>
      <c r="AM964" s="14">
        <v>889.86</v>
      </c>
      <c r="AN964" s="14">
        <v>809.32</v>
      </c>
      <c r="AO964" s="14">
        <v>54.99</v>
      </c>
      <c r="AP964" s="14">
        <v>20325</v>
      </c>
      <c r="AQ964" s="14">
        <v>20245</v>
      </c>
      <c r="AR964" s="14">
        <v>23000</v>
      </c>
      <c r="AS964" s="14">
        <v>16625</v>
      </c>
      <c r="AT964" s="14">
        <v>18528</v>
      </c>
      <c r="AU964" s="14">
        <v>64</v>
      </c>
      <c r="AV964" s="14">
        <v>310.76</v>
      </c>
      <c r="AW964" s="14">
        <v>76.510000000000005</v>
      </c>
      <c r="AX964" s="14">
        <v>0.09</v>
      </c>
      <c r="AY964" s="14" t="b">
        <v>0</v>
      </c>
    </row>
    <row r="965" spans="1:51" hidden="1" x14ac:dyDescent="0.3">
      <c r="A965" t="str">
        <f>CONCATENATE(I965,E965,LEFT(G965,10))</f>
        <v>HFA952LBSF2026-01-12</v>
      </c>
      <c r="B965" s="14" t="s">
        <v>6035</v>
      </c>
      <c r="C965" s="14" t="s">
        <v>336</v>
      </c>
      <c r="D965" s="14" t="s">
        <v>337</v>
      </c>
      <c r="E965" s="14" t="s">
        <v>77</v>
      </c>
      <c r="F965" s="14" t="s">
        <v>43</v>
      </c>
      <c r="G965" s="14" t="s">
        <v>6036</v>
      </c>
      <c r="H965" s="14" t="s">
        <v>357</v>
      </c>
      <c r="I965" s="14" t="s">
        <v>79</v>
      </c>
      <c r="J965" s="14" t="s">
        <v>83</v>
      </c>
      <c r="K965" s="14" t="s">
        <v>340</v>
      </c>
      <c r="L965" s="14" t="s">
        <v>341</v>
      </c>
      <c r="M965" s="16" t="s">
        <v>543</v>
      </c>
      <c r="N965" s="14" t="s">
        <v>705</v>
      </c>
      <c r="O965" s="14" t="s">
        <v>6037</v>
      </c>
      <c r="P965" s="14">
        <v>190</v>
      </c>
      <c r="Q965" s="14">
        <v>2</v>
      </c>
      <c r="R965" s="14">
        <v>5000</v>
      </c>
      <c r="S965" s="14" t="s">
        <v>6038</v>
      </c>
      <c r="T965" s="14" t="s">
        <v>6039</v>
      </c>
      <c r="U965" s="14">
        <v>3.9783333333333299</v>
      </c>
      <c r="V965" s="14">
        <v>4.3522222222222204</v>
      </c>
      <c r="W965" s="14">
        <v>2243</v>
      </c>
      <c r="X965" s="14">
        <v>80</v>
      </c>
      <c r="Y965" s="14">
        <v>2163</v>
      </c>
      <c r="Z965" s="14">
        <v>1257</v>
      </c>
      <c r="AA965" s="14">
        <v>277</v>
      </c>
      <c r="AB965" s="14">
        <v>268</v>
      </c>
      <c r="AC965" s="14">
        <v>603</v>
      </c>
      <c r="AD965" s="14">
        <v>108</v>
      </c>
      <c r="AE965" s="14">
        <v>3500</v>
      </c>
      <c r="AF965" s="14">
        <v>5000</v>
      </c>
      <c r="AG965" s="14">
        <v>7089</v>
      </c>
      <c r="AH965" s="14">
        <v>0</v>
      </c>
      <c r="AI965" s="14">
        <v>188</v>
      </c>
      <c r="AJ965" s="14">
        <v>306</v>
      </c>
      <c r="AK965" s="14" t="s">
        <v>6036</v>
      </c>
      <c r="AL965" s="14" t="s">
        <v>6040</v>
      </c>
      <c r="AM965" s="14">
        <v>883.47</v>
      </c>
      <c r="AN965" s="14">
        <v>809.32</v>
      </c>
      <c r="AO965" s="14">
        <v>54.99</v>
      </c>
      <c r="AP965" s="14">
        <v>21725</v>
      </c>
      <c r="AQ965" s="14">
        <v>21645</v>
      </c>
      <c r="AR965" s="14">
        <v>23000</v>
      </c>
      <c r="AS965" s="14">
        <v>18225</v>
      </c>
      <c r="AT965" s="14">
        <v>19482</v>
      </c>
      <c r="AU965" s="14">
        <v>13</v>
      </c>
      <c r="AV965" s="14">
        <v>257.12</v>
      </c>
      <c r="AW965" s="14">
        <v>27.93</v>
      </c>
      <c r="AX965" s="14">
        <v>-7.41</v>
      </c>
      <c r="AY965" s="14" t="b">
        <v>0</v>
      </c>
    </row>
    <row r="966" spans="1:51" hidden="1" x14ac:dyDescent="0.3">
      <c r="A966" t="str">
        <f>CONCATENATE(I966,E966,LEFT(G966,10))</f>
        <v>HFA952LBSF2026-01-14</v>
      </c>
      <c r="B966" s="14" t="s">
        <v>5727</v>
      </c>
      <c r="C966" s="14" t="s">
        <v>336</v>
      </c>
      <c r="D966" s="14" t="s">
        <v>337</v>
      </c>
      <c r="E966" s="14" t="s">
        <v>77</v>
      </c>
      <c r="F966" s="14" t="s">
        <v>43</v>
      </c>
      <c r="G966" s="14" t="s">
        <v>5728</v>
      </c>
      <c r="H966" s="14" t="s">
        <v>393</v>
      </c>
      <c r="I966" s="14" t="s">
        <v>79</v>
      </c>
      <c r="J966" s="14" t="s">
        <v>83</v>
      </c>
      <c r="K966" s="14" t="s">
        <v>340</v>
      </c>
      <c r="L966" s="14" t="s">
        <v>341</v>
      </c>
      <c r="M966" s="16" t="s">
        <v>5729</v>
      </c>
      <c r="N966" s="14" t="s">
        <v>3136</v>
      </c>
      <c r="O966" s="14" t="s">
        <v>5730</v>
      </c>
      <c r="P966" s="14">
        <v>210</v>
      </c>
      <c r="Q966" s="14">
        <v>2</v>
      </c>
      <c r="R966" s="14">
        <v>3400</v>
      </c>
      <c r="S966" s="14" t="s">
        <v>5731</v>
      </c>
      <c r="T966" s="14" t="s">
        <v>5732</v>
      </c>
      <c r="U966" s="14">
        <v>3.0044444444444398</v>
      </c>
      <c r="V966" s="14">
        <v>3.2152777777777701</v>
      </c>
      <c r="W966" s="14">
        <v>2224</v>
      </c>
      <c r="X966" s="14">
        <v>80</v>
      </c>
      <c r="Y966" s="14">
        <v>2144</v>
      </c>
      <c r="Z966" s="14">
        <v>1976</v>
      </c>
      <c r="AA966" s="14">
        <v>258</v>
      </c>
      <c r="AB966" s="14">
        <v>261</v>
      </c>
      <c r="AC966" s="14">
        <v>1350</v>
      </c>
      <c r="AD966" s="14">
        <v>107</v>
      </c>
      <c r="AE966" s="14">
        <v>4200</v>
      </c>
      <c r="AF966" s="14">
        <v>5000</v>
      </c>
      <c r="AG966" s="14">
        <v>7027</v>
      </c>
      <c r="AH966" s="14">
        <v>0</v>
      </c>
      <c r="AI966" s="14">
        <v>177</v>
      </c>
      <c r="AJ966" s="14">
        <v>339</v>
      </c>
      <c r="AK966" s="14" t="s">
        <v>5728</v>
      </c>
      <c r="AL966" s="14" t="s">
        <v>5733</v>
      </c>
      <c r="AM966" s="14">
        <v>885.81</v>
      </c>
      <c r="AN966" s="14">
        <v>809.32</v>
      </c>
      <c r="AO966" s="14">
        <v>54.99</v>
      </c>
      <c r="AP966" s="14">
        <v>20911</v>
      </c>
      <c r="AQ966" s="14">
        <v>20831</v>
      </c>
      <c r="AR966" s="14">
        <v>23000</v>
      </c>
      <c r="AS966" s="14">
        <v>16711</v>
      </c>
      <c r="AT966" s="14">
        <v>18687</v>
      </c>
      <c r="AU966" s="14">
        <v>38</v>
      </c>
      <c r="AV966" s="14">
        <v>321.82</v>
      </c>
      <c r="AW966" s="14">
        <v>43.23</v>
      </c>
      <c r="AX966" s="14">
        <v>1.79</v>
      </c>
      <c r="AY966" s="14" t="b">
        <v>0</v>
      </c>
    </row>
    <row r="967" spans="1:51" hidden="1" x14ac:dyDescent="0.3">
      <c r="A967" t="str">
        <f>CONCATENATE(I967,E967,LEFT(G967,10))</f>
        <v>HFA952LBSF2026-01-16</v>
      </c>
      <c r="B967" s="14" t="s">
        <v>5024</v>
      </c>
      <c r="C967" s="14" t="s">
        <v>336</v>
      </c>
      <c r="D967" s="14" t="s">
        <v>337</v>
      </c>
      <c r="E967" s="14" t="s">
        <v>77</v>
      </c>
      <c r="F967" s="14" t="s">
        <v>43</v>
      </c>
      <c r="G967" s="14" t="s">
        <v>5025</v>
      </c>
      <c r="H967" s="14" t="s">
        <v>357</v>
      </c>
      <c r="I967" s="14" t="s">
        <v>79</v>
      </c>
      <c r="J967" s="14" t="s">
        <v>83</v>
      </c>
      <c r="K967" s="14" t="s">
        <v>340</v>
      </c>
      <c r="L967" s="14" t="s">
        <v>341</v>
      </c>
      <c r="M967" s="16" t="s">
        <v>5026</v>
      </c>
      <c r="N967" s="14" t="s">
        <v>705</v>
      </c>
      <c r="O967" s="14" t="s">
        <v>5027</v>
      </c>
      <c r="P967" s="14">
        <v>210</v>
      </c>
      <c r="Q967" s="14">
        <v>2</v>
      </c>
      <c r="R967" s="14">
        <v>3900</v>
      </c>
      <c r="S967" s="14" t="s">
        <v>5028</v>
      </c>
      <c r="T967" s="14" t="s">
        <v>5029</v>
      </c>
      <c r="U967" s="14">
        <v>3.1308333333333298</v>
      </c>
      <c r="V967" s="14">
        <v>3.4433333333333298</v>
      </c>
      <c r="W967" s="14">
        <v>2090</v>
      </c>
      <c r="X967" s="14">
        <v>80</v>
      </c>
      <c r="Y967" s="14">
        <v>2010</v>
      </c>
      <c r="Z967" s="14">
        <v>1510</v>
      </c>
      <c r="AA967" s="14">
        <v>248</v>
      </c>
      <c r="AB967" s="14">
        <v>261</v>
      </c>
      <c r="AC967" s="14">
        <v>901</v>
      </c>
      <c r="AD967" s="14">
        <v>101</v>
      </c>
      <c r="AE967" s="14">
        <v>3600</v>
      </c>
      <c r="AF967" s="14">
        <v>5000</v>
      </c>
      <c r="AG967" s="14">
        <v>6605</v>
      </c>
      <c r="AH967" s="14">
        <v>0</v>
      </c>
      <c r="AI967" s="14">
        <v>186</v>
      </c>
      <c r="AJ967" s="14">
        <v>326</v>
      </c>
      <c r="AK967" s="14" t="s">
        <v>5025</v>
      </c>
      <c r="AL967" s="14" t="s">
        <v>5030</v>
      </c>
      <c r="AM967" s="14">
        <v>885.81</v>
      </c>
      <c r="AN967" s="14">
        <v>809.32</v>
      </c>
      <c r="AO967" s="14">
        <v>54.99</v>
      </c>
      <c r="AP967" s="14">
        <v>20725</v>
      </c>
      <c r="AQ967" s="14">
        <v>20645</v>
      </c>
      <c r="AR967" s="14">
        <v>23000</v>
      </c>
      <c r="AS967" s="14">
        <v>17125</v>
      </c>
      <c r="AT967" s="14">
        <v>18635</v>
      </c>
      <c r="AU967" s="14">
        <v>22</v>
      </c>
      <c r="AV967" s="14">
        <v>278.08999999999997</v>
      </c>
      <c r="AW967" s="14">
        <v>37.229999999999997</v>
      </c>
      <c r="AX967" s="14">
        <v>1.7</v>
      </c>
      <c r="AY967" s="14" t="b">
        <v>0</v>
      </c>
    </row>
    <row r="968" spans="1:51" hidden="1" x14ac:dyDescent="0.3">
      <c r="A968" t="str">
        <f>CONCATENATE(I968,E968,LEFT(G968,10))</f>
        <v>HFA952LBSF2026-01-19</v>
      </c>
      <c r="B968" s="14" t="s">
        <v>5941</v>
      </c>
      <c r="C968" s="14" t="s">
        <v>336</v>
      </c>
      <c r="D968" s="14" t="s">
        <v>337</v>
      </c>
      <c r="E968" s="14" t="s">
        <v>77</v>
      </c>
      <c r="F968" s="14" t="s">
        <v>43</v>
      </c>
      <c r="G968" s="14" t="s">
        <v>5942</v>
      </c>
      <c r="H968" s="14" t="s">
        <v>357</v>
      </c>
      <c r="I968" s="14" t="s">
        <v>79</v>
      </c>
      <c r="J968" s="14" t="s">
        <v>83</v>
      </c>
      <c r="K968" s="14" t="s">
        <v>340</v>
      </c>
      <c r="L968" s="14" t="s">
        <v>341</v>
      </c>
      <c r="M968" s="16" t="s">
        <v>5943</v>
      </c>
      <c r="N968" s="14" t="s">
        <v>705</v>
      </c>
      <c r="O968" s="14" t="s">
        <v>5944</v>
      </c>
      <c r="P968" s="14">
        <v>190</v>
      </c>
      <c r="Q968" s="14">
        <v>2</v>
      </c>
      <c r="R968" s="14">
        <v>4100</v>
      </c>
      <c r="S968" s="14" t="s">
        <v>5945</v>
      </c>
      <c r="T968" s="14" t="s">
        <v>5946</v>
      </c>
      <c r="U968" s="14">
        <v>2.91166666666666</v>
      </c>
      <c r="V968" s="14">
        <v>3.2222222222222201</v>
      </c>
      <c r="W968" s="14">
        <v>1978</v>
      </c>
      <c r="X968" s="14">
        <v>80</v>
      </c>
      <c r="Y968" s="14">
        <v>1898</v>
      </c>
      <c r="Z968" s="14">
        <v>1422</v>
      </c>
      <c r="AA968" s="14">
        <v>241</v>
      </c>
      <c r="AB968" s="14">
        <v>262</v>
      </c>
      <c r="AC968" s="14">
        <v>824</v>
      </c>
      <c r="AD968" s="14">
        <v>95</v>
      </c>
      <c r="AE968" s="14">
        <v>3400</v>
      </c>
      <c r="AF968" s="14">
        <v>5000</v>
      </c>
      <c r="AG968" s="14">
        <v>6252</v>
      </c>
      <c r="AH968" s="14">
        <v>0</v>
      </c>
      <c r="AI968" s="14">
        <v>172</v>
      </c>
      <c r="AJ968" s="14">
        <v>313</v>
      </c>
      <c r="AK968" s="14" t="s">
        <v>5942</v>
      </c>
      <c r="AL968" s="14" t="s">
        <v>5947</v>
      </c>
      <c r="AM968" s="14">
        <v>885.81</v>
      </c>
      <c r="AN968" s="14">
        <v>809.32</v>
      </c>
      <c r="AO968" s="14">
        <v>54.99</v>
      </c>
      <c r="AP968" s="14">
        <v>20725</v>
      </c>
      <c r="AQ968" s="14">
        <v>20645</v>
      </c>
      <c r="AR968" s="14">
        <v>23000</v>
      </c>
      <c r="AS968" s="14">
        <v>17325</v>
      </c>
      <c r="AT968" s="14">
        <v>18747</v>
      </c>
      <c r="AU968" s="14">
        <v>43</v>
      </c>
      <c r="AV968" s="14">
        <v>294.57</v>
      </c>
      <c r="AW968" s="14">
        <v>48.23</v>
      </c>
      <c r="AX968" s="14">
        <v>-2.5299999999999998</v>
      </c>
      <c r="AY968" s="14" t="b">
        <v>0</v>
      </c>
    </row>
    <row r="969" spans="1:51" hidden="1" x14ac:dyDescent="0.3">
      <c r="A969" t="str">
        <f>CONCATENATE(I969,E969,LEFT(G969,10))</f>
        <v>HFA952LBSF2026-01-21</v>
      </c>
      <c r="B969" s="14" t="s">
        <v>1533</v>
      </c>
      <c r="C969" s="14" t="s">
        <v>336</v>
      </c>
      <c r="D969" s="14" t="s">
        <v>337</v>
      </c>
      <c r="E969" s="14" t="s">
        <v>77</v>
      </c>
      <c r="F969" s="14" t="s">
        <v>43</v>
      </c>
      <c r="G969" s="14" t="s">
        <v>1534</v>
      </c>
      <c r="H969" s="14" t="s">
        <v>357</v>
      </c>
      <c r="I969" s="14" t="s">
        <v>79</v>
      </c>
      <c r="J969" s="14" t="s">
        <v>83</v>
      </c>
      <c r="K969" s="14" t="s">
        <v>340</v>
      </c>
      <c r="L969" s="14" t="s">
        <v>341</v>
      </c>
      <c r="M969" s="16" t="s">
        <v>1535</v>
      </c>
      <c r="N969" s="14" t="s">
        <v>705</v>
      </c>
      <c r="O969" s="14" t="s">
        <v>1536</v>
      </c>
      <c r="P969" s="14">
        <v>210</v>
      </c>
      <c r="Q969" s="14">
        <v>2</v>
      </c>
      <c r="R969" s="14">
        <v>4400</v>
      </c>
      <c r="S969" s="14" t="s">
        <v>1537</v>
      </c>
      <c r="T969" s="14" t="s">
        <v>1538</v>
      </c>
      <c r="U969" s="14">
        <v>3.37</v>
      </c>
      <c r="V969" s="14">
        <v>3.59972222222222</v>
      </c>
      <c r="W969" s="14">
        <v>2123</v>
      </c>
      <c r="X969" s="14">
        <v>80</v>
      </c>
      <c r="Y969" s="14">
        <v>2043</v>
      </c>
      <c r="Z969" s="14">
        <v>1577</v>
      </c>
      <c r="AA969" s="14">
        <v>249</v>
      </c>
      <c r="AB969" s="14">
        <v>266</v>
      </c>
      <c r="AC969" s="14">
        <v>960</v>
      </c>
      <c r="AD969" s="14">
        <v>102</v>
      </c>
      <c r="AE969" s="14">
        <v>3700</v>
      </c>
      <c r="AF969" s="14">
        <v>5000</v>
      </c>
      <c r="AG969" s="14">
        <v>6709</v>
      </c>
      <c r="AH969" s="14">
        <v>0</v>
      </c>
      <c r="AI969" s="14">
        <v>199</v>
      </c>
      <c r="AJ969" s="14">
        <v>357</v>
      </c>
      <c r="AK969" s="14" t="s">
        <v>1534</v>
      </c>
      <c r="AL969" s="14" t="s">
        <v>1539</v>
      </c>
      <c r="AM969" s="14">
        <v>885.81</v>
      </c>
      <c r="AN969" s="14">
        <v>809.32</v>
      </c>
      <c r="AO969" s="14">
        <v>54.99</v>
      </c>
      <c r="AP969" s="14">
        <v>21325</v>
      </c>
      <c r="AQ969" s="14">
        <v>21245</v>
      </c>
      <c r="AR969" s="14">
        <v>23000</v>
      </c>
      <c r="AS969" s="14">
        <v>17625</v>
      </c>
      <c r="AT969" s="14">
        <v>19202</v>
      </c>
      <c r="AU969" s="14">
        <v>7</v>
      </c>
      <c r="AV969" s="14">
        <v>239.36</v>
      </c>
      <c r="AW969" s="14">
        <v>43.5</v>
      </c>
      <c r="AX969" s="14">
        <v>1.23</v>
      </c>
      <c r="AY969" s="14" t="b">
        <v>0</v>
      </c>
    </row>
    <row r="970" spans="1:51" hidden="1" x14ac:dyDescent="0.3">
      <c r="A970" t="str">
        <f>CONCATENATE(I970,E970,LEFT(G970,10))</f>
        <v>HFA952LBSF2026-01-23</v>
      </c>
      <c r="B970" s="14" t="s">
        <v>5093</v>
      </c>
      <c r="C970" s="14" t="s">
        <v>336</v>
      </c>
      <c r="D970" s="14" t="s">
        <v>337</v>
      </c>
      <c r="E970" s="14" t="s">
        <v>77</v>
      </c>
      <c r="F970" s="14" t="s">
        <v>43</v>
      </c>
      <c r="G970" s="14" t="s">
        <v>5094</v>
      </c>
      <c r="H970" s="14" t="s">
        <v>357</v>
      </c>
      <c r="I970" s="14" t="s">
        <v>79</v>
      </c>
      <c r="J970" s="14" t="s">
        <v>83</v>
      </c>
      <c r="K970" s="14" t="s">
        <v>340</v>
      </c>
      <c r="L970" s="14" t="s">
        <v>341</v>
      </c>
      <c r="M970" s="16" t="s">
        <v>5088</v>
      </c>
      <c r="N970" s="14" t="s">
        <v>705</v>
      </c>
      <c r="O970" s="14" t="s">
        <v>5095</v>
      </c>
      <c r="P970" s="14">
        <v>210</v>
      </c>
      <c r="Q970" s="14">
        <v>2</v>
      </c>
      <c r="R970" s="14">
        <v>2800</v>
      </c>
      <c r="S970" s="14" t="s">
        <v>5096</v>
      </c>
      <c r="T970" s="14" t="s">
        <v>5097</v>
      </c>
      <c r="U970" s="14">
        <v>3.2663888888888799</v>
      </c>
      <c r="V970" s="14">
        <v>3.5005555555555499</v>
      </c>
      <c r="W970" s="14">
        <v>2053</v>
      </c>
      <c r="X970" s="14">
        <v>80</v>
      </c>
      <c r="Y970" s="14">
        <v>1973</v>
      </c>
      <c r="Z970" s="14">
        <v>1447</v>
      </c>
      <c r="AA970" s="14">
        <v>249</v>
      </c>
      <c r="AB970" s="14">
        <v>252</v>
      </c>
      <c r="AC970" s="14">
        <v>848</v>
      </c>
      <c r="AD970" s="14">
        <v>99</v>
      </c>
      <c r="AE970" s="14">
        <v>3500</v>
      </c>
      <c r="AF970" s="14">
        <v>5000</v>
      </c>
      <c r="AG970" s="14">
        <v>6488</v>
      </c>
      <c r="AH970" s="14">
        <v>0</v>
      </c>
      <c r="AI970" s="14">
        <v>191</v>
      </c>
      <c r="AJ970" s="14">
        <v>336</v>
      </c>
      <c r="AK970" s="14" t="s">
        <v>5094</v>
      </c>
      <c r="AL970" s="14" t="s">
        <v>5098</v>
      </c>
      <c r="AM970" s="14">
        <v>889.87</v>
      </c>
      <c r="AN970" s="14">
        <v>809.32</v>
      </c>
      <c r="AO970" s="14">
        <v>54.99</v>
      </c>
      <c r="AP970" s="14">
        <v>19525</v>
      </c>
      <c r="AQ970" s="14">
        <v>19445</v>
      </c>
      <c r="AR970" s="14">
        <v>23000</v>
      </c>
      <c r="AS970" s="14">
        <v>16025</v>
      </c>
      <c r="AT970" s="14">
        <v>17472</v>
      </c>
      <c r="AU970" s="14">
        <v>15</v>
      </c>
      <c r="AV970" s="14">
        <v>256.68</v>
      </c>
      <c r="AW970" s="14">
        <v>30.29</v>
      </c>
      <c r="AX970" s="14">
        <v>-0.64</v>
      </c>
      <c r="AY970" s="14" t="b">
        <v>0</v>
      </c>
    </row>
    <row r="971" spans="1:51" hidden="1" x14ac:dyDescent="0.3">
      <c r="A971" t="str">
        <f>CONCATENATE(I971,E971,LEFT(G971,10))</f>
        <v>HFA952LBSF2026-01-26</v>
      </c>
      <c r="B971" s="14" t="s">
        <v>2970</v>
      </c>
      <c r="C971" s="14" t="s">
        <v>336</v>
      </c>
      <c r="D971" s="14" t="s">
        <v>337</v>
      </c>
      <c r="E971" s="14" t="s">
        <v>77</v>
      </c>
      <c r="F971" s="14" t="s">
        <v>43</v>
      </c>
      <c r="G971" s="14" t="s">
        <v>2971</v>
      </c>
      <c r="H971" s="14" t="s">
        <v>357</v>
      </c>
      <c r="I971" s="14" t="s">
        <v>79</v>
      </c>
      <c r="J971" s="14" t="s">
        <v>83</v>
      </c>
      <c r="K971" s="14" t="s">
        <v>340</v>
      </c>
      <c r="L971" s="14" t="s">
        <v>341</v>
      </c>
      <c r="M971" s="16" t="s">
        <v>543</v>
      </c>
      <c r="N971" s="14" t="s">
        <v>705</v>
      </c>
      <c r="O971" s="14" t="s">
        <v>1157</v>
      </c>
      <c r="P971" s="14">
        <v>170</v>
      </c>
      <c r="Q971" s="14">
        <v>2</v>
      </c>
      <c r="R971" s="14">
        <v>5300</v>
      </c>
      <c r="S971" s="14" t="s">
        <v>2972</v>
      </c>
      <c r="T971" s="14" t="s">
        <v>2973</v>
      </c>
      <c r="U971" s="14">
        <v>3.8583333333333298</v>
      </c>
      <c r="V971" s="14">
        <v>4.3197222222222198</v>
      </c>
      <c r="W971" s="14">
        <v>2609</v>
      </c>
      <c r="X971" s="14">
        <v>80</v>
      </c>
      <c r="Y971" s="14">
        <v>2529</v>
      </c>
      <c r="Z971" s="14">
        <v>1291</v>
      </c>
      <c r="AA971" s="14">
        <v>264</v>
      </c>
      <c r="AB971" s="14">
        <v>271</v>
      </c>
      <c r="AC971" s="14">
        <v>629</v>
      </c>
      <c r="AD971" s="14">
        <v>126</v>
      </c>
      <c r="AE971" s="14">
        <v>3900</v>
      </c>
      <c r="AF971" s="14">
        <v>5000</v>
      </c>
      <c r="AG971" s="14">
        <v>8245</v>
      </c>
      <c r="AH971" s="14">
        <v>0</v>
      </c>
      <c r="AI971" s="14">
        <v>218</v>
      </c>
      <c r="AJ971" s="14">
        <v>335</v>
      </c>
      <c r="AK971" s="14" t="s">
        <v>2971</v>
      </c>
      <c r="AL971" s="14" t="s">
        <v>2974</v>
      </c>
      <c r="AM971" s="14">
        <v>885.82</v>
      </c>
      <c r="AN971" s="14">
        <v>809.32</v>
      </c>
      <c r="AO971" s="14">
        <v>54.99</v>
      </c>
      <c r="AP971" s="14">
        <v>22425</v>
      </c>
      <c r="AQ971" s="14">
        <v>22345</v>
      </c>
      <c r="AR971" s="14">
        <v>23000</v>
      </c>
      <c r="AS971" s="14">
        <v>18525</v>
      </c>
      <c r="AT971" s="14">
        <v>19816</v>
      </c>
      <c r="AU971" s="14">
        <v>-22</v>
      </c>
      <c r="AV971" s="14">
        <v>189.46</v>
      </c>
      <c r="AW971" s="14">
        <v>42.66</v>
      </c>
      <c r="AX971" s="14">
        <v>0.04</v>
      </c>
      <c r="AY971" s="14" t="b">
        <v>0</v>
      </c>
    </row>
    <row r="972" spans="1:51" hidden="1" x14ac:dyDescent="0.3">
      <c r="A972" t="str">
        <f>CONCATENATE(I972,E972,LEFT(G972,10))</f>
        <v>HFA952LBSF2026-01-28</v>
      </c>
      <c r="B972" s="15" t="s">
        <v>1318</v>
      </c>
      <c r="C972" s="14" t="s">
        <v>336</v>
      </c>
      <c r="D972" s="14" t="s">
        <v>337</v>
      </c>
      <c r="E972" s="14" t="s">
        <v>77</v>
      </c>
      <c r="F972" s="14" t="s">
        <v>43</v>
      </c>
      <c r="G972" s="14" t="s">
        <v>1319</v>
      </c>
      <c r="H972" s="14" t="s">
        <v>357</v>
      </c>
      <c r="I972" s="14" t="s">
        <v>79</v>
      </c>
      <c r="J972" s="14" t="s">
        <v>83</v>
      </c>
      <c r="K972" s="14" t="s">
        <v>340</v>
      </c>
      <c r="L972" s="14" t="s">
        <v>341</v>
      </c>
      <c r="M972" s="16" t="s">
        <v>1320</v>
      </c>
      <c r="N972" s="14" t="s">
        <v>705</v>
      </c>
      <c r="O972" s="14" t="s">
        <v>1321</v>
      </c>
      <c r="P972" s="14">
        <v>190</v>
      </c>
      <c r="Q972" s="14">
        <v>2</v>
      </c>
      <c r="R972" s="14">
        <v>3600</v>
      </c>
      <c r="S972" s="14" t="s">
        <v>1322</v>
      </c>
      <c r="T972" s="14" t="s">
        <v>1323</v>
      </c>
      <c r="U972" s="14">
        <v>3.1055555555555499</v>
      </c>
      <c r="V972" s="14">
        <v>3.3988888888888802</v>
      </c>
      <c r="W972" s="14">
        <v>2116</v>
      </c>
      <c r="X972" s="14">
        <v>80</v>
      </c>
      <c r="Y972" s="14">
        <v>2036</v>
      </c>
      <c r="Z972" s="14">
        <v>1584</v>
      </c>
      <c r="AA972" s="14">
        <v>250</v>
      </c>
      <c r="AB972" s="14">
        <v>259</v>
      </c>
      <c r="AC972" s="14">
        <v>973</v>
      </c>
      <c r="AD972" s="14">
        <v>102</v>
      </c>
      <c r="AE972" s="14">
        <v>3700</v>
      </c>
      <c r="AF972" s="14">
        <v>5000</v>
      </c>
      <c r="AG972" s="14">
        <v>6686</v>
      </c>
      <c r="AH972" s="14">
        <v>0</v>
      </c>
      <c r="AI972" s="14">
        <v>186</v>
      </c>
      <c r="AJ972" s="14">
        <v>336</v>
      </c>
      <c r="AK972" s="14" t="s">
        <v>1319</v>
      </c>
      <c r="AL972" s="14" t="s">
        <v>1324</v>
      </c>
      <c r="AM972" s="14">
        <v>885.82</v>
      </c>
      <c r="AN972" s="14">
        <v>809.32</v>
      </c>
      <c r="AO972" s="14">
        <v>54.99</v>
      </c>
      <c r="AP972" s="14">
        <v>20525</v>
      </c>
      <c r="AQ972" s="14">
        <v>20445</v>
      </c>
      <c r="AR972" s="14">
        <v>23000</v>
      </c>
      <c r="AS972" s="14">
        <v>16825</v>
      </c>
      <c r="AT972" s="14">
        <v>18409</v>
      </c>
      <c r="AU972" s="14">
        <v>21</v>
      </c>
      <c r="AV972" s="14">
        <v>287.83</v>
      </c>
      <c r="AW972" s="14">
        <v>29.19</v>
      </c>
      <c r="AX972" s="14">
        <v>2.0299999999999998</v>
      </c>
      <c r="AY972" s="14" t="b">
        <v>0</v>
      </c>
    </row>
    <row r="973" spans="1:51" hidden="1" x14ac:dyDescent="0.3">
      <c r="A973" t="str">
        <f>CONCATENATE(I973,E973,LEFT(G973,10))</f>
        <v>HFA952LBSF2026-01-30</v>
      </c>
      <c r="B973" s="14" t="s">
        <v>1154</v>
      </c>
      <c r="C973" s="14" t="s">
        <v>336</v>
      </c>
      <c r="D973" s="14" t="s">
        <v>337</v>
      </c>
      <c r="E973" s="14" t="s">
        <v>77</v>
      </c>
      <c r="F973" s="14" t="s">
        <v>43</v>
      </c>
      <c r="G973" s="14" t="s">
        <v>1155</v>
      </c>
      <c r="H973" s="14" t="s">
        <v>357</v>
      </c>
      <c r="I973" s="14" t="s">
        <v>79</v>
      </c>
      <c r="J973" s="14" t="s">
        <v>83</v>
      </c>
      <c r="K973" s="14" t="s">
        <v>340</v>
      </c>
      <c r="L973" s="14" t="s">
        <v>341</v>
      </c>
      <c r="M973" s="16" t="s">
        <v>1156</v>
      </c>
      <c r="N973" s="14" t="s">
        <v>705</v>
      </c>
      <c r="O973" s="14" t="s">
        <v>1157</v>
      </c>
      <c r="P973" s="14">
        <v>190</v>
      </c>
      <c r="Q973" s="14">
        <v>2</v>
      </c>
      <c r="R973" s="14">
        <v>2300</v>
      </c>
      <c r="S973" s="14" t="s">
        <v>1158</v>
      </c>
      <c r="T973" s="14" t="s">
        <v>1159</v>
      </c>
      <c r="U973" s="14">
        <v>2.9836111111111099</v>
      </c>
      <c r="V973" s="14">
        <v>3.37222222222222</v>
      </c>
      <c r="W973" s="14">
        <v>2087</v>
      </c>
      <c r="X973" s="14">
        <v>80</v>
      </c>
      <c r="Y973" s="14">
        <v>2007</v>
      </c>
      <c r="Z973" s="14">
        <v>1813</v>
      </c>
      <c r="AA973" s="14">
        <v>259</v>
      </c>
      <c r="AB973" s="14">
        <v>251</v>
      </c>
      <c r="AC973" s="14">
        <v>1203</v>
      </c>
      <c r="AD973" s="14">
        <v>100</v>
      </c>
      <c r="AE973" s="14">
        <v>3900</v>
      </c>
      <c r="AF973" s="14">
        <v>5000</v>
      </c>
      <c r="AG973" s="14">
        <v>6596</v>
      </c>
      <c r="AH973" s="14">
        <v>0</v>
      </c>
      <c r="AI973" s="14">
        <v>181</v>
      </c>
      <c r="AJ973" s="14">
        <v>346</v>
      </c>
      <c r="AK973" s="14" t="s">
        <v>1155</v>
      </c>
      <c r="AL973" s="14" t="s">
        <v>1160</v>
      </c>
      <c r="AM973" s="14">
        <v>885.82</v>
      </c>
      <c r="AN973" s="14">
        <v>809.32</v>
      </c>
      <c r="AO973" s="14">
        <v>54.99</v>
      </c>
      <c r="AP973" s="14">
        <v>19425</v>
      </c>
      <c r="AQ973" s="14">
        <v>19345</v>
      </c>
      <c r="AR973" s="14">
        <v>23000</v>
      </c>
      <c r="AS973" s="14">
        <v>15525</v>
      </c>
      <c r="AT973" s="14">
        <v>17338</v>
      </c>
      <c r="AU973" s="14">
        <v>28</v>
      </c>
      <c r="AV973" s="14">
        <v>272.38</v>
      </c>
      <c r="AW973" s="14">
        <v>45.36</v>
      </c>
      <c r="AX973" s="14">
        <v>3.38</v>
      </c>
      <c r="AY973" s="14" t="b">
        <v>0</v>
      </c>
    </row>
    <row r="974" spans="1:51" hidden="1" x14ac:dyDescent="0.3">
      <c r="A974" t="str">
        <f>CONCATENATE(I974,E974,LEFT(G974,10))</f>
        <v>HFA952LBSF2026-02-02</v>
      </c>
      <c r="B974" s="14" t="s">
        <v>870</v>
      </c>
      <c r="C974" s="14" t="s">
        <v>336</v>
      </c>
      <c r="D974" s="14" t="s">
        <v>337</v>
      </c>
      <c r="E974" s="14" t="s">
        <v>77</v>
      </c>
      <c r="F974" s="14" t="s">
        <v>43</v>
      </c>
      <c r="G974" s="14" t="s">
        <v>871</v>
      </c>
      <c r="H974" s="14" t="s">
        <v>357</v>
      </c>
      <c r="I974" s="14" t="s">
        <v>79</v>
      </c>
      <c r="J974" s="14" t="s">
        <v>83</v>
      </c>
      <c r="K974" s="14" t="s">
        <v>340</v>
      </c>
      <c r="L974" s="14" t="s">
        <v>341</v>
      </c>
      <c r="M974" s="16" t="s">
        <v>872</v>
      </c>
      <c r="N974" s="14" t="s">
        <v>705</v>
      </c>
      <c r="O974" s="14" t="s">
        <v>873</v>
      </c>
      <c r="P974" s="14">
        <v>190</v>
      </c>
      <c r="Q974" s="14">
        <v>2</v>
      </c>
      <c r="R974" s="14">
        <v>5200</v>
      </c>
      <c r="S974" s="14" t="s">
        <v>874</v>
      </c>
      <c r="T974" s="14" t="s">
        <v>875</v>
      </c>
      <c r="U974" s="14">
        <v>4.0147222222222201</v>
      </c>
      <c r="V974" s="14">
        <v>4.37083333333333</v>
      </c>
      <c r="W974" s="14">
        <v>2232</v>
      </c>
      <c r="X974" s="14">
        <v>80</v>
      </c>
      <c r="Y974" s="14">
        <v>2152</v>
      </c>
      <c r="Z974" s="14">
        <v>1468</v>
      </c>
      <c r="AA974" s="14">
        <v>262</v>
      </c>
      <c r="AB974" s="14">
        <v>272</v>
      </c>
      <c r="AC974" s="14">
        <v>826</v>
      </c>
      <c r="AD974" s="14">
        <v>108</v>
      </c>
      <c r="AE974" s="14">
        <v>3700</v>
      </c>
      <c r="AF974" s="14">
        <v>5000</v>
      </c>
      <c r="AG974" s="14">
        <v>7054</v>
      </c>
      <c r="AH974" s="14">
        <v>0</v>
      </c>
      <c r="AI974" s="14">
        <v>190</v>
      </c>
      <c r="AJ974" s="14">
        <v>324</v>
      </c>
      <c r="AK974" s="14" t="s">
        <v>871</v>
      </c>
      <c r="AL974" s="14" t="s">
        <v>876</v>
      </c>
      <c r="AM974" s="14">
        <v>885.82</v>
      </c>
      <c r="AN974" s="14">
        <v>809.32</v>
      </c>
      <c r="AO974" s="14">
        <v>54.99</v>
      </c>
      <c r="AP974" s="14">
        <v>22125</v>
      </c>
      <c r="AQ974" s="14">
        <v>22045</v>
      </c>
      <c r="AR974" s="14">
        <v>23000</v>
      </c>
      <c r="AS974" s="14">
        <v>18425</v>
      </c>
      <c r="AT974" s="14">
        <v>19893</v>
      </c>
      <c r="AU974" s="14">
        <v>16</v>
      </c>
      <c r="AV974" s="14">
        <v>254.11</v>
      </c>
      <c r="AW974" s="14">
        <v>32.49</v>
      </c>
      <c r="AX974" s="14">
        <v>-1.75</v>
      </c>
      <c r="AY974" s="14" t="b">
        <v>0</v>
      </c>
    </row>
    <row r="975" spans="1:51" hidden="1" x14ac:dyDescent="0.3">
      <c r="A975" t="str">
        <f>CONCATENATE(I975,E975,LEFT(G975,10))</f>
        <v>HFA952LBSF2026-02-04</v>
      </c>
      <c r="B975" s="14" t="s">
        <v>5851</v>
      </c>
      <c r="C975" s="14" t="s">
        <v>336</v>
      </c>
      <c r="D975" s="14" t="s">
        <v>337</v>
      </c>
      <c r="E975" s="14" t="s">
        <v>77</v>
      </c>
      <c r="F975" s="14" t="s">
        <v>43</v>
      </c>
      <c r="G975" s="14" t="s">
        <v>5852</v>
      </c>
      <c r="H975" s="14" t="s">
        <v>357</v>
      </c>
      <c r="I975" s="14" t="s">
        <v>79</v>
      </c>
      <c r="J975" s="14" t="s">
        <v>83</v>
      </c>
      <c r="K975" s="14" t="s">
        <v>340</v>
      </c>
      <c r="L975" s="14" t="s">
        <v>341</v>
      </c>
      <c r="M975" s="16" t="s">
        <v>5853</v>
      </c>
      <c r="N975" s="14" t="s">
        <v>705</v>
      </c>
      <c r="O975" s="14" t="s">
        <v>873</v>
      </c>
      <c r="P975" s="14">
        <v>190</v>
      </c>
      <c r="Q975" s="14">
        <v>2</v>
      </c>
      <c r="R975" s="14">
        <v>3000</v>
      </c>
      <c r="S975" s="14" t="s">
        <v>5854</v>
      </c>
      <c r="T975" s="14" t="s">
        <v>5855</v>
      </c>
      <c r="U975" s="14">
        <v>3.3302777777777699</v>
      </c>
      <c r="V975" s="14">
        <v>3.5</v>
      </c>
      <c r="W975" s="14">
        <v>2253</v>
      </c>
      <c r="X975" s="14">
        <v>80</v>
      </c>
      <c r="Y975" s="14">
        <v>2173</v>
      </c>
      <c r="Z975" s="14">
        <v>1747</v>
      </c>
      <c r="AA975" s="14">
        <v>244</v>
      </c>
      <c r="AB975" s="14">
        <v>256</v>
      </c>
      <c r="AC975" s="14">
        <v>1138</v>
      </c>
      <c r="AD975" s="14">
        <v>109</v>
      </c>
      <c r="AE975" s="14">
        <v>4000</v>
      </c>
      <c r="AF975" s="14">
        <v>5000</v>
      </c>
      <c r="AG975" s="14">
        <v>7118</v>
      </c>
      <c r="AH975" s="14">
        <v>0</v>
      </c>
      <c r="AI975" s="14">
        <v>197</v>
      </c>
      <c r="AJ975" s="14">
        <v>362</v>
      </c>
      <c r="AK975" s="14" t="s">
        <v>5852</v>
      </c>
      <c r="AL975" s="14" t="s">
        <v>5856</v>
      </c>
      <c r="AM975" s="14">
        <v>885.82</v>
      </c>
      <c r="AN975" s="14">
        <v>809.32</v>
      </c>
      <c r="AO975" s="14">
        <v>54.99</v>
      </c>
      <c r="AP975" s="14">
        <v>20225</v>
      </c>
      <c r="AQ975" s="14">
        <v>20145</v>
      </c>
      <c r="AR975" s="14">
        <v>23000</v>
      </c>
      <c r="AS975" s="14">
        <v>16225</v>
      </c>
      <c r="AT975" s="14">
        <v>17972</v>
      </c>
      <c r="AU975" s="14">
        <v>3</v>
      </c>
      <c r="AV975" s="14">
        <v>240.3</v>
      </c>
      <c r="AW975" s="14">
        <v>25.48</v>
      </c>
      <c r="AX975" s="14">
        <v>3.26</v>
      </c>
      <c r="AY975" s="14" t="b">
        <v>0</v>
      </c>
    </row>
    <row r="976" spans="1:51" hidden="1" x14ac:dyDescent="0.3">
      <c r="A976" t="str">
        <f>CONCATENATE(I976,E976,LEFT(G976,10))</f>
        <v>HFA952LBSF2026-02-06</v>
      </c>
      <c r="B976" s="14" t="s">
        <v>5445</v>
      </c>
      <c r="C976" s="14" t="s">
        <v>336</v>
      </c>
      <c r="D976" s="14" t="s">
        <v>337</v>
      </c>
      <c r="E976" s="14" t="s">
        <v>77</v>
      </c>
      <c r="F976" s="14" t="s">
        <v>43</v>
      </c>
      <c r="G976" s="14" t="s">
        <v>5446</v>
      </c>
      <c r="H976" s="14" t="s">
        <v>357</v>
      </c>
      <c r="I976" s="14" t="s">
        <v>79</v>
      </c>
      <c r="J976" s="14" t="s">
        <v>83</v>
      </c>
      <c r="K976" s="14" t="s">
        <v>340</v>
      </c>
      <c r="L976" s="14" t="s">
        <v>341</v>
      </c>
      <c r="M976" s="16" t="s">
        <v>731</v>
      </c>
      <c r="N976" s="14" t="s">
        <v>705</v>
      </c>
      <c r="O976" s="14" t="s">
        <v>5447</v>
      </c>
      <c r="P976" s="14">
        <v>190</v>
      </c>
      <c r="Q976" s="14">
        <v>2</v>
      </c>
      <c r="R976" s="14">
        <v>3600</v>
      </c>
      <c r="S976" s="14" t="s">
        <v>5448</v>
      </c>
      <c r="T976" s="14" t="s">
        <v>5449</v>
      </c>
      <c r="U976" s="14">
        <v>3.1369444444444401</v>
      </c>
      <c r="V976" s="14">
        <v>11.0788888888888</v>
      </c>
      <c r="W976" s="14">
        <v>2049</v>
      </c>
      <c r="X976" s="14">
        <v>80</v>
      </c>
      <c r="Y976" s="14">
        <v>1969</v>
      </c>
      <c r="Z976" s="14">
        <v>1951</v>
      </c>
      <c r="AA976" s="14">
        <v>254</v>
      </c>
      <c r="AB976" s="14">
        <v>262</v>
      </c>
      <c r="AC976" s="14">
        <v>1336</v>
      </c>
      <c r="AD976" s="14">
        <v>98</v>
      </c>
      <c r="AE976" s="14">
        <v>4000</v>
      </c>
      <c r="AF976" s="14">
        <v>5000</v>
      </c>
      <c r="AG976" s="14">
        <v>6475</v>
      </c>
      <c r="AH976" s="14">
        <v>0</v>
      </c>
      <c r="AI976" s="14">
        <v>183</v>
      </c>
      <c r="AJ976" s="14">
        <v>371</v>
      </c>
      <c r="AK976" s="14" t="s">
        <v>5446</v>
      </c>
      <c r="AL976" s="14" t="s">
        <v>5450</v>
      </c>
      <c r="AM976" s="14">
        <v>883.48</v>
      </c>
      <c r="AN976" s="14">
        <v>809.32</v>
      </c>
      <c r="AO976" s="14">
        <v>54.99</v>
      </c>
      <c r="AP976" s="14">
        <v>20825</v>
      </c>
      <c r="AQ976" s="14">
        <v>20745</v>
      </c>
      <c r="AR976" s="14">
        <v>23000</v>
      </c>
      <c r="AS976" s="14">
        <v>16825</v>
      </c>
      <c r="AT976" s="14">
        <v>18776</v>
      </c>
      <c r="AU976" s="14">
        <v>26</v>
      </c>
      <c r="AV976" s="14">
        <v>278.06</v>
      </c>
      <c r="AW976" s="14">
        <v>40.74</v>
      </c>
      <c r="AX976" s="14">
        <v>2.46</v>
      </c>
      <c r="AY976" s="14" t="b">
        <v>0</v>
      </c>
    </row>
    <row r="977" spans="1:51" hidden="1" x14ac:dyDescent="0.3">
      <c r="A977" t="str">
        <f>CONCATENATE(I977,E977,LEFT(G977,10))</f>
        <v>HFA952LBSF2026-02-09</v>
      </c>
      <c r="B977" s="14" t="s">
        <v>1242</v>
      </c>
      <c r="C977" s="14" t="s">
        <v>336</v>
      </c>
      <c r="D977" s="14" t="s">
        <v>337</v>
      </c>
      <c r="E977" s="14" t="s">
        <v>77</v>
      </c>
      <c r="F977" s="14" t="s">
        <v>43</v>
      </c>
      <c r="G977" s="14" t="s">
        <v>1243</v>
      </c>
      <c r="H977" s="14" t="s">
        <v>357</v>
      </c>
      <c r="I977" s="14" t="s">
        <v>79</v>
      </c>
      <c r="J977" s="14" t="s">
        <v>83</v>
      </c>
      <c r="K977" s="14" t="s">
        <v>340</v>
      </c>
      <c r="L977" s="14" t="s">
        <v>341</v>
      </c>
      <c r="M977" s="16" t="s">
        <v>1244</v>
      </c>
      <c r="N977" s="14" t="s">
        <v>705</v>
      </c>
      <c r="O977" s="14" t="s">
        <v>1245</v>
      </c>
      <c r="P977" s="14">
        <v>190</v>
      </c>
      <c r="Q977" s="14">
        <v>3</v>
      </c>
      <c r="R977" s="14">
        <v>6100</v>
      </c>
      <c r="S977" s="14" t="s">
        <v>1246</v>
      </c>
      <c r="T977" s="14" t="s">
        <v>1247</v>
      </c>
      <c r="U977" s="14">
        <v>3.2322222222222199</v>
      </c>
      <c r="V977" s="14">
        <v>3.51972222222222</v>
      </c>
      <c r="W977" s="14">
        <v>2177</v>
      </c>
      <c r="X977" s="14">
        <v>80</v>
      </c>
      <c r="Y977" s="14">
        <v>2097</v>
      </c>
      <c r="Z977" s="14">
        <v>1123</v>
      </c>
      <c r="AA977" s="14">
        <v>262</v>
      </c>
      <c r="AB977" s="14">
        <v>277</v>
      </c>
      <c r="AC977" s="14">
        <v>479</v>
      </c>
      <c r="AD977" s="14">
        <v>105</v>
      </c>
      <c r="AE977" s="14">
        <v>3300</v>
      </c>
      <c r="AF977" s="14">
        <v>5000</v>
      </c>
      <c r="AG977" s="14">
        <v>6878</v>
      </c>
      <c r="AH977" s="14">
        <v>0</v>
      </c>
      <c r="AI977" s="14">
        <v>192</v>
      </c>
      <c r="AJ977" s="14">
        <v>299</v>
      </c>
      <c r="AK977" s="14" t="s">
        <v>1243</v>
      </c>
      <c r="AL977" s="14" t="s">
        <v>1248</v>
      </c>
      <c r="AM977" s="14">
        <v>883.48</v>
      </c>
      <c r="AN977" s="14">
        <v>809.32</v>
      </c>
      <c r="AO977" s="14">
        <v>54.99</v>
      </c>
      <c r="AP977" s="14">
        <v>22625</v>
      </c>
      <c r="AQ977" s="14">
        <v>22545</v>
      </c>
      <c r="AR977" s="14">
        <v>23000</v>
      </c>
      <c r="AS977" s="14">
        <v>19325</v>
      </c>
      <c r="AT977" s="14">
        <v>20448</v>
      </c>
      <c r="AU977" s="14">
        <v>14</v>
      </c>
      <c r="AV977" s="14">
        <v>253.32</v>
      </c>
      <c r="AW977" s="14">
        <v>44.35</v>
      </c>
      <c r="AX977" s="14">
        <v>0.25</v>
      </c>
      <c r="AY977" s="14" t="b">
        <v>0</v>
      </c>
    </row>
    <row r="978" spans="1:51" hidden="1" x14ac:dyDescent="0.3">
      <c r="A978" t="str">
        <f>CONCATENATE(I978,E978,LEFT(G978,10))</f>
        <v>HFA952LBSF2026-02-11</v>
      </c>
      <c r="B978" s="14" t="s">
        <v>2693</v>
      </c>
      <c r="C978" s="14" t="s">
        <v>336</v>
      </c>
      <c r="D978" s="14" t="s">
        <v>337</v>
      </c>
      <c r="E978" s="14" t="s">
        <v>77</v>
      </c>
      <c r="F978" s="14" t="s">
        <v>43</v>
      </c>
      <c r="G978" s="14" t="s">
        <v>2694</v>
      </c>
      <c r="H978" s="14" t="s">
        <v>357</v>
      </c>
      <c r="I978" s="14" t="s">
        <v>79</v>
      </c>
      <c r="J978" s="14" t="s">
        <v>83</v>
      </c>
      <c r="K978" s="14" t="s">
        <v>340</v>
      </c>
      <c r="L978" s="14" t="s">
        <v>341</v>
      </c>
      <c r="M978" s="16" t="s">
        <v>2695</v>
      </c>
      <c r="N978" s="14" t="s">
        <v>705</v>
      </c>
      <c r="O978" s="14" t="s">
        <v>2696</v>
      </c>
      <c r="P978" s="14">
        <v>150</v>
      </c>
      <c r="Q978" s="14">
        <v>2</v>
      </c>
      <c r="R978" s="14">
        <v>2500</v>
      </c>
      <c r="S978" s="14" t="s">
        <v>2697</v>
      </c>
      <c r="T978" s="14" t="s">
        <v>2698</v>
      </c>
      <c r="U978" s="14">
        <v>2.9466666666666601</v>
      </c>
      <c r="V978" s="14">
        <v>3.14222222222222</v>
      </c>
      <c r="W978" s="14">
        <v>2308</v>
      </c>
      <c r="X978" s="14">
        <v>80</v>
      </c>
      <c r="Y978" s="14">
        <v>2228</v>
      </c>
      <c r="Z978" s="14">
        <v>1692</v>
      </c>
      <c r="AA978" s="14">
        <v>253</v>
      </c>
      <c r="AB978" s="14">
        <v>251</v>
      </c>
      <c r="AC978" s="14">
        <v>1076</v>
      </c>
      <c r="AD978" s="14">
        <v>111</v>
      </c>
      <c r="AE978" s="14">
        <v>4000</v>
      </c>
      <c r="AF978" s="14">
        <v>5000</v>
      </c>
      <c r="AG978" s="14">
        <v>7293</v>
      </c>
      <c r="AH978" s="14">
        <v>0</v>
      </c>
      <c r="AI978" s="14">
        <v>185</v>
      </c>
      <c r="AJ978" s="14">
        <v>336</v>
      </c>
      <c r="AK978" s="14" t="s">
        <v>2694</v>
      </c>
      <c r="AL978" s="14" t="s">
        <v>2699</v>
      </c>
      <c r="AM978" s="14">
        <v>885.82</v>
      </c>
      <c r="AN978" s="14">
        <v>809.32</v>
      </c>
      <c r="AO978" s="14">
        <v>54.99</v>
      </c>
      <c r="AP978" s="14">
        <v>19725</v>
      </c>
      <c r="AQ978" s="14">
        <v>19645</v>
      </c>
      <c r="AR978" s="14">
        <v>23000</v>
      </c>
      <c r="AS978" s="14">
        <v>15725</v>
      </c>
      <c r="AT978" s="14">
        <v>17417</v>
      </c>
      <c r="AU978" s="14">
        <v>16</v>
      </c>
      <c r="AV978" s="14">
        <v>268.14</v>
      </c>
      <c r="AW978" s="14">
        <v>25.29</v>
      </c>
      <c r="AX978" s="14">
        <v>-0.92</v>
      </c>
      <c r="AY978" s="14" t="b">
        <v>0</v>
      </c>
    </row>
    <row r="979" spans="1:51" hidden="1" x14ac:dyDescent="0.3">
      <c r="A979" t="str">
        <f>CONCATENATE(I979,E979,LEFT(G979,10))</f>
        <v>HFA952LBSF2026-02-13</v>
      </c>
      <c r="B979" s="14" t="s">
        <v>4335</v>
      </c>
      <c r="C979" s="14" t="s">
        <v>336</v>
      </c>
      <c r="D979" s="14" t="s">
        <v>337</v>
      </c>
      <c r="E979" s="14" t="s">
        <v>77</v>
      </c>
      <c r="F979" s="14" t="s">
        <v>43</v>
      </c>
      <c r="G979" s="14" t="s">
        <v>4336</v>
      </c>
      <c r="H979" s="14" t="s">
        <v>436</v>
      </c>
      <c r="I979" s="14" t="s">
        <v>79</v>
      </c>
      <c r="J979" s="14" t="s">
        <v>83</v>
      </c>
      <c r="K979" s="14" t="s">
        <v>340</v>
      </c>
      <c r="L979" s="14" t="s">
        <v>341</v>
      </c>
      <c r="M979" s="16" t="s">
        <v>4337</v>
      </c>
      <c r="N979" s="14" t="s">
        <v>705</v>
      </c>
      <c r="O979" s="14" t="s">
        <v>4338</v>
      </c>
      <c r="P979" s="14">
        <v>190</v>
      </c>
      <c r="Q979" s="14">
        <v>2</v>
      </c>
      <c r="R979" s="14">
        <v>3800</v>
      </c>
      <c r="S979" s="14" t="s">
        <v>4339</v>
      </c>
      <c r="T979" s="14" t="s">
        <v>4340</v>
      </c>
      <c r="U979" s="14">
        <v>3.3805555555555502</v>
      </c>
      <c r="V979" s="14">
        <v>3.61638888888888</v>
      </c>
      <c r="W979" s="14">
        <v>2222</v>
      </c>
      <c r="X979" s="14">
        <v>80</v>
      </c>
      <c r="Y979" s="14">
        <v>2142</v>
      </c>
      <c r="Z979" s="14">
        <v>1978</v>
      </c>
      <c r="AA979" s="14">
        <v>822</v>
      </c>
      <c r="AB979" s="14">
        <v>264</v>
      </c>
      <c r="AC979" s="14">
        <v>785</v>
      </c>
      <c r="AD979" s="14">
        <v>107</v>
      </c>
      <c r="AE979" s="14">
        <v>4200</v>
      </c>
      <c r="AF979" s="14">
        <v>5000</v>
      </c>
      <c r="AG979" s="14">
        <v>7021</v>
      </c>
      <c r="AH979" s="14">
        <v>0</v>
      </c>
      <c r="AI979" s="14">
        <v>191</v>
      </c>
      <c r="AJ979" s="14">
        <v>368</v>
      </c>
      <c r="AK979" s="14" t="s">
        <v>4336</v>
      </c>
      <c r="AL979" s="14" t="s">
        <v>4341</v>
      </c>
      <c r="AM979" s="14">
        <v>885.82</v>
      </c>
      <c r="AN979" s="14">
        <v>809.32</v>
      </c>
      <c r="AO979" s="14">
        <v>54.99</v>
      </c>
      <c r="AP979" s="14">
        <v>21205</v>
      </c>
      <c r="AQ979" s="14">
        <v>21125</v>
      </c>
      <c r="AR979" s="14">
        <v>23000</v>
      </c>
      <c r="AS979" s="14">
        <v>17005</v>
      </c>
      <c r="AT979" s="14">
        <v>18983</v>
      </c>
      <c r="AU979" s="14">
        <v>13</v>
      </c>
      <c r="AV979" s="14">
        <v>245.88</v>
      </c>
      <c r="AW979" s="14">
        <v>28.81</v>
      </c>
      <c r="AX979" s="14">
        <v>-0.73</v>
      </c>
      <c r="AY979" s="14" t="b">
        <v>0</v>
      </c>
    </row>
    <row r="980" spans="1:51" hidden="1" x14ac:dyDescent="0.3">
      <c r="A980" t="str">
        <f>CONCATENATE(I980,E980,LEFT(G980,10))</f>
        <v>HFA952LBSF2026-02-16</v>
      </c>
      <c r="B980" s="14" t="s">
        <v>4099</v>
      </c>
      <c r="C980" s="14" t="s">
        <v>336</v>
      </c>
      <c r="D980" s="14" t="s">
        <v>337</v>
      </c>
      <c r="E980" s="14" t="s">
        <v>77</v>
      </c>
      <c r="F980" s="14" t="s">
        <v>43</v>
      </c>
      <c r="G980" s="14" t="s">
        <v>4100</v>
      </c>
      <c r="H980" s="14" t="s">
        <v>357</v>
      </c>
      <c r="I980" s="14" t="s">
        <v>79</v>
      </c>
      <c r="J980" s="14" t="s">
        <v>83</v>
      </c>
      <c r="K980" s="14" t="s">
        <v>340</v>
      </c>
      <c r="L980" s="14" t="s">
        <v>341</v>
      </c>
      <c r="M980" s="16" t="s">
        <v>4101</v>
      </c>
      <c r="N980" s="14" t="s">
        <v>705</v>
      </c>
      <c r="O980" s="14" t="s">
        <v>4102</v>
      </c>
      <c r="P980" s="14">
        <v>170</v>
      </c>
      <c r="Q980" s="14">
        <v>2</v>
      </c>
      <c r="R980" s="14">
        <v>5500</v>
      </c>
      <c r="S980" s="14" t="s">
        <v>4103</v>
      </c>
      <c r="T980" s="14" t="s">
        <v>4104</v>
      </c>
      <c r="U980" s="14">
        <v>3.45861111111111</v>
      </c>
      <c r="V980" s="14">
        <v>3.7147222222222198</v>
      </c>
      <c r="W980" s="14">
        <v>2417</v>
      </c>
      <c r="X980" s="14">
        <v>80</v>
      </c>
      <c r="Y980" s="14">
        <v>2337</v>
      </c>
      <c r="Z980" s="14">
        <v>1483</v>
      </c>
      <c r="AA980" s="14">
        <v>256</v>
      </c>
      <c r="AB980" s="14">
        <v>275</v>
      </c>
      <c r="AC980" s="14">
        <v>835</v>
      </c>
      <c r="AD980" s="14">
        <v>117</v>
      </c>
      <c r="AE980" s="14">
        <v>3900</v>
      </c>
      <c r="AF980" s="14">
        <v>5000</v>
      </c>
      <c r="AG980" s="14">
        <v>7639</v>
      </c>
      <c r="AH980" s="14">
        <v>0</v>
      </c>
      <c r="AI980" s="14">
        <v>206</v>
      </c>
      <c r="AJ980" s="14">
        <v>345</v>
      </c>
      <c r="AK980" s="14" t="s">
        <v>4100</v>
      </c>
      <c r="AL980" s="14" t="s">
        <v>4105</v>
      </c>
      <c r="AM980" s="14">
        <v>885.82</v>
      </c>
      <c r="AN980" s="14">
        <v>809.32</v>
      </c>
      <c r="AO980" s="14">
        <v>54.99</v>
      </c>
      <c r="AP980" s="14">
        <v>22625</v>
      </c>
      <c r="AQ980" s="14">
        <v>22545</v>
      </c>
      <c r="AR980" s="14">
        <v>23000</v>
      </c>
      <c r="AS980" s="14">
        <v>18725</v>
      </c>
      <c r="AT980" s="14">
        <v>20208</v>
      </c>
      <c r="AU980" s="14">
        <v>-5</v>
      </c>
      <c r="AV980" s="14">
        <v>220.72</v>
      </c>
      <c r="AW980" s="14">
        <v>42.97</v>
      </c>
      <c r="AX980" s="14">
        <v>2.21</v>
      </c>
      <c r="AY980" s="14" t="b">
        <v>0</v>
      </c>
    </row>
    <row r="981" spans="1:51" hidden="1" x14ac:dyDescent="0.3">
      <c r="A981" t="str">
        <f>CONCATENATE(I981,E981,LEFT(G981,10))</f>
        <v>HFA952LBSF2026-02-18</v>
      </c>
      <c r="B981" s="14" t="s">
        <v>1903</v>
      </c>
      <c r="C981" s="14" t="s">
        <v>336</v>
      </c>
      <c r="D981" s="14" t="s">
        <v>337</v>
      </c>
      <c r="E981" s="14" t="s">
        <v>77</v>
      </c>
      <c r="F981" s="14" t="s">
        <v>43</v>
      </c>
      <c r="G981" s="14" t="s">
        <v>1904</v>
      </c>
      <c r="H981" s="14" t="s">
        <v>357</v>
      </c>
      <c r="I981" s="14" t="s">
        <v>79</v>
      </c>
      <c r="J981" s="14" t="s">
        <v>83</v>
      </c>
      <c r="K981" s="14" t="s">
        <v>340</v>
      </c>
      <c r="L981" s="14" t="s">
        <v>341</v>
      </c>
      <c r="M981" s="16" t="s">
        <v>1905</v>
      </c>
      <c r="N981" s="14" t="s">
        <v>705</v>
      </c>
      <c r="O981" s="14" t="s">
        <v>1906</v>
      </c>
      <c r="P981" s="14">
        <v>210</v>
      </c>
      <c r="Q981" s="14">
        <v>2</v>
      </c>
      <c r="R981" s="14">
        <v>3100</v>
      </c>
      <c r="S981" s="14" t="s">
        <v>1907</v>
      </c>
      <c r="T981" s="14" t="s">
        <v>1908</v>
      </c>
      <c r="U981" s="14">
        <v>2.7749999999999999</v>
      </c>
      <c r="V981" s="14">
        <v>3.2236111111111101</v>
      </c>
      <c r="W981" s="14">
        <v>1951</v>
      </c>
      <c r="X981" s="14">
        <v>80</v>
      </c>
      <c r="Y981" s="14">
        <v>1871</v>
      </c>
      <c r="Z981" s="14">
        <v>1849</v>
      </c>
      <c r="AA981" s="14">
        <v>255</v>
      </c>
      <c r="AB981" s="14">
        <v>257</v>
      </c>
      <c r="AC981" s="14">
        <v>1243</v>
      </c>
      <c r="AD981" s="14">
        <v>94</v>
      </c>
      <c r="AE981" s="14">
        <v>3800</v>
      </c>
      <c r="AF981" s="14">
        <v>5000</v>
      </c>
      <c r="AG981" s="14">
        <v>6165</v>
      </c>
      <c r="AH981" s="14">
        <v>0</v>
      </c>
      <c r="AI981" s="14">
        <v>171</v>
      </c>
      <c r="AJ981" s="14">
        <v>343</v>
      </c>
      <c r="AK981" s="14" t="s">
        <v>1904</v>
      </c>
      <c r="AL981" s="14" t="s">
        <v>1909</v>
      </c>
      <c r="AM981" s="14">
        <v>885.82</v>
      </c>
      <c r="AN981" s="14">
        <v>809.32</v>
      </c>
      <c r="AO981" s="14">
        <v>54.99</v>
      </c>
      <c r="AP981" s="14">
        <v>20125</v>
      </c>
      <c r="AQ981" s="14">
        <v>20045</v>
      </c>
      <c r="AR981" s="14">
        <v>23000</v>
      </c>
      <c r="AS981" s="14">
        <v>16325</v>
      </c>
      <c r="AT981" s="14">
        <v>18174</v>
      </c>
      <c r="AU981" s="14">
        <v>45</v>
      </c>
      <c r="AV981" s="14">
        <v>292.31</v>
      </c>
      <c r="AW981" s="14">
        <v>52.63</v>
      </c>
      <c r="AX981" s="14">
        <v>0.23</v>
      </c>
      <c r="AY981" s="14" t="b">
        <v>0</v>
      </c>
    </row>
    <row r="982" spans="1:51" hidden="1" x14ac:dyDescent="0.3">
      <c r="A982" t="str">
        <f>CONCATENATE(I982,E982,LEFT(G982,10))</f>
        <v>HFA952LBSF2026-02-20</v>
      </c>
      <c r="B982" s="14" t="s">
        <v>702</v>
      </c>
      <c r="C982" s="14" t="s">
        <v>336</v>
      </c>
      <c r="D982" s="14" t="s">
        <v>337</v>
      </c>
      <c r="E982" s="14" t="s">
        <v>77</v>
      </c>
      <c r="F982" s="14" t="s">
        <v>43</v>
      </c>
      <c r="G982" s="14" t="s">
        <v>703</v>
      </c>
      <c r="H982" s="14" t="s">
        <v>357</v>
      </c>
      <c r="I982" s="14" t="s">
        <v>79</v>
      </c>
      <c r="J982" s="14" t="s">
        <v>83</v>
      </c>
      <c r="K982" s="14" t="s">
        <v>340</v>
      </c>
      <c r="L982" s="14" t="s">
        <v>341</v>
      </c>
      <c r="M982" s="16" t="s">
        <v>704</v>
      </c>
      <c r="N982" s="14" t="s">
        <v>705</v>
      </c>
      <c r="O982" s="14" t="s">
        <v>706</v>
      </c>
      <c r="P982" s="14">
        <v>170</v>
      </c>
      <c r="Q982" s="14">
        <v>2</v>
      </c>
      <c r="R982" s="14">
        <v>3000</v>
      </c>
      <c r="S982" s="14" t="s">
        <v>707</v>
      </c>
      <c r="T982" s="14" t="s">
        <v>708</v>
      </c>
      <c r="U982" s="14">
        <v>3.49</v>
      </c>
      <c r="V982" s="14">
        <v>3.83222222222222</v>
      </c>
      <c r="W982" s="14">
        <v>2369</v>
      </c>
      <c r="X982" s="14">
        <v>80</v>
      </c>
      <c r="Y982" s="14">
        <v>2289</v>
      </c>
      <c r="Z982" s="14">
        <v>1631</v>
      </c>
      <c r="AA982" s="14">
        <v>249</v>
      </c>
      <c r="AB982" s="14">
        <v>255</v>
      </c>
      <c r="AC982" s="14">
        <v>1014</v>
      </c>
      <c r="AD982" s="14">
        <v>114</v>
      </c>
      <c r="AE982" s="14">
        <v>4000</v>
      </c>
      <c r="AF982" s="14">
        <v>5000</v>
      </c>
      <c r="AG982" s="14">
        <v>7485</v>
      </c>
      <c r="AH982" s="14">
        <v>0</v>
      </c>
      <c r="AI982" s="14">
        <v>208</v>
      </c>
      <c r="AJ982" s="14">
        <v>369</v>
      </c>
      <c r="AK982" s="14" t="s">
        <v>703</v>
      </c>
      <c r="AL982" s="14" t="s">
        <v>709</v>
      </c>
      <c r="AM982" s="14">
        <v>920.16</v>
      </c>
      <c r="AN982" s="14">
        <v>809.32</v>
      </c>
      <c r="AO982" s="14">
        <v>54.99</v>
      </c>
      <c r="AP982" s="14">
        <v>20225</v>
      </c>
      <c r="AQ982" s="14">
        <v>20145</v>
      </c>
      <c r="AR982" s="14">
        <v>23000</v>
      </c>
      <c r="AS982" s="14">
        <v>16225</v>
      </c>
      <c r="AT982" s="14">
        <v>17856</v>
      </c>
      <c r="AU982" s="14">
        <v>-3</v>
      </c>
      <c r="AV982" s="14">
        <v>231.93</v>
      </c>
      <c r="AW982" s="14">
        <v>36.5</v>
      </c>
      <c r="AX982" s="14">
        <v>4.1500000000000004</v>
      </c>
      <c r="AY982" s="14" t="b">
        <v>0</v>
      </c>
    </row>
    <row r="983" spans="1:51" hidden="1" x14ac:dyDescent="0.3">
      <c r="A983" t="str">
        <f>CONCATENATE(I983,E983,LEFT(G983,10))</f>
        <v>HFA952LBSF2026-02-23</v>
      </c>
      <c r="B983" s="14" t="s">
        <v>3760</v>
      </c>
      <c r="C983" s="14" t="s">
        <v>336</v>
      </c>
      <c r="D983" s="14" t="s">
        <v>337</v>
      </c>
      <c r="E983" s="14" t="s">
        <v>77</v>
      </c>
      <c r="F983" s="14" t="s">
        <v>43</v>
      </c>
      <c r="G983" s="14" t="s">
        <v>3761</v>
      </c>
      <c r="H983" s="14" t="s">
        <v>357</v>
      </c>
      <c r="I983" s="14" t="s">
        <v>79</v>
      </c>
      <c r="J983" s="14" t="s">
        <v>83</v>
      </c>
      <c r="K983" s="14" t="s">
        <v>340</v>
      </c>
      <c r="L983" s="14" t="s">
        <v>341</v>
      </c>
      <c r="M983" s="16" t="s">
        <v>3762</v>
      </c>
      <c r="N983" s="14" t="s">
        <v>705</v>
      </c>
      <c r="O983" s="14" t="s">
        <v>3763</v>
      </c>
      <c r="P983" s="14">
        <v>190</v>
      </c>
      <c r="Q983" s="14">
        <v>2</v>
      </c>
      <c r="R983" s="14">
        <v>5900</v>
      </c>
      <c r="S983" s="14" t="s">
        <v>3764</v>
      </c>
      <c r="T983" s="14" t="s">
        <v>3765</v>
      </c>
      <c r="U983" s="14">
        <v>3.33111111111111</v>
      </c>
      <c r="V983" s="14">
        <v>3.5449999999999999</v>
      </c>
      <c r="W983" s="14">
        <v>2177</v>
      </c>
      <c r="X983" s="14">
        <v>80</v>
      </c>
      <c r="Y983" s="14">
        <v>2097</v>
      </c>
      <c r="Z983" s="14">
        <v>1223</v>
      </c>
      <c r="AA983" s="14">
        <v>256</v>
      </c>
      <c r="AB983" s="14">
        <v>276</v>
      </c>
      <c r="AC983" s="14">
        <v>586</v>
      </c>
      <c r="AD983" s="14">
        <v>105</v>
      </c>
      <c r="AE983" s="14">
        <v>3400</v>
      </c>
      <c r="AF983" s="14">
        <v>5000</v>
      </c>
      <c r="AG983" s="14">
        <v>6879</v>
      </c>
      <c r="AH983" s="14">
        <v>0</v>
      </c>
      <c r="AI983" s="14">
        <v>190</v>
      </c>
      <c r="AJ983" s="14">
        <v>304</v>
      </c>
      <c r="AK983" s="14" t="s">
        <v>3761</v>
      </c>
      <c r="AL983" s="14" t="s">
        <v>3766</v>
      </c>
      <c r="AM983" s="14">
        <v>885.82</v>
      </c>
      <c r="AN983" s="14">
        <v>809.32</v>
      </c>
      <c r="AO983" s="14">
        <v>54.99</v>
      </c>
      <c r="AP983" s="14">
        <v>22525</v>
      </c>
      <c r="AQ983" s="14">
        <v>22445</v>
      </c>
      <c r="AR983" s="14">
        <v>23000</v>
      </c>
      <c r="AS983" s="14">
        <v>19125</v>
      </c>
      <c r="AT983" s="14">
        <v>20348</v>
      </c>
      <c r="AU983" s="14">
        <v>17</v>
      </c>
      <c r="AV983" s="14">
        <v>352.14</v>
      </c>
      <c r="AW983" s="14">
        <v>21.11</v>
      </c>
      <c r="AX983" s="14">
        <v>-2.0099999999999998</v>
      </c>
      <c r="AY983" s="14" t="b">
        <v>0</v>
      </c>
    </row>
    <row r="984" spans="1:51" hidden="1" x14ac:dyDescent="0.3">
      <c r="A984" t="str">
        <f>CONCATENATE(I984,E984,LEFT(G984,10))</f>
        <v>HFA952LBSF2026-02-25</v>
      </c>
      <c r="B984" s="14" t="s">
        <v>3609</v>
      </c>
      <c r="C984" s="14" t="s">
        <v>336</v>
      </c>
      <c r="D984" s="14" t="s">
        <v>337</v>
      </c>
      <c r="E984" s="14" t="s">
        <v>77</v>
      </c>
      <c r="F984" s="14" t="s">
        <v>43</v>
      </c>
      <c r="G984" s="14" t="s">
        <v>3610</v>
      </c>
      <c r="H984" s="14" t="s">
        <v>357</v>
      </c>
      <c r="I984" s="14" t="s">
        <v>79</v>
      </c>
      <c r="J984" s="14" t="s">
        <v>83</v>
      </c>
      <c r="K984" s="14" t="s">
        <v>340</v>
      </c>
      <c r="L984" s="14" t="s">
        <v>341</v>
      </c>
      <c r="M984" s="16" t="s">
        <v>3611</v>
      </c>
      <c r="N984" s="14" t="s">
        <v>705</v>
      </c>
      <c r="O984" s="14" t="s">
        <v>3612</v>
      </c>
      <c r="P984" s="14">
        <v>190</v>
      </c>
      <c r="Q984" s="14">
        <v>2</v>
      </c>
      <c r="R984" s="14">
        <v>2700</v>
      </c>
      <c r="S984" s="14" t="s">
        <v>3613</v>
      </c>
      <c r="T984" s="14" t="s">
        <v>3614</v>
      </c>
      <c r="U984" s="14">
        <v>2.8088888888888799</v>
      </c>
      <c r="V984" s="14">
        <v>3.0494444444444402</v>
      </c>
      <c r="W984" s="14">
        <v>1937</v>
      </c>
      <c r="X984" s="14">
        <v>80</v>
      </c>
      <c r="Y984" s="14">
        <v>1857</v>
      </c>
      <c r="Z984" s="14">
        <v>1563</v>
      </c>
      <c r="AA984" s="14">
        <v>252</v>
      </c>
      <c r="AB984" s="14">
        <v>252</v>
      </c>
      <c r="AC984" s="14">
        <v>966</v>
      </c>
      <c r="AD984" s="14">
        <v>93</v>
      </c>
      <c r="AE984" s="14">
        <v>3500</v>
      </c>
      <c r="AF984" s="14">
        <v>5000</v>
      </c>
      <c r="AG984" s="14">
        <v>6121</v>
      </c>
      <c r="AH984" s="14">
        <v>0</v>
      </c>
      <c r="AI984" s="14">
        <v>170</v>
      </c>
      <c r="AJ984" s="14">
        <v>321</v>
      </c>
      <c r="AK984" s="14" t="s">
        <v>3610</v>
      </c>
      <c r="AL984" s="14" t="s">
        <v>3615</v>
      </c>
      <c r="AM984" s="14">
        <v>885.82</v>
      </c>
      <c r="AN984" s="14">
        <v>809.32</v>
      </c>
      <c r="AO984" s="14">
        <v>54.99</v>
      </c>
      <c r="AP984" s="14">
        <v>19425</v>
      </c>
      <c r="AQ984" s="14">
        <v>19345</v>
      </c>
      <c r="AR984" s="14">
        <v>23000</v>
      </c>
      <c r="AS984" s="14">
        <v>15925</v>
      </c>
      <c r="AT984" s="14">
        <v>17488</v>
      </c>
      <c r="AU984" s="14">
        <v>45</v>
      </c>
      <c r="AV984" s="14">
        <v>309.02</v>
      </c>
      <c r="AW984" s="14">
        <v>49.46</v>
      </c>
      <c r="AX984" s="14">
        <v>-0.31</v>
      </c>
      <c r="AY984" s="14" t="b">
        <v>0</v>
      </c>
    </row>
    <row r="985" spans="1:51" hidden="1" x14ac:dyDescent="0.3">
      <c r="A985" t="str">
        <f>CONCATENATE(I985,E985,LEFT(G985,10))</f>
        <v>HFA952LBSF2026-02-27</v>
      </c>
      <c r="B985" s="14" t="s">
        <v>3398</v>
      </c>
      <c r="C985" s="14" t="s">
        <v>336</v>
      </c>
      <c r="D985" s="14" t="s">
        <v>337</v>
      </c>
      <c r="E985" s="14" t="s">
        <v>77</v>
      </c>
      <c r="F985" s="14" t="s">
        <v>43</v>
      </c>
      <c r="G985" s="14" t="s">
        <v>3399</v>
      </c>
      <c r="H985" s="14" t="s">
        <v>357</v>
      </c>
      <c r="I985" s="14" t="s">
        <v>79</v>
      </c>
      <c r="J985" s="14" t="s">
        <v>83</v>
      </c>
      <c r="K985" s="14" t="s">
        <v>340</v>
      </c>
      <c r="L985" s="14" t="s">
        <v>341</v>
      </c>
      <c r="M985" s="16" t="s">
        <v>682</v>
      </c>
      <c r="N985" s="14" t="s">
        <v>705</v>
      </c>
      <c r="O985" s="14" t="s">
        <v>1536</v>
      </c>
      <c r="P985" s="14">
        <v>210</v>
      </c>
      <c r="Q985" s="14">
        <v>2</v>
      </c>
      <c r="R985" s="14">
        <v>3500</v>
      </c>
      <c r="S985" s="14" t="s">
        <v>3400</v>
      </c>
      <c r="T985" s="14" t="s">
        <v>3401</v>
      </c>
      <c r="U985" s="14">
        <v>3.0497222222222198</v>
      </c>
      <c r="V985" s="14">
        <v>3.3230555555555501</v>
      </c>
      <c r="W985" s="14">
        <v>1879</v>
      </c>
      <c r="X985" s="14">
        <v>80</v>
      </c>
      <c r="Y985" s="14">
        <v>1799</v>
      </c>
      <c r="Z985" s="14">
        <v>1521</v>
      </c>
      <c r="AA985" s="14">
        <v>240</v>
      </c>
      <c r="AB985" s="14">
        <v>258</v>
      </c>
      <c r="AC985" s="14">
        <v>934</v>
      </c>
      <c r="AD985" s="14">
        <v>90</v>
      </c>
      <c r="AE985" s="14">
        <v>3400</v>
      </c>
      <c r="AF985" s="14">
        <v>5000</v>
      </c>
      <c r="AG985" s="14">
        <v>5936</v>
      </c>
      <c r="AH985" s="14">
        <v>0</v>
      </c>
      <c r="AI985" s="14">
        <v>174</v>
      </c>
      <c r="AJ985" s="14">
        <v>325</v>
      </c>
      <c r="AK985" s="14" t="s">
        <v>3399</v>
      </c>
      <c r="AL985" s="14" t="s">
        <v>3402</v>
      </c>
      <c r="AM985" s="14">
        <v>885.82</v>
      </c>
      <c r="AN985" s="14">
        <v>809.32</v>
      </c>
      <c r="AO985" s="14">
        <v>54.99</v>
      </c>
      <c r="AP985" s="14">
        <v>20125</v>
      </c>
      <c r="AQ985" s="14">
        <v>20045</v>
      </c>
      <c r="AR985" s="14">
        <v>23000</v>
      </c>
      <c r="AS985" s="14">
        <v>16725</v>
      </c>
      <c r="AT985" s="14">
        <v>18246</v>
      </c>
      <c r="AU985" s="14">
        <v>42</v>
      </c>
      <c r="AV985" s="14">
        <v>333.31</v>
      </c>
      <c r="AW985" s="14">
        <v>43.6</v>
      </c>
      <c r="AX985" s="14">
        <v>0.39</v>
      </c>
      <c r="AY985" s="14" t="b">
        <v>0</v>
      </c>
    </row>
    <row r="986" spans="1:51" hidden="1" x14ac:dyDescent="0.3">
      <c r="A986" t="str">
        <f>CONCATENATE(I986,E986,LEFT(G986,10))</f>
        <v>HFA991LLHA2026-01-04</v>
      </c>
      <c r="B986" s="14" t="s">
        <v>5395</v>
      </c>
      <c r="C986" s="14" t="s">
        <v>841</v>
      </c>
      <c r="D986" s="14" t="s">
        <v>688</v>
      </c>
      <c r="E986" s="14" t="s">
        <v>43</v>
      </c>
      <c r="F986" s="14" t="s">
        <v>77</v>
      </c>
      <c r="G986" s="14" t="s">
        <v>5396</v>
      </c>
      <c r="H986" s="14" t="s">
        <v>357</v>
      </c>
      <c r="I986" s="14" t="s">
        <v>4881</v>
      </c>
      <c r="J986" s="14" t="s">
        <v>759</v>
      </c>
      <c r="K986" s="14" t="s">
        <v>349</v>
      </c>
      <c r="L986" s="14" t="s">
        <v>542</v>
      </c>
      <c r="M986" s="16"/>
      <c r="N986" s="14" t="s">
        <v>359</v>
      </c>
      <c r="O986" s="14" t="s">
        <v>4882</v>
      </c>
      <c r="P986" s="14">
        <v>50</v>
      </c>
      <c r="Q986" s="14">
        <v>0</v>
      </c>
      <c r="R986" s="14">
        <v>5500</v>
      </c>
      <c r="S986" s="14"/>
      <c r="T986" s="14"/>
      <c r="U986" s="14"/>
      <c r="V986" s="14"/>
      <c r="W986" s="14">
        <v>2484</v>
      </c>
      <c r="X986" s="14">
        <v>50</v>
      </c>
      <c r="Y986" s="14">
        <v>2434</v>
      </c>
      <c r="Z986" s="14">
        <v>977</v>
      </c>
      <c r="AA986" s="14">
        <v>390</v>
      </c>
      <c r="AB986" s="14">
        <v>266</v>
      </c>
      <c r="AC986" s="14">
        <v>200</v>
      </c>
      <c r="AD986" s="14">
        <v>122</v>
      </c>
      <c r="AE986" s="14">
        <v>3461</v>
      </c>
      <c r="AF986" s="14">
        <v>5000</v>
      </c>
      <c r="AG986" s="14">
        <v>7848</v>
      </c>
      <c r="AH986" s="14">
        <v>0</v>
      </c>
      <c r="AI986" s="14">
        <v>214</v>
      </c>
      <c r="AJ986" s="14">
        <v>302</v>
      </c>
      <c r="AK986" s="14" t="s">
        <v>5396</v>
      </c>
      <c r="AL986" s="14" t="s">
        <v>5397</v>
      </c>
      <c r="AM986" s="14">
        <v>932.78</v>
      </c>
      <c r="AN986" s="14">
        <v>809.32</v>
      </c>
      <c r="AO986" s="14">
        <v>103.97</v>
      </c>
      <c r="AP986" s="14">
        <v>22186</v>
      </c>
      <c r="AQ986" s="14">
        <v>22136</v>
      </c>
      <c r="AR986" s="14">
        <v>23000</v>
      </c>
      <c r="AS986" s="14">
        <v>18725</v>
      </c>
      <c r="AT986" s="14">
        <v>19702</v>
      </c>
      <c r="AU986" s="14">
        <v>-2</v>
      </c>
      <c r="AV986" s="14">
        <v>231.28</v>
      </c>
      <c r="AW986" s="14">
        <v>23.03</v>
      </c>
      <c r="AX986" s="14">
        <v>3.49</v>
      </c>
      <c r="AY986" s="14" t="b">
        <v>0</v>
      </c>
    </row>
    <row r="987" spans="1:51" hidden="1" x14ac:dyDescent="0.3">
      <c r="A987" t="str">
        <f>CONCATENATE(I987,E987,LEFT(G987,10))</f>
        <v>HFA991LLHA2026-01-06</v>
      </c>
      <c r="B987" s="14" t="s">
        <v>4879</v>
      </c>
      <c r="C987" s="14" t="s">
        <v>841</v>
      </c>
      <c r="D987" s="14" t="s">
        <v>688</v>
      </c>
      <c r="E987" s="14" t="s">
        <v>43</v>
      </c>
      <c r="F987" s="14" t="s">
        <v>77</v>
      </c>
      <c r="G987" s="14" t="s">
        <v>4880</v>
      </c>
      <c r="H987" s="14" t="s">
        <v>357</v>
      </c>
      <c r="I987" s="14" t="s">
        <v>4881</v>
      </c>
      <c r="J987" s="14" t="s">
        <v>759</v>
      </c>
      <c r="K987" s="14" t="s">
        <v>349</v>
      </c>
      <c r="L987" s="14" t="s">
        <v>542</v>
      </c>
      <c r="M987" s="16"/>
      <c r="N987" s="14" t="s">
        <v>359</v>
      </c>
      <c r="O987" s="14" t="s">
        <v>4882</v>
      </c>
      <c r="P987" s="14">
        <v>50</v>
      </c>
      <c r="Q987" s="14">
        <v>0</v>
      </c>
      <c r="R987" s="14">
        <v>5600</v>
      </c>
      <c r="S987" s="14"/>
      <c r="T987" s="14"/>
      <c r="U987" s="14"/>
      <c r="V987" s="14"/>
      <c r="W987" s="14">
        <v>2586</v>
      </c>
      <c r="X987" s="14">
        <v>50</v>
      </c>
      <c r="Y987" s="14">
        <v>2536</v>
      </c>
      <c r="Z987" s="14">
        <v>999</v>
      </c>
      <c r="AA987" s="14">
        <v>405</v>
      </c>
      <c r="AB987" s="14">
        <v>267</v>
      </c>
      <c r="AC987" s="14">
        <v>200</v>
      </c>
      <c r="AD987" s="14">
        <v>127</v>
      </c>
      <c r="AE987" s="14">
        <v>3585</v>
      </c>
      <c r="AF987" s="14">
        <v>5000</v>
      </c>
      <c r="AG987" s="14">
        <v>8173</v>
      </c>
      <c r="AH987" s="14">
        <v>0</v>
      </c>
      <c r="AI987" s="14">
        <v>222</v>
      </c>
      <c r="AJ987" s="14">
        <v>312</v>
      </c>
      <c r="AK987" s="14" t="s">
        <v>4880</v>
      </c>
      <c r="AL987" s="14" t="s">
        <v>4883</v>
      </c>
      <c r="AM987" s="14">
        <v>932.78</v>
      </c>
      <c r="AN987" s="14">
        <v>809.32</v>
      </c>
      <c r="AO987" s="14">
        <v>103.97</v>
      </c>
      <c r="AP987" s="14">
        <v>22410</v>
      </c>
      <c r="AQ987" s="14">
        <v>22360</v>
      </c>
      <c r="AR987" s="14">
        <v>23000</v>
      </c>
      <c r="AS987" s="14">
        <v>18825</v>
      </c>
      <c r="AT987" s="14">
        <v>19824</v>
      </c>
      <c r="AU987" s="14">
        <v>-12</v>
      </c>
      <c r="AV987" s="14">
        <v>251.79</v>
      </c>
      <c r="AW987" s="14">
        <v>29.1</v>
      </c>
      <c r="AX987" s="14">
        <v>2.96</v>
      </c>
      <c r="AY987" s="14" t="b">
        <v>0</v>
      </c>
    </row>
    <row r="988" spans="1:51" hidden="1" x14ac:dyDescent="0.3">
      <c r="A988" t="str">
        <f>CONCATENATE(I988,E988,LEFT(G988,10))</f>
        <v>HFA999LBSF2026-01-14</v>
      </c>
      <c r="B988" s="14" t="s">
        <v>5734</v>
      </c>
      <c r="C988" s="14" t="s">
        <v>841</v>
      </c>
      <c r="D988" s="14" t="s">
        <v>688</v>
      </c>
      <c r="E988" s="14" t="s">
        <v>77</v>
      </c>
      <c r="F988" s="14" t="s">
        <v>43</v>
      </c>
      <c r="G988" s="14" t="s">
        <v>5735</v>
      </c>
      <c r="H988" s="14" t="s">
        <v>357</v>
      </c>
      <c r="I988" s="14" t="s">
        <v>690</v>
      </c>
      <c r="J988" s="14" t="s">
        <v>83</v>
      </c>
      <c r="K988" s="14" t="s">
        <v>340</v>
      </c>
      <c r="L988" s="14" t="s">
        <v>542</v>
      </c>
      <c r="M988" s="16" t="s">
        <v>5736</v>
      </c>
      <c r="N988" s="14" t="s">
        <v>705</v>
      </c>
      <c r="O988" s="14" t="s">
        <v>5730</v>
      </c>
      <c r="P988" s="14">
        <v>190</v>
      </c>
      <c r="Q988" s="14">
        <v>0</v>
      </c>
      <c r="R988" s="14">
        <v>5300</v>
      </c>
      <c r="S988" s="14"/>
      <c r="T988" s="14"/>
      <c r="U988" s="14"/>
      <c r="V988" s="14"/>
      <c r="W988" s="14">
        <v>2102</v>
      </c>
      <c r="X988" s="14">
        <v>80</v>
      </c>
      <c r="Y988" s="14">
        <v>2022</v>
      </c>
      <c r="Z988" s="14">
        <v>1398</v>
      </c>
      <c r="AA988" s="14">
        <v>252</v>
      </c>
      <c r="AB988" s="14">
        <v>272</v>
      </c>
      <c r="AC988" s="14">
        <v>773</v>
      </c>
      <c r="AD988" s="14">
        <v>101</v>
      </c>
      <c r="AE988" s="14">
        <v>3500</v>
      </c>
      <c r="AF988" s="14">
        <v>5000</v>
      </c>
      <c r="AG988" s="14">
        <v>6641</v>
      </c>
      <c r="AH988" s="14">
        <v>0</v>
      </c>
      <c r="AI988" s="14">
        <v>178</v>
      </c>
      <c r="AJ988" s="14">
        <v>301</v>
      </c>
      <c r="AK988" s="14" t="s">
        <v>5735</v>
      </c>
      <c r="AL988" s="14" t="s">
        <v>5737</v>
      </c>
      <c r="AM988" s="14">
        <v>885.81</v>
      </c>
      <c r="AN988" s="14">
        <v>809.32</v>
      </c>
      <c r="AO988" s="14">
        <v>54.99</v>
      </c>
      <c r="AP988" s="14">
        <v>22025</v>
      </c>
      <c r="AQ988" s="14">
        <v>21945</v>
      </c>
      <c r="AR988" s="14">
        <v>23000</v>
      </c>
      <c r="AS988" s="14">
        <v>18525</v>
      </c>
      <c r="AT988" s="14">
        <v>19923</v>
      </c>
      <c r="AU988" s="14">
        <v>36</v>
      </c>
      <c r="AV988" s="14">
        <v>321.88</v>
      </c>
      <c r="AW988" s="14">
        <v>41.47</v>
      </c>
      <c r="AX988" s="14">
        <v>1.99</v>
      </c>
      <c r="AY988" s="14" t="b">
        <v>0</v>
      </c>
    </row>
    <row r="989" spans="1:51" hidden="1" x14ac:dyDescent="0.3">
      <c r="A989" t="str">
        <f>CONCATENATE(I989,E989,LEFT(G989,10))</f>
        <v>HFA999LCLK2026-03-01</v>
      </c>
      <c r="B989" s="14" t="s">
        <v>3386</v>
      </c>
      <c r="C989" s="14" t="s">
        <v>841</v>
      </c>
      <c r="D989" s="14" t="s">
        <v>688</v>
      </c>
      <c r="E989" s="14" t="s">
        <v>87</v>
      </c>
      <c r="F989" s="14" t="s">
        <v>43</v>
      </c>
      <c r="G989" s="14" t="s">
        <v>3387</v>
      </c>
      <c r="H989" s="14" t="s">
        <v>436</v>
      </c>
      <c r="I989" s="14" t="s">
        <v>690</v>
      </c>
      <c r="J989" s="14" t="s">
        <v>87</v>
      </c>
      <c r="K989" s="14" t="s">
        <v>340</v>
      </c>
      <c r="L989" s="14" t="s">
        <v>542</v>
      </c>
      <c r="M989" s="16"/>
      <c r="N989" s="14" t="s">
        <v>705</v>
      </c>
      <c r="O989" s="14" t="s">
        <v>410</v>
      </c>
      <c r="P989" s="14">
        <v>130</v>
      </c>
      <c r="Q989" s="14">
        <v>0</v>
      </c>
      <c r="R989" s="14">
        <v>0</v>
      </c>
      <c r="S989" s="14"/>
      <c r="T989" s="14"/>
      <c r="U989" s="14"/>
      <c r="V989" s="14"/>
      <c r="W989" s="14">
        <v>572</v>
      </c>
      <c r="X989" s="14">
        <v>80</v>
      </c>
      <c r="Y989" s="14">
        <v>492</v>
      </c>
      <c r="Z989" s="14">
        <v>1628</v>
      </c>
      <c r="AA989" s="14">
        <v>550</v>
      </c>
      <c r="AB989" s="14">
        <v>233</v>
      </c>
      <c r="AC989" s="14">
        <v>807</v>
      </c>
      <c r="AD989" s="14">
        <v>39</v>
      </c>
      <c r="AE989" s="14">
        <v>2200</v>
      </c>
      <c r="AF989" s="14">
        <v>5000</v>
      </c>
      <c r="AG989" s="14">
        <v>1807</v>
      </c>
      <c r="AH989" s="14">
        <v>0</v>
      </c>
      <c r="AI989" s="14">
        <v>39</v>
      </c>
      <c r="AJ989" s="14">
        <v>179</v>
      </c>
      <c r="AK989" s="14" t="s">
        <v>3387</v>
      </c>
      <c r="AL989" s="14" t="s">
        <v>3388</v>
      </c>
      <c r="AM989" s="14">
        <v>162.11000000000001</v>
      </c>
      <c r="AN989" s="14">
        <v>142.63999999999999</v>
      </c>
      <c r="AO989" s="14">
        <v>159.41</v>
      </c>
      <c r="AP989" s="14">
        <v>15405</v>
      </c>
      <c r="AQ989" s="14">
        <v>15325</v>
      </c>
      <c r="AR989" s="14">
        <v>23000</v>
      </c>
      <c r="AS989" s="14">
        <v>13205</v>
      </c>
      <c r="AT989" s="14">
        <v>14833</v>
      </c>
      <c r="AU989" s="14">
        <v>6</v>
      </c>
      <c r="AV989" s="14">
        <v>266.74</v>
      </c>
      <c r="AW989" s="14">
        <v>19.79</v>
      </c>
      <c r="AX989" s="14">
        <v>2.19</v>
      </c>
      <c r="AY989" s="14" t="b">
        <v>0</v>
      </c>
    </row>
    <row r="990" spans="1:51" hidden="1" x14ac:dyDescent="0.3">
      <c r="A990" t="str">
        <f>CONCATENATE(I990,E990,LEFT(G990,10))</f>
        <v>HFA999LCPH2026-01-27</v>
      </c>
      <c r="B990" s="14" t="s">
        <v>928</v>
      </c>
      <c r="C990" s="14" t="s">
        <v>336</v>
      </c>
      <c r="D990" s="14" t="s">
        <v>688</v>
      </c>
      <c r="E990" s="14" t="s">
        <v>69</v>
      </c>
      <c r="F990" s="14" t="s">
        <v>43</v>
      </c>
      <c r="G990" s="14" t="s">
        <v>929</v>
      </c>
      <c r="H990" s="14" t="s">
        <v>357</v>
      </c>
      <c r="I990" s="14" t="s">
        <v>690</v>
      </c>
      <c r="J990" s="14" t="s">
        <v>83</v>
      </c>
      <c r="K990" s="14" t="s">
        <v>340</v>
      </c>
      <c r="L990" s="14" t="s">
        <v>542</v>
      </c>
      <c r="M990" s="16" t="s">
        <v>930</v>
      </c>
      <c r="N990" s="14" t="s">
        <v>359</v>
      </c>
      <c r="O990" s="14" t="s">
        <v>423</v>
      </c>
      <c r="P990" s="14">
        <v>130</v>
      </c>
      <c r="Q990" s="14">
        <v>2</v>
      </c>
      <c r="R990" s="14">
        <v>4000</v>
      </c>
      <c r="S990" s="14"/>
      <c r="T990" s="14"/>
      <c r="U990" s="14"/>
      <c r="V990" s="14"/>
      <c r="W990" s="14">
        <v>713</v>
      </c>
      <c r="X990" s="14">
        <v>80</v>
      </c>
      <c r="Y990" s="14">
        <v>633</v>
      </c>
      <c r="Z990" s="14">
        <v>1687</v>
      </c>
      <c r="AA990" s="14">
        <v>262</v>
      </c>
      <c r="AB990" s="14">
        <v>263</v>
      </c>
      <c r="AC990" s="14">
        <v>1118</v>
      </c>
      <c r="AD990" s="14">
        <v>44</v>
      </c>
      <c r="AE990" s="14">
        <v>2400</v>
      </c>
      <c r="AF990" s="14">
        <v>5000</v>
      </c>
      <c r="AG990" s="14">
        <v>2253</v>
      </c>
      <c r="AH990" s="14">
        <v>0</v>
      </c>
      <c r="AI990" s="14">
        <v>49</v>
      </c>
      <c r="AJ990" s="14">
        <v>190</v>
      </c>
      <c r="AK990" s="14" t="s">
        <v>929</v>
      </c>
      <c r="AL990" s="14" t="s">
        <v>931</v>
      </c>
      <c r="AM990" s="14">
        <v>205.27</v>
      </c>
      <c r="AN990" s="14">
        <v>171.59</v>
      </c>
      <c r="AO990" s="14">
        <v>54.99</v>
      </c>
      <c r="AP990" s="14">
        <v>19625</v>
      </c>
      <c r="AQ990" s="14">
        <v>19545</v>
      </c>
      <c r="AR990" s="14">
        <v>23000</v>
      </c>
      <c r="AS990" s="14">
        <v>17225</v>
      </c>
      <c r="AT990" s="14">
        <v>18912</v>
      </c>
      <c r="AU990" s="14">
        <v>2</v>
      </c>
      <c r="AV990" s="14">
        <v>232.3</v>
      </c>
      <c r="AW990" s="14">
        <v>16.809999999999999</v>
      </c>
      <c r="AX990" s="14">
        <v>-2.62</v>
      </c>
      <c r="AY990" s="14" t="b">
        <v>0</v>
      </c>
    </row>
    <row r="991" spans="1:51" hidden="1" x14ac:dyDescent="0.3">
      <c r="A991" t="str">
        <f>CONCATENATE(I991,E991,LEFT(G991,10))</f>
        <v>HFA999LLHA2026-01-14</v>
      </c>
      <c r="B991" s="14" t="s">
        <v>5770</v>
      </c>
      <c r="C991" s="14" t="s">
        <v>841</v>
      </c>
      <c r="D991" s="14" t="s">
        <v>688</v>
      </c>
      <c r="E991" s="14" t="s">
        <v>43</v>
      </c>
      <c r="F991" s="14" t="s">
        <v>77</v>
      </c>
      <c r="G991" s="14" t="s">
        <v>5771</v>
      </c>
      <c r="H991" s="14" t="s">
        <v>393</v>
      </c>
      <c r="I991" s="14" t="s">
        <v>690</v>
      </c>
      <c r="J991" s="14" t="s">
        <v>759</v>
      </c>
      <c r="K991" s="14" t="s">
        <v>349</v>
      </c>
      <c r="L991" s="14" t="s">
        <v>542</v>
      </c>
      <c r="M991" s="16"/>
      <c r="N991" s="14" t="s">
        <v>3136</v>
      </c>
      <c r="O991" s="14" t="s">
        <v>5772</v>
      </c>
      <c r="P991" s="14">
        <v>50</v>
      </c>
      <c r="Q991" s="14">
        <v>0</v>
      </c>
      <c r="R991" s="14">
        <v>4400</v>
      </c>
      <c r="S991" s="14"/>
      <c r="T991" s="14"/>
      <c r="U991" s="14"/>
      <c r="V991" s="14"/>
      <c r="W991" s="14">
        <v>3021</v>
      </c>
      <c r="X991" s="14">
        <v>50</v>
      </c>
      <c r="Y991" s="14">
        <v>2971</v>
      </c>
      <c r="Z991" s="14">
        <v>886</v>
      </c>
      <c r="AA991" s="14">
        <v>382</v>
      </c>
      <c r="AB991" s="14">
        <v>255</v>
      </c>
      <c r="AC991" s="14">
        <v>100</v>
      </c>
      <c r="AD991" s="14">
        <v>149</v>
      </c>
      <c r="AE991" s="14">
        <v>3907</v>
      </c>
      <c r="AF991" s="14">
        <v>5000</v>
      </c>
      <c r="AG991" s="14">
        <v>9547</v>
      </c>
      <c r="AH991" s="14">
        <v>0</v>
      </c>
      <c r="AI991" s="14">
        <v>245</v>
      </c>
      <c r="AJ991" s="14">
        <v>327</v>
      </c>
      <c r="AK991" s="14" t="s">
        <v>5771</v>
      </c>
      <c r="AL991" s="14" t="s">
        <v>5773</v>
      </c>
      <c r="AM991" s="14">
        <v>924.53</v>
      </c>
      <c r="AN991" s="14">
        <v>809.32</v>
      </c>
      <c r="AO991" s="14">
        <v>102.22</v>
      </c>
      <c r="AP991" s="14">
        <v>21618</v>
      </c>
      <c r="AQ991" s="14">
        <v>21568</v>
      </c>
      <c r="AR991" s="14">
        <v>23000</v>
      </c>
      <c r="AS991" s="14">
        <v>17711</v>
      </c>
      <c r="AT991" s="14">
        <v>18597</v>
      </c>
      <c r="AU991" s="14">
        <v>-39</v>
      </c>
      <c r="AV991" s="14">
        <v>320.24</v>
      </c>
      <c r="AW991" s="14">
        <v>42.93</v>
      </c>
      <c r="AX991" s="14">
        <v>0.86</v>
      </c>
      <c r="AY991" s="14" t="b">
        <v>0</v>
      </c>
    </row>
    <row r="992" spans="1:51" hidden="1" x14ac:dyDescent="0.3">
      <c r="A992" t="str">
        <f>CONCATENATE(I992,E992,LEFT(G992,10))</f>
        <v>HFA999LLHA2026-02-27</v>
      </c>
      <c r="B992" s="14" t="s">
        <v>3389</v>
      </c>
      <c r="C992" s="14" t="s">
        <v>841</v>
      </c>
      <c r="D992" s="14" t="s">
        <v>688</v>
      </c>
      <c r="E992" s="14" t="s">
        <v>43</v>
      </c>
      <c r="F992" s="14" t="s">
        <v>87</v>
      </c>
      <c r="G992" s="14" t="s">
        <v>3390</v>
      </c>
      <c r="H992" s="14" t="s">
        <v>371</v>
      </c>
      <c r="I992" s="14" t="s">
        <v>690</v>
      </c>
      <c r="J992" s="14" t="s">
        <v>69</v>
      </c>
      <c r="K992" s="14" t="s">
        <v>349</v>
      </c>
      <c r="L992" s="14" t="s">
        <v>542</v>
      </c>
      <c r="M992" s="16"/>
      <c r="N992" s="14"/>
      <c r="O992" s="14" t="s">
        <v>351</v>
      </c>
      <c r="P992" s="14">
        <v>180</v>
      </c>
      <c r="Q992" s="14">
        <v>0</v>
      </c>
      <c r="R992" s="14">
        <v>0</v>
      </c>
      <c r="S992" s="14"/>
      <c r="T992" s="14"/>
      <c r="U992" s="14"/>
      <c r="V992" s="14"/>
      <c r="W992" s="14">
        <v>599</v>
      </c>
      <c r="X992" s="14">
        <v>50</v>
      </c>
      <c r="Y992" s="14">
        <v>549</v>
      </c>
      <c r="Z992" s="14">
        <v>692</v>
      </c>
      <c r="AA992" s="14">
        <v>326</v>
      </c>
      <c r="AB992" s="14">
        <v>228</v>
      </c>
      <c r="AC992" s="14">
        <v>100</v>
      </c>
      <c r="AD992" s="14">
        <v>38</v>
      </c>
      <c r="AE992" s="14">
        <v>1291</v>
      </c>
      <c r="AF992" s="14">
        <v>5000</v>
      </c>
      <c r="AG992" s="14">
        <v>1893</v>
      </c>
      <c r="AH992" s="14">
        <v>0</v>
      </c>
      <c r="AI992" s="14">
        <v>46</v>
      </c>
      <c r="AJ992" s="14">
        <v>110</v>
      </c>
      <c r="AK992" s="14" t="s">
        <v>3390</v>
      </c>
      <c r="AL992" s="14" t="s">
        <v>3391</v>
      </c>
      <c r="AM992" s="14">
        <v>179.36</v>
      </c>
      <c r="AN992" s="14">
        <v>142.63999999999999</v>
      </c>
      <c r="AO992" s="14">
        <v>73.5</v>
      </c>
      <c r="AP992" s="14">
        <v>14791</v>
      </c>
      <c r="AQ992" s="14">
        <v>14741</v>
      </c>
      <c r="AR992" s="14">
        <v>23000</v>
      </c>
      <c r="AS992" s="14">
        <v>13500</v>
      </c>
      <c r="AT992" s="14">
        <v>14192</v>
      </c>
      <c r="AU992" s="14">
        <v>-9</v>
      </c>
      <c r="AV992" s="14">
        <v>267.89</v>
      </c>
      <c r="AW992" s="14">
        <v>30.12</v>
      </c>
      <c r="AX992" s="14">
        <v>1.06</v>
      </c>
      <c r="AY992" s="14" t="b">
        <v>0</v>
      </c>
    </row>
    <row r="993" spans="1:51" hidden="1" x14ac:dyDescent="0.3">
      <c r="A993" t="str">
        <f>CONCATENATE(I993,E993,LEFT(G993,10))</f>
        <v>HFA999LLHA2026-03-29</v>
      </c>
      <c r="B993" s="14" t="s">
        <v>4592</v>
      </c>
      <c r="C993" s="14" t="s">
        <v>841</v>
      </c>
      <c r="D993" s="14" t="s">
        <v>688</v>
      </c>
      <c r="E993" s="14" t="s">
        <v>43</v>
      </c>
      <c r="F993" s="14" t="s">
        <v>87</v>
      </c>
      <c r="G993" s="14" t="s">
        <v>4593</v>
      </c>
      <c r="H993" s="14" t="s">
        <v>436</v>
      </c>
      <c r="I993" s="14" t="s">
        <v>690</v>
      </c>
      <c r="J993" s="14" t="s">
        <v>69</v>
      </c>
      <c r="K993" s="14" t="s">
        <v>691</v>
      </c>
      <c r="L993" s="14" t="s">
        <v>542</v>
      </c>
      <c r="M993" s="16"/>
      <c r="N993" s="14" t="s">
        <v>359</v>
      </c>
      <c r="O993" s="14" t="s">
        <v>693</v>
      </c>
      <c r="P993" s="14">
        <v>160</v>
      </c>
      <c r="Q993" s="14">
        <v>2</v>
      </c>
      <c r="R993" s="14">
        <v>0</v>
      </c>
      <c r="S993" s="14"/>
      <c r="T993" s="14"/>
      <c r="U993" s="14"/>
      <c r="V993" s="14"/>
      <c r="W993" s="14">
        <v>511</v>
      </c>
      <c r="X993" s="14">
        <v>50</v>
      </c>
      <c r="Y993" s="14">
        <v>461</v>
      </c>
      <c r="Z993" s="14">
        <v>703</v>
      </c>
      <c r="AA993" s="14">
        <v>340</v>
      </c>
      <c r="AB993" s="14">
        <v>225</v>
      </c>
      <c r="AC993" s="14">
        <v>100</v>
      </c>
      <c r="AD993" s="14">
        <v>38</v>
      </c>
      <c r="AE993" s="14">
        <v>1214</v>
      </c>
      <c r="AF993" s="14">
        <v>5000</v>
      </c>
      <c r="AG993" s="14">
        <v>1614</v>
      </c>
      <c r="AH993" s="14">
        <v>0</v>
      </c>
      <c r="AI993" s="14">
        <v>38</v>
      </c>
      <c r="AJ993" s="14">
        <v>103</v>
      </c>
      <c r="AK993" s="14" t="s">
        <v>4593</v>
      </c>
      <c r="AL993" s="14" t="s">
        <v>4594</v>
      </c>
      <c r="AM993" s="14">
        <v>142.63999999999999</v>
      </c>
      <c r="AN993" s="14">
        <v>142.63999999999999</v>
      </c>
      <c r="AO993" s="14">
        <v>73.5</v>
      </c>
      <c r="AP993" s="14">
        <v>14419</v>
      </c>
      <c r="AQ993" s="14">
        <v>14369</v>
      </c>
      <c r="AR993" s="14">
        <v>23000</v>
      </c>
      <c r="AS993" s="14">
        <v>13205</v>
      </c>
      <c r="AT993" s="14">
        <v>13908</v>
      </c>
      <c r="AU993" s="14">
        <v>-12</v>
      </c>
      <c r="AV993" s="14">
        <v>253.65</v>
      </c>
      <c r="AW993" s="14">
        <v>60.14</v>
      </c>
      <c r="AX993" s="14">
        <v>1.04</v>
      </c>
      <c r="AY993" s="14" t="b">
        <v>0</v>
      </c>
    </row>
    <row r="994" spans="1:51" hidden="1" x14ac:dyDescent="0.3">
      <c r="A994" t="str">
        <f>CONCATENATE(I994,E994,LEFT(G994,10))</f>
        <v>HFA999LLHA2026-03-30</v>
      </c>
      <c r="B994" s="14" t="s">
        <v>687</v>
      </c>
      <c r="C994" s="14" t="s">
        <v>336</v>
      </c>
      <c r="D994" s="14" t="s">
        <v>688</v>
      </c>
      <c r="E994" s="14" t="s">
        <v>43</v>
      </c>
      <c r="F994" s="14" t="s">
        <v>87</v>
      </c>
      <c r="G994" s="14" t="s">
        <v>2950</v>
      </c>
      <c r="H994" s="14" t="s">
        <v>371</v>
      </c>
      <c r="I994" s="14" t="s">
        <v>690</v>
      </c>
      <c r="J994" s="14" t="s">
        <v>69</v>
      </c>
      <c r="K994" s="14" t="s">
        <v>691</v>
      </c>
      <c r="L994" s="14" t="s">
        <v>542</v>
      </c>
      <c r="M994" s="16" t="s">
        <v>692</v>
      </c>
      <c r="N994" s="14"/>
      <c r="O994" s="14" t="s">
        <v>693</v>
      </c>
      <c r="P994" s="14">
        <v>180</v>
      </c>
      <c r="Q994" s="14">
        <v>1</v>
      </c>
      <c r="R994" s="14">
        <v>0</v>
      </c>
      <c r="S994" s="14"/>
      <c r="T994" s="14"/>
      <c r="U994" s="14"/>
      <c r="V994" s="14"/>
      <c r="W994" s="14">
        <v>571</v>
      </c>
      <c r="X994" s="14">
        <v>80</v>
      </c>
      <c r="Y994" s="14">
        <v>491</v>
      </c>
      <c r="Z994" s="14">
        <v>708</v>
      </c>
      <c r="AA994" s="14">
        <v>342</v>
      </c>
      <c r="AB994" s="14">
        <v>228</v>
      </c>
      <c r="AC994" s="14">
        <v>100</v>
      </c>
      <c r="AD994" s="14">
        <v>38</v>
      </c>
      <c r="AE994" s="14">
        <v>1279</v>
      </c>
      <c r="AF994" s="14">
        <v>5000</v>
      </c>
      <c r="AG994" s="14">
        <v>1803</v>
      </c>
      <c r="AH994" s="14">
        <v>0</v>
      </c>
      <c r="AI994" s="14">
        <v>41</v>
      </c>
      <c r="AJ994" s="14">
        <v>106</v>
      </c>
      <c r="AK994" s="14" t="s">
        <v>2950</v>
      </c>
      <c r="AL994" s="14" t="s">
        <v>2951</v>
      </c>
      <c r="AM994" s="14">
        <v>142.63999999999999</v>
      </c>
      <c r="AN994" s="14">
        <v>142.63999999999999</v>
      </c>
      <c r="AO994" s="14">
        <v>73.5</v>
      </c>
      <c r="AP994" s="14">
        <v>14779</v>
      </c>
      <c r="AQ994" s="14">
        <v>14699</v>
      </c>
      <c r="AR994" s="14">
        <v>23000</v>
      </c>
      <c r="AS994" s="14">
        <v>13500</v>
      </c>
      <c r="AT994" s="14">
        <v>14208</v>
      </c>
      <c r="AU994" s="14">
        <v>-25</v>
      </c>
      <c r="AV994" s="14">
        <v>273.91000000000003</v>
      </c>
      <c r="AW994" s="14">
        <v>60.93</v>
      </c>
      <c r="AX994" s="14">
        <v>-0.09</v>
      </c>
      <c r="AY994" s="14" t="b">
        <v>0</v>
      </c>
    </row>
    <row r="995" spans="1:51" hidden="1" x14ac:dyDescent="0.3">
      <c r="A995" t="str">
        <f>CONCATENATE(I995,E995,LEFT(G995,10))</f>
        <v>HFA999LLHA2026-03-31</v>
      </c>
      <c r="B995" s="14" t="s">
        <v>687</v>
      </c>
      <c r="C995" s="14" t="s">
        <v>336</v>
      </c>
      <c r="D995" s="14" t="s">
        <v>688</v>
      </c>
      <c r="E995" s="14" t="s">
        <v>43</v>
      </c>
      <c r="F995" s="14" t="s">
        <v>87</v>
      </c>
      <c r="G995" s="14" t="s">
        <v>689</v>
      </c>
      <c r="H995" s="14" t="s">
        <v>436</v>
      </c>
      <c r="I995" s="14" t="s">
        <v>690</v>
      </c>
      <c r="J995" s="14" t="s">
        <v>69</v>
      </c>
      <c r="K995" s="14" t="s">
        <v>691</v>
      </c>
      <c r="L995" s="14" t="s">
        <v>542</v>
      </c>
      <c r="M995" s="16" t="s">
        <v>692</v>
      </c>
      <c r="N995" s="14" t="s">
        <v>359</v>
      </c>
      <c r="O995" s="14" t="s">
        <v>693</v>
      </c>
      <c r="P995" s="14">
        <v>160</v>
      </c>
      <c r="Q995" s="14">
        <v>0</v>
      </c>
      <c r="R995" s="14">
        <v>0</v>
      </c>
      <c r="S995" s="14"/>
      <c r="T995" s="14"/>
      <c r="U995" s="14"/>
      <c r="V995" s="14"/>
      <c r="W995" s="14">
        <v>544</v>
      </c>
      <c r="X995" s="14">
        <v>80</v>
      </c>
      <c r="Y995" s="14">
        <v>464</v>
      </c>
      <c r="Z995" s="14">
        <v>684</v>
      </c>
      <c r="AA995" s="14">
        <v>321</v>
      </c>
      <c r="AB995" s="14">
        <v>225</v>
      </c>
      <c r="AC995" s="14">
        <v>100</v>
      </c>
      <c r="AD995" s="14">
        <v>38</v>
      </c>
      <c r="AE995" s="14">
        <v>1228</v>
      </c>
      <c r="AF995" s="14">
        <v>5000</v>
      </c>
      <c r="AG995" s="14">
        <v>1720</v>
      </c>
      <c r="AH995" s="14">
        <v>0</v>
      </c>
      <c r="AI995" s="14">
        <v>39</v>
      </c>
      <c r="AJ995" s="14">
        <v>102</v>
      </c>
      <c r="AK995" s="14" t="s">
        <v>689</v>
      </c>
      <c r="AL995" s="14" t="s">
        <v>694</v>
      </c>
      <c r="AM995" s="14">
        <v>142.63999999999999</v>
      </c>
      <c r="AN995" s="14">
        <v>142.63999999999999</v>
      </c>
      <c r="AO995" s="14">
        <v>73.5</v>
      </c>
      <c r="AP995" s="14">
        <v>14433</v>
      </c>
      <c r="AQ995" s="14">
        <v>14353</v>
      </c>
      <c r="AR995" s="14">
        <v>23000</v>
      </c>
      <c r="AS995" s="14">
        <v>13205</v>
      </c>
      <c r="AT995" s="14">
        <v>13889</v>
      </c>
      <c r="AU995" s="14">
        <v>-14</v>
      </c>
      <c r="AV995" s="14">
        <v>281.58</v>
      </c>
      <c r="AW995" s="14">
        <v>28.72</v>
      </c>
      <c r="AX995" s="14">
        <v>-0.02</v>
      </c>
      <c r="AY995" s="14" t="b">
        <v>0</v>
      </c>
    </row>
    <row r="996" spans="1:51" hidden="1" x14ac:dyDescent="0.3">
      <c r="A996" t="str">
        <f>CONCATENATE(I996,E996,LEFT(G996,10))</f>
        <v>LCLK2026-03-06</v>
      </c>
      <c r="B996" s="14" t="s">
        <v>3369</v>
      </c>
      <c r="C996" s="14" t="s">
        <v>841</v>
      </c>
      <c r="D996" s="14" t="s">
        <v>688</v>
      </c>
      <c r="E996" s="14" t="s">
        <v>87</v>
      </c>
      <c r="F996" s="14" t="s">
        <v>77</v>
      </c>
      <c r="G996" s="14" t="s">
        <v>3370</v>
      </c>
      <c r="H996" s="14" t="s">
        <v>393</v>
      </c>
      <c r="I996" s="14"/>
      <c r="J996" s="14"/>
      <c r="K996" s="14" t="s">
        <v>471</v>
      </c>
      <c r="L996" s="14" t="s">
        <v>542</v>
      </c>
      <c r="M996" s="16"/>
      <c r="N996" s="14"/>
      <c r="O996" s="14" t="s">
        <v>3371</v>
      </c>
      <c r="P996" s="14">
        <v>150</v>
      </c>
      <c r="Q996" s="14">
        <v>2</v>
      </c>
      <c r="R996" s="14">
        <v>0</v>
      </c>
      <c r="S996" s="14"/>
      <c r="T996" s="14"/>
      <c r="U996" s="14"/>
      <c r="V996" s="14"/>
      <c r="W996" s="14">
        <v>2317</v>
      </c>
      <c r="X996" s="14">
        <v>80</v>
      </c>
      <c r="Y996" s="14">
        <v>2237</v>
      </c>
      <c r="Z996" s="14">
        <v>440</v>
      </c>
      <c r="AA996" s="14">
        <v>110</v>
      </c>
      <c r="AB996" s="14">
        <v>219</v>
      </c>
      <c r="AC996" s="14">
        <v>0</v>
      </c>
      <c r="AD996" s="14">
        <v>112</v>
      </c>
      <c r="AE996" s="14">
        <v>2757</v>
      </c>
      <c r="AF996" s="14">
        <v>5000</v>
      </c>
      <c r="AG996" s="14">
        <v>7321</v>
      </c>
      <c r="AH996" s="14">
        <v>0</v>
      </c>
      <c r="AI996" s="14">
        <v>167</v>
      </c>
      <c r="AJ996" s="14">
        <v>228</v>
      </c>
      <c r="AK996" s="14" t="s">
        <v>3370</v>
      </c>
      <c r="AL996" s="14" t="s">
        <v>3372</v>
      </c>
      <c r="AM996" s="14">
        <v>729.18</v>
      </c>
      <c r="AN996" s="14">
        <v>669.47</v>
      </c>
      <c r="AO996" s="14">
        <v>0</v>
      </c>
      <c r="AP996" s="14">
        <v>16295</v>
      </c>
      <c r="AQ996" s="14">
        <v>16215</v>
      </c>
      <c r="AR996" s="14">
        <v>23000</v>
      </c>
      <c r="AS996" s="14">
        <v>13538</v>
      </c>
      <c r="AT996" s="14">
        <v>13978</v>
      </c>
      <c r="AU996" s="14">
        <v>-14</v>
      </c>
      <c r="AV996" s="14">
        <v>275.7</v>
      </c>
      <c r="AW996" s="14">
        <v>18.52</v>
      </c>
      <c r="AX996" s="14">
        <v>-1.6</v>
      </c>
      <c r="AY996" s="14" t="b">
        <v>0</v>
      </c>
    </row>
    <row r="997" spans="1:51" hidden="1" x14ac:dyDescent="0.3">
      <c r="A997" t="str">
        <f>CONCATENATE(I997,E997,LEFT(G997,10))</f>
        <v>LCLK2026-03-20</v>
      </c>
      <c r="B997" s="14" t="s">
        <v>2609</v>
      </c>
      <c r="C997" s="14" t="s">
        <v>841</v>
      </c>
      <c r="D997" s="14" t="s">
        <v>688</v>
      </c>
      <c r="E997" s="14" t="s">
        <v>87</v>
      </c>
      <c r="F997" s="14" t="s">
        <v>2610</v>
      </c>
      <c r="G997" s="14" t="s">
        <v>2611</v>
      </c>
      <c r="H997" s="14" t="s">
        <v>393</v>
      </c>
      <c r="I997" s="14"/>
      <c r="J997" s="14"/>
      <c r="K997" s="14" t="s">
        <v>471</v>
      </c>
      <c r="L997" s="14" t="s">
        <v>542</v>
      </c>
      <c r="M997" s="16"/>
      <c r="N997" s="14"/>
      <c r="O997" s="14" t="s">
        <v>693</v>
      </c>
      <c r="P997" s="14">
        <v>160</v>
      </c>
      <c r="Q997" s="14">
        <v>2</v>
      </c>
      <c r="R997" s="14">
        <v>0</v>
      </c>
      <c r="S997" s="14"/>
      <c r="T997" s="14"/>
      <c r="U997" s="14"/>
      <c r="V997" s="14"/>
      <c r="W997" s="14">
        <v>4673</v>
      </c>
      <c r="X997" s="14">
        <v>80</v>
      </c>
      <c r="Y997" s="14">
        <v>4593</v>
      </c>
      <c r="Z997" s="14">
        <v>564</v>
      </c>
      <c r="AA997" s="14">
        <v>111</v>
      </c>
      <c r="AB997" s="14">
        <v>223</v>
      </c>
      <c r="AC997" s="14">
        <v>0</v>
      </c>
      <c r="AD997" s="14">
        <v>230</v>
      </c>
      <c r="AE997" s="14">
        <v>5237</v>
      </c>
      <c r="AF997" s="14">
        <v>5000</v>
      </c>
      <c r="AG997" s="14">
        <v>14767</v>
      </c>
      <c r="AH997" s="14">
        <v>0</v>
      </c>
      <c r="AI997" s="14">
        <v>355</v>
      </c>
      <c r="AJ997" s="14">
        <v>431</v>
      </c>
      <c r="AK997" s="14" t="s">
        <v>2611</v>
      </c>
      <c r="AL997" s="14" t="s">
        <v>2612</v>
      </c>
      <c r="AM997" s="14">
        <v>1580.75</v>
      </c>
      <c r="AN997" s="14">
        <v>1580.75</v>
      </c>
      <c r="AO997" s="14">
        <v>0</v>
      </c>
      <c r="AP997" s="14">
        <v>18728</v>
      </c>
      <c r="AQ997" s="14">
        <v>18648</v>
      </c>
      <c r="AR997" s="14">
        <v>23000</v>
      </c>
      <c r="AS997" s="14">
        <v>13491</v>
      </c>
      <c r="AT997" s="14">
        <v>14055</v>
      </c>
      <c r="AU997" s="14">
        <v>-10</v>
      </c>
      <c r="AV997" s="14">
        <v>326.81</v>
      </c>
      <c r="AW997" s="14">
        <v>12.99</v>
      </c>
      <c r="AX997" s="14">
        <v>-1.35</v>
      </c>
      <c r="AY997" s="14" t="b">
        <v>0</v>
      </c>
    </row>
    <row r="998" spans="1:51" hidden="1" x14ac:dyDescent="0.3">
      <c r="A998" t="str">
        <f>CONCATENATE(I998,E998,LEFT(G998,10))</f>
        <v>LCLK2026-03-28</v>
      </c>
      <c r="B998" s="14" t="s">
        <v>2505</v>
      </c>
      <c r="C998" s="14" t="s">
        <v>841</v>
      </c>
      <c r="D998" s="14" t="s">
        <v>688</v>
      </c>
      <c r="E998" s="14" t="s">
        <v>87</v>
      </c>
      <c r="F998" s="14" t="s">
        <v>2506</v>
      </c>
      <c r="G998" s="14" t="s">
        <v>2507</v>
      </c>
      <c r="H998" s="14" t="s">
        <v>393</v>
      </c>
      <c r="I998" s="14"/>
      <c r="J998" s="14"/>
      <c r="K998" s="14" t="s">
        <v>471</v>
      </c>
      <c r="L998" s="14" t="s">
        <v>542</v>
      </c>
      <c r="M998" s="16"/>
      <c r="N998" s="14"/>
      <c r="O998" s="14" t="s">
        <v>2508</v>
      </c>
      <c r="P998" s="14">
        <v>200</v>
      </c>
      <c r="Q998" s="14">
        <v>0</v>
      </c>
      <c r="R998" s="14">
        <v>700</v>
      </c>
      <c r="S998" s="14"/>
      <c r="T998" s="14"/>
      <c r="U998" s="14"/>
      <c r="V998" s="14"/>
      <c r="W998" s="14">
        <v>3110</v>
      </c>
      <c r="X998" s="14">
        <v>30</v>
      </c>
      <c r="Y998" s="14">
        <v>3080</v>
      </c>
      <c r="Z998" s="14">
        <v>499</v>
      </c>
      <c r="AA998" s="14">
        <v>115</v>
      </c>
      <c r="AB998" s="14">
        <v>230</v>
      </c>
      <c r="AC998" s="14">
        <v>0</v>
      </c>
      <c r="AD998" s="14">
        <v>154</v>
      </c>
      <c r="AE998" s="14">
        <v>3609</v>
      </c>
      <c r="AF998" s="14">
        <v>5000</v>
      </c>
      <c r="AG998" s="14">
        <v>9827</v>
      </c>
      <c r="AH998" s="14">
        <v>0</v>
      </c>
      <c r="AI998" s="14">
        <v>282</v>
      </c>
      <c r="AJ998" s="14">
        <v>347</v>
      </c>
      <c r="AK998" s="14" t="s">
        <v>2507</v>
      </c>
      <c r="AL998" s="14" t="s">
        <v>2509</v>
      </c>
      <c r="AM998" s="14">
        <v>1243.95</v>
      </c>
      <c r="AN998" s="14">
        <v>1087.95</v>
      </c>
      <c r="AO998" s="14">
        <v>0</v>
      </c>
      <c r="AP998" s="14">
        <v>17620</v>
      </c>
      <c r="AQ998" s="14">
        <v>17590</v>
      </c>
      <c r="AR998" s="14">
        <v>23000</v>
      </c>
      <c r="AS998" s="14">
        <v>14011</v>
      </c>
      <c r="AT998" s="14">
        <v>14510</v>
      </c>
      <c r="AU998" s="14">
        <v>-4</v>
      </c>
      <c r="AV998" s="14">
        <v>233.73</v>
      </c>
      <c r="AW998" s="14">
        <v>23.82</v>
      </c>
      <c r="AX998" s="14">
        <v>-2.73</v>
      </c>
      <c r="AY998" s="14" t="b">
        <v>0</v>
      </c>
    </row>
    <row r="999" spans="1:51" hidden="1" x14ac:dyDescent="0.3">
      <c r="A999" t="str">
        <f>CONCATENATE(I999,E999,LEFT(G999,10))</f>
        <v>LFBF2026-03-10</v>
      </c>
      <c r="B999" s="14" t="s">
        <v>3134</v>
      </c>
      <c r="C999" s="14" t="s">
        <v>841</v>
      </c>
      <c r="D999" s="14" t="s">
        <v>688</v>
      </c>
      <c r="E999" s="14" t="s">
        <v>132</v>
      </c>
      <c r="F999" s="14" t="s">
        <v>77</v>
      </c>
      <c r="G999" s="14" t="s">
        <v>3135</v>
      </c>
      <c r="H999" s="14" t="s">
        <v>1838</v>
      </c>
      <c r="I999" s="14"/>
      <c r="J999" s="14" t="s">
        <v>759</v>
      </c>
      <c r="K999" s="14" t="s">
        <v>471</v>
      </c>
      <c r="L999" s="14" t="s">
        <v>542</v>
      </c>
      <c r="M999" s="16"/>
      <c r="N999" s="14" t="s">
        <v>3136</v>
      </c>
      <c r="O999" s="14" t="s">
        <v>3137</v>
      </c>
      <c r="P999" s="14">
        <v>150</v>
      </c>
      <c r="Q999" s="14">
        <v>1</v>
      </c>
      <c r="R999" s="14">
        <v>700</v>
      </c>
      <c r="S999" s="14"/>
      <c r="T999" s="14"/>
      <c r="U999" s="14"/>
      <c r="V999" s="14"/>
      <c r="W999" s="14">
        <v>3146</v>
      </c>
      <c r="X999" s="14">
        <v>80</v>
      </c>
      <c r="Y999" s="14">
        <v>3066</v>
      </c>
      <c r="Z999" s="14">
        <v>783</v>
      </c>
      <c r="AA999" s="14">
        <v>405</v>
      </c>
      <c r="AB999" s="14">
        <v>225</v>
      </c>
      <c r="AC999" s="14">
        <v>0</v>
      </c>
      <c r="AD999" s="14">
        <v>153</v>
      </c>
      <c r="AE999" s="14">
        <v>3929</v>
      </c>
      <c r="AF999" s="14">
        <v>5000</v>
      </c>
      <c r="AG999" s="14">
        <v>9940</v>
      </c>
      <c r="AH999" s="14">
        <v>0</v>
      </c>
      <c r="AI999" s="14">
        <v>224</v>
      </c>
      <c r="AJ999" s="14">
        <v>302</v>
      </c>
      <c r="AK999" s="14" t="s">
        <v>3135</v>
      </c>
      <c r="AL999" s="14" t="s">
        <v>3138</v>
      </c>
      <c r="AM999" s="14">
        <v>1043.3599999999999</v>
      </c>
      <c r="AN999" s="14">
        <v>967.47</v>
      </c>
      <c r="AO999" s="14">
        <v>102.22</v>
      </c>
      <c r="AP999" s="14">
        <v>17967</v>
      </c>
      <c r="AQ999" s="14">
        <v>17887</v>
      </c>
      <c r="AR999" s="14">
        <v>23000</v>
      </c>
      <c r="AS999" s="14">
        <v>14038</v>
      </c>
      <c r="AT999" s="14">
        <v>14821</v>
      </c>
      <c r="AU999" s="14">
        <v>6</v>
      </c>
      <c r="AV999" s="14">
        <v>226.39</v>
      </c>
      <c r="AW999" s="14">
        <v>9.7799999999999994</v>
      </c>
      <c r="AX999" s="14">
        <v>-2.54</v>
      </c>
      <c r="AY999" s="14" t="b">
        <v>0</v>
      </c>
    </row>
    <row r="1000" spans="1:51" hidden="1" x14ac:dyDescent="0.3">
      <c r="A1000" t="str">
        <f>CONCATENATE(I1000,E1000,LEFT(G1000,10))</f>
        <v>LLBG2026-01-21</v>
      </c>
      <c r="B1000" s="14" t="s">
        <v>1498</v>
      </c>
      <c r="C1000" s="14" t="s">
        <v>841</v>
      </c>
      <c r="D1000" s="14" t="s">
        <v>688</v>
      </c>
      <c r="E1000" s="14" t="s">
        <v>83</v>
      </c>
      <c r="F1000" s="14" t="s">
        <v>43</v>
      </c>
      <c r="G1000" s="14" t="s">
        <v>1499</v>
      </c>
      <c r="H1000" s="14" t="s">
        <v>393</v>
      </c>
      <c r="I1000" s="14"/>
      <c r="J1000" s="14" t="s">
        <v>83</v>
      </c>
      <c r="K1000" s="14" t="s">
        <v>691</v>
      </c>
      <c r="L1000" s="14" t="s">
        <v>542</v>
      </c>
      <c r="M1000" s="16"/>
      <c r="N1000" s="14"/>
      <c r="O1000" s="14" t="s">
        <v>693</v>
      </c>
      <c r="P1000" s="14">
        <v>95</v>
      </c>
      <c r="Q1000" s="14">
        <v>0</v>
      </c>
      <c r="R1000" s="14">
        <v>0</v>
      </c>
      <c r="S1000" s="14"/>
      <c r="T1000" s="14"/>
      <c r="U1000" s="14"/>
      <c r="V1000" s="14"/>
      <c r="W1000" s="14">
        <v>311</v>
      </c>
      <c r="X1000" s="14">
        <v>80</v>
      </c>
      <c r="Y1000" s="14">
        <v>231</v>
      </c>
      <c r="Z1000" s="14">
        <v>859</v>
      </c>
      <c r="AA1000" s="14">
        <v>247</v>
      </c>
      <c r="AB1000" s="14">
        <v>227</v>
      </c>
      <c r="AC1000" s="14">
        <v>347</v>
      </c>
      <c r="AD1000" s="14">
        <v>38</v>
      </c>
      <c r="AE1000" s="14">
        <v>1170</v>
      </c>
      <c r="AF1000" s="14">
        <v>5000</v>
      </c>
      <c r="AG1000" s="14">
        <v>982</v>
      </c>
      <c r="AH1000" s="14">
        <v>0</v>
      </c>
      <c r="AI1000" s="14">
        <v>15</v>
      </c>
      <c r="AJ1000" s="14">
        <v>90</v>
      </c>
      <c r="AK1000" s="14" t="s">
        <v>1499</v>
      </c>
      <c r="AL1000" s="14" t="s">
        <v>1500</v>
      </c>
      <c r="AM1000" s="14">
        <v>48.59</v>
      </c>
      <c r="AN1000" s="14">
        <v>48.59</v>
      </c>
      <c r="AO1000" s="14">
        <v>54.99</v>
      </c>
      <c r="AP1000" s="14">
        <v>14481</v>
      </c>
      <c r="AQ1000" s="14">
        <v>14401</v>
      </c>
      <c r="AR1000" s="14">
        <v>23000</v>
      </c>
      <c r="AS1000" s="14">
        <v>13311</v>
      </c>
      <c r="AT1000" s="14">
        <v>14170</v>
      </c>
      <c r="AU1000" s="14">
        <v>0</v>
      </c>
      <c r="AV1000" s="14">
        <v>269.72000000000003</v>
      </c>
      <c r="AW1000" s="14">
        <v>23.57</v>
      </c>
      <c r="AX1000" s="14">
        <v>-1.95</v>
      </c>
      <c r="AY1000" s="14" t="b">
        <v>0</v>
      </c>
    </row>
    <row r="1001" spans="1:51" hidden="1" x14ac:dyDescent="0.3">
      <c r="A1001" t="str">
        <f>CONCATENATE(I1001,E1001,LEFT(G1001,10))</f>
        <v>LLBG2026-03-21</v>
      </c>
      <c r="B1001" s="14" t="s">
        <v>2521</v>
      </c>
      <c r="C1001" s="14" t="s">
        <v>841</v>
      </c>
      <c r="D1001" s="14" t="s">
        <v>688</v>
      </c>
      <c r="E1001" s="14" t="s">
        <v>83</v>
      </c>
      <c r="F1001" s="14" t="s">
        <v>87</v>
      </c>
      <c r="G1001" s="14" t="s">
        <v>2522</v>
      </c>
      <c r="H1001" s="14" t="s">
        <v>357</v>
      </c>
      <c r="I1001" s="14"/>
      <c r="J1001" s="14" t="s">
        <v>69</v>
      </c>
      <c r="K1001" s="14" t="s">
        <v>471</v>
      </c>
      <c r="L1001" s="14" t="s">
        <v>542</v>
      </c>
      <c r="M1001" s="16"/>
      <c r="N1001" s="14" t="s">
        <v>359</v>
      </c>
      <c r="O1001" s="14" t="s">
        <v>1606</v>
      </c>
      <c r="P1001" s="14">
        <v>220</v>
      </c>
      <c r="Q1001" s="14">
        <v>2</v>
      </c>
      <c r="R1001" s="14">
        <v>5500</v>
      </c>
      <c r="S1001" s="14" t="s">
        <v>2523</v>
      </c>
      <c r="T1001" s="14"/>
      <c r="U1001" s="14"/>
      <c r="V1001" s="14"/>
      <c r="W1001" s="14">
        <v>926</v>
      </c>
      <c r="X1001" s="14">
        <v>80</v>
      </c>
      <c r="Y1001" s="14">
        <v>846</v>
      </c>
      <c r="Z1001" s="14">
        <v>654</v>
      </c>
      <c r="AA1001" s="14">
        <v>340</v>
      </c>
      <c r="AB1001" s="14">
        <v>269</v>
      </c>
      <c r="AC1001" s="14">
        <v>0</v>
      </c>
      <c r="AD1001" s="14">
        <v>45</v>
      </c>
      <c r="AE1001" s="14">
        <v>1580</v>
      </c>
      <c r="AF1001" s="14">
        <v>5000</v>
      </c>
      <c r="AG1001" s="14">
        <v>2926</v>
      </c>
      <c r="AH1001" s="14">
        <v>0</v>
      </c>
      <c r="AI1001" s="14">
        <v>76</v>
      </c>
      <c r="AJ1001" s="14">
        <v>132</v>
      </c>
      <c r="AK1001" s="14" t="s">
        <v>2522</v>
      </c>
      <c r="AL1001" s="14" t="s">
        <v>2524</v>
      </c>
      <c r="AM1001" s="14">
        <v>301.67</v>
      </c>
      <c r="AN1001" s="14">
        <v>183.03</v>
      </c>
      <c r="AO1001" s="14">
        <v>73.5</v>
      </c>
      <c r="AP1001" s="14">
        <v>20532</v>
      </c>
      <c r="AQ1001" s="14">
        <v>20452</v>
      </c>
      <c r="AR1001" s="14">
        <v>23000</v>
      </c>
      <c r="AS1001" s="14">
        <v>18952</v>
      </c>
      <c r="AT1001" s="14">
        <v>19606</v>
      </c>
      <c r="AU1001" s="14">
        <v>-6</v>
      </c>
      <c r="AV1001" s="14">
        <v>259.02</v>
      </c>
      <c r="AW1001" s="14">
        <v>16.79</v>
      </c>
      <c r="AX1001" s="14">
        <v>-4.22</v>
      </c>
      <c r="AY1001" s="14" t="b">
        <v>0</v>
      </c>
    </row>
    <row r="1002" spans="1:51" hidden="1" x14ac:dyDescent="0.3">
      <c r="A1002" t="str">
        <f>CONCATENATE(I1002,E1002,LEFT(G1002,10))</f>
        <v>TEST999LCLK2026-03-23</v>
      </c>
      <c r="B1002" s="14" t="s">
        <v>5284</v>
      </c>
      <c r="C1002" s="14" t="s">
        <v>336</v>
      </c>
      <c r="D1002" s="14" t="s">
        <v>688</v>
      </c>
      <c r="E1002" s="14" t="s">
        <v>87</v>
      </c>
      <c r="F1002" s="14" t="s">
        <v>132</v>
      </c>
      <c r="G1002" s="14" t="s">
        <v>5285</v>
      </c>
      <c r="H1002" s="14" t="s">
        <v>393</v>
      </c>
      <c r="I1002" s="14" t="s">
        <v>5286</v>
      </c>
      <c r="J1002" s="14"/>
      <c r="K1002" s="14" t="s">
        <v>471</v>
      </c>
      <c r="L1002" s="14" t="s">
        <v>542</v>
      </c>
      <c r="M1002" s="16"/>
      <c r="N1002" s="14"/>
      <c r="O1002" s="14" t="s">
        <v>5287</v>
      </c>
      <c r="P1002" s="14">
        <v>220</v>
      </c>
      <c r="Q1002" s="14">
        <v>1</v>
      </c>
      <c r="R1002" s="14">
        <v>500</v>
      </c>
      <c r="S1002" s="14"/>
      <c r="T1002" s="14"/>
      <c r="U1002" s="14"/>
      <c r="V1002" s="14"/>
      <c r="W1002" s="14">
        <v>4429</v>
      </c>
      <c r="X1002" s="14">
        <v>80</v>
      </c>
      <c r="Y1002" s="14">
        <v>4349</v>
      </c>
      <c r="Z1002" s="14">
        <v>571</v>
      </c>
      <c r="AA1002" s="14">
        <v>114</v>
      </c>
      <c r="AB1002" s="14">
        <v>227</v>
      </c>
      <c r="AC1002" s="14">
        <v>13</v>
      </c>
      <c r="AD1002" s="14">
        <v>217</v>
      </c>
      <c r="AE1002" s="14">
        <v>5000</v>
      </c>
      <c r="AF1002" s="14">
        <v>5000</v>
      </c>
      <c r="AG1002" s="14">
        <v>13996</v>
      </c>
      <c r="AH1002" s="14">
        <v>0</v>
      </c>
      <c r="AI1002" s="14">
        <v>383</v>
      </c>
      <c r="AJ1002" s="14">
        <v>458</v>
      </c>
      <c r="AK1002" s="14" t="s">
        <v>5285</v>
      </c>
      <c r="AL1002" s="14" t="s">
        <v>5288</v>
      </c>
      <c r="AM1002" s="14">
        <v>1667.26</v>
      </c>
      <c r="AN1002" s="14">
        <v>1580.46</v>
      </c>
      <c r="AO1002" s="14">
        <v>0</v>
      </c>
      <c r="AP1002" s="14">
        <v>18811</v>
      </c>
      <c r="AQ1002" s="14">
        <v>18731</v>
      </c>
      <c r="AR1002" s="14">
        <v>23000</v>
      </c>
      <c r="AS1002" s="14">
        <v>13811</v>
      </c>
      <c r="AT1002" s="14">
        <v>14382</v>
      </c>
      <c r="AU1002" s="14">
        <v>-12</v>
      </c>
      <c r="AV1002" s="14">
        <v>321.74</v>
      </c>
      <c r="AW1002" s="14">
        <v>12.57</v>
      </c>
      <c r="AX1002" s="14">
        <v>-4.6900000000000004</v>
      </c>
      <c r="AY1002" s="14" t="b">
        <v>0</v>
      </c>
    </row>
    <row r="1003" spans="1:51" hidden="1" x14ac:dyDescent="0.3">
      <c r="A1003" t="str">
        <f>CONCATENATE(I1003,E1003,LEFT(G1003,10))</f>
        <v>TSTLCLK2026-03-29</v>
      </c>
      <c r="B1003" s="14" t="s">
        <v>4605</v>
      </c>
      <c r="C1003" s="14" t="s">
        <v>841</v>
      </c>
      <c r="D1003" s="14" t="s">
        <v>688</v>
      </c>
      <c r="E1003" s="14" t="s">
        <v>87</v>
      </c>
      <c r="F1003" s="14" t="s">
        <v>132</v>
      </c>
      <c r="G1003" s="14" t="s">
        <v>4606</v>
      </c>
      <c r="H1003" s="14" t="s">
        <v>393</v>
      </c>
      <c r="I1003" s="14" t="s">
        <v>4607</v>
      </c>
      <c r="J1003" s="14" t="s">
        <v>2610</v>
      </c>
      <c r="K1003" s="14" t="s">
        <v>471</v>
      </c>
      <c r="L1003" s="14" t="s">
        <v>542</v>
      </c>
      <c r="M1003" s="16"/>
      <c r="N1003" s="14"/>
      <c r="O1003" s="14" t="s">
        <v>4608</v>
      </c>
      <c r="P1003" s="14">
        <v>220</v>
      </c>
      <c r="Q1003" s="14">
        <v>0</v>
      </c>
      <c r="R1003" s="14">
        <v>500</v>
      </c>
      <c r="S1003" s="14"/>
      <c r="T1003" s="14"/>
      <c r="U1003" s="14"/>
      <c r="V1003" s="14"/>
      <c r="W1003" s="14">
        <v>4723</v>
      </c>
      <c r="X1003" s="14">
        <v>50</v>
      </c>
      <c r="Y1003" s="14">
        <v>4673</v>
      </c>
      <c r="Z1003" s="14">
        <v>480</v>
      </c>
      <c r="AA1003" s="14">
        <v>205</v>
      </c>
      <c r="AB1003" s="14">
        <v>225</v>
      </c>
      <c r="AC1003" s="14">
        <v>0</v>
      </c>
      <c r="AD1003" s="14">
        <v>50</v>
      </c>
      <c r="AE1003" s="14">
        <v>5202</v>
      </c>
      <c r="AF1003" s="14">
        <v>5000</v>
      </c>
      <c r="AG1003" s="14">
        <v>14923</v>
      </c>
      <c r="AH1003" s="14">
        <v>0</v>
      </c>
      <c r="AI1003" s="14">
        <v>418</v>
      </c>
      <c r="AJ1003" s="14">
        <v>469</v>
      </c>
      <c r="AK1003" s="14" t="s">
        <v>4606</v>
      </c>
      <c r="AL1003" s="14" t="s">
        <v>4609</v>
      </c>
      <c r="AM1003" s="14">
        <v>1734.63</v>
      </c>
      <c r="AN1003" s="14">
        <v>1580.46</v>
      </c>
      <c r="AO1003" s="14">
        <v>45</v>
      </c>
      <c r="AP1003" s="14">
        <v>19013</v>
      </c>
      <c r="AQ1003" s="14">
        <v>18963</v>
      </c>
      <c r="AR1003" s="14">
        <v>23000</v>
      </c>
      <c r="AS1003" s="14">
        <v>13811</v>
      </c>
      <c r="AT1003" s="14">
        <v>14291</v>
      </c>
      <c r="AU1003" s="14">
        <v>-25</v>
      </c>
      <c r="AV1003" s="14">
        <v>301.42</v>
      </c>
      <c r="AW1003" s="14">
        <v>24.7</v>
      </c>
      <c r="AX1003" s="14">
        <v>-3.45</v>
      </c>
      <c r="AY1003" s="14" t="b">
        <v>0</v>
      </c>
    </row>
    <row r="1004" spans="1:51" x14ac:dyDescent="0.3">
      <c r="M1004"/>
    </row>
    <row r="1005" spans="1:51" x14ac:dyDescent="0.3">
      <c r="M1005"/>
    </row>
    <row r="1006" spans="1:51" x14ac:dyDescent="0.3">
      <c r="M1006"/>
    </row>
    <row r="1007" spans="1:51" x14ac:dyDescent="0.3">
      <c r="M1007"/>
    </row>
    <row r="1008" spans="1:51" x14ac:dyDescent="0.3">
      <c r="M1008"/>
    </row>
    <row r="1009" spans="13:13" x14ac:dyDescent="0.3">
      <c r="M1009"/>
    </row>
    <row r="1010" spans="13:13" x14ac:dyDescent="0.3">
      <c r="M1010"/>
    </row>
    <row r="1011" spans="13:13" x14ac:dyDescent="0.3">
      <c r="M1011"/>
    </row>
    <row r="1012" spans="13:13" x14ac:dyDescent="0.3">
      <c r="M1012"/>
    </row>
    <row r="1013" spans="13:13" x14ac:dyDescent="0.3">
      <c r="M1013"/>
    </row>
    <row r="1014" spans="13:13" x14ac:dyDescent="0.3">
      <c r="M1014"/>
    </row>
    <row r="1015" spans="13:13" x14ac:dyDescent="0.3">
      <c r="M1015"/>
    </row>
    <row r="1016" spans="13:13" x14ac:dyDescent="0.3">
      <c r="M1016"/>
    </row>
    <row r="1017" spans="13:13" x14ac:dyDescent="0.3">
      <c r="M1017"/>
    </row>
    <row r="1018" spans="13:13" x14ac:dyDescent="0.3">
      <c r="M1018"/>
    </row>
    <row r="1019" spans="13:13" x14ac:dyDescent="0.3">
      <c r="M1019"/>
    </row>
    <row r="1020" spans="13:13" x14ac:dyDescent="0.3">
      <c r="M1020"/>
    </row>
    <row r="1021" spans="13:13" x14ac:dyDescent="0.3">
      <c r="M1021"/>
    </row>
    <row r="1022" spans="13:13" x14ac:dyDescent="0.3">
      <c r="M1022"/>
    </row>
    <row r="1023" spans="13:13" x14ac:dyDescent="0.3">
      <c r="M1023"/>
    </row>
    <row r="1024" spans="13:13" x14ac:dyDescent="0.3">
      <c r="M1024"/>
    </row>
    <row r="1025" spans="13:13" x14ac:dyDescent="0.3">
      <c r="M1025"/>
    </row>
    <row r="1026" spans="13:13" x14ac:dyDescent="0.3">
      <c r="M1026"/>
    </row>
    <row r="1027" spans="13:13" x14ac:dyDescent="0.3">
      <c r="M1027"/>
    </row>
    <row r="1028" spans="13:13" x14ac:dyDescent="0.3">
      <c r="M1028"/>
    </row>
    <row r="1029" spans="13:13" x14ac:dyDescent="0.3">
      <c r="M1029"/>
    </row>
    <row r="1030" spans="13:13" x14ac:dyDescent="0.3">
      <c r="M1030"/>
    </row>
    <row r="1031" spans="13:13" x14ac:dyDescent="0.3">
      <c r="M1031"/>
    </row>
    <row r="1032" spans="13:13" x14ac:dyDescent="0.3">
      <c r="M1032"/>
    </row>
    <row r="1033" spans="13:13" x14ac:dyDescent="0.3">
      <c r="M1033"/>
    </row>
    <row r="1034" spans="13:13" x14ac:dyDescent="0.3">
      <c r="M1034"/>
    </row>
    <row r="1035" spans="13:13" x14ac:dyDescent="0.3">
      <c r="M1035"/>
    </row>
    <row r="1036" spans="13:13" x14ac:dyDescent="0.3">
      <c r="M1036"/>
    </row>
    <row r="1037" spans="13:13" x14ac:dyDescent="0.3">
      <c r="M1037"/>
    </row>
    <row r="1038" spans="13:13" x14ac:dyDescent="0.3">
      <c r="M1038"/>
    </row>
    <row r="1039" spans="13:13" x14ac:dyDescent="0.3">
      <c r="M1039"/>
    </row>
    <row r="1040" spans="13:13" x14ac:dyDescent="0.3">
      <c r="M1040"/>
    </row>
    <row r="1041" spans="13:13" x14ac:dyDescent="0.3">
      <c r="M1041"/>
    </row>
    <row r="1042" spans="13:13" x14ac:dyDescent="0.3">
      <c r="M1042"/>
    </row>
    <row r="1043" spans="13:13" x14ac:dyDescent="0.3">
      <c r="M1043"/>
    </row>
    <row r="1044" spans="13:13" x14ac:dyDescent="0.3">
      <c r="M1044"/>
    </row>
    <row r="1045" spans="13:13" x14ac:dyDescent="0.3">
      <c r="M1045"/>
    </row>
    <row r="1046" spans="13:13" x14ac:dyDescent="0.3">
      <c r="M1046"/>
    </row>
    <row r="1047" spans="13:13" x14ac:dyDescent="0.3">
      <c r="M1047"/>
    </row>
    <row r="1048" spans="13:13" x14ac:dyDescent="0.3">
      <c r="M1048"/>
    </row>
    <row r="1049" spans="13:13" x14ac:dyDescent="0.3">
      <c r="M1049"/>
    </row>
    <row r="1050" spans="13:13" x14ac:dyDescent="0.3">
      <c r="M1050"/>
    </row>
    <row r="1051" spans="13:13" x14ac:dyDescent="0.3">
      <c r="M1051"/>
    </row>
    <row r="1052" spans="13:13" x14ac:dyDescent="0.3">
      <c r="M1052"/>
    </row>
    <row r="1053" spans="13:13" x14ac:dyDescent="0.3">
      <c r="M1053"/>
    </row>
    <row r="1054" spans="13:13" x14ac:dyDescent="0.3">
      <c r="M1054"/>
    </row>
    <row r="1055" spans="13:13" x14ac:dyDescent="0.3">
      <c r="M1055"/>
    </row>
    <row r="1056" spans="13:13" x14ac:dyDescent="0.3">
      <c r="M1056"/>
    </row>
    <row r="1057" spans="13:13" x14ac:dyDescent="0.3">
      <c r="M1057"/>
    </row>
    <row r="1058" spans="13:13" x14ac:dyDescent="0.3">
      <c r="M1058"/>
    </row>
    <row r="1059" spans="13:13" x14ac:dyDescent="0.3">
      <c r="M1059"/>
    </row>
    <row r="1060" spans="13:13" x14ac:dyDescent="0.3">
      <c r="M1060"/>
    </row>
    <row r="1061" spans="13:13" x14ac:dyDescent="0.3">
      <c r="M1061"/>
    </row>
    <row r="1062" spans="13:13" x14ac:dyDescent="0.3">
      <c r="M1062"/>
    </row>
    <row r="1063" spans="13:13" x14ac:dyDescent="0.3">
      <c r="M1063"/>
    </row>
    <row r="1064" spans="13:13" x14ac:dyDescent="0.3">
      <c r="M1064"/>
    </row>
    <row r="1065" spans="13:13" x14ac:dyDescent="0.3">
      <c r="M1065"/>
    </row>
    <row r="1066" spans="13:13" x14ac:dyDescent="0.3">
      <c r="M1066"/>
    </row>
    <row r="1067" spans="13:13" x14ac:dyDescent="0.3">
      <c r="M1067"/>
    </row>
    <row r="1068" spans="13:13" x14ac:dyDescent="0.3">
      <c r="M1068"/>
    </row>
    <row r="1069" spans="13:13" x14ac:dyDescent="0.3">
      <c r="M1069"/>
    </row>
    <row r="1070" spans="13:13" x14ac:dyDescent="0.3">
      <c r="M1070"/>
    </row>
    <row r="1071" spans="13:13" x14ac:dyDescent="0.3">
      <c r="M1071"/>
    </row>
    <row r="1072" spans="13:13" x14ac:dyDescent="0.3">
      <c r="M1072"/>
    </row>
    <row r="1073" spans="13:13" x14ac:dyDescent="0.3">
      <c r="M1073"/>
    </row>
    <row r="1074" spans="13:13" x14ac:dyDescent="0.3">
      <c r="M1074"/>
    </row>
    <row r="1075" spans="13:13" x14ac:dyDescent="0.3">
      <c r="M1075"/>
    </row>
    <row r="1076" spans="13:13" x14ac:dyDescent="0.3">
      <c r="M1076"/>
    </row>
    <row r="1077" spans="13:13" x14ac:dyDescent="0.3">
      <c r="M1077"/>
    </row>
    <row r="1078" spans="13:13" x14ac:dyDescent="0.3">
      <c r="M1078"/>
    </row>
    <row r="1079" spans="13:13" x14ac:dyDescent="0.3">
      <c r="M1079"/>
    </row>
    <row r="1080" spans="13:13" x14ac:dyDescent="0.3">
      <c r="M1080"/>
    </row>
    <row r="1081" spans="13:13" x14ac:dyDescent="0.3">
      <c r="M1081"/>
    </row>
    <row r="1082" spans="13:13" x14ac:dyDescent="0.3">
      <c r="M1082"/>
    </row>
    <row r="1083" spans="13:13" x14ac:dyDescent="0.3">
      <c r="M1083"/>
    </row>
    <row r="1084" spans="13:13" x14ac:dyDescent="0.3">
      <c r="M1084"/>
    </row>
    <row r="1085" spans="13:13" x14ac:dyDescent="0.3">
      <c r="M1085"/>
    </row>
    <row r="1086" spans="13:13" x14ac:dyDescent="0.3">
      <c r="M1086"/>
    </row>
    <row r="1087" spans="13:13" x14ac:dyDescent="0.3">
      <c r="M1087"/>
    </row>
    <row r="1088" spans="13:13" x14ac:dyDescent="0.3">
      <c r="M1088"/>
    </row>
    <row r="1089" spans="13:13" x14ac:dyDescent="0.3">
      <c r="M1089"/>
    </row>
    <row r="1090" spans="13:13" x14ac:dyDescent="0.3">
      <c r="M1090"/>
    </row>
    <row r="1091" spans="13:13" x14ac:dyDescent="0.3">
      <c r="M1091"/>
    </row>
    <row r="1092" spans="13:13" x14ac:dyDescent="0.3">
      <c r="M1092"/>
    </row>
    <row r="1093" spans="13:13" x14ac:dyDescent="0.3">
      <c r="M1093"/>
    </row>
    <row r="1094" spans="13:13" x14ac:dyDescent="0.3">
      <c r="M1094"/>
    </row>
    <row r="1095" spans="13:13" x14ac:dyDescent="0.3">
      <c r="M1095"/>
    </row>
    <row r="1096" spans="13:13" x14ac:dyDescent="0.3">
      <c r="M1096"/>
    </row>
    <row r="1097" spans="13:13" x14ac:dyDescent="0.3">
      <c r="M1097"/>
    </row>
    <row r="1098" spans="13:13" x14ac:dyDescent="0.3">
      <c r="M1098"/>
    </row>
    <row r="1099" spans="13:13" x14ac:dyDescent="0.3">
      <c r="M1099"/>
    </row>
    <row r="1100" spans="13:13" x14ac:dyDescent="0.3">
      <c r="M1100"/>
    </row>
    <row r="1101" spans="13:13" x14ac:dyDescent="0.3">
      <c r="M1101"/>
    </row>
    <row r="1102" spans="13:13" x14ac:dyDescent="0.3">
      <c r="M1102"/>
    </row>
    <row r="1103" spans="13:13" x14ac:dyDescent="0.3">
      <c r="M1103"/>
    </row>
    <row r="1104" spans="13:13" x14ac:dyDescent="0.3">
      <c r="M1104"/>
    </row>
    <row r="1105" spans="13:13" x14ac:dyDescent="0.3">
      <c r="M1105"/>
    </row>
    <row r="1106" spans="13:13" x14ac:dyDescent="0.3">
      <c r="M1106"/>
    </row>
    <row r="1107" spans="13:13" x14ac:dyDescent="0.3">
      <c r="M1107"/>
    </row>
    <row r="1108" spans="13:13" x14ac:dyDescent="0.3">
      <c r="M1108"/>
    </row>
    <row r="1109" spans="13:13" x14ac:dyDescent="0.3">
      <c r="M1109"/>
    </row>
    <row r="1110" spans="13:13" x14ac:dyDescent="0.3">
      <c r="M1110"/>
    </row>
    <row r="1111" spans="13:13" x14ac:dyDescent="0.3">
      <c r="M1111"/>
    </row>
    <row r="1112" spans="13:13" x14ac:dyDescent="0.3">
      <c r="M1112"/>
    </row>
    <row r="1113" spans="13:13" x14ac:dyDescent="0.3">
      <c r="M1113"/>
    </row>
    <row r="1114" spans="13:13" x14ac:dyDescent="0.3">
      <c r="M1114"/>
    </row>
    <row r="1115" spans="13:13" x14ac:dyDescent="0.3">
      <c r="M1115"/>
    </row>
    <row r="1116" spans="13:13" x14ac:dyDescent="0.3">
      <c r="M1116"/>
    </row>
    <row r="1117" spans="13:13" x14ac:dyDescent="0.3">
      <c r="M1117"/>
    </row>
    <row r="1118" spans="13:13" x14ac:dyDescent="0.3">
      <c r="M1118"/>
    </row>
    <row r="1119" spans="13:13" x14ac:dyDescent="0.3">
      <c r="M1119"/>
    </row>
    <row r="1120" spans="13:13" x14ac:dyDescent="0.3">
      <c r="M1120"/>
    </row>
    <row r="1121" spans="13:13" x14ac:dyDescent="0.3">
      <c r="M1121"/>
    </row>
    <row r="1122" spans="13:13" x14ac:dyDescent="0.3">
      <c r="M1122"/>
    </row>
    <row r="1123" spans="13:13" x14ac:dyDescent="0.3">
      <c r="M1123"/>
    </row>
    <row r="1124" spans="13:13" x14ac:dyDescent="0.3">
      <c r="M1124"/>
    </row>
    <row r="1125" spans="13:13" x14ac:dyDescent="0.3">
      <c r="M1125"/>
    </row>
    <row r="1126" spans="13:13" x14ac:dyDescent="0.3">
      <c r="M1126"/>
    </row>
    <row r="1127" spans="13:13" x14ac:dyDescent="0.3">
      <c r="M1127"/>
    </row>
    <row r="1128" spans="13:13" x14ac:dyDescent="0.3">
      <c r="M1128"/>
    </row>
    <row r="1129" spans="13:13" x14ac:dyDescent="0.3">
      <c r="M1129"/>
    </row>
    <row r="1130" spans="13:13" x14ac:dyDescent="0.3">
      <c r="M1130"/>
    </row>
    <row r="1131" spans="13:13" x14ac:dyDescent="0.3">
      <c r="M1131"/>
    </row>
    <row r="1132" spans="13:13" x14ac:dyDescent="0.3">
      <c r="M1132"/>
    </row>
    <row r="1133" spans="13:13" x14ac:dyDescent="0.3">
      <c r="M1133"/>
    </row>
    <row r="1134" spans="13:13" x14ac:dyDescent="0.3">
      <c r="M1134"/>
    </row>
    <row r="1135" spans="13:13" x14ac:dyDescent="0.3">
      <c r="M1135"/>
    </row>
    <row r="1136" spans="13:13" x14ac:dyDescent="0.3">
      <c r="M1136"/>
    </row>
    <row r="1137" spans="13:13" x14ac:dyDescent="0.3">
      <c r="M1137"/>
    </row>
    <row r="1138" spans="13:13" x14ac:dyDescent="0.3">
      <c r="M1138"/>
    </row>
    <row r="1139" spans="13:13" x14ac:dyDescent="0.3">
      <c r="M1139"/>
    </row>
    <row r="1140" spans="13:13" x14ac:dyDescent="0.3">
      <c r="M1140"/>
    </row>
    <row r="1141" spans="13:13" x14ac:dyDescent="0.3">
      <c r="M1141"/>
    </row>
    <row r="1142" spans="13:13" x14ac:dyDescent="0.3">
      <c r="M1142"/>
    </row>
    <row r="1143" spans="13:13" x14ac:dyDescent="0.3">
      <c r="M1143"/>
    </row>
    <row r="1144" spans="13:13" x14ac:dyDescent="0.3">
      <c r="M1144"/>
    </row>
    <row r="1145" spans="13:13" x14ac:dyDescent="0.3">
      <c r="M1145"/>
    </row>
    <row r="1146" spans="13:13" x14ac:dyDescent="0.3">
      <c r="M1146"/>
    </row>
    <row r="1147" spans="13:13" x14ac:dyDescent="0.3">
      <c r="M1147"/>
    </row>
    <row r="1148" spans="13:13" x14ac:dyDescent="0.3">
      <c r="M1148"/>
    </row>
    <row r="1149" spans="13:13" x14ac:dyDescent="0.3">
      <c r="M1149"/>
    </row>
    <row r="1150" spans="13:13" x14ac:dyDescent="0.3">
      <c r="M1150"/>
    </row>
    <row r="1151" spans="13:13" x14ac:dyDescent="0.3">
      <c r="M1151"/>
    </row>
    <row r="1152" spans="13:13" x14ac:dyDescent="0.3">
      <c r="M1152"/>
    </row>
    <row r="1153" spans="13:13" x14ac:dyDescent="0.3">
      <c r="M1153"/>
    </row>
    <row r="1154" spans="13:13" x14ac:dyDescent="0.3">
      <c r="M1154"/>
    </row>
    <row r="1155" spans="13:13" x14ac:dyDescent="0.3">
      <c r="M1155"/>
    </row>
    <row r="1156" spans="13:13" x14ac:dyDescent="0.3">
      <c r="M1156"/>
    </row>
    <row r="1157" spans="13:13" x14ac:dyDescent="0.3">
      <c r="M1157"/>
    </row>
    <row r="1158" spans="13:13" x14ac:dyDescent="0.3">
      <c r="M1158"/>
    </row>
    <row r="1159" spans="13:13" x14ac:dyDescent="0.3">
      <c r="M1159"/>
    </row>
    <row r="1160" spans="13:13" x14ac:dyDescent="0.3">
      <c r="M1160"/>
    </row>
    <row r="1161" spans="13:13" x14ac:dyDescent="0.3">
      <c r="M1161"/>
    </row>
    <row r="1162" spans="13:13" x14ac:dyDescent="0.3">
      <c r="M1162"/>
    </row>
    <row r="1163" spans="13:13" x14ac:dyDescent="0.3">
      <c r="M1163"/>
    </row>
    <row r="1164" spans="13:13" x14ac:dyDescent="0.3">
      <c r="M1164"/>
    </row>
    <row r="1165" spans="13:13" x14ac:dyDescent="0.3">
      <c r="M1165"/>
    </row>
    <row r="1166" spans="13:13" x14ac:dyDescent="0.3">
      <c r="M1166"/>
    </row>
    <row r="1167" spans="13:13" x14ac:dyDescent="0.3">
      <c r="M1167"/>
    </row>
    <row r="1168" spans="13:13" x14ac:dyDescent="0.3">
      <c r="M1168"/>
    </row>
    <row r="1169" spans="13:13" x14ac:dyDescent="0.3">
      <c r="M1169"/>
    </row>
    <row r="1170" spans="13:13" x14ac:dyDescent="0.3">
      <c r="M1170"/>
    </row>
    <row r="1171" spans="13:13" x14ac:dyDescent="0.3">
      <c r="M1171"/>
    </row>
    <row r="1172" spans="13:13" x14ac:dyDescent="0.3">
      <c r="M1172"/>
    </row>
    <row r="1173" spans="13:13" x14ac:dyDescent="0.3">
      <c r="M1173"/>
    </row>
    <row r="1174" spans="13:13" x14ac:dyDescent="0.3">
      <c r="M1174"/>
    </row>
    <row r="1175" spans="13:13" x14ac:dyDescent="0.3">
      <c r="M1175"/>
    </row>
    <row r="1176" spans="13:13" x14ac:dyDescent="0.3">
      <c r="M1176"/>
    </row>
    <row r="1177" spans="13:13" x14ac:dyDescent="0.3">
      <c r="M1177"/>
    </row>
    <row r="1178" spans="13:13" x14ac:dyDescent="0.3">
      <c r="M1178"/>
    </row>
    <row r="1179" spans="13:13" x14ac:dyDescent="0.3">
      <c r="M1179"/>
    </row>
    <row r="1180" spans="13:13" x14ac:dyDescent="0.3">
      <c r="M1180"/>
    </row>
    <row r="1181" spans="13:13" x14ac:dyDescent="0.3">
      <c r="M1181"/>
    </row>
    <row r="1182" spans="13:13" x14ac:dyDescent="0.3">
      <c r="M1182"/>
    </row>
    <row r="1183" spans="13:13" x14ac:dyDescent="0.3">
      <c r="M1183"/>
    </row>
    <row r="1184" spans="13:13" x14ac:dyDescent="0.3">
      <c r="M1184"/>
    </row>
    <row r="1185" spans="13:13" x14ac:dyDescent="0.3">
      <c r="M1185"/>
    </row>
    <row r="1186" spans="13:13" x14ac:dyDescent="0.3">
      <c r="M1186"/>
    </row>
    <row r="1187" spans="13:13" x14ac:dyDescent="0.3">
      <c r="M1187"/>
    </row>
    <row r="1188" spans="13:13" x14ac:dyDescent="0.3">
      <c r="M1188"/>
    </row>
    <row r="1189" spans="13:13" x14ac:dyDescent="0.3">
      <c r="M1189"/>
    </row>
    <row r="1190" spans="13:13" x14ac:dyDescent="0.3">
      <c r="M1190"/>
    </row>
    <row r="1191" spans="13:13" x14ac:dyDescent="0.3">
      <c r="M1191"/>
    </row>
    <row r="1192" spans="13:13" x14ac:dyDescent="0.3">
      <c r="M1192"/>
    </row>
    <row r="1193" spans="13:13" x14ac:dyDescent="0.3">
      <c r="M1193"/>
    </row>
    <row r="1194" spans="13:13" x14ac:dyDescent="0.3">
      <c r="M1194"/>
    </row>
    <row r="1195" spans="13:13" x14ac:dyDescent="0.3">
      <c r="M1195"/>
    </row>
    <row r="1196" spans="13:13" x14ac:dyDescent="0.3">
      <c r="M1196"/>
    </row>
    <row r="1197" spans="13:13" x14ac:dyDescent="0.3">
      <c r="M1197"/>
    </row>
    <row r="1198" spans="13:13" x14ac:dyDescent="0.3">
      <c r="M1198"/>
    </row>
    <row r="1199" spans="13:13" x14ac:dyDescent="0.3">
      <c r="M1199"/>
    </row>
    <row r="1200" spans="13:13" x14ac:dyDescent="0.3">
      <c r="M1200"/>
    </row>
    <row r="1201" spans="13:13" x14ac:dyDescent="0.3">
      <c r="M1201"/>
    </row>
    <row r="1202" spans="13:13" x14ac:dyDescent="0.3">
      <c r="M1202"/>
    </row>
    <row r="1203" spans="13:13" x14ac:dyDescent="0.3">
      <c r="M1203"/>
    </row>
    <row r="1204" spans="13:13" x14ac:dyDescent="0.3">
      <c r="M1204"/>
    </row>
    <row r="1205" spans="13:13" x14ac:dyDescent="0.3">
      <c r="M1205"/>
    </row>
    <row r="1206" spans="13:13" x14ac:dyDescent="0.3">
      <c r="M1206"/>
    </row>
    <row r="1207" spans="13:13" x14ac:dyDescent="0.3">
      <c r="M1207"/>
    </row>
    <row r="1208" spans="13:13" x14ac:dyDescent="0.3">
      <c r="M1208"/>
    </row>
    <row r="1209" spans="13:13" x14ac:dyDescent="0.3">
      <c r="M1209"/>
    </row>
    <row r="1210" spans="13:13" x14ac:dyDescent="0.3">
      <c r="M1210"/>
    </row>
    <row r="1211" spans="13:13" x14ac:dyDescent="0.3">
      <c r="M1211"/>
    </row>
    <row r="1212" spans="13:13" x14ac:dyDescent="0.3">
      <c r="M1212"/>
    </row>
    <row r="1213" spans="13:13" x14ac:dyDescent="0.3">
      <c r="M1213"/>
    </row>
    <row r="1214" spans="13:13" x14ac:dyDescent="0.3">
      <c r="M1214"/>
    </row>
    <row r="1215" spans="13:13" x14ac:dyDescent="0.3">
      <c r="M1215"/>
    </row>
    <row r="1216" spans="13:13" x14ac:dyDescent="0.3">
      <c r="M1216"/>
    </row>
    <row r="1217" spans="13:13" x14ac:dyDescent="0.3">
      <c r="M1217"/>
    </row>
    <row r="1218" spans="13:13" x14ac:dyDescent="0.3">
      <c r="M1218"/>
    </row>
    <row r="1219" spans="13:13" x14ac:dyDescent="0.3">
      <c r="M1219"/>
    </row>
    <row r="1220" spans="13:13" x14ac:dyDescent="0.3">
      <c r="M1220"/>
    </row>
    <row r="1221" spans="13:13" x14ac:dyDescent="0.3">
      <c r="M1221"/>
    </row>
    <row r="1222" spans="13:13" x14ac:dyDescent="0.3">
      <c r="M1222"/>
    </row>
    <row r="1223" spans="13:13" x14ac:dyDescent="0.3">
      <c r="M1223"/>
    </row>
    <row r="1224" spans="13:13" x14ac:dyDescent="0.3">
      <c r="M1224"/>
    </row>
    <row r="1225" spans="13:13" x14ac:dyDescent="0.3">
      <c r="M1225"/>
    </row>
    <row r="1226" spans="13:13" x14ac:dyDescent="0.3">
      <c r="M1226"/>
    </row>
    <row r="1227" spans="13:13" x14ac:dyDescent="0.3">
      <c r="M1227"/>
    </row>
    <row r="1228" spans="13:13" x14ac:dyDescent="0.3">
      <c r="M1228"/>
    </row>
    <row r="1229" spans="13:13" x14ac:dyDescent="0.3">
      <c r="M1229"/>
    </row>
    <row r="1230" spans="13:13" x14ac:dyDescent="0.3">
      <c r="M1230"/>
    </row>
    <row r="1231" spans="13:13" x14ac:dyDescent="0.3">
      <c r="M1231"/>
    </row>
    <row r="1232" spans="13:13" x14ac:dyDescent="0.3">
      <c r="M1232"/>
    </row>
    <row r="1233" spans="13:13" x14ac:dyDescent="0.3">
      <c r="M1233"/>
    </row>
    <row r="1234" spans="13:13" x14ac:dyDescent="0.3">
      <c r="M1234"/>
    </row>
    <row r="1235" spans="13:13" x14ac:dyDescent="0.3">
      <c r="M1235"/>
    </row>
    <row r="1236" spans="13:13" x14ac:dyDescent="0.3">
      <c r="M1236"/>
    </row>
    <row r="1237" spans="13:13" x14ac:dyDescent="0.3">
      <c r="M1237"/>
    </row>
    <row r="1238" spans="13:13" x14ac:dyDescent="0.3">
      <c r="M1238"/>
    </row>
    <row r="1239" spans="13:13" x14ac:dyDescent="0.3">
      <c r="M1239"/>
    </row>
    <row r="1240" spans="13:13" x14ac:dyDescent="0.3">
      <c r="M1240"/>
    </row>
    <row r="1241" spans="13:13" x14ac:dyDescent="0.3">
      <c r="M1241"/>
    </row>
    <row r="1242" spans="13:13" x14ac:dyDescent="0.3">
      <c r="M1242"/>
    </row>
    <row r="1243" spans="13:13" x14ac:dyDescent="0.3">
      <c r="M1243"/>
    </row>
    <row r="1244" spans="13:13" x14ac:dyDescent="0.3">
      <c r="M1244"/>
    </row>
    <row r="1245" spans="13:13" x14ac:dyDescent="0.3">
      <c r="M1245"/>
    </row>
    <row r="1246" spans="13:13" x14ac:dyDescent="0.3">
      <c r="M1246"/>
    </row>
    <row r="1247" spans="13:13" x14ac:dyDescent="0.3">
      <c r="M1247"/>
    </row>
    <row r="1248" spans="13:13" x14ac:dyDescent="0.3">
      <c r="M1248"/>
    </row>
    <row r="1249" spans="13:13" x14ac:dyDescent="0.3">
      <c r="M1249"/>
    </row>
    <row r="1250" spans="13:13" x14ac:dyDescent="0.3">
      <c r="M1250"/>
    </row>
    <row r="1251" spans="13:13" x14ac:dyDescent="0.3">
      <c r="M1251"/>
    </row>
    <row r="1252" spans="13:13" x14ac:dyDescent="0.3">
      <c r="M1252"/>
    </row>
    <row r="1253" spans="13:13" x14ac:dyDescent="0.3">
      <c r="M1253"/>
    </row>
    <row r="1254" spans="13:13" x14ac:dyDescent="0.3">
      <c r="M1254"/>
    </row>
    <row r="1255" spans="13:13" x14ac:dyDescent="0.3">
      <c r="M1255"/>
    </row>
    <row r="1256" spans="13:13" x14ac:dyDescent="0.3">
      <c r="M1256"/>
    </row>
    <row r="1257" spans="13:13" x14ac:dyDescent="0.3">
      <c r="M1257"/>
    </row>
    <row r="1258" spans="13:13" x14ac:dyDescent="0.3">
      <c r="M1258"/>
    </row>
    <row r="1259" spans="13:13" x14ac:dyDescent="0.3">
      <c r="M1259"/>
    </row>
    <row r="1260" spans="13:13" x14ac:dyDescent="0.3">
      <c r="M1260"/>
    </row>
    <row r="1261" spans="13:13" x14ac:dyDescent="0.3">
      <c r="M1261"/>
    </row>
    <row r="1262" spans="13:13" x14ac:dyDescent="0.3">
      <c r="M1262"/>
    </row>
    <row r="1263" spans="13:13" x14ac:dyDescent="0.3">
      <c r="M1263"/>
    </row>
    <row r="1264" spans="13:13" x14ac:dyDescent="0.3">
      <c r="M1264"/>
    </row>
    <row r="1265" spans="13:13" x14ac:dyDescent="0.3">
      <c r="M1265"/>
    </row>
    <row r="1266" spans="13:13" x14ac:dyDescent="0.3">
      <c r="M1266"/>
    </row>
    <row r="1267" spans="13:13" x14ac:dyDescent="0.3">
      <c r="M1267"/>
    </row>
    <row r="1268" spans="13:13" x14ac:dyDescent="0.3">
      <c r="M1268"/>
    </row>
    <row r="1269" spans="13:13" x14ac:dyDescent="0.3">
      <c r="M1269"/>
    </row>
    <row r="1270" spans="13:13" x14ac:dyDescent="0.3">
      <c r="M1270"/>
    </row>
    <row r="1271" spans="13:13" x14ac:dyDescent="0.3">
      <c r="M1271"/>
    </row>
    <row r="1272" spans="13:13" x14ac:dyDescent="0.3">
      <c r="M1272"/>
    </row>
    <row r="1273" spans="13:13" x14ac:dyDescent="0.3">
      <c r="M1273"/>
    </row>
    <row r="1274" spans="13:13" x14ac:dyDescent="0.3">
      <c r="M1274"/>
    </row>
    <row r="1275" spans="13:13" x14ac:dyDescent="0.3">
      <c r="M1275"/>
    </row>
    <row r="1276" spans="13:13" x14ac:dyDescent="0.3">
      <c r="M1276"/>
    </row>
    <row r="1277" spans="13:13" x14ac:dyDescent="0.3">
      <c r="M1277"/>
    </row>
    <row r="1278" spans="13:13" x14ac:dyDescent="0.3">
      <c r="M1278"/>
    </row>
    <row r="1279" spans="13:13" x14ac:dyDescent="0.3">
      <c r="M1279"/>
    </row>
    <row r="1280" spans="13:13" x14ac:dyDescent="0.3">
      <c r="M1280"/>
    </row>
    <row r="1281" spans="13:13" x14ac:dyDescent="0.3">
      <c r="M1281"/>
    </row>
    <row r="1282" spans="13:13" x14ac:dyDescent="0.3">
      <c r="M1282"/>
    </row>
    <row r="1283" spans="13:13" x14ac:dyDescent="0.3">
      <c r="M1283"/>
    </row>
    <row r="1284" spans="13:13" x14ac:dyDescent="0.3">
      <c r="M1284"/>
    </row>
    <row r="1285" spans="13:13" x14ac:dyDescent="0.3">
      <c r="M1285"/>
    </row>
    <row r="1286" spans="13:13" x14ac:dyDescent="0.3">
      <c r="M1286"/>
    </row>
    <row r="1287" spans="13:13" x14ac:dyDescent="0.3">
      <c r="M1287"/>
    </row>
    <row r="1288" spans="13:13" x14ac:dyDescent="0.3">
      <c r="M1288"/>
    </row>
    <row r="1289" spans="13:13" x14ac:dyDescent="0.3">
      <c r="M1289"/>
    </row>
    <row r="1290" spans="13:13" x14ac:dyDescent="0.3">
      <c r="M1290"/>
    </row>
    <row r="1291" spans="13:13" x14ac:dyDescent="0.3">
      <c r="M1291"/>
    </row>
    <row r="1292" spans="13:13" x14ac:dyDescent="0.3">
      <c r="M1292"/>
    </row>
    <row r="1293" spans="13:13" x14ac:dyDescent="0.3">
      <c r="M1293"/>
    </row>
    <row r="1294" spans="13:13" x14ac:dyDescent="0.3">
      <c r="M1294"/>
    </row>
    <row r="1295" spans="13:13" x14ac:dyDescent="0.3">
      <c r="M1295"/>
    </row>
    <row r="1296" spans="13:13" x14ac:dyDescent="0.3">
      <c r="M1296"/>
    </row>
    <row r="1297" spans="13:13" x14ac:dyDescent="0.3">
      <c r="M1297"/>
    </row>
    <row r="1298" spans="13:13" x14ac:dyDescent="0.3">
      <c r="M1298"/>
    </row>
    <row r="1299" spans="13:13" x14ac:dyDescent="0.3">
      <c r="M1299"/>
    </row>
    <row r="1300" spans="13:13" x14ac:dyDescent="0.3">
      <c r="M1300"/>
    </row>
    <row r="1301" spans="13:13" x14ac:dyDescent="0.3">
      <c r="M1301"/>
    </row>
    <row r="1302" spans="13:13" x14ac:dyDescent="0.3">
      <c r="M1302"/>
    </row>
    <row r="1303" spans="13:13" x14ac:dyDescent="0.3">
      <c r="M1303"/>
    </row>
    <row r="1304" spans="13:13" x14ac:dyDescent="0.3">
      <c r="M1304"/>
    </row>
    <row r="1305" spans="13:13" x14ac:dyDescent="0.3">
      <c r="M1305"/>
    </row>
    <row r="1306" spans="13:13" x14ac:dyDescent="0.3">
      <c r="M1306"/>
    </row>
    <row r="1307" spans="13:13" x14ac:dyDescent="0.3">
      <c r="M1307"/>
    </row>
    <row r="1308" spans="13:13" x14ac:dyDescent="0.3">
      <c r="M1308"/>
    </row>
    <row r="1309" spans="13:13" x14ac:dyDescent="0.3">
      <c r="M1309"/>
    </row>
    <row r="1310" spans="13:13" x14ac:dyDescent="0.3">
      <c r="M1310"/>
    </row>
    <row r="1311" spans="13:13" x14ac:dyDescent="0.3">
      <c r="M1311"/>
    </row>
    <row r="1312" spans="13:13" x14ac:dyDescent="0.3">
      <c r="M1312"/>
    </row>
    <row r="1313" spans="13:13" x14ac:dyDescent="0.3">
      <c r="M1313"/>
    </row>
    <row r="1314" spans="13:13" x14ac:dyDescent="0.3">
      <c r="M1314"/>
    </row>
    <row r="1315" spans="13:13" x14ac:dyDescent="0.3">
      <c r="M1315"/>
    </row>
    <row r="1316" spans="13:13" x14ac:dyDescent="0.3">
      <c r="M1316"/>
    </row>
    <row r="1317" spans="13:13" x14ac:dyDescent="0.3">
      <c r="M1317"/>
    </row>
    <row r="1318" spans="13:13" x14ac:dyDescent="0.3">
      <c r="M1318"/>
    </row>
    <row r="1319" spans="13:13" x14ac:dyDescent="0.3">
      <c r="M1319"/>
    </row>
    <row r="1320" spans="13:13" x14ac:dyDescent="0.3">
      <c r="M1320"/>
    </row>
    <row r="1321" spans="13:13" x14ac:dyDescent="0.3">
      <c r="M1321"/>
    </row>
    <row r="1322" spans="13:13" x14ac:dyDescent="0.3">
      <c r="M1322"/>
    </row>
    <row r="1323" spans="13:13" x14ac:dyDescent="0.3">
      <c r="M1323"/>
    </row>
    <row r="1324" spans="13:13" x14ac:dyDescent="0.3">
      <c r="M1324"/>
    </row>
    <row r="1325" spans="13:13" x14ac:dyDescent="0.3">
      <c r="M1325"/>
    </row>
    <row r="1326" spans="13:13" x14ac:dyDescent="0.3">
      <c r="M1326"/>
    </row>
    <row r="1327" spans="13:13" x14ac:dyDescent="0.3">
      <c r="M1327"/>
    </row>
    <row r="1328" spans="13:13" x14ac:dyDescent="0.3">
      <c r="M1328"/>
    </row>
    <row r="1329" spans="13:13" x14ac:dyDescent="0.3">
      <c r="M1329"/>
    </row>
    <row r="1330" spans="13:13" x14ac:dyDescent="0.3">
      <c r="M1330"/>
    </row>
    <row r="1331" spans="13:13" x14ac:dyDescent="0.3">
      <c r="M1331"/>
    </row>
    <row r="1332" spans="13:13" x14ac:dyDescent="0.3">
      <c r="M1332"/>
    </row>
    <row r="1333" spans="13:13" x14ac:dyDescent="0.3">
      <c r="M1333"/>
    </row>
    <row r="1334" spans="13:13" x14ac:dyDescent="0.3">
      <c r="M1334"/>
    </row>
    <row r="1335" spans="13:13" x14ac:dyDescent="0.3">
      <c r="M1335"/>
    </row>
    <row r="1336" spans="13:13" x14ac:dyDescent="0.3">
      <c r="M1336"/>
    </row>
    <row r="1337" spans="13:13" x14ac:dyDescent="0.3">
      <c r="M1337"/>
    </row>
    <row r="1338" spans="13:13" x14ac:dyDescent="0.3">
      <c r="M1338"/>
    </row>
    <row r="1339" spans="13:13" x14ac:dyDescent="0.3">
      <c r="M1339"/>
    </row>
    <row r="1340" spans="13:13" x14ac:dyDescent="0.3">
      <c r="M1340"/>
    </row>
    <row r="1341" spans="13:13" x14ac:dyDescent="0.3">
      <c r="M1341"/>
    </row>
    <row r="1342" spans="13:13" x14ac:dyDescent="0.3">
      <c r="M1342"/>
    </row>
    <row r="1343" spans="13:13" x14ac:dyDescent="0.3">
      <c r="M1343"/>
    </row>
    <row r="1344" spans="13:13" x14ac:dyDescent="0.3">
      <c r="M1344"/>
    </row>
  </sheetData>
  <autoFilter ref="A1:AY1003" xr:uid="{10F342F0-CF7A-4B04-8253-CB4A554B4A21}">
    <filterColumn colId="0">
      <filters>
        <filter val="HFA201LLHA2026-02-28"/>
      </filters>
    </filterColumn>
    <filterColumn colId="2">
      <filters>
        <filter val="Success"/>
      </filters>
    </filterColumn>
    <sortState xmlns:xlrd2="http://schemas.microsoft.com/office/spreadsheetml/2017/richdata2" ref="A2:AY1003">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Leon Software</dc:creator>
  <cp:lastModifiedBy>frank.p adriaansen</cp:lastModifiedBy>
  <dcterms:created xsi:type="dcterms:W3CDTF">2026-04-09T14:58:38Z</dcterms:created>
  <dcterms:modified xsi:type="dcterms:W3CDTF">2026-04-15T12:56:57Z</dcterms:modified>
</cp:coreProperties>
</file>